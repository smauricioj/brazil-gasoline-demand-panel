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tese\"/>
    </mc:Choice>
  </mc:AlternateContent>
  <xr:revisionPtr revIDLastSave="0" documentId="13_ncr:1_{CBD1C458-9B05-4B92-AB6B-AAF16964E58A}" xr6:coauthVersionLast="47" xr6:coauthVersionMax="47" xr10:uidLastSave="{00000000-0000-0000-0000-000000000000}"/>
  <bookViews>
    <workbookView xWindow="-120" yWindow="-120" windowWidth="29040" windowHeight="15720" activeTab="1" xr2:uid="{4B7F2154-7D12-45C0-8502-8F6A5D435738}"/>
  </bookViews>
  <sheets>
    <sheet name="FGLS_stats_with_error" sheetId="1" r:id="rId1"/>
    <sheet name="Bars" sheetId="2" r:id="rId2"/>
    <sheet name="Sheet1" sheetId="3" r:id="rId3"/>
  </sheets>
  <definedNames>
    <definedName name="_xlnm._FilterDatabase" localSheetId="0" hidden="1">FGLS_stats_with_error!$A$1:$F$1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3" i="1"/>
  <c r="E2" i="1"/>
  <c r="E8" i="1"/>
  <c r="E5" i="1"/>
  <c r="E4" i="1"/>
  <c r="E13" i="1"/>
  <c r="E14" i="1"/>
  <c r="E12" i="1"/>
  <c r="E17" i="1"/>
  <c r="E16" i="1"/>
  <c r="E11" i="1"/>
  <c r="E9" i="1"/>
  <c r="E15" i="1"/>
  <c r="E10" i="1"/>
  <c r="E20" i="1"/>
  <c r="E21" i="1"/>
  <c r="E19" i="1"/>
  <c r="E18" i="1"/>
  <c r="E22" i="1"/>
  <c r="E23" i="1"/>
  <c r="E24" i="1"/>
  <c r="E28" i="1"/>
  <c r="E25" i="1"/>
  <c r="H25" i="1" s="1"/>
  <c r="E26" i="1"/>
  <c r="E27" i="1"/>
  <c r="H28" i="1" s="1"/>
  <c r="E7" i="1"/>
  <c r="D7" i="3"/>
  <c r="G3" i="1"/>
  <c r="N5" i="1"/>
  <c r="O5" i="1" s="1"/>
  <c r="P5" i="1" s="1"/>
  <c r="G2" i="1"/>
  <c r="G7" i="1"/>
  <c r="G8" i="1"/>
  <c r="G5" i="1"/>
  <c r="G4" i="1"/>
  <c r="G6" i="1"/>
  <c r="G16" i="1"/>
  <c r="G15" i="1"/>
  <c r="G17" i="1"/>
  <c r="G10" i="1"/>
  <c r="G12" i="1"/>
  <c r="G13" i="1"/>
  <c r="G9" i="1"/>
  <c r="G11" i="1"/>
  <c r="G14" i="1"/>
  <c r="G20" i="1"/>
  <c r="G19" i="1"/>
  <c r="G21" i="1"/>
  <c r="G18" i="1"/>
  <c r="G24" i="1"/>
  <c r="G23" i="1"/>
  <c r="G22" i="1"/>
  <c r="G26" i="1"/>
  <c r="G27" i="1"/>
  <c r="G25" i="1"/>
  <c r="G28" i="1"/>
  <c r="D2" i="1"/>
  <c r="D6" i="1"/>
  <c r="D4" i="1"/>
  <c r="D3" i="1"/>
  <c r="D8" i="1"/>
  <c r="D7" i="1"/>
  <c r="D5" i="1"/>
  <c r="D13" i="1"/>
  <c r="D9" i="1"/>
  <c r="D14" i="1"/>
  <c r="D11" i="1"/>
  <c r="D10" i="1"/>
  <c r="D15" i="1"/>
  <c r="D12" i="1"/>
  <c r="D16" i="1"/>
  <c r="D17" i="1"/>
  <c r="D19" i="1"/>
  <c r="D18" i="1"/>
  <c r="D20" i="1"/>
  <c r="D21" i="1"/>
  <c r="D22" i="1"/>
  <c r="D24" i="1"/>
  <c r="D23" i="1"/>
  <c r="D28" i="1"/>
  <c r="D25" i="1"/>
  <c r="D26" i="1"/>
  <c r="D27" i="1"/>
  <c r="D6" i="3"/>
  <c r="H6" i="1" l="1"/>
  <c r="H7" i="1"/>
  <c r="H3" i="1"/>
  <c r="H4" i="1"/>
  <c r="H9" i="1"/>
  <c r="H14" i="1"/>
  <c r="H17" i="1"/>
  <c r="H21" i="1"/>
  <c r="H19" i="1"/>
  <c r="H23" i="1"/>
  <c r="H27" i="1"/>
  <c r="H2" i="1"/>
  <c r="H5" i="1"/>
  <c r="H16" i="1"/>
  <c r="H15" i="1"/>
  <c r="H11" i="1"/>
  <c r="H10" i="1"/>
  <c r="H20" i="1"/>
  <c r="H22" i="1"/>
  <c r="H8" i="1"/>
  <c r="H13" i="1"/>
  <c r="H12" i="1"/>
  <c r="H18" i="1"/>
  <c r="H24" i="1"/>
  <c r="H26" i="1"/>
  <c r="N9" i="1" l="1"/>
  <c r="O9" i="1" s="1"/>
  <c r="P9" i="1" s="1"/>
</calcChain>
</file>

<file path=xl/sharedStrings.xml><?xml version="1.0" encoding="utf-8"?>
<sst xmlns="http://schemas.openxmlformats.org/spreadsheetml/2006/main" count="47" uniqueCount="46">
  <si>
    <t>CD_UF</t>
  </si>
  <si>
    <t>Variance</t>
  </si>
  <si>
    <t>Region</t>
  </si>
  <si>
    <t>SIGLA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</si>
  <si>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</si>
  <si>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</si>
  <si>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</si>
  <si>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</si>
  <si>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</si>
  <si>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</si>
  <si>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</si>
  <si>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</si>
  <si>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</si>
  <si>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</si>
  <si>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</si>
  <si>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</si>
  <si>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</si>
  <si>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</si>
  <si>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</si>
  <si>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</si>
  <si>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</si>
  <si>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</si>
  <si>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</si>
  <si>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</si>
  <si>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</si>
  <si>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</si>
  <si>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</si>
  <si>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</si>
  <si>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</si>
  <si>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</si>
  <si>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</si>
  <si>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Average of Autocorrelation (ρₛ)</t>
  </si>
  <si>
    <t>StdDev of Autocorrelation (ρₛ)</t>
  </si>
  <si>
    <t>Correl</t>
  </si>
  <si>
    <t>t</t>
  </si>
  <si>
    <t>p</t>
  </si>
  <si>
    <t>Rank rho</t>
  </si>
  <si>
    <t>Rank sigma</t>
  </si>
  <si>
    <t>Pearson</t>
  </si>
  <si>
    <t>Spearman</t>
  </si>
  <si>
    <t>Average of Variance (σₛ × 10)</t>
  </si>
  <si>
    <t>StdDev of Variance (σₛ × 10)2</t>
  </si>
  <si>
    <t>Estimated standard deviation ( ̂σ )</t>
  </si>
  <si>
    <t>Estimated autorregression ( ̂ρ )</t>
  </si>
  <si>
    <t>Pad sigma</t>
  </si>
  <si>
    <t>Pad 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</si>
</sst>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2"/>
          <c:tx>
            <c:strRef>
              <c:f>FGLS_stats_with_error!$E$1</c:f>
              <c:strCache>
                <c:ptCount val="1"/>
                <c:pt idx="0">
                  <c:v>Estimated standard deviation ( ̂σ )</c:v>
                </c:pt>
              </c:strCache>
            </c:strRef>
          </c:tx>
          <c:spPr>
            <a:solidFill>
              <a:schemeClr val="accent4"/>
            </a:solidFill>
            <a:ln w="15875"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D23F-43A1-BA91-B3E12DDA517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D23F-43A1-BA91-B3E12DDA51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D23F-43A1-BA91-B3E12DDA517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D23F-43A1-BA91-B3E12DDA517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D23F-43A1-BA91-B3E12DDA517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D23F-43A1-BA91-B3E12DDA517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D23F-43A1-BA91-B3E12DDA517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D23F-43A1-BA91-B3E12DDA517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D23F-43A1-BA91-B3E12DDA5179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D23F-43A1-BA91-B3E12DDA5179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D23F-43A1-BA91-B3E12DDA517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58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D23F-43A1-BA91-B3E12DDA5179}"/>
              </c:ext>
            </c:extLst>
          </c:dPt>
          <c:cat>
            <c:strRef>
              <c:f>FGLS_stats_with_error!$F$2:$F$28</c:f>
              <c:strCache>
                <c:ptCount val="27"/>
                <c:pt idx="0">
                  <c:v>RR</c:v>
                </c:pt>
                <c:pt idx="1">
                  <c:v>AM</c:v>
                </c:pt>
                <c:pt idx="2">
                  <c:v>TO</c:v>
                </c:pt>
                <c:pt idx="3">
                  <c:v>AP</c:v>
                </c:pt>
                <c:pt idx="4">
                  <c:v>AC</c:v>
                </c:pt>
                <c:pt idx="5">
                  <c:v>RO</c:v>
                </c:pt>
                <c:pt idx="6">
                  <c:v>PA</c:v>
                </c:pt>
                <c:pt idx="7">
                  <c:v>AL</c:v>
                </c:pt>
                <c:pt idx="8">
                  <c:v>BA</c:v>
                </c:pt>
                <c:pt idx="9">
                  <c:v>PE</c:v>
                </c:pt>
                <c:pt idx="10">
                  <c:v>CE</c:v>
                </c:pt>
                <c:pt idx="11">
                  <c:v>MA</c:v>
                </c:pt>
                <c:pt idx="12">
                  <c:v>PI</c:v>
                </c:pt>
                <c:pt idx="13">
                  <c:v>SE</c:v>
                </c:pt>
                <c:pt idx="14">
                  <c:v>PB</c:v>
                </c:pt>
                <c:pt idx="15">
                  <c:v>RN</c:v>
                </c:pt>
                <c:pt idx="16">
                  <c:v>SP</c:v>
                </c:pt>
                <c:pt idx="17">
                  <c:v>RJ</c:v>
                </c:pt>
                <c:pt idx="18">
                  <c:v>MG</c:v>
                </c:pt>
                <c:pt idx="19">
                  <c:v>ES</c:v>
                </c:pt>
                <c:pt idx="20">
                  <c:v>PR</c:v>
                </c:pt>
                <c:pt idx="21">
                  <c:v>SC</c:v>
                </c:pt>
                <c:pt idx="22">
                  <c:v>RS</c:v>
                </c:pt>
                <c:pt idx="23">
                  <c:v>MT</c:v>
                </c:pt>
                <c:pt idx="24">
                  <c:v>GO</c:v>
                </c:pt>
                <c:pt idx="25">
                  <c:v>DF</c:v>
                </c:pt>
                <c:pt idx="26">
                  <c:v>MS</c:v>
                </c:pt>
              </c:strCache>
            </c:strRef>
          </c:cat>
          <c:val>
            <c:numRef>
              <c:f>FGLS_stats_with_error!$E$2:$E$28</c:f>
              <c:numCache>
                <c:formatCode>General</c:formatCode>
                <c:ptCount val="27"/>
                <c:pt idx="0">
                  <c:v>4.8828349E-2</c:v>
                </c:pt>
                <c:pt idx="1">
                  <c:v>4.3542842999999998E-2</c:v>
                </c:pt>
                <c:pt idx="2">
                  <c:v>4.3023500999999999E-2</c:v>
                </c:pt>
                <c:pt idx="3">
                  <c:v>4.0092233999999997E-2</c:v>
                </c:pt>
                <c:pt idx="4">
                  <c:v>3.7075563999999998E-2</c:v>
                </c:pt>
                <c:pt idx="5">
                  <c:v>2.8272427999999999E-2</c:v>
                </c:pt>
                <c:pt idx="6">
                  <c:v>2.7161859E-2</c:v>
                </c:pt>
                <c:pt idx="7">
                  <c:v>5.0784107000000002E-2</c:v>
                </c:pt>
                <c:pt idx="8">
                  <c:v>4.8521090000000003E-2</c:v>
                </c:pt>
                <c:pt idx="9">
                  <c:v>4.2090777000000003E-2</c:v>
                </c:pt>
                <c:pt idx="10">
                  <c:v>3.5185254999999999E-2</c:v>
                </c:pt>
                <c:pt idx="11">
                  <c:v>3.0837322E-2</c:v>
                </c:pt>
                <c:pt idx="12">
                  <c:v>2.9989333999999999E-2</c:v>
                </c:pt>
                <c:pt idx="13">
                  <c:v>2.7699662E-2</c:v>
                </c:pt>
                <c:pt idx="14">
                  <c:v>2.6058932999999999E-2</c:v>
                </c:pt>
                <c:pt idx="15">
                  <c:v>2.5197596999999999E-2</c:v>
                </c:pt>
                <c:pt idx="16">
                  <c:v>8.5534595000000005E-2</c:v>
                </c:pt>
                <c:pt idx="17">
                  <c:v>6.5305524000000004E-2</c:v>
                </c:pt>
                <c:pt idx="18">
                  <c:v>5.9558894000000001E-2</c:v>
                </c:pt>
                <c:pt idx="19">
                  <c:v>4.3489425999999998E-2</c:v>
                </c:pt>
                <c:pt idx="20">
                  <c:v>6.9328867000000002E-2</c:v>
                </c:pt>
                <c:pt idx="21">
                  <c:v>5.6063801000000003E-2</c:v>
                </c:pt>
                <c:pt idx="22">
                  <c:v>2.7906773999999999E-2</c:v>
                </c:pt>
                <c:pt idx="23">
                  <c:v>7.9445726999999994E-2</c:v>
                </c:pt>
                <c:pt idx="24">
                  <c:v>6.8600796000000006E-2</c:v>
                </c:pt>
                <c:pt idx="25">
                  <c:v>4.5714076999999999E-2</c:v>
                </c:pt>
                <c:pt idx="26">
                  <c:v>3.8154966999999998E-2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F-43A1-BA91-B3E12DDA5179}"/>
            </c:ext>
          </c:extLst>
        </c:ser>
        <c:ser>
          <c:idx val="5"/>
          <c:order val="3"/>
          <c:tx>
            <c:strRef>
              <c:f>FGLS_stats_with_error!$I$1</c:f>
              <c:strCache>
                <c:ptCount val="1"/>
                <c:pt idx="0">
                  <c:v>Pad sigma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FGLS_stats_with_error!$I$2:$I$28</c:f>
              <c:numCache>
                <c:formatCode>General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30-1762-46EA-82D3-9C2B6781E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87085008"/>
        <c:axId val="487091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FGLS_stats_with_error!$A$1</c15:sqref>
                        </c15:formulaRef>
                      </c:ext>
                    </c:extLst>
                    <c:strCache>
                      <c:ptCount val="1"/>
                      <c:pt idx="0">
                        <c:v>CD_UF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FGLS_stats_with_error!$F$2:$F$28</c15:sqref>
                        </c15:formulaRef>
                      </c:ext>
                    </c:extLst>
                    <c:strCache>
                      <c:ptCount val="27"/>
                      <c:pt idx="0">
                        <c:v>RR</c:v>
                      </c:pt>
                      <c:pt idx="1">
                        <c:v>AM</c:v>
                      </c:pt>
                      <c:pt idx="2">
                        <c:v>TO</c:v>
                      </c:pt>
                      <c:pt idx="3">
                        <c:v>AP</c:v>
                      </c:pt>
                      <c:pt idx="4">
                        <c:v>AC</c:v>
                      </c:pt>
                      <c:pt idx="5">
                        <c:v>RO</c:v>
                      </c:pt>
                      <c:pt idx="6">
                        <c:v>PA</c:v>
                      </c:pt>
                      <c:pt idx="7">
                        <c:v>AL</c:v>
                      </c:pt>
                      <c:pt idx="8">
                        <c:v>BA</c:v>
                      </c:pt>
                      <c:pt idx="9">
                        <c:v>PE</c:v>
                      </c:pt>
                      <c:pt idx="10">
                        <c:v>CE</c:v>
                      </c:pt>
                      <c:pt idx="11">
                        <c:v>MA</c:v>
                      </c:pt>
                      <c:pt idx="12">
                        <c:v>PI</c:v>
                      </c:pt>
                      <c:pt idx="13">
                        <c:v>SE</c:v>
                      </c:pt>
                      <c:pt idx="14">
                        <c:v>PB</c:v>
                      </c:pt>
                      <c:pt idx="15">
                        <c:v>RN</c:v>
                      </c:pt>
                      <c:pt idx="16">
                        <c:v>SP</c:v>
                      </c:pt>
                      <c:pt idx="17">
                        <c:v>RJ</c:v>
                      </c:pt>
                      <c:pt idx="18">
                        <c:v>MG</c:v>
                      </c:pt>
                      <c:pt idx="19">
                        <c:v>ES</c:v>
                      </c:pt>
                      <c:pt idx="20">
                        <c:v>PR</c:v>
                      </c:pt>
                      <c:pt idx="21">
                        <c:v>SC</c:v>
                      </c:pt>
                      <c:pt idx="22">
                        <c:v>RS</c:v>
                      </c:pt>
                      <c:pt idx="23">
                        <c:v>MT</c:v>
                      </c:pt>
                      <c:pt idx="24">
                        <c:v>GO</c:v>
                      </c:pt>
                      <c:pt idx="25">
                        <c:v>DF</c:v>
                      </c:pt>
                      <c:pt idx="26">
                        <c:v>MS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FGLS_stats_with_error!$A$2:$A$28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14</c:v>
                      </c:pt>
                      <c:pt idx="1">
                        <c:v>13</c:v>
                      </c:pt>
                      <c:pt idx="2">
                        <c:v>17</c:v>
                      </c:pt>
                      <c:pt idx="3">
                        <c:v>16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15</c:v>
                      </c:pt>
                      <c:pt idx="7">
                        <c:v>27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23</c:v>
                      </c:pt>
                      <c:pt idx="11">
                        <c:v>21</c:v>
                      </c:pt>
                      <c:pt idx="12">
                        <c:v>22</c:v>
                      </c:pt>
                      <c:pt idx="13">
                        <c:v>28</c:v>
                      </c:pt>
                      <c:pt idx="14">
                        <c:v>25</c:v>
                      </c:pt>
                      <c:pt idx="15">
                        <c:v>24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31</c:v>
                      </c:pt>
                      <c:pt idx="19">
                        <c:v>32</c:v>
                      </c:pt>
                      <c:pt idx="20">
                        <c:v>41</c:v>
                      </c:pt>
                      <c:pt idx="21">
                        <c:v>42</c:v>
                      </c:pt>
                      <c:pt idx="22">
                        <c:v>43</c:v>
                      </c:pt>
                      <c:pt idx="23">
                        <c:v>51</c:v>
                      </c:pt>
                      <c:pt idx="24">
                        <c:v>52</c:v>
                      </c:pt>
                      <c:pt idx="25">
                        <c:v>53</c:v>
                      </c:pt>
                      <c:pt idx="26">
                        <c:v>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23F-43A1-BA91-B3E12DDA517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FGLS_stats_with_error!$B$1</c15:sqref>
                        </c15:formulaRef>
                      </c:ext>
                    </c:extLst>
                    <c:strCache>
                      <c:ptCount val="1"/>
                      <c:pt idx="0">
                        <c:v>Variance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FGLS_stats_with_error!$F$2:$F$28</c15:sqref>
                        </c15:formulaRef>
                      </c:ext>
                    </c:extLst>
                    <c:strCache>
                      <c:ptCount val="27"/>
                      <c:pt idx="0">
                        <c:v>RR</c:v>
                      </c:pt>
                      <c:pt idx="1">
                        <c:v>AM</c:v>
                      </c:pt>
                      <c:pt idx="2">
                        <c:v>TO</c:v>
                      </c:pt>
                      <c:pt idx="3">
                        <c:v>AP</c:v>
                      </c:pt>
                      <c:pt idx="4">
                        <c:v>AC</c:v>
                      </c:pt>
                      <c:pt idx="5">
                        <c:v>RO</c:v>
                      </c:pt>
                      <c:pt idx="6">
                        <c:v>PA</c:v>
                      </c:pt>
                      <c:pt idx="7">
                        <c:v>AL</c:v>
                      </c:pt>
                      <c:pt idx="8">
                        <c:v>BA</c:v>
                      </c:pt>
                      <c:pt idx="9">
                        <c:v>PE</c:v>
                      </c:pt>
                      <c:pt idx="10">
                        <c:v>CE</c:v>
                      </c:pt>
                      <c:pt idx="11">
                        <c:v>MA</c:v>
                      </c:pt>
                      <c:pt idx="12">
                        <c:v>PI</c:v>
                      </c:pt>
                      <c:pt idx="13">
                        <c:v>SE</c:v>
                      </c:pt>
                      <c:pt idx="14">
                        <c:v>PB</c:v>
                      </c:pt>
                      <c:pt idx="15">
                        <c:v>RN</c:v>
                      </c:pt>
                      <c:pt idx="16">
                        <c:v>SP</c:v>
                      </c:pt>
                      <c:pt idx="17">
                        <c:v>RJ</c:v>
                      </c:pt>
                      <c:pt idx="18">
                        <c:v>MG</c:v>
                      </c:pt>
                      <c:pt idx="19">
                        <c:v>ES</c:v>
                      </c:pt>
                      <c:pt idx="20">
                        <c:v>PR</c:v>
                      </c:pt>
                      <c:pt idx="21">
                        <c:v>SC</c:v>
                      </c:pt>
                      <c:pt idx="22">
                        <c:v>RS</c:v>
                      </c:pt>
                      <c:pt idx="23">
                        <c:v>MT</c:v>
                      </c:pt>
                      <c:pt idx="24">
                        <c:v>GO</c:v>
                      </c:pt>
                      <c:pt idx="25">
                        <c:v>DF</c:v>
                      </c:pt>
                      <c:pt idx="26">
                        <c:v>MS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FGLS_stats_with_error!$B$2:$B$28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4.8828349E-2</c:v>
                      </c:pt>
                      <c:pt idx="1">
                        <c:v>4.3542842999999998E-2</c:v>
                      </c:pt>
                      <c:pt idx="2">
                        <c:v>4.3023500999999999E-2</c:v>
                      </c:pt>
                      <c:pt idx="3">
                        <c:v>4.0092233999999997E-2</c:v>
                      </c:pt>
                      <c:pt idx="4">
                        <c:v>3.7075563999999998E-2</c:v>
                      </c:pt>
                      <c:pt idx="5">
                        <c:v>2.8272427999999999E-2</c:v>
                      </c:pt>
                      <c:pt idx="6">
                        <c:v>2.7161859E-2</c:v>
                      </c:pt>
                      <c:pt idx="7">
                        <c:v>5.0784107000000002E-2</c:v>
                      </c:pt>
                      <c:pt idx="8">
                        <c:v>4.8521090000000003E-2</c:v>
                      </c:pt>
                      <c:pt idx="9">
                        <c:v>4.2090777000000003E-2</c:v>
                      </c:pt>
                      <c:pt idx="10">
                        <c:v>3.5185254999999999E-2</c:v>
                      </c:pt>
                      <c:pt idx="11">
                        <c:v>3.0837322E-2</c:v>
                      </c:pt>
                      <c:pt idx="12">
                        <c:v>2.9989333999999999E-2</c:v>
                      </c:pt>
                      <c:pt idx="13">
                        <c:v>2.7699662E-2</c:v>
                      </c:pt>
                      <c:pt idx="14">
                        <c:v>2.6058932999999999E-2</c:v>
                      </c:pt>
                      <c:pt idx="15">
                        <c:v>2.5197596999999999E-2</c:v>
                      </c:pt>
                      <c:pt idx="16">
                        <c:v>8.5534595000000005E-2</c:v>
                      </c:pt>
                      <c:pt idx="17">
                        <c:v>6.5305524000000004E-2</c:v>
                      </c:pt>
                      <c:pt idx="18">
                        <c:v>5.9558894000000001E-2</c:v>
                      </c:pt>
                      <c:pt idx="19">
                        <c:v>4.3489425999999998E-2</c:v>
                      </c:pt>
                      <c:pt idx="20">
                        <c:v>6.9328867000000002E-2</c:v>
                      </c:pt>
                      <c:pt idx="21">
                        <c:v>5.6063801000000003E-2</c:v>
                      </c:pt>
                      <c:pt idx="22">
                        <c:v>2.7906773999999999E-2</c:v>
                      </c:pt>
                      <c:pt idx="23">
                        <c:v>7.9445726999999994E-2</c:v>
                      </c:pt>
                      <c:pt idx="24">
                        <c:v>6.8600796000000006E-2</c:v>
                      </c:pt>
                      <c:pt idx="25">
                        <c:v>4.5714076999999999E-2</c:v>
                      </c:pt>
                      <c:pt idx="26">
                        <c:v>3.8154966999999998E-2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23F-43A1-BA91-B3E12DDA5179}"/>
                  </c:ext>
                </c:extLst>
              </c15:ser>
            </c15:filteredBarSeries>
            <c15:filteredBarSeries>
              <c15:ser>
                <c:idx val="3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FGLS_stats_with_error!$D$1</c15:sqref>
                        </c15:formulaRef>
                      </c:ext>
                    </c:extLst>
                    <c:strCache>
                      <c:ptCount val="1"/>
                      <c:pt idx="0">
                        <c:v>Region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FGLS_stats_with_error!$F$2:$F$28</c15:sqref>
                        </c15:formulaRef>
                      </c:ext>
                    </c:extLst>
                    <c:strCache>
                      <c:ptCount val="27"/>
                      <c:pt idx="0">
                        <c:v>RR</c:v>
                      </c:pt>
                      <c:pt idx="1">
                        <c:v>AM</c:v>
                      </c:pt>
                      <c:pt idx="2">
                        <c:v>TO</c:v>
                      </c:pt>
                      <c:pt idx="3">
                        <c:v>AP</c:v>
                      </c:pt>
                      <c:pt idx="4">
                        <c:v>AC</c:v>
                      </c:pt>
                      <c:pt idx="5">
                        <c:v>RO</c:v>
                      </c:pt>
                      <c:pt idx="6">
                        <c:v>PA</c:v>
                      </c:pt>
                      <c:pt idx="7">
                        <c:v>AL</c:v>
                      </c:pt>
                      <c:pt idx="8">
                        <c:v>BA</c:v>
                      </c:pt>
                      <c:pt idx="9">
                        <c:v>PE</c:v>
                      </c:pt>
                      <c:pt idx="10">
                        <c:v>CE</c:v>
                      </c:pt>
                      <c:pt idx="11">
                        <c:v>MA</c:v>
                      </c:pt>
                      <c:pt idx="12">
                        <c:v>PI</c:v>
                      </c:pt>
                      <c:pt idx="13">
                        <c:v>SE</c:v>
                      </c:pt>
                      <c:pt idx="14">
                        <c:v>PB</c:v>
                      </c:pt>
                      <c:pt idx="15">
                        <c:v>RN</c:v>
                      </c:pt>
                      <c:pt idx="16">
                        <c:v>SP</c:v>
                      </c:pt>
                      <c:pt idx="17">
                        <c:v>RJ</c:v>
                      </c:pt>
                      <c:pt idx="18">
                        <c:v>MG</c:v>
                      </c:pt>
                      <c:pt idx="19">
                        <c:v>ES</c:v>
                      </c:pt>
                      <c:pt idx="20">
                        <c:v>PR</c:v>
                      </c:pt>
                      <c:pt idx="21">
                        <c:v>SC</c:v>
                      </c:pt>
                      <c:pt idx="22">
                        <c:v>RS</c:v>
                      </c:pt>
                      <c:pt idx="23">
                        <c:v>MT</c:v>
                      </c:pt>
                      <c:pt idx="24">
                        <c:v>GO</c:v>
                      </c:pt>
                      <c:pt idx="25">
                        <c:v>DF</c:v>
                      </c:pt>
                      <c:pt idx="26">
                        <c:v>MS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FGLS_stats_with_error!$D$2:$D$28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23F-43A1-BA91-B3E12DDA5179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6"/>
          <c:order val="4"/>
          <c:tx>
            <c:strRef>
              <c:f>FGLS_stats_with_error!$J$1</c:f>
              <c:strCache>
                <c:ptCount val="1"/>
                <c:pt idx="0">
                  <c:v>Pad rho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FGLS_stats_with_error!$J$2:$J$28</c:f>
              <c:numCache>
                <c:formatCode>General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31-1762-46EA-82D3-9C2B6781E611}"/>
            </c:ext>
          </c:extLst>
        </c:ser>
        <c:ser>
          <c:idx val="2"/>
          <c:order val="5"/>
          <c:tx>
            <c:strRef>
              <c:f>FGLS_stats_with_error!$C$1</c:f>
              <c:strCache>
                <c:ptCount val="1"/>
                <c:pt idx="0">
                  <c:v>Estimated autorregression ( ̂ρ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23F-43A1-BA91-B3E12DDA517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23F-43A1-BA91-B3E12DDA51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23F-43A1-BA91-B3E12DDA517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23F-43A1-BA91-B3E12DDA517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23F-43A1-BA91-B3E12DDA517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23F-43A1-BA91-B3E12DDA517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23F-43A1-BA91-B3E12DDA517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23F-43A1-BA91-B3E12DDA517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23F-43A1-BA91-B3E12DDA5179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23F-43A1-BA91-B3E12DDA5179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23F-43A1-BA91-B3E12DDA5179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23F-43A1-BA91-B3E12DDA5179}"/>
              </c:ext>
            </c:extLst>
          </c:dPt>
          <c:cat>
            <c:strRef>
              <c:f>FGLS_stats_with_error!$F$2:$F$28</c:f>
              <c:strCache>
                <c:ptCount val="27"/>
                <c:pt idx="0">
                  <c:v>RR</c:v>
                </c:pt>
                <c:pt idx="1">
                  <c:v>AM</c:v>
                </c:pt>
                <c:pt idx="2">
                  <c:v>TO</c:v>
                </c:pt>
                <c:pt idx="3">
                  <c:v>AP</c:v>
                </c:pt>
                <c:pt idx="4">
                  <c:v>AC</c:v>
                </c:pt>
                <c:pt idx="5">
                  <c:v>RO</c:v>
                </c:pt>
                <c:pt idx="6">
                  <c:v>PA</c:v>
                </c:pt>
                <c:pt idx="7">
                  <c:v>AL</c:v>
                </c:pt>
                <c:pt idx="8">
                  <c:v>BA</c:v>
                </c:pt>
                <c:pt idx="9">
                  <c:v>PE</c:v>
                </c:pt>
                <c:pt idx="10">
                  <c:v>CE</c:v>
                </c:pt>
                <c:pt idx="11">
                  <c:v>MA</c:v>
                </c:pt>
                <c:pt idx="12">
                  <c:v>PI</c:v>
                </c:pt>
                <c:pt idx="13">
                  <c:v>SE</c:v>
                </c:pt>
                <c:pt idx="14">
                  <c:v>PB</c:v>
                </c:pt>
                <c:pt idx="15">
                  <c:v>RN</c:v>
                </c:pt>
                <c:pt idx="16">
                  <c:v>SP</c:v>
                </c:pt>
                <c:pt idx="17">
                  <c:v>RJ</c:v>
                </c:pt>
                <c:pt idx="18">
                  <c:v>MG</c:v>
                </c:pt>
                <c:pt idx="19">
                  <c:v>ES</c:v>
                </c:pt>
                <c:pt idx="20">
                  <c:v>PR</c:v>
                </c:pt>
                <c:pt idx="21">
                  <c:v>SC</c:v>
                </c:pt>
                <c:pt idx="22">
                  <c:v>RS</c:v>
                </c:pt>
                <c:pt idx="23">
                  <c:v>MT</c:v>
                </c:pt>
                <c:pt idx="24">
                  <c:v>GO</c:v>
                </c:pt>
                <c:pt idx="25">
                  <c:v>DF</c:v>
                </c:pt>
                <c:pt idx="26">
                  <c:v>MS</c:v>
                </c:pt>
              </c:strCache>
            </c:strRef>
          </c:cat>
          <c:val>
            <c:numRef>
              <c:f>FGLS_stats_with_error!$C$2:$C$28</c:f>
              <c:numCache>
                <c:formatCode>General</c:formatCode>
                <c:ptCount val="27"/>
                <c:pt idx="0">
                  <c:v>0.94210070000000001</c:v>
                </c:pt>
                <c:pt idx="1">
                  <c:v>0.91871451999999998</c:v>
                </c:pt>
                <c:pt idx="2">
                  <c:v>0.85814005000000004</c:v>
                </c:pt>
                <c:pt idx="3">
                  <c:v>0.72732532000000005</c:v>
                </c:pt>
                <c:pt idx="4">
                  <c:v>0.64969056999999997</c:v>
                </c:pt>
                <c:pt idx="5">
                  <c:v>0.69170743000000001</c:v>
                </c:pt>
                <c:pt idx="6">
                  <c:v>0.79491878000000005</c:v>
                </c:pt>
                <c:pt idx="7">
                  <c:v>0.42666452999999999</c:v>
                </c:pt>
                <c:pt idx="8">
                  <c:v>0.869367</c:v>
                </c:pt>
                <c:pt idx="9">
                  <c:v>0.83489769999999996</c:v>
                </c:pt>
                <c:pt idx="10">
                  <c:v>0.94621211000000005</c:v>
                </c:pt>
                <c:pt idx="11">
                  <c:v>0.88261568999999995</c:v>
                </c:pt>
                <c:pt idx="12">
                  <c:v>0.87431186000000005</c:v>
                </c:pt>
                <c:pt idx="13">
                  <c:v>0.51734590999999996</c:v>
                </c:pt>
                <c:pt idx="14">
                  <c:v>0.63557993999999995</c:v>
                </c:pt>
                <c:pt idx="15">
                  <c:v>0.49093872</c:v>
                </c:pt>
                <c:pt idx="16">
                  <c:v>0.71418482000000005</c:v>
                </c:pt>
                <c:pt idx="17">
                  <c:v>0.99124586999999997</c:v>
                </c:pt>
                <c:pt idx="18">
                  <c:v>0.8888064</c:v>
                </c:pt>
                <c:pt idx="19">
                  <c:v>0.78261179000000003</c:v>
                </c:pt>
                <c:pt idx="20">
                  <c:v>0.76503348000000004</c:v>
                </c:pt>
                <c:pt idx="21">
                  <c:v>0.75056648000000004</c:v>
                </c:pt>
                <c:pt idx="22">
                  <c:v>0.22441960999999999</c:v>
                </c:pt>
                <c:pt idx="23">
                  <c:v>0.87497932</c:v>
                </c:pt>
                <c:pt idx="24">
                  <c:v>0.70854371999999999</c:v>
                </c:pt>
                <c:pt idx="25">
                  <c:v>0.90451353999999995</c:v>
                </c:pt>
                <c:pt idx="26">
                  <c:v>0.74716150999999997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F-43A1-BA91-B3E12DDA5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98402255"/>
        <c:axId val="798401775"/>
      </c:barChart>
      <c:catAx>
        <c:axId val="48708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7091248"/>
        <c:crosses val="autoZero"/>
        <c:auto val="1"/>
        <c:lblAlgn val="ctr"/>
        <c:lblOffset val="100"/>
        <c:noMultiLvlLbl val="0"/>
      </c:catAx>
      <c:valAx>
        <c:axId val="487091248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Times New Roman" panose="02020603050405020304" pitchFamily="18" charset="0"/>
                  </a:defRPr>
                </a:pPr>
                <a:r>
                  <a:rPr lang="pt-BR">
                    <a:latin typeface="+mj-lt"/>
                  </a:rPr>
                  <a:t>  ̂</a:t>
                </a:r>
                <a:r>
                  <a:rPr lang="el-GR">
                    <a:latin typeface="+mj-lt"/>
                  </a:rPr>
                  <a:t>σ </a:t>
                </a:r>
                <a:r>
                  <a:rPr lang="pt-BR">
                    <a:latin typeface="+mj-lt"/>
                  </a:rPr>
                  <a:t> [ ln(m³) 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87085008"/>
        <c:crosses val="autoZero"/>
        <c:crossBetween val="between"/>
      </c:valAx>
      <c:valAx>
        <c:axId val="798401775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Times New Roman" panose="02020603050405020304" pitchFamily="18" charset="0"/>
                  </a:defRPr>
                </a:pPr>
                <a:r>
                  <a:rPr lang="el-GR">
                    <a:latin typeface="+mj-lt"/>
                  </a:rPr>
                  <a:t> ̂ρ </a:t>
                </a:r>
                <a:r>
                  <a:rPr lang="pt-BR">
                    <a:latin typeface="+mj-lt"/>
                  </a:rPr>
                  <a:t> [s.u.]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798402255"/>
        <c:crosses val="max"/>
        <c:crossBetween val="between"/>
      </c:valAx>
      <c:catAx>
        <c:axId val="798402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8401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DE2B1E-3562-4C2C-B992-54711E7C94BE}">
  <sheetPr/>
  <sheetViews>
    <sheetView tabSelected="1" zoomScale="130" workbookViewId="0"/>
  </sheetViews>
  <pageMargins left="0" right="0" top="0" bottom="0" header="0" footer="0"/>
  <pageSetup paperSize="11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429500" cy="52094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FBFB0-BE43-DF19-E27C-4252F06B3D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o Prolo" refreshedDate="46092.963187499998" createdVersion="8" refreshedVersion="8" minRefreshableVersion="3" recordCount="27" xr:uid="{0C85C30F-3415-408E-947C-F5FDC753B143}">
  <cacheSource type="worksheet">
    <worksheetSource ref="A1:F28" sheet="FGLS_stats_with_error"/>
  </cacheSource>
  <cacheFields count="6">
    <cacheField name="CD_UF" numFmtId="0">
      <sharedItems containsSemiMixedTypes="0" containsString="0" containsNumber="1" containsInteger="1" minValue="11" maxValue="53"/>
    </cacheField>
    <cacheField name="Variance" numFmtId="0">
      <sharedItems containsSemiMixedTypes="0" containsString="0" containsNumber="1" minValue="2.5197596999999999E-2" maxValue="8.5534595000000005E-2"/>
    </cacheField>
    <cacheField name="Autocorrelation (ρₛ)" numFmtId="0">
      <sharedItems containsSemiMixedTypes="0" containsString="0" containsNumber="1" minValue="0.22441960999999999" maxValue="0.99124586999999997"/>
    </cacheField>
    <cacheField name="Region" numFmtId="0">
      <sharedItems containsSemiMixedTypes="0" containsString="0" containsNumber="1" containsInteger="1" minValue="1" maxValue="5"/>
    </cacheField>
    <cacheField name="Variance (σₛ × 10)" numFmtId="0">
      <sharedItems containsSemiMixedTypes="0" containsString="0" containsNumber="1" minValue="0.25197596999999999" maxValue="0.85534595000000002"/>
    </cacheField>
    <cacheField name="SIGL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12"/>
    <n v="3.7075563999999998E-2"/>
    <n v="0.64969056999999997"/>
    <n v="1"/>
    <n v="0.37075564"/>
    <s v="AC"/>
  </r>
  <r>
    <n v="11"/>
    <n v="2.8272427999999999E-2"/>
    <n v="0.69170743000000001"/>
    <n v="1"/>
    <n v="0.28272427999999999"/>
    <s v="RO"/>
  </r>
  <r>
    <n v="16"/>
    <n v="4.0092233999999997E-2"/>
    <n v="0.72732532000000005"/>
    <n v="1"/>
    <n v="0.40092233999999999"/>
    <s v="AP"/>
  </r>
  <r>
    <n v="15"/>
    <n v="2.7161859E-2"/>
    <n v="0.79491878000000005"/>
    <n v="1"/>
    <n v="0.27161858999999999"/>
    <s v="PA"/>
  </r>
  <r>
    <n v="17"/>
    <n v="4.3023500999999999E-2"/>
    <n v="0.85814005000000004"/>
    <n v="1"/>
    <n v="0.43023500999999997"/>
    <s v="TO"/>
  </r>
  <r>
    <n v="13"/>
    <n v="4.3542842999999998E-2"/>
    <n v="0.91871451999999998"/>
    <n v="1"/>
    <n v="0.43542842999999998"/>
    <s v="AM"/>
  </r>
  <r>
    <n v="14"/>
    <n v="4.8828349E-2"/>
    <n v="0.94210070000000001"/>
    <n v="1"/>
    <n v="0.48828348999999999"/>
    <s v="RR"/>
  </r>
  <r>
    <n v="27"/>
    <n v="5.0784107000000002E-2"/>
    <n v="0.42666452999999999"/>
    <n v="2"/>
    <n v="0.50784107000000001"/>
    <s v="AL"/>
  </r>
  <r>
    <n v="24"/>
    <n v="2.5197596999999999E-2"/>
    <n v="0.49093872"/>
    <n v="2"/>
    <n v="0.25197596999999999"/>
    <s v="RN"/>
  </r>
  <r>
    <n v="28"/>
    <n v="2.7699662E-2"/>
    <n v="0.51734590999999996"/>
    <n v="2"/>
    <n v="0.27699662000000003"/>
    <s v="SE"/>
  </r>
  <r>
    <n v="25"/>
    <n v="2.6058932999999999E-2"/>
    <n v="0.63557993999999995"/>
    <n v="2"/>
    <n v="0.26058933000000001"/>
    <s v="PB"/>
  </r>
  <r>
    <n v="26"/>
    <n v="4.2090777000000003E-2"/>
    <n v="0.83489769999999996"/>
    <n v="2"/>
    <n v="0.42090777000000001"/>
    <s v="PE"/>
  </r>
  <r>
    <n v="29"/>
    <n v="4.8521090000000003E-2"/>
    <n v="0.869367"/>
    <n v="2"/>
    <n v="0.4852109"/>
    <s v="BA"/>
  </r>
  <r>
    <n v="22"/>
    <n v="2.9989333999999999E-2"/>
    <n v="0.87431186000000005"/>
    <n v="2"/>
    <n v="0.29989334000000001"/>
    <s v="PI"/>
  </r>
  <r>
    <n v="21"/>
    <n v="3.0837322E-2"/>
    <n v="0.88261568999999995"/>
    <n v="2"/>
    <n v="0.30837322"/>
    <s v="MA"/>
  </r>
  <r>
    <n v="23"/>
    <n v="3.5185254999999999E-2"/>
    <n v="0.94621211000000005"/>
    <n v="2"/>
    <n v="0.35185254999999999"/>
    <s v="CE"/>
  </r>
  <r>
    <n v="35"/>
    <n v="8.5534595000000005E-2"/>
    <n v="0.71418482000000005"/>
    <n v="3"/>
    <n v="0.85534595000000002"/>
    <s v="SP"/>
  </r>
  <r>
    <n v="32"/>
    <n v="4.3489425999999998E-2"/>
    <n v="0.78261179000000003"/>
    <n v="3"/>
    <n v="0.43489425999999998"/>
    <s v="ES"/>
  </r>
  <r>
    <n v="31"/>
    <n v="5.9558894000000001E-2"/>
    <n v="0.8888064"/>
    <n v="3"/>
    <n v="0.59558894000000007"/>
    <s v="MG"/>
  </r>
  <r>
    <n v="33"/>
    <n v="6.5305524000000004E-2"/>
    <n v="0.99124586999999997"/>
    <n v="3"/>
    <n v="0.65305524000000004"/>
    <s v="RJ"/>
  </r>
  <r>
    <n v="43"/>
    <n v="2.7906773999999999E-2"/>
    <n v="0.22441960999999999"/>
    <n v="4"/>
    <n v="0.27906774000000001"/>
    <s v="RS"/>
  </r>
  <r>
    <n v="42"/>
    <n v="5.6063801000000003E-2"/>
    <n v="0.75056648000000004"/>
    <n v="4"/>
    <n v="0.56063801000000002"/>
    <s v="SC"/>
  </r>
  <r>
    <n v="41"/>
    <n v="6.9328867000000002E-2"/>
    <n v="0.76503348000000004"/>
    <n v="4"/>
    <n v="0.69328867000000005"/>
    <s v="PR"/>
  </r>
  <r>
    <n v="52"/>
    <n v="6.8600796000000006E-2"/>
    <n v="0.70854371999999999"/>
    <n v="5"/>
    <n v="0.68600796000000008"/>
    <s v="GO"/>
  </r>
  <r>
    <n v="50"/>
    <n v="3.8154966999999998E-2"/>
    <n v="0.74716150999999997"/>
    <n v="5"/>
    <n v="0.38154966999999995"/>
    <s v="MS"/>
  </r>
  <r>
    <n v="51"/>
    <n v="7.9445726999999994E-2"/>
    <n v="0.87497932"/>
    <n v="5"/>
    <n v="0.79445726999999988"/>
    <s v="MT"/>
  </r>
  <r>
    <n v="53"/>
    <n v="4.5714076999999999E-2"/>
    <n v="0.90451353999999995"/>
    <n v="5"/>
    <n v="0.45714076999999997"/>
    <s v="D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7C497-B744-42BF-9BE4-10B6997372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4" firstHeaderRow="0" firstDataRow="1" firstDataCol="0"/>
  <pivotFields count="6">
    <pivotField showAll="0"/>
    <pivotField showAll="0"/>
    <pivotField dataField="1" showAll="0"/>
    <pivotField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utocorrelation (ρₛ)" fld="2" subtotal="average" baseField="3" baseItem="0"/>
    <dataField name="StdDev of Autocorrelation (ρₛ)" fld="2" subtotal="stdDev" baseField="0" baseItem="1"/>
    <dataField name="Average of Variance (σₛ × 10)" fld="4" subtotal="average" baseField="0" baseItem="2"/>
    <dataField name="StdDev of Variance (σₛ × 10)2" fld="4" subtotal="stdDev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106B-B713-41B9-9FB1-D6781909A43D}">
  <dimension ref="A1:P28"/>
  <sheetViews>
    <sheetView workbookViewId="0">
      <selection activeCell="K10" sqref="K10"/>
    </sheetView>
  </sheetViews>
  <sheetFormatPr defaultRowHeight="15" x14ac:dyDescent="0.25"/>
  <cols>
    <col min="1" max="1" width="8.85546875" bestFit="1" customWidth="1"/>
    <col min="2" max="2" width="12" bestFit="1" customWidth="1"/>
    <col min="3" max="3" width="20.85546875" bestFit="1" customWidth="1"/>
    <col min="4" max="4" width="9.28515625" bestFit="1" customWidth="1"/>
    <col min="5" max="5" width="19.7109375" bestFit="1" customWidth="1"/>
    <col min="6" max="6" width="8.140625" bestFit="1" customWidth="1"/>
    <col min="8" max="8" width="12" bestFit="1" customWidth="1"/>
  </cols>
  <sheetData>
    <row r="1" spans="1:16" x14ac:dyDescent="0.25">
      <c r="A1" t="s">
        <v>0</v>
      </c>
      <c r="B1" t="s">
        <v>1</v>
      </c>
      <c r="C1" s="1" t="s">
        <v>43</v>
      </c>
      <c r="D1" t="s">
        <v>2</v>
      </c>
      <c r="E1" t="s">
        <v>42</v>
      </c>
      <c r="F1" t="s">
        <v>3</v>
      </c>
      <c r="G1" t="s">
        <v>36</v>
      </c>
      <c r="H1" t="s">
        <v>37</v>
      </c>
      <c r="I1" t="s">
        <v>44</v>
      </c>
      <c r="J1" t="s">
        <v>45</v>
      </c>
    </row>
    <row r="2" spans="1:16" x14ac:dyDescent="0.25">
      <c r="A2">
        <v>14</v>
      </c>
      <c r="B2">
        <v>4.8828349E-2</v>
      </c>
      <c r="C2">
        <v>0.94210070000000001</v>
      </c>
      <c r="D2">
        <f>_xlfn.FLOOR.MATH(A2/10)</f>
        <v>1</v>
      </c>
      <c r="E2">
        <f>B2</f>
        <v>4.8828349E-2</v>
      </c>
      <c r="F2" t="s">
        <v>7</v>
      </c>
      <c r="G2">
        <f t="shared" ref="G2:G28" si="0">RANK(C2, C$2:C$28)</f>
        <v>3</v>
      </c>
      <c r="H2">
        <f t="shared" ref="H2:H28" si="1">RANK(E2, E$2:E$28)</f>
        <v>9</v>
      </c>
    </row>
    <row r="3" spans="1:16" x14ac:dyDescent="0.25">
      <c r="A3">
        <v>13</v>
      </c>
      <c r="B3">
        <v>4.3542842999999998E-2</v>
      </c>
      <c r="C3">
        <v>0.91871451999999998</v>
      </c>
      <c r="D3">
        <f>_xlfn.FLOOR.MATH(A3/10)</f>
        <v>1</v>
      </c>
      <c r="E3">
        <f>B3</f>
        <v>4.3542842999999998E-2</v>
      </c>
      <c r="F3" t="s">
        <v>6</v>
      </c>
      <c r="G3">
        <f t="shared" si="0"/>
        <v>4</v>
      </c>
      <c r="H3">
        <f t="shared" si="1"/>
        <v>12</v>
      </c>
      <c r="N3" t="s">
        <v>38</v>
      </c>
    </row>
    <row r="4" spans="1:16" x14ac:dyDescent="0.25">
      <c r="A4">
        <v>17</v>
      </c>
      <c r="B4">
        <v>4.3023500999999999E-2</v>
      </c>
      <c r="C4">
        <v>0.85814005000000004</v>
      </c>
      <c r="D4">
        <f>_xlfn.FLOOR.MATH(A4/10)</f>
        <v>1</v>
      </c>
      <c r="E4">
        <f>B4</f>
        <v>4.3023500999999999E-2</v>
      </c>
      <c r="F4" t="s">
        <v>10</v>
      </c>
      <c r="G4">
        <f t="shared" si="0"/>
        <v>11</v>
      </c>
      <c r="H4">
        <f t="shared" si="1"/>
        <v>14</v>
      </c>
      <c r="N4" t="s">
        <v>33</v>
      </c>
      <c r="O4" t="s">
        <v>34</v>
      </c>
      <c r="P4" t="s">
        <v>35</v>
      </c>
    </row>
    <row r="5" spans="1:16" x14ac:dyDescent="0.25">
      <c r="A5">
        <v>16</v>
      </c>
      <c r="B5">
        <v>4.0092233999999997E-2</v>
      </c>
      <c r="C5">
        <v>0.72732532000000005</v>
      </c>
      <c r="D5">
        <f>_xlfn.FLOOR.MATH(A5/10)</f>
        <v>1</v>
      </c>
      <c r="E5">
        <f>B5</f>
        <v>4.0092233999999997E-2</v>
      </c>
      <c r="F5" t="s">
        <v>9</v>
      </c>
      <c r="G5">
        <f t="shared" si="0"/>
        <v>18</v>
      </c>
      <c r="H5">
        <f t="shared" si="1"/>
        <v>16</v>
      </c>
      <c r="N5">
        <f>CORREL(C2:C28,E2:E28)</f>
        <v>0.30136697391935918</v>
      </c>
      <c r="O5">
        <f>N5*SQRT((COUNT($C$2:$C$28)-2)/(1-(N5*N5)))</f>
        <v>1.5803060951523711</v>
      </c>
      <c r="P5">
        <f>TDIST(ABS(O5), 25, 2)</f>
        <v>0.12660742798669661</v>
      </c>
    </row>
    <row r="6" spans="1:16" x14ac:dyDescent="0.25">
      <c r="A6">
        <v>12</v>
      </c>
      <c r="B6">
        <v>3.7075563999999998E-2</v>
      </c>
      <c r="C6">
        <v>0.64969056999999997</v>
      </c>
      <c r="D6">
        <f>_xlfn.FLOOR.MATH(A6/10)</f>
        <v>1</v>
      </c>
      <c r="E6">
        <f>B6</f>
        <v>3.7075563999999998E-2</v>
      </c>
      <c r="F6" t="s">
        <v>5</v>
      </c>
      <c r="G6">
        <f t="shared" si="0"/>
        <v>22</v>
      </c>
      <c r="H6">
        <f t="shared" si="1"/>
        <v>18</v>
      </c>
    </row>
    <row r="7" spans="1:16" x14ac:dyDescent="0.25">
      <c r="A7">
        <v>11</v>
      </c>
      <c r="B7">
        <v>2.8272427999999999E-2</v>
      </c>
      <c r="C7">
        <v>0.69170743000000001</v>
      </c>
      <c r="D7">
        <f>_xlfn.FLOOR.MATH(A7/10)</f>
        <v>1</v>
      </c>
      <c r="E7">
        <f>B7</f>
        <v>2.8272427999999999E-2</v>
      </c>
      <c r="F7" t="s">
        <v>4</v>
      </c>
      <c r="G7">
        <f t="shared" si="0"/>
        <v>21</v>
      </c>
      <c r="H7">
        <f t="shared" si="1"/>
        <v>22</v>
      </c>
      <c r="N7" t="s">
        <v>39</v>
      </c>
    </row>
    <row r="8" spans="1:16" x14ac:dyDescent="0.25">
      <c r="A8">
        <v>15</v>
      </c>
      <c r="B8">
        <v>2.7161859E-2</v>
      </c>
      <c r="C8">
        <v>0.79491878000000005</v>
      </c>
      <c r="D8">
        <f>_xlfn.FLOOR.MATH(A8/10)</f>
        <v>1</v>
      </c>
      <c r="E8">
        <f>B8</f>
        <v>2.7161859E-2</v>
      </c>
      <c r="F8" t="s">
        <v>8</v>
      </c>
      <c r="G8">
        <f t="shared" si="0"/>
        <v>13</v>
      </c>
      <c r="H8">
        <f t="shared" si="1"/>
        <v>25</v>
      </c>
      <c r="N8" t="s">
        <v>33</v>
      </c>
    </row>
    <row r="9" spans="1:16" x14ac:dyDescent="0.25">
      <c r="A9">
        <v>27</v>
      </c>
      <c r="B9">
        <v>5.0784107000000002E-2</v>
      </c>
      <c r="C9">
        <v>0.42666452999999999</v>
      </c>
      <c r="D9">
        <f>_xlfn.FLOOR.MATH(A9/10)</f>
        <v>2</v>
      </c>
      <c r="E9">
        <f>B9</f>
        <v>5.0784107000000002E-2</v>
      </c>
      <c r="F9" t="s">
        <v>17</v>
      </c>
      <c r="G9">
        <f t="shared" si="0"/>
        <v>26</v>
      </c>
      <c r="H9">
        <f t="shared" si="1"/>
        <v>8</v>
      </c>
      <c r="N9">
        <f>CORREL(G2:G28,H2:H28)</f>
        <v>0.34920634920634924</v>
      </c>
      <c r="O9">
        <f>N9*SQRT((COUNT($C$2:$C$28)-2)/(1-(N9*N9)))</f>
        <v>1.8633365116166414</v>
      </c>
      <c r="P9">
        <f>TDIST(ABS(O9), 25, 2)</f>
        <v>7.4203552289797553E-2</v>
      </c>
    </row>
    <row r="10" spans="1:16" x14ac:dyDescent="0.25">
      <c r="A10">
        <v>29</v>
      </c>
      <c r="B10">
        <v>4.8521090000000003E-2</v>
      </c>
      <c r="C10">
        <v>0.869367</v>
      </c>
      <c r="D10">
        <f>_xlfn.FLOOR.MATH(A10/10)</f>
        <v>2</v>
      </c>
      <c r="E10">
        <f>B10</f>
        <v>4.8521090000000003E-2</v>
      </c>
      <c r="F10" t="s">
        <v>19</v>
      </c>
      <c r="G10">
        <f t="shared" si="0"/>
        <v>10</v>
      </c>
      <c r="H10">
        <f t="shared" si="1"/>
        <v>10</v>
      </c>
    </row>
    <row r="11" spans="1:16" x14ac:dyDescent="0.25">
      <c r="A11">
        <v>26</v>
      </c>
      <c r="B11">
        <v>4.2090777000000003E-2</v>
      </c>
      <c r="C11">
        <v>0.83489769999999996</v>
      </c>
      <c r="D11">
        <f>_xlfn.FLOOR.MATH(A11/10)</f>
        <v>2</v>
      </c>
      <c r="E11">
        <f>B11</f>
        <v>4.2090777000000003E-2</v>
      </c>
      <c r="F11" t="s">
        <v>16</v>
      </c>
      <c r="G11">
        <f t="shared" si="0"/>
        <v>12</v>
      </c>
      <c r="H11">
        <f t="shared" si="1"/>
        <v>15</v>
      </c>
    </row>
    <row r="12" spans="1:16" x14ac:dyDescent="0.25">
      <c r="A12">
        <v>23</v>
      </c>
      <c r="B12">
        <v>3.5185254999999999E-2</v>
      </c>
      <c r="C12">
        <v>0.94621211000000005</v>
      </c>
      <c r="D12">
        <f>_xlfn.FLOOR.MATH(A12/10)</f>
        <v>2</v>
      </c>
      <c r="E12">
        <f>B12</f>
        <v>3.5185254999999999E-2</v>
      </c>
      <c r="F12" t="s">
        <v>13</v>
      </c>
      <c r="G12">
        <f t="shared" si="0"/>
        <v>2</v>
      </c>
      <c r="H12">
        <f t="shared" si="1"/>
        <v>19</v>
      </c>
    </row>
    <row r="13" spans="1:16" x14ac:dyDescent="0.25">
      <c r="A13">
        <v>21</v>
      </c>
      <c r="B13">
        <v>3.0837322E-2</v>
      </c>
      <c r="C13">
        <v>0.88261568999999995</v>
      </c>
      <c r="D13">
        <f>_xlfn.FLOOR.MATH(A13/10)</f>
        <v>2</v>
      </c>
      <c r="E13">
        <f>B13</f>
        <v>3.0837322E-2</v>
      </c>
      <c r="F13" t="s">
        <v>11</v>
      </c>
      <c r="G13">
        <f t="shared" si="0"/>
        <v>7</v>
      </c>
      <c r="H13">
        <f t="shared" si="1"/>
        <v>20</v>
      </c>
    </row>
    <row r="14" spans="1:16" x14ac:dyDescent="0.25">
      <c r="A14">
        <v>22</v>
      </c>
      <c r="B14">
        <v>2.9989333999999999E-2</v>
      </c>
      <c r="C14">
        <v>0.87431186000000005</v>
      </c>
      <c r="D14">
        <f>_xlfn.FLOOR.MATH(A14/10)</f>
        <v>2</v>
      </c>
      <c r="E14">
        <f>B14</f>
        <v>2.9989333999999999E-2</v>
      </c>
      <c r="F14" t="s">
        <v>12</v>
      </c>
      <c r="G14">
        <f t="shared" si="0"/>
        <v>9</v>
      </c>
      <c r="H14">
        <f t="shared" si="1"/>
        <v>21</v>
      </c>
    </row>
    <row r="15" spans="1:16" x14ac:dyDescent="0.25">
      <c r="A15">
        <v>28</v>
      </c>
      <c r="B15">
        <v>2.7699662E-2</v>
      </c>
      <c r="C15">
        <v>0.51734590999999996</v>
      </c>
      <c r="D15">
        <f>_xlfn.FLOOR.MATH(A15/10)</f>
        <v>2</v>
      </c>
      <c r="E15">
        <f>B15</f>
        <v>2.7699662E-2</v>
      </c>
      <c r="F15" t="s">
        <v>18</v>
      </c>
      <c r="G15">
        <f t="shared" si="0"/>
        <v>24</v>
      </c>
      <c r="H15">
        <f t="shared" si="1"/>
        <v>24</v>
      </c>
    </row>
    <row r="16" spans="1:16" x14ac:dyDescent="0.25">
      <c r="A16">
        <v>25</v>
      </c>
      <c r="B16">
        <v>2.6058932999999999E-2</v>
      </c>
      <c r="C16">
        <v>0.63557993999999995</v>
      </c>
      <c r="D16">
        <f>_xlfn.FLOOR.MATH(A16/10)</f>
        <v>2</v>
      </c>
      <c r="E16">
        <f>B16</f>
        <v>2.6058932999999999E-2</v>
      </c>
      <c r="F16" t="s">
        <v>15</v>
      </c>
      <c r="G16">
        <f t="shared" si="0"/>
        <v>23</v>
      </c>
      <c r="H16">
        <f t="shared" si="1"/>
        <v>26</v>
      </c>
    </row>
    <row r="17" spans="1:8" x14ac:dyDescent="0.25">
      <c r="A17">
        <v>24</v>
      </c>
      <c r="B17">
        <v>2.5197596999999999E-2</v>
      </c>
      <c r="C17">
        <v>0.49093872</v>
      </c>
      <c r="D17">
        <f>_xlfn.FLOOR.MATH(A17/10)</f>
        <v>2</v>
      </c>
      <c r="E17">
        <f>B17</f>
        <v>2.5197596999999999E-2</v>
      </c>
      <c r="F17" t="s">
        <v>14</v>
      </c>
      <c r="G17">
        <f t="shared" si="0"/>
        <v>25</v>
      </c>
      <c r="H17">
        <f t="shared" si="1"/>
        <v>27</v>
      </c>
    </row>
    <row r="18" spans="1:8" x14ac:dyDescent="0.25">
      <c r="A18">
        <v>35</v>
      </c>
      <c r="B18">
        <v>8.5534595000000005E-2</v>
      </c>
      <c r="C18">
        <v>0.71418482000000005</v>
      </c>
      <c r="D18">
        <f>_xlfn.FLOOR.MATH(A18/10)</f>
        <v>3</v>
      </c>
      <c r="E18">
        <f>B18</f>
        <v>8.5534595000000005E-2</v>
      </c>
      <c r="F18" t="s">
        <v>23</v>
      </c>
      <c r="G18">
        <f t="shared" si="0"/>
        <v>19</v>
      </c>
      <c r="H18">
        <f t="shared" si="1"/>
        <v>1</v>
      </c>
    </row>
    <row r="19" spans="1:8" x14ac:dyDescent="0.25">
      <c r="A19">
        <v>33</v>
      </c>
      <c r="B19">
        <v>6.5305524000000004E-2</v>
      </c>
      <c r="C19">
        <v>0.99124586999999997</v>
      </c>
      <c r="D19">
        <f>_xlfn.FLOOR.MATH(A19/10)</f>
        <v>3</v>
      </c>
      <c r="E19">
        <f>B19</f>
        <v>6.5305524000000004E-2</v>
      </c>
      <c r="F19" t="s">
        <v>22</v>
      </c>
      <c r="G19">
        <f t="shared" si="0"/>
        <v>1</v>
      </c>
      <c r="H19">
        <f t="shared" si="1"/>
        <v>5</v>
      </c>
    </row>
    <row r="20" spans="1:8" x14ac:dyDescent="0.25">
      <c r="A20">
        <v>31</v>
      </c>
      <c r="B20">
        <v>5.9558894000000001E-2</v>
      </c>
      <c r="C20">
        <v>0.8888064</v>
      </c>
      <c r="D20">
        <f>_xlfn.FLOOR.MATH(A20/10)</f>
        <v>3</v>
      </c>
      <c r="E20">
        <f>B20</f>
        <v>5.9558894000000001E-2</v>
      </c>
      <c r="F20" t="s">
        <v>20</v>
      </c>
      <c r="G20">
        <f t="shared" si="0"/>
        <v>6</v>
      </c>
      <c r="H20">
        <f t="shared" si="1"/>
        <v>6</v>
      </c>
    </row>
    <row r="21" spans="1:8" x14ac:dyDescent="0.25">
      <c r="A21">
        <v>32</v>
      </c>
      <c r="B21">
        <v>4.3489425999999998E-2</v>
      </c>
      <c r="C21">
        <v>0.78261179000000003</v>
      </c>
      <c r="D21">
        <f>_xlfn.FLOOR.MATH(A21/10)</f>
        <v>3</v>
      </c>
      <c r="E21">
        <f>B21</f>
        <v>4.3489425999999998E-2</v>
      </c>
      <c r="F21" t="s">
        <v>21</v>
      </c>
      <c r="G21">
        <f t="shared" si="0"/>
        <v>14</v>
      </c>
      <c r="H21">
        <f t="shared" si="1"/>
        <v>13</v>
      </c>
    </row>
    <row r="22" spans="1:8" x14ac:dyDescent="0.25">
      <c r="A22">
        <v>41</v>
      </c>
      <c r="B22">
        <v>6.9328867000000002E-2</v>
      </c>
      <c r="C22">
        <v>0.76503348000000004</v>
      </c>
      <c r="D22">
        <f>_xlfn.FLOOR.MATH(A22/10)</f>
        <v>4</v>
      </c>
      <c r="E22">
        <f>B22</f>
        <v>6.9328867000000002E-2</v>
      </c>
      <c r="F22" t="s">
        <v>24</v>
      </c>
      <c r="G22">
        <f t="shared" si="0"/>
        <v>15</v>
      </c>
      <c r="H22">
        <f t="shared" si="1"/>
        <v>3</v>
      </c>
    </row>
    <row r="23" spans="1:8" x14ac:dyDescent="0.25">
      <c r="A23">
        <v>42</v>
      </c>
      <c r="B23">
        <v>5.6063801000000003E-2</v>
      </c>
      <c r="C23">
        <v>0.75056648000000004</v>
      </c>
      <c r="D23">
        <f>_xlfn.FLOOR.MATH(A23/10)</f>
        <v>4</v>
      </c>
      <c r="E23">
        <f>B23</f>
        <v>5.6063801000000003E-2</v>
      </c>
      <c r="F23" t="s">
        <v>25</v>
      </c>
      <c r="G23">
        <f t="shared" si="0"/>
        <v>16</v>
      </c>
      <c r="H23">
        <f t="shared" si="1"/>
        <v>7</v>
      </c>
    </row>
    <row r="24" spans="1:8" x14ac:dyDescent="0.25">
      <c r="A24">
        <v>43</v>
      </c>
      <c r="B24">
        <v>2.7906773999999999E-2</v>
      </c>
      <c r="C24">
        <v>0.22441960999999999</v>
      </c>
      <c r="D24">
        <f>_xlfn.FLOOR.MATH(A24/10)</f>
        <v>4</v>
      </c>
      <c r="E24">
        <f>B24</f>
        <v>2.7906773999999999E-2</v>
      </c>
      <c r="F24" t="s">
        <v>26</v>
      </c>
      <c r="G24">
        <f t="shared" si="0"/>
        <v>27</v>
      </c>
      <c r="H24">
        <f t="shared" si="1"/>
        <v>23</v>
      </c>
    </row>
    <row r="25" spans="1:8" x14ac:dyDescent="0.25">
      <c r="A25">
        <v>51</v>
      </c>
      <c r="B25">
        <v>7.9445726999999994E-2</v>
      </c>
      <c r="C25">
        <v>0.87497932</v>
      </c>
      <c r="D25">
        <f>_xlfn.FLOOR.MATH(A25/10)</f>
        <v>5</v>
      </c>
      <c r="E25">
        <f>B25</f>
        <v>7.9445726999999994E-2</v>
      </c>
      <c r="F25" t="s">
        <v>28</v>
      </c>
      <c r="G25">
        <f t="shared" si="0"/>
        <v>8</v>
      </c>
      <c r="H25">
        <f t="shared" si="1"/>
        <v>2</v>
      </c>
    </row>
    <row r="26" spans="1:8" x14ac:dyDescent="0.25">
      <c r="A26">
        <v>52</v>
      </c>
      <c r="B26">
        <v>6.8600796000000006E-2</v>
      </c>
      <c r="C26">
        <v>0.70854371999999999</v>
      </c>
      <c r="D26">
        <f>_xlfn.FLOOR.MATH(A26/10)</f>
        <v>5</v>
      </c>
      <c r="E26">
        <f>B26</f>
        <v>6.8600796000000006E-2</v>
      </c>
      <c r="F26" t="s">
        <v>29</v>
      </c>
      <c r="G26">
        <f t="shared" si="0"/>
        <v>20</v>
      </c>
      <c r="H26">
        <f t="shared" si="1"/>
        <v>4</v>
      </c>
    </row>
    <row r="27" spans="1:8" x14ac:dyDescent="0.25">
      <c r="A27">
        <v>53</v>
      </c>
      <c r="B27">
        <v>4.5714076999999999E-2</v>
      </c>
      <c r="C27">
        <v>0.90451353999999995</v>
      </c>
      <c r="D27">
        <f>_xlfn.FLOOR.MATH(A27/10)</f>
        <v>5</v>
      </c>
      <c r="E27">
        <f>B27</f>
        <v>4.5714076999999999E-2</v>
      </c>
      <c r="F27" t="s">
        <v>30</v>
      </c>
      <c r="G27">
        <f t="shared" si="0"/>
        <v>5</v>
      </c>
      <c r="H27">
        <f t="shared" si="1"/>
        <v>11</v>
      </c>
    </row>
    <row r="28" spans="1:8" x14ac:dyDescent="0.25">
      <c r="A28">
        <v>50</v>
      </c>
      <c r="B28">
        <v>3.8154966999999998E-2</v>
      </c>
      <c r="C28">
        <v>0.74716150999999997</v>
      </c>
      <c r="D28">
        <f>_xlfn.FLOOR.MATH(A28/10)</f>
        <v>5</v>
      </c>
      <c r="E28">
        <f>B28</f>
        <v>3.8154966999999998E-2</v>
      </c>
      <c r="F28" t="s">
        <v>27</v>
      </c>
      <c r="G28">
        <f t="shared" si="0"/>
        <v>17</v>
      </c>
      <c r="H28">
        <f t="shared" si="1"/>
        <v>17</v>
      </c>
    </row>
  </sheetData>
  <autoFilter ref="A1:F1" xr:uid="{2241106B-B713-41B9-9FB1-D6781909A43D}">
    <sortState xmlns:xlrd2="http://schemas.microsoft.com/office/spreadsheetml/2017/richdata2" ref="A2:F28">
      <sortCondition ref="D2:D28"/>
      <sortCondition descending="1" ref="E2:E28"/>
    </sortState>
  </autoFilter>
  <sortState xmlns:xlrd2="http://schemas.microsoft.com/office/spreadsheetml/2017/richdata2" ref="A2:H28">
    <sortCondition ref="D2:D28"/>
    <sortCondition ref="C2:C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21EA-198A-4DBA-B327-3749B08371B0}">
  <dimension ref="A3:D9"/>
  <sheetViews>
    <sheetView workbookViewId="0">
      <selection activeCell="D3" sqref="D3"/>
    </sheetView>
  </sheetViews>
  <sheetFormatPr defaultRowHeight="15" x14ac:dyDescent="0.25"/>
  <cols>
    <col min="1" max="1" width="29.28515625" bestFit="1" customWidth="1"/>
    <col min="2" max="2" width="28.7109375" bestFit="1" customWidth="1"/>
    <col min="3" max="3" width="26.85546875" bestFit="1" customWidth="1"/>
    <col min="4" max="4" width="27.28515625" bestFit="1" customWidth="1"/>
  </cols>
  <sheetData>
    <row r="3" spans="1:4" x14ac:dyDescent="0.25">
      <c r="A3" t="s">
        <v>31</v>
      </c>
      <c r="B3" t="s">
        <v>32</v>
      </c>
      <c r="C3" t="s">
        <v>40</v>
      </c>
      <c r="D3" t="s">
        <v>41</v>
      </c>
    </row>
    <row r="4" spans="1:4" x14ac:dyDescent="0.25">
      <c r="A4">
        <v>0.75602212481481501</v>
      </c>
      <c r="B4">
        <v>0.17774694208180264</v>
      </c>
      <c r="C4">
        <v>0.45313492703703706</v>
      </c>
      <c r="D4">
        <v>0.16866713256833671</v>
      </c>
    </row>
    <row r="6" spans="1:4" x14ac:dyDescent="0.25">
      <c r="D6">
        <f>GETPIVOTDATA("Average of Autocorrelation (ρₛ)",$A$3)+GETPIVOTDATA("StdDev of Autocorrelation (ρₛ)",$A$3)</f>
        <v>0.93376906689661765</v>
      </c>
    </row>
    <row r="7" spans="1:4" x14ac:dyDescent="0.25">
      <c r="D7">
        <f>GETPIVOTDATA("Average of Autocorrelation (ρₛ)",$A$3)-GETPIVOTDATA("StdDev of Autocorrelation (ρₛ)",$A$3)</f>
        <v>0.57827518273301237</v>
      </c>
    </row>
    <row r="8" spans="1:4" x14ac:dyDescent="0.25">
      <c r="D8">
        <v>0.7272049208739878</v>
      </c>
    </row>
    <row r="9" spans="1:4" x14ac:dyDescent="0.25">
      <c r="D9">
        <v>0.14820964134686337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FGLS_stats_with_error</vt:lpstr>
      <vt:lpstr>Sheet1</vt:lpstr>
      <vt:lpstr>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Prolo</cp:lastModifiedBy>
  <cp:lastPrinted>2026-03-27T14:10:33Z</cp:lastPrinted>
  <dcterms:created xsi:type="dcterms:W3CDTF">2024-09-24T16:26:10Z</dcterms:created>
  <dcterms:modified xsi:type="dcterms:W3CDTF">2026-03-27T14:10:46Z</dcterms:modified>
</cp:coreProperties>
</file>