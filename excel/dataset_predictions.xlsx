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tese\"/>
    </mc:Choice>
  </mc:AlternateContent>
  <xr:revisionPtr revIDLastSave="0" documentId="13_ncr:1_{B4280E8B-DDFA-4106-9E2D-266BC500AB40}" xr6:coauthVersionLast="47" xr6:coauthVersionMax="47" xr10:uidLastSave="{00000000-0000-0000-0000-000000000000}"/>
  <bookViews>
    <workbookView xWindow="-120" yWindow="-120" windowWidth="29040" windowHeight="15720" tabRatio="763" activeTab="2" xr2:uid="{00000000-000D-0000-FFFF-FFFF00000000}"/>
  </bookViews>
  <sheets>
    <sheet name="semi-elasticities" sheetId="39" r:id="rId1"/>
    <sheet name="state-ids" sheetId="48" r:id="rId2"/>
    <sheet name="dataset" sheetId="40" r:id="rId3"/>
    <sheet name="State preds" sheetId="50" r:id="rId4"/>
    <sheet name="Chart - Line state preds" sheetId="51" r:id="rId5"/>
    <sheet name="Pivot - real values" sheetId="41" r:id="rId6"/>
    <sheet name="Chart - Line prices" sheetId="43" r:id="rId7"/>
    <sheet name="Chart - Line GDP" sheetId="44" r:id="rId8"/>
    <sheet name="Chart - Line Motorization" sheetId="45" r:id="rId9"/>
    <sheet name="CV" sheetId="32" r:id="rId10"/>
    <sheet name="Chart - CVt" sheetId="33" r:id="rId11"/>
    <sheet name="Chart - CVs" sheetId="34" r:id="rId12"/>
    <sheet name="Chart - Prediction scatter" sheetId="37" r:id="rId13"/>
  </sheets>
  <definedNames>
    <definedName name="_xlnm._FilterDatabase" localSheetId="9" hidden="1">CV!$E$30:$K$30</definedName>
    <definedName name="_xlnm._FilterDatabase" localSheetId="1" hidden="1">'state-ids'!$A$1:$G$28</definedName>
  </definedNames>
  <calcPr calcId="191029"/>
  <pivotCaches>
    <pivotCache cacheId="0" r:id="rId14"/>
    <pivotCache cacheId="1" r:id="rId15"/>
    <pivotCache cacheId="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40" l="1"/>
  <c r="AI4" i="40"/>
  <c r="AI5" i="40"/>
  <c r="AI6" i="40"/>
  <c r="AI7" i="40"/>
  <c r="AI8" i="40"/>
  <c r="AI9" i="40"/>
  <c r="AI10" i="40"/>
  <c r="AI11" i="40"/>
  <c r="AI12" i="40"/>
  <c r="AI13" i="40"/>
  <c r="AI14" i="40"/>
  <c r="AI15" i="40"/>
  <c r="AI16" i="40"/>
  <c r="AI17" i="40"/>
  <c r="AI18" i="40"/>
  <c r="AI19" i="40"/>
  <c r="AI20" i="40"/>
  <c r="AI21" i="40"/>
  <c r="AI22" i="40"/>
  <c r="AI23" i="40"/>
  <c r="AI24" i="40"/>
  <c r="AI25" i="40"/>
  <c r="AI26" i="40"/>
  <c r="AI27" i="40"/>
  <c r="AI28" i="40"/>
  <c r="AI29" i="40"/>
  <c r="AI30" i="40"/>
  <c r="AI31" i="40"/>
  <c r="AI32" i="40"/>
  <c r="AI33" i="40"/>
  <c r="AI34" i="40"/>
  <c r="AI35" i="40"/>
  <c r="AI36" i="40"/>
  <c r="AI37" i="40"/>
  <c r="AI38" i="40"/>
  <c r="AI39" i="40"/>
  <c r="AI40" i="40"/>
  <c r="AI41" i="40"/>
  <c r="AI42" i="40"/>
  <c r="AI43" i="40"/>
  <c r="AI44" i="40"/>
  <c r="AI45" i="40"/>
  <c r="AI46" i="40"/>
  <c r="AI47" i="40"/>
  <c r="AI48" i="40"/>
  <c r="AI49" i="40"/>
  <c r="AI50" i="40"/>
  <c r="AI51" i="40"/>
  <c r="AI52" i="40"/>
  <c r="AI53" i="40"/>
  <c r="AI54" i="40"/>
  <c r="AI55" i="40"/>
  <c r="AI56" i="40"/>
  <c r="AI57" i="40"/>
  <c r="AI58" i="40"/>
  <c r="AI59" i="40"/>
  <c r="AI60" i="40"/>
  <c r="AI61" i="40"/>
  <c r="AI62" i="40"/>
  <c r="AI63" i="40"/>
  <c r="AI64" i="40"/>
  <c r="AI65" i="40"/>
  <c r="AI66" i="40"/>
  <c r="AI67" i="40"/>
  <c r="AI68" i="40"/>
  <c r="AI69" i="40"/>
  <c r="AI70" i="40"/>
  <c r="AI71" i="40"/>
  <c r="AI72" i="40"/>
  <c r="AI73" i="40"/>
  <c r="AI74" i="40"/>
  <c r="AI75" i="40"/>
  <c r="AI76" i="40"/>
  <c r="AI77" i="40"/>
  <c r="AI78" i="40"/>
  <c r="AI79" i="40"/>
  <c r="AI80" i="40"/>
  <c r="AI81" i="40"/>
  <c r="AI82" i="40"/>
  <c r="AI83" i="40"/>
  <c r="AI84" i="40"/>
  <c r="AI85" i="40"/>
  <c r="AI86" i="40"/>
  <c r="AI87" i="40"/>
  <c r="AI88" i="40"/>
  <c r="AI89" i="40"/>
  <c r="AI90" i="40"/>
  <c r="AI91" i="40"/>
  <c r="AI92" i="40"/>
  <c r="AI93" i="40"/>
  <c r="AI94" i="40"/>
  <c r="AI95" i="40"/>
  <c r="AI96" i="40"/>
  <c r="AI97" i="40"/>
  <c r="AI98" i="40"/>
  <c r="AI99" i="40"/>
  <c r="AI100" i="40"/>
  <c r="AI101" i="40"/>
  <c r="AI102" i="40"/>
  <c r="AI103" i="40"/>
  <c r="AI104" i="40"/>
  <c r="AI105" i="40"/>
  <c r="AI106" i="40"/>
  <c r="AI107" i="40"/>
  <c r="AI108" i="40"/>
  <c r="AI109" i="40"/>
  <c r="AI110" i="40"/>
  <c r="AI111" i="40"/>
  <c r="AI112" i="40"/>
  <c r="AI113" i="40"/>
  <c r="AI114" i="40"/>
  <c r="AI115" i="40"/>
  <c r="AI116" i="40"/>
  <c r="AI117" i="40"/>
  <c r="AI118" i="40"/>
  <c r="AI119" i="40"/>
  <c r="AI120" i="40"/>
  <c r="AI121" i="40"/>
  <c r="AI122" i="40"/>
  <c r="AI123" i="40"/>
  <c r="AI124" i="40"/>
  <c r="AI125" i="40"/>
  <c r="AI126" i="40"/>
  <c r="AI127" i="40"/>
  <c r="AI128" i="40"/>
  <c r="AI129" i="40"/>
  <c r="AI130" i="40"/>
  <c r="AI131" i="40"/>
  <c r="AI132" i="40"/>
  <c r="AI133" i="40"/>
  <c r="AI134" i="40"/>
  <c r="AI135" i="40"/>
  <c r="AI136" i="40"/>
  <c r="AI137" i="40"/>
  <c r="AI138" i="40"/>
  <c r="AI139" i="40"/>
  <c r="AI140" i="40"/>
  <c r="AI141" i="40"/>
  <c r="AI142" i="40"/>
  <c r="AI143" i="40"/>
  <c r="AI144" i="40"/>
  <c r="AI145" i="40"/>
  <c r="AI146" i="40"/>
  <c r="AI147" i="40"/>
  <c r="AI148" i="40"/>
  <c r="AI149" i="40"/>
  <c r="AI150" i="40"/>
  <c r="AI151" i="40"/>
  <c r="AI152" i="40"/>
  <c r="AI153" i="40"/>
  <c r="AI154" i="40"/>
  <c r="AI155" i="40"/>
  <c r="AI156" i="40"/>
  <c r="AI157" i="40"/>
  <c r="AI158" i="40"/>
  <c r="AI159" i="40"/>
  <c r="AI160" i="40"/>
  <c r="AI161" i="40"/>
  <c r="AI162" i="40"/>
  <c r="AI163" i="40"/>
  <c r="AI164" i="40"/>
  <c r="AI165" i="40"/>
  <c r="AI166" i="40"/>
  <c r="AI167" i="40"/>
  <c r="AI168" i="40"/>
  <c r="AI169" i="40"/>
  <c r="AI170" i="40"/>
  <c r="AI171" i="40"/>
  <c r="AI172" i="40"/>
  <c r="AI173" i="40"/>
  <c r="AI174" i="40"/>
  <c r="AI175" i="40"/>
  <c r="AI176" i="40"/>
  <c r="AI177" i="40"/>
  <c r="AI178" i="40"/>
  <c r="AI179" i="40"/>
  <c r="AI180" i="40"/>
  <c r="AI181" i="40"/>
  <c r="AI182" i="40"/>
  <c r="AI183" i="40"/>
  <c r="AI184" i="40"/>
  <c r="AI185" i="40"/>
  <c r="AI186" i="40"/>
  <c r="AI187" i="40"/>
  <c r="AI188" i="40"/>
  <c r="AI189" i="40"/>
  <c r="AI190" i="40"/>
  <c r="AI191" i="40"/>
  <c r="AI192" i="40"/>
  <c r="AI193" i="40"/>
  <c r="AI194" i="40"/>
  <c r="AI195" i="40"/>
  <c r="AI196" i="40"/>
  <c r="AI197" i="40"/>
  <c r="AI198" i="40"/>
  <c r="AI199" i="40"/>
  <c r="AI200" i="40"/>
  <c r="AI201" i="40"/>
  <c r="AI202" i="40"/>
  <c r="AI203" i="40"/>
  <c r="AI204" i="40"/>
  <c r="AI205" i="40"/>
  <c r="AI206" i="40"/>
  <c r="AI207" i="40"/>
  <c r="AI208" i="40"/>
  <c r="AI209" i="40"/>
  <c r="AI210" i="40"/>
  <c r="AI211" i="40"/>
  <c r="AI212" i="40"/>
  <c r="AI213" i="40"/>
  <c r="AI214" i="40"/>
  <c r="AI215" i="40"/>
  <c r="AI216" i="40"/>
  <c r="AI217" i="40"/>
  <c r="AI218" i="40"/>
  <c r="AI219" i="40"/>
  <c r="AI220" i="40"/>
  <c r="AI221" i="40"/>
  <c r="AI222" i="40"/>
  <c r="AI223" i="40"/>
  <c r="AI224" i="40"/>
  <c r="AI225" i="40"/>
  <c r="AI226" i="40"/>
  <c r="AI227" i="40"/>
  <c r="AI228" i="40"/>
  <c r="AI229" i="40"/>
  <c r="AI230" i="40"/>
  <c r="AI231" i="40"/>
  <c r="AI232" i="40"/>
  <c r="AI233" i="40"/>
  <c r="AI234" i="40"/>
  <c r="AI235" i="40"/>
  <c r="AI236" i="40"/>
  <c r="AI237" i="40"/>
  <c r="AI238" i="40"/>
  <c r="AI239" i="40"/>
  <c r="AI240" i="40"/>
  <c r="AI241" i="40"/>
  <c r="AI242" i="40"/>
  <c r="AI243" i="40"/>
  <c r="AI244" i="40"/>
  <c r="AI245" i="40"/>
  <c r="AI246" i="40"/>
  <c r="AI247" i="40"/>
  <c r="AI248" i="40"/>
  <c r="AI249" i="40"/>
  <c r="AI250" i="40"/>
  <c r="AI251" i="40"/>
  <c r="AI252" i="40"/>
  <c r="AI253" i="40"/>
  <c r="AI254" i="40"/>
  <c r="AI255" i="40"/>
  <c r="AI256" i="40"/>
  <c r="AI257" i="40"/>
  <c r="AI258" i="40"/>
  <c r="AI259" i="40"/>
  <c r="AI260" i="40"/>
  <c r="AI261" i="40"/>
  <c r="AI262" i="40"/>
  <c r="AI263" i="40"/>
  <c r="AI264" i="40"/>
  <c r="AI265" i="40"/>
  <c r="AI266" i="40"/>
  <c r="AI267" i="40"/>
  <c r="AI268" i="40"/>
  <c r="AI269" i="40"/>
  <c r="AI270" i="40"/>
  <c r="AI271" i="40"/>
  <c r="AI272" i="40"/>
  <c r="AI273" i="40"/>
  <c r="AI274" i="40"/>
  <c r="AI275" i="40"/>
  <c r="AI276" i="40"/>
  <c r="AI277" i="40"/>
  <c r="AI278" i="40"/>
  <c r="AI279" i="40"/>
  <c r="AI280" i="40"/>
  <c r="AI281" i="40"/>
  <c r="AI282" i="40"/>
  <c r="AI283" i="40"/>
  <c r="AI284" i="40"/>
  <c r="AI285" i="40"/>
  <c r="AI286" i="40"/>
  <c r="AI287" i="40"/>
  <c r="AI288" i="40"/>
  <c r="AI289" i="40"/>
  <c r="AI290" i="40"/>
  <c r="AI291" i="40"/>
  <c r="AI292" i="40"/>
  <c r="AI293" i="40"/>
  <c r="AI294" i="40"/>
  <c r="AI295" i="40"/>
  <c r="AI296" i="40"/>
  <c r="AI297" i="40"/>
  <c r="AI298" i="40"/>
  <c r="AI299" i="40"/>
  <c r="AI300" i="40"/>
  <c r="AI301" i="40"/>
  <c r="AI302" i="40"/>
  <c r="AI303" i="40"/>
  <c r="AI304" i="40"/>
  <c r="AI305" i="40"/>
  <c r="AI306" i="40"/>
  <c r="AI307" i="40"/>
  <c r="AI308" i="40"/>
  <c r="AI309" i="40"/>
  <c r="AI310" i="40"/>
  <c r="AI311" i="40"/>
  <c r="AI312" i="40"/>
  <c r="AI313" i="40"/>
  <c r="AI314" i="40"/>
  <c r="AI315" i="40"/>
  <c r="AI316" i="40"/>
  <c r="AI317" i="40"/>
  <c r="AI318" i="40"/>
  <c r="AI319" i="40"/>
  <c r="AI320" i="40"/>
  <c r="AI321" i="40"/>
  <c r="AI322" i="40"/>
  <c r="AI323" i="40"/>
  <c r="AI324" i="40"/>
  <c r="AI325" i="40"/>
  <c r="AI326" i="40"/>
  <c r="AI327" i="40"/>
  <c r="AI328" i="40"/>
  <c r="AI329" i="40"/>
  <c r="AI330" i="40"/>
  <c r="AI331" i="40"/>
  <c r="AI332" i="40"/>
  <c r="AI333" i="40"/>
  <c r="AI334" i="40"/>
  <c r="AI335" i="40"/>
  <c r="AI336" i="40"/>
  <c r="AI337" i="40"/>
  <c r="AI338" i="40"/>
  <c r="AI339" i="40"/>
  <c r="AI340" i="40"/>
  <c r="AI341" i="40"/>
  <c r="AI342" i="40"/>
  <c r="AI343" i="40"/>
  <c r="AI344" i="40"/>
  <c r="AI345" i="40"/>
  <c r="AI346" i="40"/>
  <c r="AI347" i="40"/>
  <c r="AI348" i="40"/>
  <c r="AI349" i="40"/>
  <c r="AI350" i="40"/>
  <c r="AI351" i="40"/>
  <c r="AI352" i="40"/>
  <c r="AI353" i="40"/>
  <c r="AI354" i="40"/>
  <c r="AI355" i="40"/>
  <c r="AI356" i="40"/>
  <c r="AI357" i="40"/>
  <c r="AI358" i="40"/>
  <c r="AI359" i="40"/>
  <c r="AI360" i="40"/>
  <c r="AI361" i="40"/>
  <c r="AI362" i="40"/>
  <c r="AI363" i="40"/>
  <c r="AI364" i="40"/>
  <c r="AI365" i="40"/>
  <c r="AI366" i="40"/>
  <c r="AI367" i="40"/>
  <c r="AI368" i="40"/>
  <c r="AI369" i="40"/>
  <c r="AI370" i="40"/>
  <c r="AI371" i="40"/>
  <c r="AI372" i="40"/>
  <c r="AI373" i="40"/>
  <c r="AI374" i="40"/>
  <c r="AI375" i="40"/>
  <c r="AI376" i="40"/>
  <c r="AI377" i="40"/>
  <c r="AI378" i="40"/>
  <c r="AI379" i="40"/>
  <c r="AI380" i="40"/>
  <c r="AI381" i="40"/>
  <c r="AI382" i="40"/>
  <c r="AI383" i="40"/>
  <c r="AI384" i="40"/>
  <c r="AI385" i="40"/>
  <c r="AI386" i="40"/>
  <c r="AI387" i="40"/>
  <c r="AI388" i="40"/>
  <c r="AI389" i="40"/>
  <c r="AI390" i="40"/>
  <c r="AI391" i="40"/>
  <c r="AI392" i="40"/>
  <c r="AI393" i="40"/>
  <c r="AI394" i="40"/>
  <c r="AI395" i="40"/>
  <c r="AI396" i="40"/>
  <c r="AI397" i="40"/>
  <c r="AI398" i="40"/>
  <c r="AI399" i="40"/>
  <c r="AI400" i="40"/>
  <c r="AI401" i="40"/>
  <c r="AI402" i="40"/>
  <c r="AI403" i="40"/>
  <c r="AI404" i="40"/>
  <c r="AI405" i="40"/>
  <c r="AI406" i="40"/>
  <c r="AI407" i="40"/>
  <c r="AI408" i="40"/>
  <c r="AI409" i="40"/>
  <c r="AI410" i="40"/>
  <c r="AI411" i="40"/>
  <c r="AI412" i="40"/>
  <c r="AI413" i="40"/>
  <c r="AI414" i="40"/>
  <c r="AI415" i="40"/>
  <c r="AI416" i="40"/>
  <c r="AI417" i="40"/>
  <c r="AI418" i="40"/>
  <c r="AI419" i="40"/>
  <c r="AI420" i="40"/>
  <c r="AI421" i="40"/>
  <c r="AI422" i="40"/>
  <c r="AI423" i="40"/>
  <c r="AI424" i="40"/>
  <c r="AI425" i="40"/>
  <c r="AI426" i="40"/>
  <c r="AI427" i="40"/>
  <c r="AI428" i="40"/>
  <c r="AI429" i="40"/>
  <c r="AI430" i="40"/>
  <c r="AI431" i="40"/>
  <c r="AI432" i="40"/>
  <c r="AI433" i="40"/>
  <c r="AI434" i="40"/>
  <c r="AI435" i="40"/>
  <c r="AI436" i="40"/>
  <c r="AI437" i="40"/>
  <c r="AI438" i="40"/>
  <c r="AI439" i="40"/>
  <c r="AI440" i="40"/>
  <c r="AI441" i="40"/>
  <c r="AI442" i="40"/>
  <c r="AI443" i="40"/>
  <c r="AI444" i="40"/>
  <c r="AI445" i="40"/>
  <c r="AI446" i="40"/>
  <c r="AI447" i="40"/>
  <c r="AI448" i="40"/>
  <c r="AI449" i="40"/>
  <c r="AI450" i="40"/>
  <c r="AI451" i="40"/>
  <c r="AI452" i="40"/>
  <c r="AI453" i="40"/>
  <c r="AI454" i="40"/>
  <c r="AI455" i="40"/>
  <c r="AI456" i="40"/>
  <c r="AI457" i="40"/>
  <c r="AI458" i="40"/>
  <c r="AI459" i="40"/>
  <c r="AI460" i="40"/>
  <c r="AI461" i="40"/>
  <c r="AI462" i="40"/>
  <c r="AI463" i="40"/>
  <c r="AI464" i="40"/>
  <c r="AI465" i="40"/>
  <c r="AI466" i="40"/>
  <c r="AI467" i="40"/>
  <c r="AI468" i="40"/>
  <c r="AI469" i="40"/>
  <c r="AI470" i="40"/>
  <c r="AI471" i="40"/>
  <c r="AI472" i="40"/>
  <c r="AI473" i="40"/>
  <c r="AI474" i="40"/>
  <c r="AI475" i="40"/>
  <c r="AI476" i="40"/>
  <c r="AI477" i="40"/>
  <c r="AI478" i="40"/>
  <c r="AI479" i="40"/>
  <c r="AI480" i="40"/>
  <c r="AI481" i="40"/>
  <c r="AI482" i="40"/>
  <c r="AI483" i="40"/>
  <c r="AI484" i="40"/>
  <c r="AI485" i="40"/>
  <c r="AI486" i="40"/>
  <c r="AI487" i="40"/>
  <c r="AI2" i="40"/>
  <c r="AG2" i="40"/>
  <c r="AH2" i="40"/>
  <c r="AG3" i="40"/>
  <c r="AH3" i="40"/>
  <c r="AG4" i="40"/>
  <c r="AH4" i="40"/>
  <c r="AG5" i="40"/>
  <c r="AH5" i="40"/>
  <c r="AG6" i="40"/>
  <c r="AH6" i="40"/>
  <c r="AG7" i="40"/>
  <c r="AH7" i="40"/>
  <c r="AG8" i="40"/>
  <c r="AH8" i="40"/>
  <c r="AG9" i="40"/>
  <c r="AH9" i="40"/>
  <c r="AG10" i="40"/>
  <c r="AH10" i="40"/>
  <c r="AG11" i="40"/>
  <c r="AH11" i="40"/>
  <c r="AG12" i="40"/>
  <c r="AH12" i="40"/>
  <c r="AG13" i="40"/>
  <c r="AH13" i="40"/>
  <c r="AG14" i="40"/>
  <c r="AH14" i="40"/>
  <c r="AG15" i="40"/>
  <c r="AH15" i="40"/>
  <c r="AG16" i="40"/>
  <c r="AH16" i="40"/>
  <c r="AG17" i="40"/>
  <c r="AH17" i="40"/>
  <c r="AG18" i="40"/>
  <c r="AH18" i="40"/>
  <c r="AG19" i="40"/>
  <c r="AH19" i="40"/>
  <c r="AG20" i="40"/>
  <c r="AH20" i="40"/>
  <c r="AG21" i="40"/>
  <c r="AH21" i="40"/>
  <c r="AG22" i="40"/>
  <c r="AH22" i="40"/>
  <c r="AG23" i="40"/>
  <c r="AH23" i="40"/>
  <c r="AG24" i="40"/>
  <c r="AH24" i="40"/>
  <c r="AG25" i="40"/>
  <c r="AH25" i="40"/>
  <c r="AG26" i="40"/>
  <c r="AH26" i="40"/>
  <c r="AG27" i="40"/>
  <c r="AH27" i="40"/>
  <c r="AG28" i="40"/>
  <c r="AH28" i="40"/>
  <c r="AG29" i="40"/>
  <c r="AH29" i="40"/>
  <c r="AG30" i="40"/>
  <c r="AH30" i="40"/>
  <c r="AG31" i="40"/>
  <c r="AH31" i="40"/>
  <c r="AG32" i="40"/>
  <c r="AH32" i="40"/>
  <c r="AG33" i="40"/>
  <c r="AH33" i="40"/>
  <c r="AG34" i="40"/>
  <c r="AH34" i="40"/>
  <c r="AG35" i="40"/>
  <c r="AH35" i="40"/>
  <c r="AG36" i="40"/>
  <c r="AH36" i="40"/>
  <c r="AG37" i="40"/>
  <c r="AH37" i="40"/>
  <c r="AG38" i="40"/>
  <c r="AH38" i="40"/>
  <c r="AG39" i="40"/>
  <c r="AH39" i="40"/>
  <c r="AG40" i="40"/>
  <c r="AH40" i="40"/>
  <c r="AG41" i="40"/>
  <c r="AH41" i="40"/>
  <c r="AG42" i="40"/>
  <c r="AH42" i="40"/>
  <c r="AG43" i="40"/>
  <c r="AH43" i="40"/>
  <c r="AG44" i="40"/>
  <c r="AH44" i="40"/>
  <c r="AG45" i="40"/>
  <c r="AH45" i="40"/>
  <c r="AG46" i="40"/>
  <c r="AH46" i="40"/>
  <c r="AG47" i="40"/>
  <c r="AH47" i="40"/>
  <c r="AG48" i="40"/>
  <c r="AH48" i="40"/>
  <c r="AG49" i="40"/>
  <c r="AH49" i="40"/>
  <c r="AG50" i="40"/>
  <c r="AH50" i="40"/>
  <c r="AG51" i="40"/>
  <c r="AH51" i="40"/>
  <c r="AG52" i="40"/>
  <c r="AH52" i="40"/>
  <c r="AG53" i="40"/>
  <c r="AH53" i="40"/>
  <c r="AG54" i="40"/>
  <c r="AH54" i="40"/>
  <c r="AG55" i="40"/>
  <c r="AH55" i="40"/>
  <c r="AG56" i="40"/>
  <c r="AH56" i="40"/>
  <c r="AG57" i="40"/>
  <c r="AH57" i="40"/>
  <c r="AG58" i="40"/>
  <c r="AH58" i="40"/>
  <c r="AG59" i="40"/>
  <c r="AH59" i="40"/>
  <c r="AG60" i="40"/>
  <c r="AH60" i="40"/>
  <c r="AG61" i="40"/>
  <c r="AH61" i="40"/>
  <c r="AG62" i="40"/>
  <c r="AH62" i="40"/>
  <c r="AG63" i="40"/>
  <c r="AH63" i="40"/>
  <c r="AG64" i="40"/>
  <c r="AH64" i="40"/>
  <c r="AG65" i="40"/>
  <c r="AH65" i="40"/>
  <c r="AG66" i="40"/>
  <c r="AH66" i="40"/>
  <c r="AG67" i="40"/>
  <c r="AH67" i="40"/>
  <c r="AG68" i="40"/>
  <c r="AH68" i="40"/>
  <c r="AG69" i="40"/>
  <c r="AH69" i="40"/>
  <c r="AG70" i="40"/>
  <c r="AH70" i="40"/>
  <c r="AG71" i="40"/>
  <c r="AH71" i="40"/>
  <c r="AG72" i="40"/>
  <c r="AH72" i="40"/>
  <c r="AG73" i="40"/>
  <c r="AH73" i="40"/>
  <c r="AG74" i="40"/>
  <c r="AH74" i="40"/>
  <c r="AG75" i="40"/>
  <c r="AH75" i="40"/>
  <c r="AG76" i="40"/>
  <c r="AH76" i="40"/>
  <c r="AG77" i="40"/>
  <c r="AH77" i="40"/>
  <c r="AG78" i="40"/>
  <c r="AH78" i="40"/>
  <c r="AG79" i="40"/>
  <c r="AH79" i="40"/>
  <c r="AG80" i="40"/>
  <c r="AH80" i="40"/>
  <c r="AG81" i="40"/>
  <c r="AH81" i="40"/>
  <c r="AG82" i="40"/>
  <c r="AH82" i="40"/>
  <c r="AG83" i="40"/>
  <c r="AH83" i="40"/>
  <c r="AG84" i="40"/>
  <c r="AH84" i="40"/>
  <c r="AG85" i="40"/>
  <c r="AH85" i="40"/>
  <c r="AG86" i="40"/>
  <c r="AH86" i="40"/>
  <c r="AG87" i="40"/>
  <c r="AH87" i="40"/>
  <c r="AG88" i="40"/>
  <c r="AH88" i="40"/>
  <c r="AG89" i="40"/>
  <c r="AH89" i="40"/>
  <c r="AG90" i="40"/>
  <c r="AH90" i="40"/>
  <c r="AG91" i="40"/>
  <c r="AH91" i="40"/>
  <c r="AG92" i="40"/>
  <c r="AH92" i="40"/>
  <c r="AG93" i="40"/>
  <c r="AH93" i="40"/>
  <c r="AG94" i="40"/>
  <c r="AH94" i="40"/>
  <c r="AG95" i="40"/>
  <c r="AH95" i="40"/>
  <c r="AG96" i="40"/>
  <c r="AH96" i="40"/>
  <c r="AG97" i="40"/>
  <c r="AH97" i="40"/>
  <c r="AG98" i="40"/>
  <c r="AH98" i="40"/>
  <c r="AG99" i="40"/>
  <c r="AH99" i="40"/>
  <c r="AG100" i="40"/>
  <c r="AH100" i="40"/>
  <c r="AG101" i="40"/>
  <c r="AH101" i="40"/>
  <c r="AG102" i="40"/>
  <c r="AH102" i="40"/>
  <c r="AG103" i="40"/>
  <c r="AH103" i="40"/>
  <c r="AG104" i="40"/>
  <c r="AH104" i="40"/>
  <c r="AG105" i="40"/>
  <c r="AH105" i="40"/>
  <c r="AG106" i="40"/>
  <c r="AH106" i="40"/>
  <c r="AG107" i="40"/>
  <c r="AH107" i="40"/>
  <c r="AG108" i="40"/>
  <c r="AH108" i="40"/>
  <c r="AG109" i="40"/>
  <c r="AH109" i="40"/>
  <c r="AG110" i="40"/>
  <c r="AH110" i="40"/>
  <c r="AG111" i="40"/>
  <c r="AH111" i="40"/>
  <c r="AG112" i="40"/>
  <c r="AH112" i="40"/>
  <c r="AG113" i="40"/>
  <c r="AH113" i="40"/>
  <c r="AG114" i="40"/>
  <c r="AH114" i="40"/>
  <c r="AG115" i="40"/>
  <c r="AH115" i="40"/>
  <c r="AG116" i="40"/>
  <c r="AH116" i="40"/>
  <c r="AG117" i="40"/>
  <c r="AH117" i="40"/>
  <c r="AG118" i="40"/>
  <c r="AH118" i="40"/>
  <c r="AG119" i="40"/>
  <c r="AH119" i="40"/>
  <c r="AG120" i="40"/>
  <c r="AH120" i="40"/>
  <c r="AG121" i="40"/>
  <c r="AH121" i="40"/>
  <c r="AG122" i="40"/>
  <c r="AH122" i="40"/>
  <c r="AG123" i="40"/>
  <c r="AH123" i="40"/>
  <c r="AG124" i="40"/>
  <c r="AH124" i="40"/>
  <c r="AG125" i="40"/>
  <c r="AH125" i="40"/>
  <c r="AG126" i="40"/>
  <c r="AH126" i="40"/>
  <c r="AG127" i="40"/>
  <c r="AH127" i="40"/>
  <c r="AG128" i="40"/>
  <c r="AH128" i="40"/>
  <c r="AG129" i="40"/>
  <c r="AH129" i="40"/>
  <c r="AG130" i="40"/>
  <c r="AH130" i="40"/>
  <c r="AG131" i="40"/>
  <c r="AH131" i="40"/>
  <c r="AG132" i="40"/>
  <c r="AH132" i="40"/>
  <c r="AG133" i="40"/>
  <c r="AH133" i="40"/>
  <c r="AG134" i="40"/>
  <c r="AH134" i="40"/>
  <c r="AG135" i="40"/>
  <c r="AH135" i="40"/>
  <c r="AG136" i="40"/>
  <c r="AH136" i="40"/>
  <c r="AG137" i="40"/>
  <c r="AH137" i="40"/>
  <c r="AG138" i="40"/>
  <c r="AH138" i="40"/>
  <c r="AG139" i="40"/>
  <c r="AH139" i="40"/>
  <c r="AG140" i="40"/>
  <c r="AH140" i="40"/>
  <c r="AG141" i="40"/>
  <c r="AH141" i="40"/>
  <c r="AG142" i="40"/>
  <c r="AH142" i="40"/>
  <c r="AG143" i="40"/>
  <c r="AH143" i="40"/>
  <c r="AG144" i="40"/>
  <c r="AH144" i="40"/>
  <c r="AG145" i="40"/>
  <c r="AH145" i="40"/>
  <c r="AG146" i="40"/>
  <c r="AH146" i="40"/>
  <c r="AG147" i="40"/>
  <c r="AH147" i="40"/>
  <c r="AG148" i="40"/>
  <c r="AH148" i="40"/>
  <c r="AG149" i="40"/>
  <c r="AH149" i="40"/>
  <c r="AG150" i="40"/>
  <c r="AH150" i="40"/>
  <c r="AG151" i="40"/>
  <c r="AH151" i="40"/>
  <c r="AG152" i="40"/>
  <c r="AH152" i="40"/>
  <c r="AG153" i="40"/>
  <c r="AH153" i="40"/>
  <c r="AG154" i="40"/>
  <c r="AH154" i="40"/>
  <c r="AG155" i="40"/>
  <c r="AH155" i="40"/>
  <c r="AG156" i="40"/>
  <c r="AH156" i="40"/>
  <c r="AG157" i="40"/>
  <c r="AH157" i="40"/>
  <c r="AG158" i="40"/>
  <c r="AH158" i="40"/>
  <c r="AG159" i="40"/>
  <c r="AH159" i="40"/>
  <c r="AG160" i="40"/>
  <c r="AH160" i="40"/>
  <c r="AG161" i="40"/>
  <c r="AH161" i="40"/>
  <c r="AG162" i="40"/>
  <c r="AH162" i="40"/>
  <c r="AG163" i="40"/>
  <c r="AH163" i="40"/>
  <c r="AG164" i="40"/>
  <c r="AH164" i="40"/>
  <c r="AG165" i="40"/>
  <c r="AH165" i="40"/>
  <c r="AG166" i="40"/>
  <c r="AH166" i="40"/>
  <c r="AG167" i="40"/>
  <c r="AH167" i="40"/>
  <c r="AG168" i="40"/>
  <c r="AH168" i="40"/>
  <c r="AG169" i="40"/>
  <c r="AH169" i="40"/>
  <c r="AG170" i="40"/>
  <c r="AH170" i="40"/>
  <c r="AG171" i="40"/>
  <c r="AH171" i="40"/>
  <c r="AG172" i="40"/>
  <c r="AH172" i="40"/>
  <c r="AG173" i="40"/>
  <c r="AH173" i="40"/>
  <c r="AG174" i="40"/>
  <c r="AH174" i="40"/>
  <c r="AG175" i="40"/>
  <c r="AH175" i="40"/>
  <c r="AG176" i="40"/>
  <c r="AH176" i="40"/>
  <c r="AG177" i="40"/>
  <c r="AH177" i="40"/>
  <c r="AG178" i="40"/>
  <c r="AH178" i="40"/>
  <c r="AG179" i="40"/>
  <c r="AH179" i="40"/>
  <c r="AG180" i="40"/>
  <c r="AH180" i="40"/>
  <c r="AG181" i="40"/>
  <c r="AH181" i="40"/>
  <c r="AG182" i="40"/>
  <c r="AH182" i="40"/>
  <c r="AG183" i="40"/>
  <c r="AH183" i="40"/>
  <c r="AG184" i="40"/>
  <c r="AH184" i="40"/>
  <c r="AG185" i="40"/>
  <c r="AH185" i="40"/>
  <c r="AG186" i="40"/>
  <c r="AH186" i="40"/>
  <c r="AG187" i="40"/>
  <c r="AH187" i="40"/>
  <c r="AG188" i="40"/>
  <c r="AH188" i="40"/>
  <c r="AG189" i="40"/>
  <c r="AH189" i="40"/>
  <c r="AG190" i="40"/>
  <c r="AH190" i="40"/>
  <c r="AG191" i="40"/>
  <c r="AH191" i="40"/>
  <c r="AG192" i="40"/>
  <c r="AH192" i="40"/>
  <c r="AG193" i="40"/>
  <c r="AH193" i="40"/>
  <c r="AG194" i="40"/>
  <c r="AH194" i="40"/>
  <c r="AG195" i="40"/>
  <c r="AH195" i="40"/>
  <c r="AG196" i="40"/>
  <c r="AH196" i="40"/>
  <c r="AG197" i="40"/>
  <c r="AH197" i="40"/>
  <c r="AG198" i="40"/>
  <c r="AH198" i="40"/>
  <c r="AG199" i="40"/>
  <c r="AH199" i="40"/>
  <c r="AG200" i="40"/>
  <c r="AH200" i="40"/>
  <c r="AG201" i="40"/>
  <c r="AH201" i="40"/>
  <c r="AG202" i="40"/>
  <c r="AH202" i="40"/>
  <c r="AG203" i="40"/>
  <c r="AH203" i="40"/>
  <c r="AG204" i="40"/>
  <c r="AH204" i="40"/>
  <c r="AG205" i="40"/>
  <c r="AH205" i="40"/>
  <c r="AG206" i="40"/>
  <c r="AH206" i="40"/>
  <c r="AG207" i="40"/>
  <c r="AH207" i="40"/>
  <c r="AG208" i="40"/>
  <c r="AH208" i="40"/>
  <c r="AG209" i="40"/>
  <c r="AH209" i="40"/>
  <c r="AG210" i="40"/>
  <c r="AH210" i="40"/>
  <c r="AG211" i="40"/>
  <c r="AH211" i="40"/>
  <c r="AG212" i="40"/>
  <c r="AH212" i="40"/>
  <c r="AG213" i="40"/>
  <c r="AH213" i="40"/>
  <c r="AG214" i="40"/>
  <c r="AH214" i="40"/>
  <c r="AG215" i="40"/>
  <c r="AH215" i="40"/>
  <c r="AG216" i="40"/>
  <c r="AH216" i="40"/>
  <c r="AG217" i="40"/>
  <c r="AH217" i="40"/>
  <c r="AG218" i="40"/>
  <c r="AH218" i="40"/>
  <c r="AG219" i="40"/>
  <c r="AH219" i="40"/>
  <c r="AG220" i="40"/>
  <c r="AH220" i="40"/>
  <c r="AG221" i="40"/>
  <c r="AH221" i="40"/>
  <c r="AG222" i="40"/>
  <c r="AH222" i="40"/>
  <c r="AG223" i="40"/>
  <c r="AH223" i="40"/>
  <c r="AG224" i="40"/>
  <c r="AH224" i="40"/>
  <c r="AG225" i="40"/>
  <c r="AH225" i="40"/>
  <c r="AG226" i="40"/>
  <c r="AH226" i="40"/>
  <c r="AG227" i="40"/>
  <c r="AH227" i="40"/>
  <c r="AG228" i="40"/>
  <c r="AH228" i="40"/>
  <c r="AG229" i="40"/>
  <c r="AH229" i="40"/>
  <c r="AG230" i="40"/>
  <c r="AH230" i="40"/>
  <c r="AG231" i="40"/>
  <c r="AH231" i="40"/>
  <c r="AG232" i="40"/>
  <c r="AH232" i="40"/>
  <c r="AG233" i="40"/>
  <c r="AH233" i="40"/>
  <c r="AG234" i="40"/>
  <c r="AH234" i="40"/>
  <c r="AG235" i="40"/>
  <c r="AH235" i="40"/>
  <c r="AG236" i="40"/>
  <c r="AH236" i="40"/>
  <c r="AG237" i="40"/>
  <c r="AH237" i="40"/>
  <c r="AG238" i="40"/>
  <c r="AH238" i="40"/>
  <c r="AG239" i="40"/>
  <c r="AH239" i="40"/>
  <c r="AG240" i="40"/>
  <c r="AH240" i="40"/>
  <c r="AG241" i="40"/>
  <c r="AH241" i="40"/>
  <c r="AG242" i="40"/>
  <c r="AH242" i="40"/>
  <c r="AG243" i="40"/>
  <c r="AH243" i="40"/>
  <c r="AG244" i="40"/>
  <c r="AH244" i="40"/>
  <c r="AG245" i="40"/>
  <c r="AH245" i="40"/>
  <c r="AG246" i="40"/>
  <c r="AH246" i="40"/>
  <c r="AG247" i="40"/>
  <c r="AH247" i="40"/>
  <c r="AG248" i="40"/>
  <c r="AH248" i="40"/>
  <c r="AG249" i="40"/>
  <c r="AH249" i="40"/>
  <c r="AG250" i="40"/>
  <c r="AH250" i="40"/>
  <c r="AG251" i="40"/>
  <c r="AH251" i="40"/>
  <c r="AG252" i="40"/>
  <c r="AH252" i="40"/>
  <c r="AG253" i="40"/>
  <c r="AH253" i="40"/>
  <c r="AG254" i="40"/>
  <c r="AH254" i="40"/>
  <c r="AG255" i="40"/>
  <c r="AH255" i="40"/>
  <c r="AG256" i="40"/>
  <c r="AH256" i="40"/>
  <c r="AG257" i="40"/>
  <c r="AH257" i="40"/>
  <c r="AG258" i="40"/>
  <c r="AH258" i="40"/>
  <c r="AG259" i="40"/>
  <c r="AH259" i="40"/>
  <c r="AG260" i="40"/>
  <c r="AH260" i="40"/>
  <c r="AG261" i="40"/>
  <c r="AH261" i="40"/>
  <c r="AG262" i="40"/>
  <c r="AH262" i="40"/>
  <c r="AG263" i="40"/>
  <c r="AH263" i="40"/>
  <c r="AG264" i="40"/>
  <c r="AH264" i="40"/>
  <c r="AG265" i="40"/>
  <c r="AH265" i="40"/>
  <c r="AG266" i="40"/>
  <c r="AH266" i="40"/>
  <c r="AG267" i="40"/>
  <c r="AH267" i="40"/>
  <c r="AG268" i="40"/>
  <c r="AH268" i="40"/>
  <c r="AG269" i="40"/>
  <c r="AH269" i="40"/>
  <c r="AG270" i="40"/>
  <c r="AH270" i="40"/>
  <c r="AG271" i="40"/>
  <c r="AH271" i="40"/>
  <c r="AG272" i="40"/>
  <c r="AH272" i="40"/>
  <c r="AG273" i="40"/>
  <c r="AH273" i="40"/>
  <c r="AG274" i="40"/>
  <c r="AH274" i="40"/>
  <c r="AG275" i="40"/>
  <c r="AH275" i="40"/>
  <c r="AG276" i="40"/>
  <c r="AH276" i="40"/>
  <c r="AG277" i="40"/>
  <c r="AH277" i="40"/>
  <c r="AG278" i="40"/>
  <c r="AH278" i="40"/>
  <c r="AG279" i="40"/>
  <c r="AH279" i="40"/>
  <c r="AG280" i="40"/>
  <c r="AH280" i="40"/>
  <c r="AG281" i="40"/>
  <c r="AH281" i="40"/>
  <c r="AG282" i="40"/>
  <c r="AH282" i="40"/>
  <c r="AG283" i="40"/>
  <c r="AH283" i="40"/>
  <c r="AG284" i="40"/>
  <c r="AH284" i="40"/>
  <c r="AG285" i="40"/>
  <c r="AH285" i="40"/>
  <c r="AG286" i="40"/>
  <c r="AH286" i="40"/>
  <c r="AG287" i="40"/>
  <c r="AH287" i="40"/>
  <c r="AG288" i="40"/>
  <c r="AH288" i="40"/>
  <c r="AG289" i="40"/>
  <c r="AH289" i="40"/>
  <c r="AG290" i="40"/>
  <c r="AH290" i="40"/>
  <c r="AG291" i="40"/>
  <c r="AH291" i="40"/>
  <c r="AG292" i="40"/>
  <c r="AH292" i="40"/>
  <c r="AG293" i="40"/>
  <c r="AH293" i="40"/>
  <c r="AG294" i="40"/>
  <c r="AH294" i="40"/>
  <c r="AG295" i="40"/>
  <c r="AH295" i="40"/>
  <c r="AG296" i="40"/>
  <c r="AH296" i="40"/>
  <c r="AG297" i="40"/>
  <c r="AH297" i="40"/>
  <c r="AG298" i="40"/>
  <c r="AH298" i="40"/>
  <c r="AG299" i="40"/>
  <c r="AH299" i="40"/>
  <c r="AG300" i="40"/>
  <c r="AH300" i="40"/>
  <c r="AG301" i="40"/>
  <c r="AH301" i="40"/>
  <c r="AG302" i="40"/>
  <c r="AH302" i="40"/>
  <c r="AG303" i="40"/>
  <c r="AH303" i="40"/>
  <c r="AG304" i="40"/>
  <c r="AH304" i="40"/>
  <c r="AG305" i="40"/>
  <c r="AH305" i="40"/>
  <c r="AG306" i="40"/>
  <c r="AH306" i="40"/>
  <c r="AG307" i="40"/>
  <c r="AH307" i="40"/>
  <c r="AG308" i="40"/>
  <c r="AH308" i="40"/>
  <c r="AG309" i="40"/>
  <c r="AH309" i="40"/>
  <c r="AG310" i="40"/>
  <c r="AH310" i="40"/>
  <c r="AG311" i="40"/>
  <c r="AH311" i="40"/>
  <c r="AG312" i="40"/>
  <c r="AH312" i="40"/>
  <c r="AG313" i="40"/>
  <c r="AH313" i="40"/>
  <c r="AG314" i="40"/>
  <c r="AH314" i="40"/>
  <c r="AG315" i="40"/>
  <c r="AH315" i="40"/>
  <c r="AG316" i="40"/>
  <c r="AH316" i="40"/>
  <c r="AG317" i="40"/>
  <c r="AH317" i="40"/>
  <c r="AG318" i="40"/>
  <c r="AH318" i="40"/>
  <c r="AG319" i="40"/>
  <c r="AH319" i="40"/>
  <c r="AG320" i="40"/>
  <c r="AH320" i="40"/>
  <c r="AG321" i="40"/>
  <c r="AH321" i="40"/>
  <c r="AG322" i="40"/>
  <c r="AH322" i="40"/>
  <c r="AG323" i="40"/>
  <c r="AH323" i="40"/>
  <c r="AG324" i="40"/>
  <c r="AH324" i="40"/>
  <c r="AG325" i="40"/>
  <c r="AH325" i="40"/>
  <c r="AG326" i="40"/>
  <c r="AH326" i="40"/>
  <c r="AG327" i="40"/>
  <c r="AH327" i="40"/>
  <c r="AG328" i="40"/>
  <c r="AH328" i="40"/>
  <c r="AG329" i="40"/>
  <c r="AH329" i="40"/>
  <c r="AG330" i="40"/>
  <c r="AH330" i="40"/>
  <c r="AG331" i="40"/>
  <c r="AH331" i="40"/>
  <c r="AG332" i="40"/>
  <c r="AH332" i="40"/>
  <c r="AG333" i="40"/>
  <c r="AH333" i="40"/>
  <c r="AG334" i="40"/>
  <c r="AH334" i="40"/>
  <c r="AG335" i="40"/>
  <c r="AH335" i="40"/>
  <c r="AG336" i="40"/>
  <c r="AH336" i="40"/>
  <c r="AG337" i="40"/>
  <c r="AH337" i="40"/>
  <c r="AG338" i="40"/>
  <c r="AH338" i="40"/>
  <c r="AG339" i="40"/>
  <c r="AH339" i="40"/>
  <c r="AG340" i="40"/>
  <c r="AH340" i="40"/>
  <c r="AG341" i="40"/>
  <c r="AH341" i="40"/>
  <c r="AG342" i="40"/>
  <c r="AH342" i="40"/>
  <c r="AG343" i="40"/>
  <c r="AH343" i="40"/>
  <c r="AG344" i="40"/>
  <c r="AH344" i="40"/>
  <c r="AG345" i="40"/>
  <c r="AH345" i="40"/>
  <c r="AG346" i="40"/>
  <c r="AH346" i="40"/>
  <c r="AG347" i="40"/>
  <c r="AH347" i="40"/>
  <c r="AG348" i="40"/>
  <c r="AH348" i="40"/>
  <c r="AG349" i="40"/>
  <c r="AH349" i="40"/>
  <c r="AG350" i="40"/>
  <c r="AH350" i="40"/>
  <c r="AG351" i="40"/>
  <c r="AH351" i="40"/>
  <c r="AG352" i="40"/>
  <c r="AH352" i="40"/>
  <c r="AG353" i="40"/>
  <c r="AH353" i="40"/>
  <c r="AG354" i="40"/>
  <c r="AH354" i="40"/>
  <c r="AG355" i="40"/>
  <c r="AH355" i="40"/>
  <c r="AG356" i="40"/>
  <c r="AH356" i="40"/>
  <c r="AG357" i="40"/>
  <c r="AH357" i="40"/>
  <c r="AG358" i="40"/>
  <c r="AH358" i="40"/>
  <c r="AG359" i="40"/>
  <c r="AH359" i="40"/>
  <c r="AG360" i="40"/>
  <c r="AH360" i="40"/>
  <c r="AG361" i="40"/>
  <c r="AH361" i="40"/>
  <c r="AG362" i="40"/>
  <c r="AH362" i="40"/>
  <c r="AG363" i="40"/>
  <c r="AH363" i="40"/>
  <c r="AG364" i="40"/>
  <c r="AH364" i="40"/>
  <c r="AG365" i="40"/>
  <c r="AH365" i="40"/>
  <c r="AG366" i="40"/>
  <c r="AH366" i="40"/>
  <c r="AG367" i="40"/>
  <c r="AH367" i="40"/>
  <c r="AG368" i="40"/>
  <c r="AH368" i="40"/>
  <c r="AG369" i="40"/>
  <c r="AH369" i="40"/>
  <c r="AG370" i="40"/>
  <c r="AH370" i="40"/>
  <c r="AG371" i="40"/>
  <c r="AH371" i="40"/>
  <c r="AG372" i="40"/>
  <c r="AH372" i="40"/>
  <c r="AG373" i="40"/>
  <c r="AH373" i="40"/>
  <c r="AG374" i="40"/>
  <c r="AH374" i="40"/>
  <c r="AG375" i="40"/>
  <c r="AH375" i="40"/>
  <c r="AG376" i="40"/>
  <c r="AH376" i="40"/>
  <c r="AG377" i="40"/>
  <c r="AH377" i="40"/>
  <c r="AG378" i="40"/>
  <c r="AH378" i="40"/>
  <c r="AG379" i="40"/>
  <c r="AH379" i="40"/>
  <c r="AG380" i="40"/>
  <c r="AH380" i="40"/>
  <c r="AG381" i="40"/>
  <c r="AH381" i="40"/>
  <c r="AG382" i="40"/>
  <c r="AH382" i="40"/>
  <c r="AG383" i="40"/>
  <c r="AH383" i="40"/>
  <c r="AG384" i="40"/>
  <c r="AH384" i="40"/>
  <c r="AG385" i="40"/>
  <c r="AH385" i="40"/>
  <c r="AG386" i="40"/>
  <c r="AH386" i="40"/>
  <c r="AG387" i="40"/>
  <c r="AH387" i="40"/>
  <c r="AG388" i="40"/>
  <c r="AH388" i="40"/>
  <c r="AG389" i="40"/>
  <c r="AH389" i="40"/>
  <c r="AG390" i="40"/>
  <c r="AH390" i="40"/>
  <c r="AG391" i="40"/>
  <c r="AH391" i="40"/>
  <c r="AG392" i="40"/>
  <c r="AH392" i="40"/>
  <c r="AG393" i="40"/>
  <c r="AH393" i="40"/>
  <c r="AG394" i="40"/>
  <c r="AH394" i="40"/>
  <c r="AG395" i="40"/>
  <c r="AH395" i="40"/>
  <c r="AG396" i="40"/>
  <c r="AH396" i="40"/>
  <c r="AG397" i="40"/>
  <c r="AH397" i="40"/>
  <c r="AG398" i="40"/>
  <c r="AH398" i="40"/>
  <c r="AG399" i="40"/>
  <c r="AH399" i="40"/>
  <c r="AG400" i="40"/>
  <c r="AH400" i="40"/>
  <c r="AG401" i="40"/>
  <c r="AH401" i="40"/>
  <c r="AG402" i="40"/>
  <c r="AH402" i="40"/>
  <c r="AG403" i="40"/>
  <c r="AH403" i="40"/>
  <c r="AG404" i="40"/>
  <c r="AH404" i="40"/>
  <c r="AG405" i="40"/>
  <c r="AH405" i="40"/>
  <c r="AG406" i="40"/>
  <c r="AH406" i="40"/>
  <c r="AG407" i="40"/>
  <c r="AH407" i="40"/>
  <c r="AG408" i="40"/>
  <c r="AH408" i="40"/>
  <c r="AG409" i="40"/>
  <c r="AH409" i="40"/>
  <c r="AG410" i="40"/>
  <c r="AH410" i="40"/>
  <c r="AG411" i="40"/>
  <c r="AH411" i="40"/>
  <c r="AG412" i="40"/>
  <c r="AH412" i="40"/>
  <c r="AG413" i="40"/>
  <c r="AH413" i="40"/>
  <c r="AG414" i="40"/>
  <c r="AH414" i="40"/>
  <c r="AG415" i="40"/>
  <c r="AH415" i="40"/>
  <c r="AG416" i="40"/>
  <c r="AH416" i="40"/>
  <c r="AG417" i="40"/>
  <c r="AH417" i="40"/>
  <c r="AG418" i="40"/>
  <c r="AH418" i="40"/>
  <c r="AG419" i="40"/>
  <c r="AH419" i="40"/>
  <c r="AG420" i="40"/>
  <c r="AH420" i="40"/>
  <c r="AG421" i="40"/>
  <c r="AH421" i="40"/>
  <c r="AG422" i="40"/>
  <c r="AH422" i="40"/>
  <c r="AG423" i="40"/>
  <c r="AH423" i="40"/>
  <c r="AG424" i="40"/>
  <c r="AH424" i="40"/>
  <c r="AG425" i="40"/>
  <c r="AH425" i="40"/>
  <c r="AG426" i="40"/>
  <c r="AH426" i="40"/>
  <c r="AG427" i="40"/>
  <c r="AH427" i="40"/>
  <c r="AG428" i="40"/>
  <c r="AH428" i="40"/>
  <c r="AG429" i="40"/>
  <c r="AH429" i="40"/>
  <c r="AG430" i="40"/>
  <c r="AH430" i="40"/>
  <c r="AG431" i="40"/>
  <c r="AH431" i="40"/>
  <c r="AG432" i="40"/>
  <c r="AH432" i="40"/>
  <c r="AG433" i="40"/>
  <c r="AH433" i="40"/>
  <c r="AG434" i="40"/>
  <c r="AH434" i="40"/>
  <c r="AG435" i="40"/>
  <c r="AH435" i="40"/>
  <c r="AG436" i="40"/>
  <c r="AH436" i="40"/>
  <c r="AG437" i="40"/>
  <c r="AH437" i="40"/>
  <c r="AG438" i="40"/>
  <c r="AH438" i="40"/>
  <c r="AG439" i="40"/>
  <c r="AH439" i="40"/>
  <c r="AG440" i="40"/>
  <c r="AH440" i="40"/>
  <c r="AG441" i="40"/>
  <c r="AH441" i="40"/>
  <c r="AG442" i="40"/>
  <c r="AH442" i="40"/>
  <c r="AG443" i="40"/>
  <c r="AH443" i="40"/>
  <c r="AG444" i="40"/>
  <c r="AH444" i="40"/>
  <c r="AG445" i="40"/>
  <c r="AH445" i="40"/>
  <c r="AG446" i="40"/>
  <c r="AH446" i="40"/>
  <c r="AG447" i="40"/>
  <c r="AH447" i="40"/>
  <c r="AG448" i="40"/>
  <c r="AH448" i="40"/>
  <c r="AG449" i="40"/>
  <c r="AH449" i="40"/>
  <c r="AG450" i="40"/>
  <c r="AH450" i="40"/>
  <c r="AG451" i="40"/>
  <c r="AH451" i="40"/>
  <c r="AG452" i="40"/>
  <c r="AH452" i="40"/>
  <c r="AG453" i="40"/>
  <c r="AH453" i="40"/>
  <c r="AG454" i="40"/>
  <c r="AH454" i="40"/>
  <c r="AG455" i="40"/>
  <c r="AH455" i="40"/>
  <c r="AG456" i="40"/>
  <c r="AH456" i="40"/>
  <c r="AG457" i="40"/>
  <c r="AH457" i="40"/>
  <c r="AG458" i="40"/>
  <c r="AH458" i="40"/>
  <c r="AG459" i="40"/>
  <c r="AH459" i="40"/>
  <c r="AG460" i="40"/>
  <c r="AH460" i="40"/>
  <c r="AG461" i="40"/>
  <c r="AH461" i="40"/>
  <c r="AG462" i="40"/>
  <c r="AH462" i="40"/>
  <c r="AG463" i="40"/>
  <c r="AH463" i="40"/>
  <c r="AG464" i="40"/>
  <c r="AH464" i="40"/>
  <c r="AG465" i="40"/>
  <c r="AH465" i="40"/>
  <c r="AG466" i="40"/>
  <c r="AH466" i="40"/>
  <c r="AG467" i="40"/>
  <c r="AH467" i="40"/>
  <c r="AG468" i="40"/>
  <c r="AH468" i="40"/>
  <c r="AG469" i="40"/>
  <c r="AH469" i="40"/>
  <c r="AG470" i="40"/>
  <c r="AH470" i="40"/>
  <c r="AG471" i="40"/>
  <c r="AH471" i="40"/>
  <c r="AG472" i="40"/>
  <c r="AH472" i="40"/>
  <c r="AG473" i="40"/>
  <c r="AH473" i="40"/>
  <c r="AG474" i="40"/>
  <c r="AH474" i="40"/>
  <c r="AG475" i="40"/>
  <c r="AH475" i="40"/>
  <c r="AG476" i="40"/>
  <c r="AH476" i="40"/>
  <c r="AG477" i="40"/>
  <c r="AH477" i="40"/>
  <c r="AG478" i="40"/>
  <c r="AH478" i="40"/>
  <c r="AG479" i="40"/>
  <c r="AH479" i="40"/>
  <c r="AG480" i="40"/>
  <c r="AH480" i="40"/>
  <c r="AG481" i="40"/>
  <c r="AH481" i="40"/>
  <c r="AG482" i="40"/>
  <c r="AH482" i="40"/>
  <c r="AG483" i="40"/>
  <c r="AH483" i="40"/>
  <c r="AG484" i="40"/>
  <c r="AH484" i="40"/>
  <c r="AG485" i="40"/>
  <c r="AH485" i="40"/>
  <c r="AG486" i="40"/>
  <c r="AH486" i="40"/>
  <c r="AG487" i="40"/>
  <c r="AH487" i="40"/>
  <c r="AF3" i="40"/>
  <c r="AF4" i="40"/>
  <c r="AF5" i="40"/>
  <c r="AF6" i="40"/>
  <c r="AF7" i="40"/>
  <c r="AF8" i="40"/>
  <c r="AF9" i="40"/>
  <c r="AF10" i="40"/>
  <c r="AF11" i="40"/>
  <c r="AF12" i="40"/>
  <c r="AF13" i="40"/>
  <c r="AF14" i="40"/>
  <c r="AF15" i="40"/>
  <c r="AF16" i="40"/>
  <c r="AF17" i="40"/>
  <c r="AF18" i="40"/>
  <c r="AF19" i="40"/>
  <c r="AF20" i="40"/>
  <c r="AF21" i="40"/>
  <c r="AF22" i="40"/>
  <c r="AF23" i="40"/>
  <c r="AF24" i="40"/>
  <c r="AF25" i="40"/>
  <c r="AF26" i="40"/>
  <c r="AF27" i="40"/>
  <c r="AF28" i="40"/>
  <c r="AF29" i="40"/>
  <c r="AF30" i="40"/>
  <c r="AF31" i="40"/>
  <c r="AF32" i="40"/>
  <c r="AF33" i="40"/>
  <c r="AF34" i="40"/>
  <c r="AF35" i="40"/>
  <c r="AF36" i="40"/>
  <c r="AF37" i="40"/>
  <c r="AF38" i="40"/>
  <c r="AF39" i="40"/>
  <c r="AF40" i="40"/>
  <c r="AF41" i="40"/>
  <c r="AF42" i="40"/>
  <c r="AF43" i="40"/>
  <c r="AF44" i="40"/>
  <c r="AF45" i="40"/>
  <c r="AF46" i="40"/>
  <c r="AF47" i="40"/>
  <c r="AF48" i="40"/>
  <c r="AF49" i="40"/>
  <c r="AF50" i="40"/>
  <c r="AF51" i="40"/>
  <c r="AF52" i="40"/>
  <c r="AF53" i="40"/>
  <c r="AF54" i="40"/>
  <c r="AF55" i="40"/>
  <c r="AF56" i="40"/>
  <c r="AF57" i="40"/>
  <c r="AF58" i="40"/>
  <c r="AF59" i="40"/>
  <c r="AF60" i="40"/>
  <c r="AF61" i="40"/>
  <c r="AF62" i="40"/>
  <c r="AF63" i="40"/>
  <c r="AF64" i="40"/>
  <c r="AF65" i="40"/>
  <c r="AF66" i="40"/>
  <c r="AF67" i="40"/>
  <c r="AF68" i="40"/>
  <c r="AF69" i="40"/>
  <c r="AF70" i="40"/>
  <c r="AF71" i="40"/>
  <c r="AF72" i="40"/>
  <c r="AF73" i="40"/>
  <c r="AF74" i="40"/>
  <c r="AF75" i="40"/>
  <c r="AF76" i="40"/>
  <c r="AF77" i="40"/>
  <c r="AF78" i="40"/>
  <c r="AF79" i="40"/>
  <c r="AF80" i="40"/>
  <c r="AF81" i="40"/>
  <c r="AF82" i="40"/>
  <c r="AF83" i="40"/>
  <c r="AF84" i="40"/>
  <c r="AF85" i="40"/>
  <c r="AF86" i="40"/>
  <c r="AF87" i="40"/>
  <c r="AF88" i="40"/>
  <c r="AF89" i="40"/>
  <c r="AF90" i="40"/>
  <c r="AF91" i="40"/>
  <c r="AF92" i="40"/>
  <c r="AF93" i="40"/>
  <c r="AF94" i="40"/>
  <c r="AF95" i="40"/>
  <c r="AF96" i="40"/>
  <c r="AF97" i="40"/>
  <c r="AF98" i="40"/>
  <c r="AF99" i="40"/>
  <c r="AF100" i="40"/>
  <c r="AF101" i="40"/>
  <c r="AF102" i="40"/>
  <c r="AF103" i="40"/>
  <c r="AF104" i="40"/>
  <c r="AF105" i="40"/>
  <c r="AF106" i="40"/>
  <c r="AF107" i="40"/>
  <c r="AF108" i="40"/>
  <c r="AF109" i="40"/>
  <c r="AF110" i="40"/>
  <c r="AF111" i="40"/>
  <c r="AF112" i="40"/>
  <c r="AF113" i="40"/>
  <c r="AF114" i="40"/>
  <c r="AF115" i="40"/>
  <c r="AF116" i="40"/>
  <c r="AF117" i="40"/>
  <c r="AF118" i="40"/>
  <c r="AF119" i="40"/>
  <c r="AF120" i="40"/>
  <c r="AF121" i="40"/>
  <c r="AF122" i="40"/>
  <c r="AF123" i="40"/>
  <c r="AF124" i="40"/>
  <c r="AF125" i="40"/>
  <c r="AF126" i="40"/>
  <c r="AF127" i="40"/>
  <c r="AF128" i="40"/>
  <c r="AF129" i="40"/>
  <c r="AF130" i="40"/>
  <c r="AF131" i="40"/>
  <c r="AF132" i="40"/>
  <c r="AF133" i="40"/>
  <c r="AF134" i="40"/>
  <c r="AF135" i="40"/>
  <c r="AF136" i="40"/>
  <c r="AF137" i="40"/>
  <c r="AF138" i="40"/>
  <c r="AF139" i="40"/>
  <c r="AF140" i="40"/>
  <c r="AF141" i="40"/>
  <c r="AF142" i="40"/>
  <c r="AF143" i="40"/>
  <c r="AF144" i="40"/>
  <c r="AF145" i="40"/>
  <c r="AF146" i="40"/>
  <c r="AF147" i="40"/>
  <c r="AF148" i="40"/>
  <c r="AF149" i="40"/>
  <c r="AF150" i="40"/>
  <c r="AF151" i="40"/>
  <c r="AF152" i="40"/>
  <c r="AF153" i="40"/>
  <c r="AF154" i="40"/>
  <c r="AF155" i="40"/>
  <c r="AF156" i="40"/>
  <c r="AF157" i="40"/>
  <c r="AF158" i="40"/>
  <c r="AF159" i="40"/>
  <c r="AF160" i="40"/>
  <c r="AF161" i="40"/>
  <c r="AF162" i="40"/>
  <c r="AF163" i="40"/>
  <c r="AF164" i="40"/>
  <c r="AF165" i="40"/>
  <c r="AF166" i="40"/>
  <c r="AF167" i="40"/>
  <c r="AF168" i="40"/>
  <c r="AF169" i="40"/>
  <c r="AF170" i="40"/>
  <c r="AF171" i="40"/>
  <c r="AF172" i="40"/>
  <c r="AF173" i="40"/>
  <c r="AF174" i="40"/>
  <c r="AF175" i="40"/>
  <c r="AF176" i="40"/>
  <c r="AF177" i="40"/>
  <c r="AF178" i="40"/>
  <c r="AF179" i="40"/>
  <c r="AF180" i="40"/>
  <c r="AF181" i="40"/>
  <c r="AF182" i="40"/>
  <c r="AF183" i="40"/>
  <c r="AF184" i="40"/>
  <c r="AF185" i="40"/>
  <c r="AF186" i="40"/>
  <c r="AF187" i="40"/>
  <c r="AF188" i="40"/>
  <c r="AF189" i="40"/>
  <c r="AF190" i="40"/>
  <c r="AF191" i="40"/>
  <c r="AF192" i="40"/>
  <c r="AF193" i="40"/>
  <c r="AF194" i="40"/>
  <c r="AF195" i="40"/>
  <c r="AF196" i="40"/>
  <c r="AF197" i="40"/>
  <c r="AF198" i="40"/>
  <c r="AF199" i="40"/>
  <c r="AF200" i="40"/>
  <c r="AF201" i="40"/>
  <c r="AF202" i="40"/>
  <c r="AF203" i="40"/>
  <c r="AF204" i="40"/>
  <c r="AF205" i="40"/>
  <c r="AF206" i="40"/>
  <c r="AF207" i="40"/>
  <c r="AF208" i="40"/>
  <c r="AF209" i="40"/>
  <c r="AF210" i="40"/>
  <c r="AF211" i="40"/>
  <c r="AF212" i="40"/>
  <c r="AF213" i="40"/>
  <c r="AF214" i="40"/>
  <c r="AF215" i="40"/>
  <c r="AF216" i="40"/>
  <c r="AF217" i="40"/>
  <c r="AF218" i="40"/>
  <c r="AF219" i="40"/>
  <c r="AF220" i="40"/>
  <c r="AF221" i="40"/>
  <c r="AF222" i="40"/>
  <c r="AF223" i="40"/>
  <c r="AF224" i="40"/>
  <c r="AF225" i="40"/>
  <c r="AF226" i="40"/>
  <c r="AF227" i="40"/>
  <c r="AF228" i="40"/>
  <c r="AF229" i="40"/>
  <c r="AF230" i="40"/>
  <c r="AF231" i="40"/>
  <c r="AF232" i="40"/>
  <c r="AF233" i="40"/>
  <c r="AF234" i="40"/>
  <c r="AF235" i="40"/>
  <c r="AF236" i="40"/>
  <c r="AF237" i="40"/>
  <c r="AF238" i="40"/>
  <c r="AF239" i="40"/>
  <c r="AF240" i="40"/>
  <c r="AF241" i="40"/>
  <c r="AF242" i="40"/>
  <c r="AF243" i="40"/>
  <c r="AF244" i="40"/>
  <c r="AF245" i="40"/>
  <c r="AF246" i="40"/>
  <c r="AF247" i="40"/>
  <c r="AF248" i="40"/>
  <c r="AF249" i="40"/>
  <c r="AF250" i="40"/>
  <c r="AF251" i="40"/>
  <c r="AF252" i="40"/>
  <c r="AF253" i="40"/>
  <c r="AF254" i="40"/>
  <c r="AF255" i="40"/>
  <c r="AF256" i="40"/>
  <c r="AF257" i="40"/>
  <c r="AF258" i="40"/>
  <c r="AF259" i="40"/>
  <c r="AF260" i="40"/>
  <c r="AF261" i="40"/>
  <c r="AF262" i="40"/>
  <c r="AF263" i="40"/>
  <c r="AF264" i="40"/>
  <c r="AF265" i="40"/>
  <c r="AF266" i="40"/>
  <c r="AF267" i="40"/>
  <c r="AF268" i="40"/>
  <c r="AF269" i="40"/>
  <c r="AF270" i="40"/>
  <c r="AF271" i="40"/>
  <c r="AF272" i="40"/>
  <c r="AF273" i="40"/>
  <c r="AF274" i="40"/>
  <c r="AF275" i="40"/>
  <c r="AF276" i="40"/>
  <c r="AF277" i="40"/>
  <c r="AF278" i="40"/>
  <c r="AF279" i="40"/>
  <c r="AF280" i="40"/>
  <c r="AF281" i="40"/>
  <c r="AF282" i="40"/>
  <c r="AF283" i="40"/>
  <c r="AF284" i="40"/>
  <c r="AF285" i="40"/>
  <c r="AF286" i="40"/>
  <c r="AF287" i="40"/>
  <c r="AF288" i="40"/>
  <c r="AF289" i="40"/>
  <c r="AF290" i="40"/>
  <c r="AF291" i="40"/>
  <c r="AF292" i="40"/>
  <c r="AF293" i="40"/>
  <c r="AF294" i="40"/>
  <c r="AF295" i="40"/>
  <c r="AF296" i="40"/>
  <c r="AF297" i="40"/>
  <c r="AF298" i="40"/>
  <c r="AF299" i="40"/>
  <c r="AF300" i="40"/>
  <c r="AF301" i="40"/>
  <c r="AF302" i="40"/>
  <c r="AF303" i="40"/>
  <c r="AF304" i="40"/>
  <c r="AF305" i="40"/>
  <c r="AF306" i="40"/>
  <c r="AF307" i="40"/>
  <c r="AF308" i="40"/>
  <c r="AF309" i="40"/>
  <c r="AF310" i="40"/>
  <c r="AF311" i="40"/>
  <c r="AF312" i="40"/>
  <c r="AF313" i="40"/>
  <c r="AF314" i="40"/>
  <c r="AF315" i="40"/>
  <c r="AF316" i="40"/>
  <c r="AF317" i="40"/>
  <c r="AF318" i="40"/>
  <c r="AF319" i="40"/>
  <c r="AF320" i="40"/>
  <c r="AF321" i="40"/>
  <c r="AF322" i="40"/>
  <c r="AF323" i="40"/>
  <c r="AF324" i="40"/>
  <c r="AF325" i="40"/>
  <c r="AF326" i="40"/>
  <c r="AF327" i="40"/>
  <c r="AF328" i="40"/>
  <c r="AF329" i="40"/>
  <c r="AF330" i="40"/>
  <c r="AF331" i="40"/>
  <c r="AF332" i="40"/>
  <c r="AF333" i="40"/>
  <c r="AF334" i="40"/>
  <c r="AF335" i="40"/>
  <c r="AF336" i="40"/>
  <c r="AF337" i="40"/>
  <c r="AF338" i="40"/>
  <c r="AF339" i="40"/>
  <c r="AF340" i="40"/>
  <c r="AF341" i="40"/>
  <c r="AF342" i="40"/>
  <c r="AF343" i="40"/>
  <c r="AF344" i="40"/>
  <c r="AF345" i="40"/>
  <c r="AF346" i="40"/>
  <c r="AF347" i="40"/>
  <c r="AF348" i="40"/>
  <c r="AF349" i="40"/>
  <c r="AF350" i="40"/>
  <c r="AF351" i="40"/>
  <c r="AF352" i="40"/>
  <c r="AF353" i="40"/>
  <c r="AF354" i="40"/>
  <c r="AF355" i="40"/>
  <c r="AF356" i="40"/>
  <c r="AF357" i="40"/>
  <c r="AF358" i="40"/>
  <c r="AF359" i="40"/>
  <c r="AF360" i="40"/>
  <c r="AF361" i="40"/>
  <c r="AF362" i="40"/>
  <c r="AF363" i="40"/>
  <c r="AF364" i="40"/>
  <c r="AF365" i="40"/>
  <c r="AF366" i="40"/>
  <c r="AF367" i="40"/>
  <c r="AF368" i="40"/>
  <c r="AF369" i="40"/>
  <c r="AF370" i="40"/>
  <c r="AF371" i="40"/>
  <c r="AF372" i="40"/>
  <c r="AF373" i="40"/>
  <c r="AF374" i="40"/>
  <c r="AF375" i="40"/>
  <c r="AF376" i="40"/>
  <c r="AF377" i="40"/>
  <c r="AF378" i="40"/>
  <c r="AF379" i="40"/>
  <c r="AF380" i="40"/>
  <c r="AF381" i="40"/>
  <c r="AF382" i="40"/>
  <c r="AF383" i="40"/>
  <c r="AF384" i="40"/>
  <c r="AF385" i="40"/>
  <c r="AF386" i="40"/>
  <c r="AF387" i="40"/>
  <c r="AF388" i="40"/>
  <c r="AF389" i="40"/>
  <c r="AF390" i="40"/>
  <c r="AF391" i="40"/>
  <c r="AF392" i="40"/>
  <c r="AF393" i="40"/>
  <c r="AF394" i="40"/>
  <c r="AF395" i="40"/>
  <c r="AF396" i="40"/>
  <c r="AF397" i="40"/>
  <c r="AF398" i="40"/>
  <c r="AF399" i="40"/>
  <c r="AF400" i="40"/>
  <c r="AF401" i="40"/>
  <c r="AF402" i="40"/>
  <c r="AF403" i="40"/>
  <c r="AF404" i="40"/>
  <c r="AF405" i="40"/>
  <c r="AF406" i="40"/>
  <c r="AF407" i="40"/>
  <c r="AF408" i="40"/>
  <c r="AF409" i="40"/>
  <c r="AF410" i="40"/>
  <c r="AF411" i="40"/>
  <c r="AF412" i="40"/>
  <c r="AF413" i="40"/>
  <c r="AF414" i="40"/>
  <c r="AF415" i="40"/>
  <c r="AF416" i="40"/>
  <c r="AF417" i="40"/>
  <c r="AF418" i="40"/>
  <c r="AF419" i="40"/>
  <c r="AF420" i="40"/>
  <c r="AF421" i="40"/>
  <c r="AF422" i="40"/>
  <c r="AF423" i="40"/>
  <c r="AF424" i="40"/>
  <c r="AF425" i="40"/>
  <c r="AF426" i="40"/>
  <c r="AF427" i="40"/>
  <c r="AF428" i="40"/>
  <c r="AF429" i="40"/>
  <c r="AF430" i="40"/>
  <c r="AF431" i="40"/>
  <c r="AF432" i="40"/>
  <c r="AF433" i="40"/>
  <c r="AF434" i="40"/>
  <c r="AF435" i="40"/>
  <c r="AF436" i="40"/>
  <c r="AF437" i="40"/>
  <c r="AF438" i="40"/>
  <c r="AF439" i="40"/>
  <c r="AF440" i="40"/>
  <c r="AF441" i="40"/>
  <c r="AF442" i="40"/>
  <c r="AF443" i="40"/>
  <c r="AF444" i="40"/>
  <c r="AF445" i="40"/>
  <c r="AF446" i="40"/>
  <c r="AF447" i="40"/>
  <c r="AF448" i="40"/>
  <c r="AF449" i="40"/>
  <c r="AF450" i="40"/>
  <c r="AF451" i="40"/>
  <c r="AF452" i="40"/>
  <c r="AF453" i="40"/>
  <c r="AF454" i="40"/>
  <c r="AF455" i="40"/>
  <c r="AF456" i="40"/>
  <c r="AF457" i="40"/>
  <c r="AF458" i="40"/>
  <c r="AF459" i="40"/>
  <c r="AF460" i="40"/>
  <c r="AF461" i="40"/>
  <c r="AF462" i="40"/>
  <c r="AF463" i="40"/>
  <c r="AF464" i="40"/>
  <c r="AF465" i="40"/>
  <c r="AF466" i="40"/>
  <c r="AF467" i="40"/>
  <c r="AF468" i="40"/>
  <c r="AF469" i="40"/>
  <c r="AF470" i="40"/>
  <c r="AF471" i="40"/>
  <c r="AF472" i="40"/>
  <c r="AF473" i="40"/>
  <c r="AF474" i="40"/>
  <c r="AF475" i="40"/>
  <c r="AF476" i="40"/>
  <c r="AF477" i="40"/>
  <c r="AF478" i="40"/>
  <c r="AF479" i="40"/>
  <c r="AF480" i="40"/>
  <c r="AF481" i="40"/>
  <c r="AF482" i="40"/>
  <c r="AF483" i="40"/>
  <c r="AF484" i="40"/>
  <c r="AF485" i="40"/>
  <c r="AF486" i="40"/>
  <c r="AF487" i="40"/>
  <c r="AF2" i="40"/>
  <c r="AC18" i="40"/>
  <c r="AC2" i="40"/>
  <c r="Z2" i="40"/>
  <c r="G4" i="48"/>
  <c r="G3" i="48"/>
  <c r="G2" i="48"/>
  <c r="G8" i="48"/>
  <c r="G7" i="48"/>
  <c r="G11" i="48"/>
  <c r="G9" i="48"/>
  <c r="G10" i="48"/>
  <c r="G6" i="48"/>
  <c r="G12" i="48"/>
  <c r="G20" i="48"/>
  <c r="G18" i="48"/>
  <c r="G15" i="48"/>
  <c r="G17" i="48"/>
  <c r="G19" i="48"/>
  <c r="G14" i="48"/>
  <c r="G16" i="48"/>
  <c r="G13" i="48"/>
  <c r="G21" i="48"/>
  <c r="G22" i="48"/>
  <c r="G23" i="48"/>
  <c r="G24" i="48"/>
  <c r="G26" i="48"/>
  <c r="G27" i="48"/>
  <c r="G28" i="48"/>
  <c r="G25" i="48"/>
  <c r="G5" i="48"/>
  <c r="E3" i="48"/>
  <c r="F3" i="48"/>
  <c r="E4" i="48"/>
  <c r="F4" i="48"/>
  <c r="E5" i="48"/>
  <c r="F5" i="48"/>
  <c r="E6" i="48"/>
  <c r="F6" i="48"/>
  <c r="E7" i="48"/>
  <c r="F7" i="48"/>
  <c r="E8" i="48"/>
  <c r="F8" i="48"/>
  <c r="E9" i="48"/>
  <c r="F9" i="48"/>
  <c r="E10" i="48"/>
  <c r="F10" i="48"/>
  <c r="E11" i="48"/>
  <c r="F11" i="48"/>
  <c r="E12" i="48"/>
  <c r="F12" i="48"/>
  <c r="E13" i="48"/>
  <c r="F13" i="48"/>
  <c r="E14" i="48"/>
  <c r="F14" i="48"/>
  <c r="E15" i="48"/>
  <c r="F15" i="48"/>
  <c r="E16" i="48"/>
  <c r="F16" i="48"/>
  <c r="E17" i="48"/>
  <c r="F17" i="48"/>
  <c r="E18" i="48"/>
  <c r="F18" i="48"/>
  <c r="E19" i="48"/>
  <c r="F19" i="48"/>
  <c r="E20" i="48"/>
  <c r="F20" i="48"/>
  <c r="E21" i="48"/>
  <c r="F21" i="48"/>
  <c r="E22" i="48"/>
  <c r="F22" i="48"/>
  <c r="E23" i="48"/>
  <c r="F23" i="48"/>
  <c r="E24" i="48"/>
  <c r="F24" i="48"/>
  <c r="E25" i="48"/>
  <c r="F25" i="48"/>
  <c r="E26" i="48"/>
  <c r="F26" i="48"/>
  <c r="E27" i="48"/>
  <c r="F27" i="48"/>
  <c r="E28" i="48"/>
  <c r="F28" i="48"/>
  <c r="F2" i="48"/>
  <c r="E2" i="48"/>
  <c r="AE3" i="40"/>
  <c r="AE4" i="40"/>
  <c r="AE5" i="40"/>
  <c r="AE6" i="40"/>
  <c r="AE7" i="40"/>
  <c r="AE8" i="40"/>
  <c r="AE9" i="40"/>
  <c r="AE10" i="40"/>
  <c r="AE11" i="40"/>
  <c r="AE12" i="40"/>
  <c r="AE13" i="40"/>
  <c r="AE14" i="40"/>
  <c r="AE15" i="40"/>
  <c r="AE16" i="40"/>
  <c r="AE17" i="40"/>
  <c r="AE18" i="40"/>
  <c r="AE19" i="40"/>
  <c r="AE20" i="40"/>
  <c r="AE21" i="40"/>
  <c r="AE22" i="40"/>
  <c r="AE23" i="40"/>
  <c r="AE24" i="40"/>
  <c r="AE25" i="40"/>
  <c r="AE26" i="40"/>
  <c r="AE27" i="40"/>
  <c r="AE28" i="40"/>
  <c r="AE29" i="40"/>
  <c r="AE30" i="40"/>
  <c r="AE31" i="40"/>
  <c r="AE32" i="40"/>
  <c r="AE33" i="40"/>
  <c r="AE34" i="40"/>
  <c r="AE35" i="40"/>
  <c r="AE36" i="40"/>
  <c r="AE37" i="40"/>
  <c r="AE38" i="40"/>
  <c r="AE39" i="40"/>
  <c r="AE40" i="40"/>
  <c r="AE41" i="40"/>
  <c r="AE42" i="40"/>
  <c r="AE43" i="40"/>
  <c r="AE44" i="40"/>
  <c r="AE45" i="40"/>
  <c r="AE46" i="40"/>
  <c r="AE47" i="40"/>
  <c r="AE48" i="40"/>
  <c r="AE49" i="40"/>
  <c r="AE50" i="40"/>
  <c r="AE51" i="40"/>
  <c r="AE52" i="40"/>
  <c r="AE53" i="40"/>
  <c r="AE54" i="40"/>
  <c r="AE55" i="40"/>
  <c r="AE56" i="40"/>
  <c r="AE57" i="40"/>
  <c r="AE58" i="40"/>
  <c r="AE59" i="40"/>
  <c r="AE60" i="40"/>
  <c r="AE61" i="40"/>
  <c r="AE62" i="40"/>
  <c r="AE63" i="40"/>
  <c r="AE64" i="40"/>
  <c r="AE65" i="40"/>
  <c r="AE66" i="40"/>
  <c r="AE67" i="40"/>
  <c r="AE68" i="40"/>
  <c r="AE69" i="40"/>
  <c r="AE70" i="40"/>
  <c r="AE71" i="40"/>
  <c r="AE72" i="40"/>
  <c r="AE73" i="40"/>
  <c r="AE74" i="40"/>
  <c r="AE75" i="40"/>
  <c r="AE76" i="40"/>
  <c r="AE77" i="40"/>
  <c r="AE78" i="40"/>
  <c r="AE79" i="40"/>
  <c r="AE80" i="40"/>
  <c r="AE81" i="40"/>
  <c r="AE82" i="40"/>
  <c r="AE83" i="40"/>
  <c r="AE84" i="40"/>
  <c r="AE85" i="40"/>
  <c r="AE86" i="40"/>
  <c r="AE87" i="40"/>
  <c r="AE88" i="40"/>
  <c r="AE89" i="40"/>
  <c r="AE90" i="40"/>
  <c r="AE91" i="40"/>
  <c r="AE92" i="40"/>
  <c r="AE93" i="40"/>
  <c r="AE94" i="40"/>
  <c r="AE95" i="40"/>
  <c r="AE96" i="40"/>
  <c r="AE97" i="40"/>
  <c r="AE98" i="40"/>
  <c r="AE99" i="40"/>
  <c r="AE100" i="40"/>
  <c r="AE101" i="40"/>
  <c r="AE102" i="40"/>
  <c r="AE103" i="40"/>
  <c r="AE104" i="40"/>
  <c r="AE105" i="40"/>
  <c r="AE106" i="40"/>
  <c r="AE107" i="40"/>
  <c r="AE108" i="40"/>
  <c r="AE109" i="40"/>
  <c r="AE110" i="40"/>
  <c r="AE111" i="40"/>
  <c r="AE112" i="40"/>
  <c r="AE113" i="40"/>
  <c r="AE114" i="40"/>
  <c r="AE115" i="40"/>
  <c r="AE116" i="40"/>
  <c r="AE117" i="40"/>
  <c r="AE118" i="40"/>
  <c r="AE119" i="40"/>
  <c r="AE120" i="40"/>
  <c r="AE121" i="40"/>
  <c r="AE122" i="40"/>
  <c r="AE123" i="40"/>
  <c r="AE124" i="40"/>
  <c r="AE125" i="40"/>
  <c r="AE126" i="40"/>
  <c r="AE127" i="40"/>
  <c r="AE128" i="40"/>
  <c r="AE129" i="40"/>
  <c r="AE130" i="40"/>
  <c r="AE131" i="40"/>
  <c r="AE132" i="40"/>
  <c r="AE133" i="40"/>
  <c r="AE134" i="40"/>
  <c r="AE135" i="40"/>
  <c r="AE136" i="40"/>
  <c r="AE137" i="40"/>
  <c r="AE138" i="40"/>
  <c r="AE139" i="40"/>
  <c r="AE140" i="40"/>
  <c r="AE141" i="40"/>
  <c r="AE142" i="40"/>
  <c r="AE143" i="40"/>
  <c r="AE144" i="40"/>
  <c r="AE145" i="40"/>
  <c r="AE146" i="40"/>
  <c r="AE147" i="40"/>
  <c r="AE148" i="40"/>
  <c r="AE149" i="40"/>
  <c r="AE150" i="40"/>
  <c r="AE151" i="40"/>
  <c r="AE152" i="40"/>
  <c r="AE153" i="40"/>
  <c r="AE154" i="40"/>
  <c r="AE155" i="40"/>
  <c r="AE156" i="40"/>
  <c r="AE157" i="40"/>
  <c r="AE158" i="40"/>
  <c r="AE159" i="40"/>
  <c r="AE160" i="40"/>
  <c r="AE161" i="40"/>
  <c r="AE162" i="40"/>
  <c r="AE163" i="40"/>
  <c r="AE164" i="40"/>
  <c r="AE165" i="40"/>
  <c r="AE166" i="40"/>
  <c r="AE167" i="40"/>
  <c r="AE168" i="40"/>
  <c r="AE169" i="40"/>
  <c r="AE170" i="40"/>
  <c r="AE171" i="40"/>
  <c r="AE172" i="40"/>
  <c r="AE173" i="40"/>
  <c r="AE174" i="40"/>
  <c r="AE175" i="40"/>
  <c r="AE176" i="40"/>
  <c r="AE177" i="40"/>
  <c r="AE178" i="40"/>
  <c r="AE179" i="40"/>
  <c r="AE180" i="40"/>
  <c r="AE181" i="40"/>
  <c r="AE182" i="40"/>
  <c r="AE183" i="40"/>
  <c r="AE184" i="40"/>
  <c r="AE185" i="40"/>
  <c r="AE186" i="40"/>
  <c r="AE187" i="40"/>
  <c r="AE188" i="40"/>
  <c r="AE189" i="40"/>
  <c r="AE190" i="40"/>
  <c r="AE191" i="40"/>
  <c r="AE192" i="40"/>
  <c r="AE193" i="40"/>
  <c r="AE194" i="40"/>
  <c r="AE195" i="40"/>
  <c r="AE196" i="40"/>
  <c r="AE197" i="40"/>
  <c r="AE198" i="40"/>
  <c r="AE199" i="40"/>
  <c r="AE200" i="40"/>
  <c r="AE201" i="40"/>
  <c r="AE202" i="40"/>
  <c r="AE203" i="40"/>
  <c r="AE204" i="40"/>
  <c r="AE205" i="40"/>
  <c r="AE206" i="40"/>
  <c r="AE207" i="40"/>
  <c r="AE208" i="40"/>
  <c r="AE209" i="40"/>
  <c r="AE210" i="40"/>
  <c r="AE211" i="40"/>
  <c r="AE212" i="40"/>
  <c r="AE213" i="40"/>
  <c r="AE214" i="40"/>
  <c r="AE215" i="40"/>
  <c r="AE216" i="40"/>
  <c r="AE217" i="40"/>
  <c r="AE218" i="40"/>
  <c r="AE219" i="40"/>
  <c r="AE220" i="40"/>
  <c r="AE221" i="40"/>
  <c r="AE222" i="40"/>
  <c r="AE223" i="40"/>
  <c r="AE224" i="40"/>
  <c r="AE225" i="40"/>
  <c r="AE226" i="40"/>
  <c r="AE227" i="40"/>
  <c r="AE228" i="40"/>
  <c r="AE229" i="40"/>
  <c r="AE230" i="40"/>
  <c r="AE231" i="40"/>
  <c r="AE232" i="40"/>
  <c r="AE233" i="40"/>
  <c r="AE234" i="40"/>
  <c r="AE235" i="40"/>
  <c r="AE236" i="40"/>
  <c r="AE237" i="40"/>
  <c r="AE238" i="40"/>
  <c r="AE239" i="40"/>
  <c r="AE240" i="40"/>
  <c r="AE241" i="40"/>
  <c r="AE242" i="40"/>
  <c r="AE243" i="40"/>
  <c r="AE244" i="40"/>
  <c r="AE245" i="40"/>
  <c r="AE246" i="40"/>
  <c r="AE247" i="40"/>
  <c r="AE248" i="40"/>
  <c r="AE249" i="40"/>
  <c r="AE250" i="40"/>
  <c r="AE251" i="40"/>
  <c r="AE252" i="40"/>
  <c r="AE253" i="40"/>
  <c r="AE254" i="40"/>
  <c r="AE255" i="40"/>
  <c r="AE256" i="40"/>
  <c r="AE257" i="40"/>
  <c r="AE258" i="40"/>
  <c r="AE259" i="40"/>
  <c r="AE260" i="40"/>
  <c r="AE261" i="40"/>
  <c r="AE262" i="40"/>
  <c r="AE263" i="40"/>
  <c r="AE264" i="40"/>
  <c r="AE265" i="40"/>
  <c r="AE266" i="40"/>
  <c r="AE267" i="40"/>
  <c r="AE268" i="40"/>
  <c r="AE269" i="40"/>
  <c r="AE270" i="40"/>
  <c r="AE271" i="40"/>
  <c r="AE272" i="40"/>
  <c r="AE273" i="40"/>
  <c r="AE274" i="40"/>
  <c r="AE275" i="40"/>
  <c r="AE276" i="40"/>
  <c r="AE277" i="40"/>
  <c r="AE278" i="40"/>
  <c r="AE279" i="40"/>
  <c r="AE280" i="40"/>
  <c r="AE281" i="40"/>
  <c r="AE282" i="40"/>
  <c r="AE283" i="40"/>
  <c r="AE284" i="40"/>
  <c r="AE285" i="40"/>
  <c r="AE286" i="40"/>
  <c r="AE287" i="40"/>
  <c r="AE288" i="40"/>
  <c r="AE289" i="40"/>
  <c r="AE290" i="40"/>
  <c r="AE291" i="40"/>
  <c r="AE292" i="40"/>
  <c r="AE293" i="40"/>
  <c r="AE294" i="40"/>
  <c r="AE295" i="40"/>
  <c r="AE296" i="40"/>
  <c r="AE297" i="40"/>
  <c r="AE298" i="40"/>
  <c r="AE299" i="40"/>
  <c r="AE300" i="40"/>
  <c r="AE301" i="40"/>
  <c r="AE302" i="40"/>
  <c r="AE303" i="40"/>
  <c r="AE304" i="40"/>
  <c r="AE305" i="40"/>
  <c r="AE306" i="40"/>
  <c r="AE307" i="40"/>
  <c r="AE308" i="40"/>
  <c r="AE309" i="40"/>
  <c r="AE310" i="40"/>
  <c r="AE311" i="40"/>
  <c r="AE312" i="40"/>
  <c r="AE313" i="40"/>
  <c r="AE314" i="40"/>
  <c r="AE315" i="40"/>
  <c r="AE316" i="40"/>
  <c r="AE317" i="40"/>
  <c r="AE318" i="40"/>
  <c r="AE319" i="40"/>
  <c r="AE320" i="40"/>
  <c r="AE321" i="40"/>
  <c r="AE322" i="40"/>
  <c r="AE323" i="40"/>
  <c r="AE324" i="40"/>
  <c r="AE325" i="40"/>
  <c r="AE326" i="40"/>
  <c r="AE327" i="40"/>
  <c r="AE328" i="40"/>
  <c r="AE329" i="40"/>
  <c r="AE330" i="40"/>
  <c r="AE331" i="40"/>
  <c r="AE332" i="40"/>
  <c r="AE333" i="40"/>
  <c r="AE334" i="40"/>
  <c r="AE335" i="40"/>
  <c r="AE336" i="40"/>
  <c r="AE337" i="40"/>
  <c r="AE338" i="40"/>
  <c r="AE339" i="40"/>
  <c r="AE340" i="40"/>
  <c r="AE341" i="40"/>
  <c r="AE342" i="40"/>
  <c r="AE343" i="40"/>
  <c r="AE344" i="40"/>
  <c r="AE345" i="40"/>
  <c r="AE346" i="40"/>
  <c r="AE347" i="40"/>
  <c r="AE348" i="40"/>
  <c r="AE349" i="40"/>
  <c r="AE350" i="40"/>
  <c r="AE351" i="40"/>
  <c r="AE352" i="40"/>
  <c r="AE353" i="40"/>
  <c r="AE354" i="40"/>
  <c r="AE355" i="40"/>
  <c r="AE356" i="40"/>
  <c r="AE357" i="40"/>
  <c r="AE358" i="40"/>
  <c r="AE359" i="40"/>
  <c r="AE360" i="40"/>
  <c r="AE361" i="40"/>
  <c r="AE362" i="40"/>
  <c r="AE363" i="40"/>
  <c r="AE364" i="40"/>
  <c r="AE365" i="40"/>
  <c r="AE366" i="40"/>
  <c r="AE367" i="40"/>
  <c r="AE368" i="40"/>
  <c r="AE369" i="40"/>
  <c r="AE370" i="40"/>
  <c r="AE371" i="40"/>
  <c r="AE372" i="40"/>
  <c r="AE373" i="40"/>
  <c r="AE374" i="40"/>
  <c r="AE375" i="40"/>
  <c r="AE376" i="40"/>
  <c r="AE377" i="40"/>
  <c r="AE378" i="40"/>
  <c r="AE379" i="40"/>
  <c r="AE380" i="40"/>
  <c r="AE381" i="40"/>
  <c r="AE382" i="40"/>
  <c r="AE383" i="40"/>
  <c r="AE384" i="40"/>
  <c r="AE385" i="40"/>
  <c r="AE386" i="40"/>
  <c r="AE387" i="40"/>
  <c r="AE388" i="40"/>
  <c r="AE389" i="40"/>
  <c r="AE390" i="40"/>
  <c r="AE391" i="40"/>
  <c r="AE392" i="40"/>
  <c r="AE393" i="40"/>
  <c r="AE394" i="40"/>
  <c r="AE395" i="40"/>
  <c r="AE396" i="40"/>
  <c r="AE397" i="40"/>
  <c r="AE398" i="40"/>
  <c r="AE399" i="40"/>
  <c r="AE400" i="40"/>
  <c r="AE401" i="40"/>
  <c r="AE402" i="40"/>
  <c r="AE403" i="40"/>
  <c r="AE404" i="40"/>
  <c r="AE405" i="40"/>
  <c r="AE406" i="40"/>
  <c r="AE407" i="40"/>
  <c r="AE408" i="40"/>
  <c r="AE409" i="40"/>
  <c r="AE410" i="40"/>
  <c r="AE411" i="40"/>
  <c r="AE412" i="40"/>
  <c r="AE413" i="40"/>
  <c r="AE414" i="40"/>
  <c r="AE415" i="40"/>
  <c r="AE416" i="40"/>
  <c r="AE417" i="40"/>
  <c r="AE418" i="40"/>
  <c r="AE419" i="40"/>
  <c r="AE420" i="40"/>
  <c r="AE421" i="40"/>
  <c r="AE422" i="40"/>
  <c r="AE423" i="40"/>
  <c r="AE424" i="40"/>
  <c r="AE425" i="40"/>
  <c r="AE426" i="40"/>
  <c r="AE427" i="40"/>
  <c r="AE428" i="40"/>
  <c r="AE429" i="40"/>
  <c r="AE430" i="40"/>
  <c r="AE431" i="40"/>
  <c r="AE432" i="40"/>
  <c r="AE433" i="40"/>
  <c r="AE434" i="40"/>
  <c r="AE435" i="40"/>
  <c r="AE436" i="40"/>
  <c r="AE437" i="40"/>
  <c r="AE438" i="40"/>
  <c r="AE439" i="40"/>
  <c r="AE440" i="40"/>
  <c r="AE441" i="40"/>
  <c r="AE442" i="40"/>
  <c r="AE443" i="40"/>
  <c r="AE444" i="40"/>
  <c r="AE445" i="40"/>
  <c r="AE446" i="40"/>
  <c r="AE447" i="40"/>
  <c r="AE448" i="40"/>
  <c r="AE449" i="40"/>
  <c r="AE450" i="40"/>
  <c r="AE451" i="40"/>
  <c r="AE452" i="40"/>
  <c r="AE453" i="40"/>
  <c r="AE454" i="40"/>
  <c r="AE455" i="40"/>
  <c r="AE456" i="40"/>
  <c r="AE457" i="40"/>
  <c r="AE458" i="40"/>
  <c r="AE459" i="40"/>
  <c r="AE460" i="40"/>
  <c r="AE461" i="40"/>
  <c r="AE462" i="40"/>
  <c r="AE463" i="40"/>
  <c r="AE464" i="40"/>
  <c r="AE465" i="40"/>
  <c r="AE466" i="40"/>
  <c r="AE467" i="40"/>
  <c r="AE468" i="40"/>
  <c r="AE469" i="40"/>
  <c r="AE470" i="40"/>
  <c r="AE471" i="40"/>
  <c r="AE472" i="40"/>
  <c r="AE473" i="40"/>
  <c r="AE474" i="40"/>
  <c r="AE475" i="40"/>
  <c r="AE476" i="40"/>
  <c r="AE477" i="40"/>
  <c r="AE478" i="40"/>
  <c r="AE479" i="40"/>
  <c r="AE480" i="40"/>
  <c r="AE481" i="40"/>
  <c r="AE482" i="40"/>
  <c r="AE483" i="40"/>
  <c r="AE484" i="40"/>
  <c r="AE485" i="40"/>
  <c r="AE486" i="40"/>
  <c r="AE487" i="40"/>
  <c r="AE2" i="40"/>
  <c r="AD3" i="40"/>
  <c r="AD4" i="40"/>
  <c r="AD5" i="40"/>
  <c r="AD6" i="40"/>
  <c r="AD7" i="40"/>
  <c r="AD8" i="40"/>
  <c r="AD9" i="40"/>
  <c r="AD10" i="40"/>
  <c r="AD11" i="40"/>
  <c r="AD12" i="40"/>
  <c r="AD13" i="40"/>
  <c r="AD14" i="40"/>
  <c r="AD15" i="40"/>
  <c r="AD16" i="40"/>
  <c r="AD17" i="40"/>
  <c r="AD18" i="40"/>
  <c r="AD19" i="40"/>
  <c r="AD20" i="40"/>
  <c r="AD21" i="40"/>
  <c r="AD22" i="40"/>
  <c r="AD23" i="40"/>
  <c r="AD24" i="40"/>
  <c r="AD25" i="40"/>
  <c r="AD26" i="40"/>
  <c r="AD27" i="40"/>
  <c r="AD28" i="40"/>
  <c r="AD29" i="40"/>
  <c r="AD30" i="40"/>
  <c r="AD31" i="40"/>
  <c r="AD32" i="40"/>
  <c r="AD33" i="40"/>
  <c r="AD34" i="40"/>
  <c r="AD35" i="40"/>
  <c r="AD36" i="40"/>
  <c r="AD37" i="40"/>
  <c r="AD38" i="40"/>
  <c r="AD39" i="40"/>
  <c r="AD40" i="40"/>
  <c r="AD41" i="40"/>
  <c r="AD42" i="40"/>
  <c r="AD43" i="40"/>
  <c r="AD44" i="40"/>
  <c r="AD45" i="40"/>
  <c r="AD46" i="40"/>
  <c r="AD47" i="40"/>
  <c r="AD48" i="40"/>
  <c r="AD49" i="40"/>
  <c r="AD50" i="40"/>
  <c r="AD51" i="40"/>
  <c r="AD52" i="40"/>
  <c r="AD53" i="40"/>
  <c r="AD54" i="40"/>
  <c r="AD55" i="40"/>
  <c r="AD56" i="40"/>
  <c r="AD57" i="40"/>
  <c r="AD58" i="40"/>
  <c r="AD59" i="40"/>
  <c r="AD60" i="40"/>
  <c r="AD61" i="40"/>
  <c r="AD62" i="40"/>
  <c r="AD63" i="40"/>
  <c r="AD64" i="40"/>
  <c r="AD65" i="40"/>
  <c r="AD66" i="40"/>
  <c r="AD67" i="40"/>
  <c r="AD68" i="40"/>
  <c r="AD69" i="40"/>
  <c r="AD70" i="40"/>
  <c r="AD71" i="40"/>
  <c r="AD72" i="40"/>
  <c r="AD73" i="40"/>
  <c r="AD74" i="40"/>
  <c r="AD75" i="40"/>
  <c r="AD76" i="40"/>
  <c r="AD77" i="40"/>
  <c r="AD78" i="40"/>
  <c r="AD79" i="40"/>
  <c r="AD80" i="40"/>
  <c r="AD81" i="40"/>
  <c r="AD82" i="40"/>
  <c r="AD83" i="40"/>
  <c r="AD84" i="40"/>
  <c r="AD85" i="40"/>
  <c r="AD86" i="40"/>
  <c r="AD87" i="40"/>
  <c r="AD88" i="40"/>
  <c r="AD89" i="40"/>
  <c r="AD90" i="40"/>
  <c r="AD91" i="40"/>
  <c r="AD92" i="40"/>
  <c r="AD93" i="40"/>
  <c r="AD94" i="40"/>
  <c r="AD95" i="40"/>
  <c r="AD96" i="40"/>
  <c r="AD97" i="40"/>
  <c r="AD98" i="40"/>
  <c r="AD99" i="40"/>
  <c r="AD100" i="40"/>
  <c r="AD101" i="40"/>
  <c r="AD102" i="40"/>
  <c r="AD103" i="40"/>
  <c r="AD104" i="40"/>
  <c r="AD105" i="40"/>
  <c r="AD106" i="40"/>
  <c r="AD107" i="40"/>
  <c r="AD108" i="40"/>
  <c r="AD109" i="40"/>
  <c r="AD110" i="40"/>
  <c r="AD111" i="40"/>
  <c r="AD112" i="40"/>
  <c r="AD113" i="40"/>
  <c r="AD114" i="40"/>
  <c r="AD115" i="40"/>
  <c r="AD116" i="40"/>
  <c r="AD117" i="40"/>
  <c r="AD118" i="40"/>
  <c r="AD119" i="40"/>
  <c r="AD120" i="40"/>
  <c r="AD121" i="40"/>
  <c r="AD122" i="40"/>
  <c r="AD123" i="40"/>
  <c r="AD124" i="40"/>
  <c r="AD125" i="40"/>
  <c r="AD126" i="40"/>
  <c r="AD127" i="40"/>
  <c r="AD128" i="40"/>
  <c r="AD129" i="40"/>
  <c r="AD130" i="40"/>
  <c r="AD131" i="40"/>
  <c r="AD132" i="40"/>
  <c r="AD133" i="40"/>
  <c r="AD134" i="40"/>
  <c r="AD135" i="40"/>
  <c r="AD136" i="40"/>
  <c r="AD137" i="40"/>
  <c r="AD138" i="40"/>
  <c r="AD139" i="40"/>
  <c r="AD140" i="40"/>
  <c r="AD141" i="40"/>
  <c r="AD142" i="40"/>
  <c r="AD143" i="40"/>
  <c r="AD144" i="40"/>
  <c r="AD145" i="40"/>
  <c r="AD146" i="40"/>
  <c r="AD147" i="40"/>
  <c r="AD148" i="40"/>
  <c r="AD149" i="40"/>
  <c r="AD150" i="40"/>
  <c r="AD151" i="40"/>
  <c r="AD152" i="40"/>
  <c r="AD153" i="40"/>
  <c r="AD154" i="40"/>
  <c r="AD155" i="40"/>
  <c r="AD156" i="40"/>
  <c r="AD157" i="40"/>
  <c r="AD158" i="40"/>
  <c r="AD159" i="40"/>
  <c r="AD160" i="40"/>
  <c r="AD161" i="40"/>
  <c r="AD162" i="40"/>
  <c r="AD163" i="40"/>
  <c r="AD164" i="40"/>
  <c r="AD165" i="40"/>
  <c r="AD166" i="40"/>
  <c r="AD167" i="40"/>
  <c r="AD168" i="40"/>
  <c r="AD169" i="40"/>
  <c r="AD170" i="40"/>
  <c r="AD171" i="40"/>
  <c r="AD172" i="40"/>
  <c r="AD173" i="40"/>
  <c r="AD174" i="40"/>
  <c r="AD175" i="40"/>
  <c r="AD176" i="40"/>
  <c r="AD177" i="40"/>
  <c r="AD178" i="40"/>
  <c r="AD179" i="40"/>
  <c r="AD180" i="40"/>
  <c r="AD181" i="40"/>
  <c r="AD182" i="40"/>
  <c r="AD183" i="40"/>
  <c r="AD184" i="40"/>
  <c r="AD185" i="40"/>
  <c r="AD186" i="40"/>
  <c r="AD187" i="40"/>
  <c r="AD188" i="40"/>
  <c r="AD189" i="40"/>
  <c r="AD190" i="40"/>
  <c r="AD191" i="40"/>
  <c r="AD192" i="40"/>
  <c r="AD193" i="40"/>
  <c r="AD194" i="40"/>
  <c r="AD195" i="40"/>
  <c r="AD196" i="40"/>
  <c r="AD197" i="40"/>
  <c r="AD198" i="40"/>
  <c r="AD199" i="40"/>
  <c r="AD200" i="40"/>
  <c r="AD201" i="40"/>
  <c r="AD202" i="40"/>
  <c r="AD203" i="40"/>
  <c r="AD204" i="40"/>
  <c r="AD205" i="40"/>
  <c r="AD206" i="40"/>
  <c r="AD207" i="40"/>
  <c r="AD208" i="40"/>
  <c r="AD209" i="40"/>
  <c r="AD210" i="40"/>
  <c r="AD211" i="40"/>
  <c r="AD212" i="40"/>
  <c r="AD213" i="40"/>
  <c r="AD214" i="40"/>
  <c r="AD215" i="40"/>
  <c r="AD216" i="40"/>
  <c r="AD217" i="40"/>
  <c r="AD218" i="40"/>
  <c r="AD219" i="40"/>
  <c r="AD220" i="40"/>
  <c r="AD221" i="40"/>
  <c r="AD222" i="40"/>
  <c r="AD223" i="40"/>
  <c r="AD224" i="40"/>
  <c r="AD225" i="40"/>
  <c r="AD226" i="40"/>
  <c r="AD227" i="40"/>
  <c r="AD228" i="40"/>
  <c r="AD229" i="40"/>
  <c r="AD230" i="40"/>
  <c r="AD231" i="40"/>
  <c r="AD232" i="40"/>
  <c r="AD233" i="40"/>
  <c r="AD234" i="40"/>
  <c r="AD235" i="40"/>
  <c r="AD236" i="40"/>
  <c r="AD237" i="40"/>
  <c r="AD238" i="40"/>
  <c r="AD239" i="40"/>
  <c r="AD240" i="40"/>
  <c r="AD241" i="40"/>
  <c r="AD242" i="40"/>
  <c r="AD243" i="40"/>
  <c r="AD244" i="40"/>
  <c r="AD245" i="40"/>
  <c r="AD246" i="40"/>
  <c r="AD247" i="40"/>
  <c r="AD248" i="40"/>
  <c r="AD249" i="40"/>
  <c r="AD250" i="40"/>
  <c r="AD251" i="40"/>
  <c r="AD252" i="40"/>
  <c r="AD253" i="40"/>
  <c r="AD254" i="40"/>
  <c r="AD255" i="40"/>
  <c r="AD256" i="40"/>
  <c r="AD257" i="40"/>
  <c r="AD258" i="40"/>
  <c r="AD259" i="40"/>
  <c r="AD260" i="40"/>
  <c r="AD261" i="40"/>
  <c r="AD262" i="40"/>
  <c r="AD263" i="40"/>
  <c r="AD264" i="40"/>
  <c r="AD265" i="40"/>
  <c r="AD266" i="40"/>
  <c r="AD267" i="40"/>
  <c r="AD268" i="40"/>
  <c r="AD269" i="40"/>
  <c r="AD270" i="40"/>
  <c r="AD271" i="40"/>
  <c r="AD272" i="40"/>
  <c r="AD273" i="40"/>
  <c r="AD274" i="40"/>
  <c r="AD275" i="40"/>
  <c r="AD276" i="40"/>
  <c r="AD277" i="40"/>
  <c r="AD278" i="40"/>
  <c r="AD279" i="40"/>
  <c r="AD280" i="40"/>
  <c r="AD281" i="40"/>
  <c r="AD282" i="40"/>
  <c r="AD283" i="40"/>
  <c r="AD284" i="40"/>
  <c r="AD285" i="40"/>
  <c r="AD286" i="40"/>
  <c r="AD287" i="40"/>
  <c r="AD288" i="40"/>
  <c r="AD289" i="40"/>
  <c r="AD290" i="40"/>
  <c r="AD291" i="40"/>
  <c r="AD292" i="40"/>
  <c r="AD293" i="40"/>
  <c r="AD294" i="40"/>
  <c r="AD295" i="40"/>
  <c r="AD296" i="40"/>
  <c r="AD297" i="40"/>
  <c r="AD298" i="40"/>
  <c r="AD299" i="40"/>
  <c r="AD300" i="40"/>
  <c r="AD301" i="40"/>
  <c r="AD302" i="40"/>
  <c r="AD303" i="40"/>
  <c r="AD304" i="40"/>
  <c r="AD305" i="40"/>
  <c r="AD306" i="40"/>
  <c r="AD307" i="40"/>
  <c r="AD308" i="40"/>
  <c r="AD309" i="40"/>
  <c r="AD310" i="40"/>
  <c r="AD311" i="40"/>
  <c r="AD312" i="40"/>
  <c r="AD313" i="40"/>
  <c r="AD314" i="40"/>
  <c r="AD315" i="40"/>
  <c r="AD316" i="40"/>
  <c r="AD317" i="40"/>
  <c r="AD318" i="40"/>
  <c r="AD319" i="40"/>
  <c r="AD320" i="40"/>
  <c r="AD321" i="40"/>
  <c r="AD322" i="40"/>
  <c r="AD323" i="40"/>
  <c r="AD324" i="40"/>
  <c r="AD325" i="40"/>
  <c r="AD326" i="40"/>
  <c r="AD327" i="40"/>
  <c r="AD328" i="40"/>
  <c r="AD329" i="40"/>
  <c r="AD330" i="40"/>
  <c r="AD331" i="40"/>
  <c r="AD332" i="40"/>
  <c r="AD333" i="40"/>
  <c r="AD334" i="40"/>
  <c r="AD335" i="40"/>
  <c r="AD336" i="40"/>
  <c r="AD337" i="40"/>
  <c r="AD338" i="40"/>
  <c r="AD339" i="40"/>
  <c r="AD340" i="40"/>
  <c r="AD341" i="40"/>
  <c r="AD342" i="40"/>
  <c r="AD343" i="40"/>
  <c r="AD344" i="40"/>
  <c r="AD345" i="40"/>
  <c r="AD346" i="40"/>
  <c r="AD347" i="40"/>
  <c r="AD348" i="40"/>
  <c r="AD349" i="40"/>
  <c r="AD350" i="40"/>
  <c r="AD351" i="40"/>
  <c r="AD352" i="40"/>
  <c r="AD353" i="40"/>
  <c r="AD354" i="40"/>
  <c r="AD355" i="40"/>
  <c r="AD356" i="40"/>
  <c r="AD357" i="40"/>
  <c r="AD358" i="40"/>
  <c r="AD359" i="40"/>
  <c r="AD360" i="40"/>
  <c r="AD361" i="40"/>
  <c r="AD362" i="40"/>
  <c r="AD363" i="40"/>
  <c r="AD364" i="40"/>
  <c r="AD365" i="40"/>
  <c r="AD366" i="40"/>
  <c r="AD367" i="40"/>
  <c r="AD368" i="40"/>
  <c r="AD369" i="40"/>
  <c r="AD370" i="40"/>
  <c r="AD371" i="40"/>
  <c r="AD372" i="40"/>
  <c r="AD373" i="40"/>
  <c r="AD374" i="40"/>
  <c r="AD375" i="40"/>
  <c r="AD376" i="40"/>
  <c r="AD377" i="40"/>
  <c r="AD378" i="40"/>
  <c r="AD379" i="40"/>
  <c r="AD380" i="40"/>
  <c r="AD381" i="40"/>
  <c r="AD382" i="40"/>
  <c r="AD383" i="40"/>
  <c r="AD384" i="40"/>
  <c r="AD385" i="40"/>
  <c r="AD386" i="40"/>
  <c r="AD387" i="40"/>
  <c r="AD388" i="40"/>
  <c r="AD389" i="40"/>
  <c r="AD390" i="40"/>
  <c r="AD391" i="40"/>
  <c r="AD392" i="40"/>
  <c r="AD393" i="40"/>
  <c r="AD394" i="40"/>
  <c r="AD395" i="40"/>
  <c r="AD396" i="40"/>
  <c r="AD397" i="40"/>
  <c r="AD398" i="40"/>
  <c r="AD399" i="40"/>
  <c r="AD400" i="40"/>
  <c r="AD401" i="40"/>
  <c r="AD402" i="40"/>
  <c r="AD403" i="40"/>
  <c r="AD404" i="40"/>
  <c r="AD405" i="40"/>
  <c r="AD406" i="40"/>
  <c r="AD407" i="40"/>
  <c r="AD408" i="40"/>
  <c r="AD409" i="40"/>
  <c r="AD410" i="40"/>
  <c r="AD411" i="40"/>
  <c r="AD412" i="40"/>
  <c r="AD413" i="40"/>
  <c r="AD414" i="40"/>
  <c r="AD415" i="40"/>
  <c r="AD416" i="40"/>
  <c r="AD417" i="40"/>
  <c r="AD418" i="40"/>
  <c r="AD419" i="40"/>
  <c r="AD420" i="40"/>
  <c r="AD421" i="40"/>
  <c r="AD422" i="40"/>
  <c r="AD423" i="40"/>
  <c r="AD424" i="40"/>
  <c r="AD425" i="40"/>
  <c r="AD426" i="40"/>
  <c r="AD427" i="40"/>
  <c r="AD428" i="40"/>
  <c r="AD429" i="40"/>
  <c r="AD430" i="40"/>
  <c r="AD431" i="40"/>
  <c r="AD432" i="40"/>
  <c r="AD433" i="40"/>
  <c r="AD434" i="40"/>
  <c r="AD435" i="40"/>
  <c r="AD436" i="40"/>
  <c r="AD437" i="40"/>
  <c r="AD438" i="40"/>
  <c r="AD439" i="40"/>
  <c r="AD440" i="40"/>
  <c r="AD441" i="40"/>
  <c r="AD442" i="40"/>
  <c r="AD443" i="40"/>
  <c r="AD444" i="40"/>
  <c r="AD445" i="40"/>
  <c r="AD446" i="40"/>
  <c r="AD447" i="40"/>
  <c r="AD448" i="40"/>
  <c r="AD449" i="40"/>
  <c r="AD450" i="40"/>
  <c r="AD451" i="40"/>
  <c r="AD452" i="40"/>
  <c r="AD453" i="40"/>
  <c r="AD454" i="40"/>
  <c r="AD455" i="40"/>
  <c r="AD456" i="40"/>
  <c r="AD457" i="40"/>
  <c r="AD458" i="40"/>
  <c r="AD459" i="40"/>
  <c r="AD460" i="40"/>
  <c r="AD461" i="40"/>
  <c r="AD462" i="40"/>
  <c r="AD463" i="40"/>
  <c r="AD464" i="40"/>
  <c r="AD465" i="40"/>
  <c r="AD466" i="40"/>
  <c r="AD467" i="40"/>
  <c r="AD468" i="40"/>
  <c r="AD469" i="40"/>
  <c r="AD470" i="40"/>
  <c r="AD471" i="40"/>
  <c r="AD472" i="40"/>
  <c r="AD473" i="40"/>
  <c r="AD474" i="40"/>
  <c r="AD475" i="40"/>
  <c r="AD476" i="40"/>
  <c r="AD477" i="40"/>
  <c r="AD478" i="40"/>
  <c r="AD479" i="40"/>
  <c r="AD480" i="40"/>
  <c r="AD481" i="40"/>
  <c r="AD482" i="40"/>
  <c r="AD483" i="40"/>
  <c r="AD484" i="40"/>
  <c r="AD485" i="40"/>
  <c r="AD486" i="40"/>
  <c r="AD487" i="40"/>
  <c r="AD2" i="40"/>
  <c r="AC3" i="40"/>
  <c r="AC4" i="40"/>
  <c r="AC5" i="40"/>
  <c r="AC6" i="40"/>
  <c r="AC7" i="40"/>
  <c r="AC8" i="40"/>
  <c r="AC9" i="40"/>
  <c r="AC10" i="40"/>
  <c r="AC11" i="40"/>
  <c r="AC12" i="40"/>
  <c r="AC13" i="40"/>
  <c r="AC14" i="40"/>
  <c r="AC15" i="40"/>
  <c r="AC16" i="40"/>
  <c r="AC17" i="40"/>
  <c r="AC19" i="40"/>
  <c r="AC20" i="40"/>
  <c r="AC21" i="40"/>
  <c r="AC22" i="40"/>
  <c r="AC23" i="40"/>
  <c r="AC24" i="40"/>
  <c r="AC25" i="40"/>
  <c r="AC26" i="40"/>
  <c r="AC27" i="40"/>
  <c r="AC28" i="40"/>
  <c r="AC29" i="40"/>
  <c r="AC30" i="40"/>
  <c r="AC31" i="40"/>
  <c r="AC32" i="40"/>
  <c r="AC33" i="40"/>
  <c r="AC34" i="40"/>
  <c r="AC35" i="40"/>
  <c r="AC36" i="40"/>
  <c r="AC37" i="40"/>
  <c r="AC38" i="40"/>
  <c r="AC39" i="40"/>
  <c r="AC40" i="40"/>
  <c r="AC41" i="40"/>
  <c r="AC42" i="40"/>
  <c r="AC43" i="40"/>
  <c r="AC44" i="40"/>
  <c r="AC45" i="40"/>
  <c r="AC46" i="40"/>
  <c r="AC47" i="40"/>
  <c r="AC48" i="40"/>
  <c r="AC49" i="40"/>
  <c r="AC50" i="40"/>
  <c r="AC51" i="40"/>
  <c r="AC52" i="40"/>
  <c r="AC53" i="40"/>
  <c r="AC54" i="40"/>
  <c r="AC55" i="40"/>
  <c r="AC56" i="40"/>
  <c r="AC57" i="40"/>
  <c r="AC58" i="40"/>
  <c r="AC59" i="40"/>
  <c r="AC60" i="40"/>
  <c r="AC61" i="40"/>
  <c r="AC62" i="40"/>
  <c r="AC63" i="40"/>
  <c r="AC64" i="40"/>
  <c r="AC65" i="40"/>
  <c r="AC66" i="40"/>
  <c r="AC67" i="40"/>
  <c r="AC68" i="40"/>
  <c r="AC69" i="40"/>
  <c r="AC70" i="40"/>
  <c r="AC71" i="40"/>
  <c r="AC72" i="40"/>
  <c r="AC73" i="40"/>
  <c r="AC74" i="40"/>
  <c r="AC75" i="40"/>
  <c r="AC76" i="40"/>
  <c r="AC77" i="40"/>
  <c r="AC78" i="40"/>
  <c r="AC79" i="40"/>
  <c r="AC80" i="40"/>
  <c r="AC81" i="40"/>
  <c r="AC82" i="40"/>
  <c r="AC83" i="40"/>
  <c r="AC84" i="40"/>
  <c r="AC85" i="40"/>
  <c r="AC86" i="40"/>
  <c r="AC87" i="40"/>
  <c r="AC88" i="40"/>
  <c r="AC89" i="40"/>
  <c r="AC90" i="40"/>
  <c r="AC91" i="40"/>
  <c r="AC92" i="40"/>
  <c r="AC93" i="40"/>
  <c r="AC94" i="40"/>
  <c r="AC95" i="40"/>
  <c r="AC96" i="40"/>
  <c r="AC97" i="40"/>
  <c r="AC98" i="40"/>
  <c r="AC99" i="40"/>
  <c r="AC100" i="40"/>
  <c r="AC101" i="40"/>
  <c r="AC102" i="40"/>
  <c r="AC103" i="40"/>
  <c r="AC104" i="40"/>
  <c r="AC105" i="40"/>
  <c r="AC106" i="40"/>
  <c r="AC107" i="40"/>
  <c r="AC108" i="40"/>
  <c r="AC109" i="40"/>
  <c r="AC110" i="40"/>
  <c r="AC111" i="40"/>
  <c r="AC112" i="40"/>
  <c r="AC113" i="40"/>
  <c r="AC114" i="40"/>
  <c r="AC115" i="40"/>
  <c r="AC116" i="40"/>
  <c r="AC117" i="40"/>
  <c r="AC118" i="40"/>
  <c r="AC119" i="40"/>
  <c r="AC120" i="40"/>
  <c r="AC121" i="40"/>
  <c r="AC122" i="40"/>
  <c r="AC123" i="40"/>
  <c r="AC124" i="40"/>
  <c r="AC125" i="40"/>
  <c r="AC126" i="40"/>
  <c r="AC127" i="40"/>
  <c r="AC128" i="40"/>
  <c r="AC129" i="40"/>
  <c r="AC130" i="40"/>
  <c r="AC131" i="40"/>
  <c r="AC132" i="40"/>
  <c r="AC133" i="40"/>
  <c r="AC134" i="40"/>
  <c r="AC135" i="40"/>
  <c r="AC136" i="40"/>
  <c r="AC137" i="40"/>
  <c r="AC138" i="40"/>
  <c r="AC139" i="40"/>
  <c r="AC140" i="40"/>
  <c r="AC141" i="40"/>
  <c r="AC142" i="40"/>
  <c r="AC143" i="40"/>
  <c r="AC144" i="40"/>
  <c r="AC145" i="40"/>
  <c r="AC146" i="40"/>
  <c r="AC147" i="40"/>
  <c r="AC148" i="40"/>
  <c r="AC149" i="40"/>
  <c r="AC150" i="40"/>
  <c r="AC151" i="40"/>
  <c r="AC152" i="40"/>
  <c r="AC153" i="40"/>
  <c r="AC154" i="40"/>
  <c r="AC155" i="40"/>
  <c r="AC156" i="40"/>
  <c r="AC157" i="40"/>
  <c r="AC158" i="40"/>
  <c r="AC159" i="40"/>
  <c r="AC160" i="40"/>
  <c r="AC161" i="40"/>
  <c r="AC162" i="40"/>
  <c r="AC163" i="40"/>
  <c r="AC164" i="40"/>
  <c r="AC165" i="40"/>
  <c r="AC166" i="40"/>
  <c r="AC167" i="40"/>
  <c r="AC168" i="40"/>
  <c r="AC169" i="40"/>
  <c r="AC170" i="40"/>
  <c r="AC171" i="40"/>
  <c r="AC172" i="40"/>
  <c r="AC173" i="40"/>
  <c r="AC174" i="40"/>
  <c r="AC175" i="40"/>
  <c r="AC176" i="40"/>
  <c r="AC177" i="40"/>
  <c r="AC178" i="40"/>
  <c r="AC179" i="40"/>
  <c r="AC180" i="40"/>
  <c r="AC181" i="40"/>
  <c r="AC182" i="40"/>
  <c r="AC183" i="40"/>
  <c r="AC184" i="40"/>
  <c r="AC185" i="40"/>
  <c r="AC186" i="40"/>
  <c r="AC187" i="40"/>
  <c r="AC188" i="40"/>
  <c r="AC189" i="40"/>
  <c r="AC190" i="40"/>
  <c r="AC191" i="40"/>
  <c r="AC192" i="40"/>
  <c r="AC193" i="40"/>
  <c r="AC194" i="40"/>
  <c r="AC195" i="40"/>
  <c r="AC196" i="40"/>
  <c r="AC197" i="40"/>
  <c r="AC198" i="40"/>
  <c r="AC199" i="40"/>
  <c r="AC200" i="40"/>
  <c r="AC201" i="40"/>
  <c r="AC202" i="40"/>
  <c r="AC203" i="40"/>
  <c r="AC204" i="40"/>
  <c r="AC205" i="40"/>
  <c r="AC206" i="40"/>
  <c r="AC207" i="40"/>
  <c r="AC208" i="40"/>
  <c r="AC209" i="40"/>
  <c r="AC210" i="40"/>
  <c r="AC211" i="40"/>
  <c r="AC212" i="40"/>
  <c r="AC213" i="40"/>
  <c r="AC214" i="40"/>
  <c r="AC215" i="40"/>
  <c r="AC216" i="40"/>
  <c r="AC217" i="40"/>
  <c r="AC218" i="40"/>
  <c r="AC219" i="40"/>
  <c r="AC220" i="40"/>
  <c r="AC221" i="40"/>
  <c r="AC222" i="40"/>
  <c r="AC223" i="40"/>
  <c r="AC224" i="40"/>
  <c r="AC225" i="40"/>
  <c r="AC226" i="40"/>
  <c r="AC227" i="40"/>
  <c r="AC228" i="40"/>
  <c r="AC229" i="40"/>
  <c r="AC230" i="40"/>
  <c r="AC231" i="40"/>
  <c r="AC232" i="40"/>
  <c r="AC233" i="40"/>
  <c r="AC234" i="40"/>
  <c r="AC235" i="40"/>
  <c r="AC236" i="40"/>
  <c r="AC237" i="40"/>
  <c r="AC238" i="40"/>
  <c r="AC239" i="40"/>
  <c r="AC240" i="40"/>
  <c r="AC241" i="40"/>
  <c r="AC242" i="40"/>
  <c r="AC243" i="40"/>
  <c r="AC244" i="40"/>
  <c r="AC245" i="40"/>
  <c r="AC246" i="40"/>
  <c r="AC247" i="40"/>
  <c r="AC248" i="40"/>
  <c r="AC249" i="40"/>
  <c r="AC250" i="40"/>
  <c r="AC251" i="40"/>
  <c r="AC252" i="40"/>
  <c r="AC253" i="40"/>
  <c r="AC254" i="40"/>
  <c r="AC255" i="40"/>
  <c r="AC256" i="40"/>
  <c r="AC257" i="40"/>
  <c r="AC258" i="40"/>
  <c r="AC259" i="40"/>
  <c r="AC260" i="40"/>
  <c r="AC261" i="40"/>
  <c r="AC262" i="40"/>
  <c r="AC263" i="40"/>
  <c r="AC264" i="40"/>
  <c r="AC265" i="40"/>
  <c r="AC266" i="40"/>
  <c r="AC267" i="40"/>
  <c r="AC268" i="40"/>
  <c r="AC269" i="40"/>
  <c r="AC270" i="40"/>
  <c r="AC271" i="40"/>
  <c r="AC272" i="40"/>
  <c r="AC273" i="40"/>
  <c r="AC274" i="40"/>
  <c r="AC275" i="40"/>
  <c r="AC276" i="40"/>
  <c r="AC277" i="40"/>
  <c r="AC278" i="40"/>
  <c r="AC279" i="40"/>
  <c r="AC280" i="40"/>
  <c r="AC281" i="40"/>
  <c r="AC282" i="40"/>
  <c r="AC283" i="40"/>
  <c r="AC284" i="40"/>
  <c r="AC285" i="40"/>
  <c r="AC286" i="40"/>
  <c r="AC287" i="40"/>
  <c r="AC288" i="40"/>
  <c r="AC289" i="40"/>
  <c r="AC290" i="40"/>
  <c r="AC291" i="40"/>
  <c r="AC292" i="40"/>
  <c r="AC293" i="40"/>
  <c r="AC294" i="40"/>
  <c r="AC295" i="40"/>
  <c r="AC296" i="40"/>
  <c r="AC297" i="40"/>
  <c r="AC298" i="40"/>
  <c r="AC299" i="40"/>
  <c r="AC300" i="40"/>
  <c r="AC301" i="40"/>
  <c r="AC302" i="40"/>
  <c r="AC303" i="40"/>
  <c r="AC304" i="40"/>
  <c r="AC305" i="40"/>
  <c r="AC306" i="40"/>
  <c r="AC307" i="40"/>
  <c r="AC308" i="40"/>
  <c r="AC309" i="40"/>
  <c r="AC310" i="40"/>
  <c r="AC311" i="40"/>
  <c r="AC312" i="40"/>
  <c r="AC313" i="40"/>
  <c r="AC314" i="40"/>
  <c r="AC315" i="40"/>
  <c r="AC316" i="40"/>
  <c r="AC317" i="40"/>
  <c r="AC318" i="40"/>
  <c r="AC319" i="40"/>
  <c r="AC320" i="40"/>
  <c r="AC321" i="40"/>
  <c r="AC322" i="40"/>
  <c r="AC323" i="40"/>
  <c r="AC324" i="40"/>
  <c r="AC325" i="40"/>
  <c r="AC326" i="40"/>
  <c r="AC327" i="40"/>
  <c r="AC328" i="40"/>
  <c r="AC329" i="40"/>
  <c r="AC330" i="40"/>
  <c r="AC331" i="40"/>
  <c r="AC332" i="40"/>
  <c r="AC333" i="40"/>
  <c r="AC334" i="40"/>
  <c r="AC335" i="40"/>
  <c r="AC336" i="40"/>
  <c r="AC337" i="40"/>
  <c r="AC338" i="40"/>
  <c r="AC339" i="40"/>
  <c r="AC340" i="40"/>
  <c r="AC341" i="40"/>
  <c r="AC342" i="40"/>
  <c r="AC343" i="40"/>
  <c r="AC344" i="40"/>
  <c r="AC345" i="40"/>
  <c r="AC346" i="40"/>
  <c r="AC347" i="40"/>
  <c r="AC348" i="40"/>
  <c r="AC349" i="40"/>
  <c r="AC350" i="40"/>
  <c r="AC351" i="40"/>
  <c r="AC352" i="40"/>
  <c r="AC353" i="40"/>
  <c r="AC354" i="40"/>
  <c r="AC355" i="40"/>
  <c r="AC356" i="40"/>
  <c r="AC357" i="40"/>
  <c r="AC358" i="40"/>
  <c r="AC359" i="40"/>
  <c r="AC360" i="40"/>
  <c r="AC361" i="40"/>
  <c r="AC362" i="40"/>
  <c r="AC363" i="40"/>
  <c r="AC364" i="40"/>
  <c r="AC365" i="40"/>
  <c r="AC366" i="40"/>
  <c r="AC367" i="40"/>
  <c r="AC368" i="40"/>
  <c r="AC369" i="40"/>
  <c r="AC370" i="40"/>
  <c r="AC371" i="40"/>
  <c r="AC372" i="40"/>
  <c r="AC373" i="40"/>
  <c r="AC374" i="40"/>
  <c r="AC375" i="40"/>
  <c r="AC376" i="40"/>
  <c r="AC377" i="40"/>
  <c r="AC378" i="40"/>
  <c r="AC379" i="40"/>
  <c r="AC380" i="40"/>
  <c r="AC381" i="40"/>
  <c r="AC382" i="40"/>
  <c r="AC383" i="40"/>
  <c r="AC384" i="40"/>
  <c r="AC385" i="40"/>
  <c r="AC386" i="40"/>
  <c r="AC387" i="40"/>
  <c r="AC388" i="40"/>
  <c r="AC389" i="40"/>
  <c r="AC390" i="40"/>
  <c r="AC391" i="40"/>
  <c r="AC392" i="40"/>
  <c r="AC393" i="40"/>
  <c r="AC394" i="40"/>
  <c r="AC395" i="40"/>
  <c r="AC396" i="40"/>
  <c r="AC397" i="40"/>
  <c r="AC398" i="40"/>
  <c r="AC399" i="40"/>
  <c r="AC400" i="40"/>
  <c r="AC401" i="40"/>
  <c r="AC402" i="40"/>
  <c r="AC403" i="40"/>
  <c r="AC404" i="40"/>
  <c r="AC405" i="40"/>
  <c r="AC406" i="40"/>
  <c r="AC407" i="40"/>
  <c r="AC408" i="40"/>
  <c r="AC409" i="40"/>
  <c r="AC410" i="40"/>
  <c r="AC411" i="40"/>
  <c r="AC412" i="40"/>
  <c r="AC413" i="40"/>
  <c r="AC414" i="40"/>
  <c r="AC415" i="40"/>
  <c r="AC416" i="40"/>
  <c r="AC417" i="40"/>
  <c r="AC418" i="40"/>
  <c r="AC419" i="40"/>
  <c r="AC420" i="40"/>
  <c r="AC421" i="40"/>
  <c r="AC422" i="40"/>
  <c r="AC423" i="40"/>
  <c r="AC424" i="40"/>
  <c r="AC425" i="40"/>
  <c r="AC426" i="40"/>
  <c r="AC427" i="40"/>
  <c r="AC428" i="40"/>
  <c r="AC429" i="40"/>
  <c r="AC430" i="40"/>
  <c r="AC431" i="40"/>
  <c r="AC432" i="40"/>
  <c r="AC433" i="40"/>
  <c r="AC434" i="40"/>
  <c r="AC435" i="40"/>
  <c r="AC436" i="40"/>
  <c r="AC437" i="40"/>
  <c r="AC438" i="40"/>
  <c r="AC439" i="40"/>
  <c r="AC440" i="40"/>
  <c r="AC441" i="40"/>
  <c r="AC442" i="40"/>
  <c r="AC443" i="40"/>
  <c r="AC444" i="40"/>
  <c r="AC445" i="40"/>
  <c r="AC446" i="40"/>
  <c r="AC447" i="40"/>
  <c r="AC448" i="40"/>
  <c r="AC449" i="40"/>
  <c r="AC450" i="40"/>
  <c r="AC451" i="40"/>
  <c r="AC452" i="40"/>
  <c r="AC453" i="40"/>
  <c r="AC454" i="40"/>
  <c r="AC455" i="40"/>
  <c r="AC456" i="40"/>
  <c r="AC457" i="40"/>
  <c r="AC458" i="40"/>
  <c r="AC459" i="40"/>
  <c r="AC460" i="40"/>
  <c r="AC461" i="40"/>
  <c r="AC462" i="40"/>
  <c r="AC463" i="40"/>
  <c r="AC464" i="40"/>
  <c r="AC465" i="40"/>
  <c r="AC466" i="40"/>
  <c r="AC467" i="40"/>
  <c r="AC468" i="40"/>
  <c r="AC469" i="40"/>
  <c r="AC470" i="40"/>
  <c r="AC471" i="40"/>
  <c r="AC472" i="40"/>
  <c r="AC473" i="40"/>
  <c r="AC474" i="40"/>
  <c r="AC475" i="40"/>
  <c r="AC476" i="40"/>
  <c r="AC477" i="40"/>
  <c r="AC478" i="40"/>
  <c r="AC479" i="40"/>
  <c r="AC480" i="40"/>
  <c r="AC481" i="40"/>
  <c r="AC482" i="40"/>
  <c r="AC483" i="40"/>
  <c r="AC484" i="40"/>
  <c r="AC485" i="40"/>
  <c r="AC486" i="40"/>
  <c r="AC487" i="40"/>
  <c r="H3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2" i="41"/>
  <c r="F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F71" i="41"/>
  <c r="F72" i="41"/>
  <c r="F73" i="41"/>
  <c r="F74" i="41"/>
  <c r="F75" i="41"/>
  <c r="F76" i="41"/>
  <c r="F77" i="41"/>
  <c r="F78" i="41"/>
  <c r="F79" i="41"/>
  <c r="F80" i="41"/>
  <c r="F81" i="41"/>
  <c r="F82" i="41"/>
  <c r="F83" i="41"/>
  <c r="F84" i="41"/>
  <c r="F85" i="41"/>
  <c r="F86" i="41"/>
  <c r="F87" i="41"/>
  <c r="F88" i="41"/>
  <c r="F89" i="41"/>
  <c r="F90" i="41"/>
  <c r="F91" i="41"/>
  <c r="F92" i="41"/>
  <c r="F93" i="41"/>
  <c r="F94" i="41"/>
  <c r="F95" i="41"/>
  <c r="F96" i="41"/>
  <c r="F97" i="41"/>
  <c r="F98" i="41"/>
  <c r="F99" i="41"/>
  <c r="F100" i="41"/>
  <c r="F101" i="41"/>
  <c r="F102" i="41"/>
  <c r="F103" i="41"/>
  <c r="F104" i="41"/>
  <c r="F105" i="41"/>
  <c r="F106" i="41"/>
  <c r="F107" i="41"/>
  <c r="F108" i="41"/>
  <c r="F109" i="41"/>
  <c r="F110" i="41"/>
  <c r="F111" i="41"/>
  <c r="F112" i="41"/>
  <c r="F113" i="41"/>
  <c r="F114" i="41"/>
  <c r="F115" i="41"/>
  <c r="F116" i="41"/>
  <c r="F117" i="41"/>
  <c r="F118" i="41"/>
  <c r="F119" i="41"/>
  <c r="F120" i="41"/>
  <c r="F121" i="41"/>
  <c r="F122" i="41"/>
  <c r="F123" i="41"/>
  <c r="F124" i="41"/>
  <c r="F125" i="41"/>
  <c r="F126" i="41"/>
  <c r="F127" i="41"/>
  <c r="F128" i="41"/>
  <c r="F129" i="41"/>
  <c r="F130" i="41"/>
  <c r="F131" i="41"/>
  <c r="F132" i="41"/>
  <c r="F133" i="41"/>
  <c r="F134" i="41"/>
  <c r="F135" i="41"/>
  <c r="F136" i="41"/>
  <c r="F137" i="41"/>
  <c r="F138" i="41"/>
  <c r="F139" i="41"/>
  <c r="F140" i="41"/>
  <c r="F141" i="41"/>
  <c r="F142" i="41"/>
  <c r="F143" i="41"/>
  <c r="F144" i="41"/>
  <c r="F145" i="41"/>
  <c r="F146" i="41"/>
  <c r="F147" i="41"/>
  <c r="F148" i="41"/>
  <c r="F149" i="41"/>
  <c r="F150" i="41"/>
  <c r="F151" i="41"/>
  <c r="F152" i="41"/>
  <c r="F153" i="41"/>
  <c r="F154" i="41"/>
  <c r="F155" i="41"/>
  <c r="F156" i="41"/>
  <c r="F157" i="41"/>
  <c r="F158" i="41"/>
  <c r="F159" i="41"/>
  <c r="F160" i="41"/>
  <c r="F161" i="41"/>
  <c r="F162" i="41"/>
  <c r="F163" i="41"/>
  <c r="F164" i="41"/>
  <c r="F165" i="41"/>
  <c r="F166" i="41"/>
  <c r="F167" i="41"/>
  <c r="F168" i="41"/>
  <c r="F169" i="41"/>
  <c r="F170" i="41"/>
  <c r="F171" i="41"/>
  <c r="F172" i="41"/>
  <c r="F173" i="41"/>
  <c r="F174" i="41"/>
  <c r="F175" i="41"/>
  <c r="F176" i="41"/>
  <c r="F177" i="41"/>
  <c r="F178" i="41"/>
  <c r="F179" i="41"/>
  <c r="F180" i="41"/>
  <c r="F181" i="41"/>
  <c r="F182" i="41"/>
  <c r="F183" i="41"/>
  <c r="F184" i="41"/>
  <c r="F185" i="41"/>
  <c r="F186" i="41"/>
  <c r="F187" i="41"/>
  <c r="F188" i="41"/>
  <c r="F189" i="41"/>
  <c r="F190" i="41"/>
  <c r="F191" i="41"/>
  <c r="F192" i="41"/>
  <c r="F193" i="41"/>
  <c r="F194" i="41"/>
  <c r="F195" i="41"/>
  <c r="F196" i="41"/>
  <c r="F197" i="41"/>
  <c r="F198" i="41"/>
  <c r="F199" i="41"/>
  <c r="F200" i="41"/>
  <c r="F201" i="41"/>
  <c r="F202" i="41"/>
  <c r="F203" i="41"/>
  <c r="F204" i="41"/>
  <c r="F205" i="41"/>
  <c r="F206" i="41"/>
  <c r="F207" i="41"/>
  <c r="F208" i="41"/>
  <c r="F209" i="41"/>
  <c r="F210" i="41"/>
  <c r="F211" i="41"/>
  <c r="F212" i="41"/>
  <c r="F213" i="41"/>
  <c r="F214" i="41"/>
  <c r="F215" i="41"/>
  <c r="F216" i="41"/>
  <c r="F217" i="41"/>
  <c r="F218" i="41"/>
  <c r="F219" i="41"/>
  <c r="F220" i="41"/>
  <c r="F221" i="41"/>
  <c r="F222" i="41"/>
  <c r="F223" i="41"/>
  <c r="F224" i="41"/>
  <c r="F225" i="41"/>
  <c r="F226" i="41"/>
  <c r="F227" i="41"/>
  <c r="F228" i="41"/>
  <c r="F229" i="41"/>
  <c r="F230" i="41"/>
  <c r="F231" i="41"/>
  <c r="F232" i="41"/>
  <c r="F233" i="41"/>
  <c r="F234" i="41"/>
  <c r="F235" i="41"/>
  <c r="F236" i="41"/>
  <c r="F237" i="41"/>
  <c r="F238" i="41"/>
  <c r="F239" i="41"/>
  <c r="F240" i="41"/>
  <c r="F241" i="41"/>
  <c r="F242" i="41"/>
  <c r="F243" i="41"/>
  <c r="F244" i="41"/>
  <c r="F245" i="41"/>
  <c r="F246" i="41"/>
  <c r="F247" i="41"/>
  <c r="F248" i="41"/>
  <c r="F249" i="41"/>
  <c r="F250" i="41"/>
  <c r="F251" i="41"/>
  <c r="F252" i="41"/>
  <c r="F253" i="41"/>
  <c r="F254" i="41"/>
  <c r="F255" i="41"/>
  <c r="F256" i="41"/>
  <c r="F257" i="41"/>
  <c r="F258" i="41"/>
  <c r="F259" i="41"/>
  <c r="F260" i="41"/>
  <c r="F261" i="41"/>
  <c r="F262" i="41"/>
  <c r="F263" i="41"/>
  <c r="F264" i="41"/>
  <c r="F265" i="41"/>
  <c r="F266" i="41"/>
  <c r="F267" i="41"/>
  <c r="F268" i="41"/>
  <c r="F269" i="41"/>
  <c r="F270" i="41"/>
  <c r="F271" i="41"/>
  <c r="F272" i="41"/>
  <c r="F273" i="41"/>
  <c r="F274" i="41"/>
  <c r="F275" i="41"/>
  <c r="F276" i="41"/>
  <c r="F277" i="41"/>
  <c r="F278" i="41"/>
  <c r="F279" i="41"/>
  <c r="F280" i="41"/>
  <c r="F281" i="41"/>
  <c r="F282" i="41"/>
  <c r="F283" i="41"/>
  <c r="F284" i="41"/>
  <c r="F285" i="41"/>
  <c r="F286" i="41"/>
  <c r="F287" i="41"/>
  <c r="F288" i="41"/>
  <c r="F289" i="41"/>
  <c r="F290" i="41"/>
  <c r="F291" i="41"/>
  <c r="F292" i="41"/>
  <c r="F293" i="41"/>
  <c r="F294" i="41"/>
  <c r="F295" i="41"/>
  <c r="F296" i="41"/>
  <c r="F297" i="41"/>
  <c r="F298" i="41"/>
  <c r="F299" i="41"/>
  <c r="F300" i="41"/>
  <c r="F301" i="41"/>
  <c r="F302" i="41"/>
  <c r="F303" i="41"/>
  <c r="F304" i="41"/>
  <c r="F305" i="41"/>
  <c r="F306" i="41"/>
  <c r="F307" i="41"/>
  <c r="F308" i="41"/>
  <c r="F309" i="41"/>
  <c r="F310" i="41"/>
  <c r="F311" i="41"/>
  <c r="F312" i="41"/>
  <c r="F313" i="41"/>
  <c r="F314" i="41"/>
  <c r="F315" i="41"/>
  <c r="F316" i="41"/>
  <c r="F317" i="41"/>
  <c r="F318" i="41"/>
  <c r="F319" i="41"/>
  <c r="F320" i="41"/>
  <c r="F321" i="41"/>
  <c r="F322" i="41"/>
  <c r="F323" i="41"/>
  <c r="F324" i="41"/>
  <c r="F325" i="41"/>
  <c r="F326" i="41"/>
  <c r="F327" i="41"/>
  <c r="F328" i="41"/>
  <c r="F329" i="41"/>
  <c r="F330" i="41"/>
  <c r="F331" i="41"/>
  <c r="F332" i="41"/>
  <c r="F333" i="41"/>
  <c r="F334" i="41"/>
  <c r="F335" i="41"/>
  <c r="F336" i="41"/>
  <c r="F337" i="41"/>
  <c r="F338" i="41"/>
  <c r="F339" i="41"/>
  <c r="F340" i="41"/>
  <c r="F341" i="41"/>
  <c r="F342" i="41"/>
  <c r="F343" i="41"/>
  <c r="F344" i="41"/>
  <c r="F345" i="41"/>
  <c r="F346" i="41"/>
  <c r="F347" i="41"/>
  <c r="F348" i="41"/>
  <c r="F349" i="41"/>
  <c r="F350" i="41"/>
  <c r="F351" i="41"/>
  <c r="F352" i="41"/>
  <c r="F353" i="41"/>
  <c r="F354" i="41"/>
  <c r="F355" i="41"/>
  <c r="F356" i="41"/>
  <c r="F357" i="41"/>
  <c r="F358" i="41"/>
  <c r="F359" i="41"/>
  <c r="F360" i="41"/>
  <c r="F361" i="41"/>
  <c r="F362" i="41"/>
  <c r="F363" i="41"/>
  <c r="F364" i="41"/>
  <c r="F365" i="41"/>
  <c r="F366" i="41"/>
  <c r="F367" i="41"/>
  <c r="F368" i="41"/>
  <c r="F369" i="41"/>
  <c r="F370" i="41"/>
  <c r="F371" i="41"/>
  <c r="F372" i="41"/>
  <c r="F373" i="41"/>
  <c r="F374" i="41"/>
  <c r="F375" i="41"/>
  <c r="F376" i="41"/>
  <c r="F377" i="41"/>
  <c r="F378" i="41"/>
  <c r="F379" i="41"/>
  <c r="F380" i="41"/>
  <c r="F381" i="41"/>
  <c r="F382" i="41"/>
  <c r="F383" i="41"/>
  <c r="F384" i="41"/>
  <c r="F385" i="41"/>
  <c r="F386" i="41"/>
  <c r="F387" i="41"/>
  <c r="F388" i="41"/>
  <c r="F389" i="41"/>
  <c r="F390" i="41"/>
  <c r="F391" i="41"/>
  <c r="F392" i="41"/>
  <c r="F393" i="41"/>
  <c r="F394" i="41"/>
  <c r="F395" i="41"/>
  <c r="F396" i="41"/>
  <c r="F397" i="41"/>
  <c r="F398" i="41"/>
  <c r="F399" i="41"/>
  <c r="F400" i="41"/>
  <c r="F401" i="41"/>
  <c r="F402" i="41"/>
  <c r="F403" i="41"/>
  <c r="F404" i="41"/>
  <c r="F405" i="41"/>
  <c r="F406" i="41"/>
  <c r="F407" i="41"/>
  <c r="F408" i="41"/>
  <c r="F409" i="41"/>
  <c r="F410" i="41"/>
  <c r="F411" i="41"/>
  <c r="F412" i="41"/>
  <c r="F413" i="41"/>
  <c r="F414" i="41"/>
  <c r="F415" i="41"/>
  <c r="F416" i="41"/>
  <c r="F417" i="41"/>
  <c r="F418" i="41"/>
  <c r="F419" i="41"/>
  <c r="F420" i="41"/>
  <c r="F421" i="41"/>
  <c r="F422" i="41"/>
  <c r="F423" i="41"/>
  <c r="F424" i="41"/>
  <c r="F425" i="41"/>
  <c r="F426" i="41"/>
  <c r="F427" i="41"/>
  <c r="F428" i="41"/>
  <c r="F429" i="41"/>
  <c r="F430" i="41"/>
  <c r="F431" i="41"/>
  <c r="F432" i="41"/>
  <c r="F433" i="41"/>
  <c r="F434" i="41"/>
  <c r="F435" i="41"/>
  <c r="F436" i="41"/>
  <c r="F437" i="41"/>
  <c r="F438" i="41"/>
  <c r="F439" i="41"/>
  <c r="F440" i="41"/>
  <c r="F441" i="41"/>
  <c r="F442" i="41"/>
  <c r="F443" i="41"/>
  <c r="F444" i="41"/>
  <c r="F445" i="41"/>
  <c r="F446" i="41"/>
  <c r="F447" i="41"/>
  <c r="F448" i="41"/>
  <c r="F449" i="41"/>
  <c r="F450" i="41"/>
  <c r="F451" i="41"/>
  <c r="F452" i="41"/>
  <c r="F453" i="41"/>
  <c r="F454" i="41"/>
  <c r="F455" i="41"/>
  <c r="F456" i="41"/>
  <c r="F457" i="41"/>
  <c r="F458" i="41"/>
  <c r="F459" i="41"/>
  <c r="F460" i="41"/>
  <c r="F461" i="41"/>
  <c r="F462" i="41"/>
  <c r="F463" i="41"/>
  <c r="F464" i="41"/>
  <c r="F465" i="41"/>
  <c r="F466" i="41"/>
  <c r="F467" i="41"/>
  <c r="F468" i="41"/>
  <c r="F469" i="41"/>
  <c r="F470" i="41"/>
  <c r="F471" i="41"/>
  <c r="F472" i="41"/>
  <c r="F473" i="41"/>
  <c r="F474" i="41"/>
  <c r="F475" i="41"/>
  <c r="F476" i="41"/>
  <c r="F477" i="41"/>
  <c r="F478" i="41"/>
  <c r="F479" i="41"/>
  <c r="F480" i="41"/>
  <c r="F481" i="41"/>
  <c r="F482" i="41"/>
  <c r="F483" i="41"/>
  <c r="F484" i="41"/>
  <c r="F485" i="41"/>
  <c r="F486" i="41"/>
  <c r="F487" i="41"/>
  <c r="F2" i="41"/>
  <c r="A252" i="41"/>
  <c r="B252" i="41"/>
  <c r="C252" i="41"/>
  <c r="D252" i="41"/>
  <c r="E252" i="41"/>
  <c r="G252" i="41"/>
  <c r="A253" i="41"/>
  <c r="B253" i="41"/>
  <c r="C253" i="41"/>
  <c r="D253" i="41"/>
  <c r="E253" i="41"/>
  <c r="G253" i="41"/>
  <c r="A254" i="41"/>
  <c r="B254" i="41"/>
  <c r="C254" i="41"/>
  <c r="D254" i="41"/>
  <c r="E254" i="41"/>
  <c r="G254" i="41"/>
  <c r="A255" i="41"/>
  <c r="B255" i="41"/>
  <c r="C255" i="41"/>
  <c r="D255" i="41"/>
  <c r="E255" i="41"/>
  <c r="G255" i="41"/>
  <c r="A256" i="41"/>
  <c r="B256" i="41"/>
  <c r="C256" i="41"/>
  <c r="D256" i="41"/>
  <c r="E256" i="41"/>
  <c r="G256" i="41"/>
  <c r="A257" i="41"/>
  <c r="B257" i="41"/>
  <c r="C257" i="41"/>
  <c r="D257" i="41"/>
  <c r="E257" i="41"/>
  <c r="G257" i="41"/>
  <c r="A258" i="41"/>
  <c r="B258" i="41"/>
  <c r="C258" i="41"/>
  <c r="D258" i="41"/>
  <c r="E258" i="41"/>
  <c r="G258" i="41"/>
  <c r="A259" i="41"/>
  <c r="B259" i="41"/>
  <c r="C259" i="41"/>
  <c r="D259" i="41"/>
  <c r="E259" i="41"/>
  <c r="G259" i="41"/>
  <c r="A260" i="41"/>
  <c r="B260" i="41"/>
  <c r="C260" i="41"/>
  <c r="D260" i="41"/>
  <c r="E260" i="41"/>
  <c r="G260" i="41"/>
  <c r="A261" i="41"/>
  <c r="B261" i="41"/>
  <c r="C261" i="41"/>
  <c r="D261" i="41"/>
  <c r="E261" i="41"/>
  <c r="G261" i="41"/>
  <c r="A262" i="41"/>
  <c r="B262" i="41"/>
  <c r="C262" i="41"/>
  <c r="D262" i="41"/>
  <c r="E262" i="41"/>
  <c r="G262" i="41"/>
  <c r="A263" i="41"/>
  <c r="B263" i="41"/>
  <c r="C263" i="41"/>
  <c r="D263" i="41"/>
  <c r="E263" i="41"/>
  <c r="G263" i="41"/>
  <c r="A264" i="41"/>
  <c r="B264" i="41"/>
  <c r="C264" i="41"/>
  <c r="D264" i="41"/>
  <c r="E264" i="41"/>
  <c r="G264" i="41"/>
  <c r="A265" i="41"/>
  <c r="B265" i="41"/>
  <c r="C265" i="41"/>
  <c r="D265" i="41"/>
  <c r="E265" i="41"/>
  <c r="G265" i="41"/>
  <c r="A266" i="41"/>
  <c r="B266" i="41"/>
  <c r="C266" i="41"/>
  <c r="D266" i="41"/>
  <c r="E266" i="41"/>
  <c r="G266" i="41"/>
  <c r="A267" i="41"/>
  <c r="B267" i="41"/>
  <c r="C267" i="41"/>
  <c r="D267" i="41"/>
  <c r="E267" i="41"/>
  <c r="G267" i="41"/>
  <c r="A268" i="41"/>
  <c r="B268" i="41"/>
  <c r="C268" i="41"/>
  <c r="D268" i="41"/>
  <c r="E268" i="41"/>
  <c r="G268" i="41"/>
  <c r="A269" i="41"/>
  <c r="B269" i="41"/>
  <c r="C269" i="41"/>
  <c r="D269" i="41"/>
  <c r="E269" i="41"/>
  <c r="G269" i="41"/>
  <c r="A270" i="41"/>
  <c r="B270" i="41"/>
  <c r="C270" i="41"/>
  <c r="D270" i="41"/>
  <c r="E270" i="41"/>
  <c r="G270" i="41"/>
  <c r="A271" i="41"/>
  <c r="B271" i="41"/>
  <c r="C271" i="41"/>
  <c r="D271" i="41"/>
  <c r="E271" i="41"/>
  <c r="G271" i="41"/>
  <c r="A272" i="41"/>
  <c r="B272" i="41"/>
  <c r="C272" i="41"/>
  <c r="D272" i="41"/>
  <c r="E272" i="41"/>
  <c r="G272" i="41"/>
  <c r="A273" i="41"/>
  <c r="B273" i="41"/>
  <c r="C273" i="41"/>
  <c r="D273" i="41"/>
  <c r="E273" i="41"/>
  <c r="G273" i="41"/>
  <c r="A274" i="41"/>
  <c r="B274" i="41"/>
  <c r="C274" i="41"/>
  <c r="D274" i="41"/>
  <c r="E274" i="41"/>
  <c r="G274" i="41"/>
  <c r="A275" i="41"/>
  <c r="B275" i="41"/>
  <c r="C275" i="41"/>
  <c r="D275" i="41"/>
  <c r="E275" i="41"/>
  <c r="G275" i="41"/>
  <c r="A276" i="41"/>
  <c r="B276" i="41"/>
  <c r="C276" i="41"/>
  <c r="D276" i="41"/>
  <c r="E276" i="41"/>
  <c r="G276" i="41"/>
  <c r="A277" i="41"/>
  <c r="B277" i="41"/>
  <c r="C277" i="41"/>
  <c r="D277" i="41"/>
  <c r="E277" i="41"/>
  <c r="G277" i="41"/>
  <c r="A278" i="41"/>
  <c r="B278" i="41"/>
  <c r="C278" i="41"/>
  <c r="D278" i="41"/>
  <c r="E278" i="41"/>
  <c r="G278" i="41"/>
  <c r="A279" i="41"/>
  <c r="B279" i="41"/>
  <c r="C279" i="41"/>
  <c r="D279" i="41"/>
  <c r="E279" i="41"/>
  <c r="G279" i="41"/>
  <c r="A280" i="41"/>
  <c r="B280" i="41"/>
  <c r="C280" i="41"/>
  <c r="D280" i="41"/>
  <c r="E280" i="41"/>
  <c r="G280" i="41"/>
  <c r="A281" i="41"/>
  <c r="B281" i="41"/>
  <c r="C281" i="41"/>
  <c r="D281" i="41"/>
  <c r="E281" i="41"/>
  <c r="G281" i="41"/>
  <c r="A282" i="41"/>
  <c r="B282" i="41"/>
  <c r="C282" i="41"/>
  <c r="D282" i="41"/>
  <c r="E282" i="41"/>
  <c r="G282" i="41"/>
  <c r="A283" i="41"/>
  <c r="B283" i="41"/>
  <c r="C283" i="41"/>
  <c r="D283" i="41"/>
  <c r="E283" i="41"/>
  <c r="G283" i="41"/>
  <c r="A284" i="41"/>
  <c r="B284" i="41"/>
  <c r="C284" i="41"/>
  <c r="D284" i="41"/>
  <c r="E284" i="41"/>
  <c r="G284" i="41"/>
  <c r="A285" i="41"/>
  <c r="B285" i="41"/>
  <c r="C285" i="41"/>
  <c r="D285" i="41"/>
  <c r="E285" i="41"/>
  <c r="G285" i="41"/>
  <c r="A286" i="41"/>
  <c r="B286" i="41"/>
  <c r="C286" i="41"/>
  <c r="D286" i="41"/>
  <c r="E286" i="41"/>
  <c r="G286" i="41"/>
  <c r="A287" i="41"/>
  <c r="B287" i="41"/>
  <c r="C287" i="41"/>
  <c r="D287" i="41"/>
  <c r="E287" i="41"/>
  <c r="G287" i="41"/>
  <c r="A288" i="41"/>
  <c r="B288" i="41"/>
  <c r="C288" i="41"/>
  <c r="D288" i="41"/>
  <c r="E288" i="41"/>
  <c r="G288" i="41"/>
  <c r="A289" i="41"/>
  <c r="B289" i="41"/>
  <c r="C289" i="41"/>
  <c r="D289" i="41"/>
  <c r="E289" i="41"/>
  <c r="G289" i="41"/>
  <c r="A290" i="41"/>
  <c r="B290" i="41"/>
  <c r="C290" i="41"/>
  <c r="D290" i="41"/>
  <c r="E290" i="41"/>
  <c r="G290" i="41"/>
  <c r="A291" i="41"/>
  <c r="B291" i="41"/>
  <c r="C291" i="41"/>
  <c r="D291" i="41"/>
  <c r="E291" i="41"/>
  <c r="G291" i="41"/>
  <c r="A292" i="41"/>
  <c r="B292" i="41"/>
  <c r="C292" i="41"/>
  <c r="D292" i="41"/>
  <c r="E292" i="41"/>
  <c r="G292" i="41"/>
  <c r="A293" i="41"/>
  <c r="B293" i="41"/>
  <c r="C293" i="41"/>
  <c r="D293" i="41"/>
  <c r="E293" i="41"/>
  <c r="G293" i="41"/>
  <c r="A294" i="41"/>
  <c r="B294" i="41"/>
  <c r="C294" i="41"/>
  <c r="D294" i="41"/>
  <c r="E294" i="41"/>
  <c r="G294" i="41"/>
  <c r="A295" i="41"/>
  <c r="B295" i="41"/>
  <c r="C295" i="41"/>
  <c r="D295" i="41"/>
  <c r="E295" i="41"/>
  <c r="G295" i="41"/>
  <c r="A296" i="41"/>
  <c r="B296" i="41"/>
  <c r="C296" i="41"/>
  <c r="D296" i="41"/>
  <c r="E296" i="41"/>
  <c r="G296" i="41"/>
  <c r="A297" i="41"/>
  <c r="B297" i="41"/>
  <c r="C297" i="41"/>
  <c r="D297" i="41"/>
  <c r="E297" i="41"/>
  <c r="G297" i="41"/>
  <c r="A298" i="41"/>
  <c r="B298" i="41"/>
  <c r="C298" i="41"/>
  <c r="D298" i="41"/>
  <c r="E298" i="41"/>
  <c r="G298" i="41"/>
  <c r="A299" i="41"/>
  <c r="B299" i="41"/>
  <c r="C299" i="41"/>
  <c r="D299" i="41"/>
  <c r="E299" i="41"/>
  <c r="G299" i="41"/>
  <c r="A300" i="41"/>
  <c r="B300" i="41"/>
  <c r="C300" i="41"/>
  <c r="D300" i="41"/>
  <c r="E300" i="41"/>
  <c r="G300" i="41"/>
  <c r="A301" i="41"/>
  <c r="B301" i="41"/>
  <c r="C301" i="41"/>
  <c r="D301" i="41"/>
  <c r="E301" i="41"/>
  <c r="G301" i="41"/>
  <c r="A302" i="41"/>
  <c r="B302" i="41"/>
  <c r="C302" i="41"/>
  <c r="D302" i="41"/>
  <c r="E302" i="41"/>
  <c r="G302" i="41"/>
  <c r="A303" i="41"/>
  <c r="B303" i="41"/>
  <c r="C303" i="41"/>
  <c r="D303" i="41"/>
  <c r="E303" i="41"/>
  <c r="G303" i="41"/>
  <c r="A304" i="41"/>
  <c r="B304" i="41"/>
  <c r="C304" i="41"/>
  <c r="D304" i="41"/>
  <c r="E304" i="41"/>
  <c r="G304" i="41"/>
  <c r="A305" i="41"/>
  <c r="B305" i="41"/>
  <c r="C305" i="41"/>
  <c r="D305" i="41"/>
  <c r="E305" i="41"/>
  <c r="G305" i="41"/>
  <c r="A306" i="41"/>
  <c r="B306" i="41"/>
  <c r="C306" i="41"/>
  <c r="D306" i="41"/>
  <c r="E306" i="41"/>
  <c r="G306" i="41"/>
  <c r="A307" i="41"/>
  <c r="B307" i="41"/>
  <c r="C307" i="41"/>
  <c r="D307" i="41"/>
  <c r="E307" i="41"/>
  <c r="G307" i="41"/>
  <c r="A308" i="41"/>
  <c r="B308" i="41"/>
  <c r="C308" i="41"/>
  <c r="D308" i="41"/>
  <c r="E308" i="41"/>
  <c r="G308" i="41"/>
  <c r="A309" i="41"/>
  <c r="B309" i="41"/>
  <c r="C309" i="41"/>
  <c r="D309" i="41"/>
  <c r="E309" i="41"/>
  <c r="G309" i="41"/>
  <c r="A310" i="41"/>
  <c r="B310" i="41"/>
  <c r="C310" i="41"/>
  <c r="D310" i="41"/>
  <c r="E310" i="41"/>
  <c r="G310" i="41"/>
  <c r="A311" i="41"/>
  <c r="B311" i="41"/>
  <c r="C311" i="41"/>
  <c r="D311" i="41"/>
  <c r="E311" i="41"/>
  <c r="G311" i="41"/>
  <c r="A312" i="41"/>
  <c r="B312" i="41"/>
  <c r="C312" i="41"/>
  <c r="D312" i="41"/>
  <c r="E312" i="41"/>
  <c r="G312" i="41"/>
  <c r="A313" i="41"/>
  <c r="B313" i="41"/>
  <c r="C313" i="41"/>
  <c r="D313" i="41"/>
  <c r="E313" i="41"/>
  <c r="G313" i="41"/>
  <c r="A314" i="41"/>
  <c r="B314" i="41"/>
  <c r="C314" i="41"/>
  <c r="D314" i="41"/>
  <c r="E314" i="41"/>
  <c r="G314" i="41"/>
  <c r="A315" i="41"/>
  <c r="B315" i="41"/>
  <c r="C315" i="41"/>
  <c r="D315" i="41"/>
  <c r="E315" i="41"/>
  <c r="G315" i="41"/>
  <c r="A316" i="41"/>
  <c r="B316" i="41"/>
  <c r="C316" i="41"/>
  <c r="D316" i="41"/>
  <c r="E316" i="41"/>
  <c r="G316" i="41"/>
  <c r="A317" i="41"/>
  <c r="B317" i="41"/>
  <c r="C317" i="41"/>
  <c r="D317" i="41"/>
  <c r="E317" i="41"/>
  <c r="G317" i="41"/>
  <c r="A318" i="41"/>
  <c r="B318" i="41"/>
  <c r="C318" i="41"/>
  <c r="D318" i="41"/>
  <c r="E318" i="41"/>
  <c r="G318" i="41"/>
  <c r="A319" i="41"/>
  <c r="B319" i="41"/>
  <c r="C319" i="41"/>
  <c r="D319" i="41"/>
  <c r="E319" i="41"/>
  <c r="G319" i="41"/>
  <c r="A320" i="41"/>
  <c r="B320" i="41"/>
  <c r="C320" i="41"/>
  <c r="D320" i="41"/>
  <c r="E320" i="41"/>
  <c r="G320" i="41"/>
  <c r="A321" i="41"/>
  <c r="B321" i="41"/>
  <c r="C321" i="41"/>
  <c r="D321" i="41"/>
  <c r="E321" i="41"/>
  <c r="G321" i="41"/>
  <c r="A322" i="41"/>
  <c r="B322" i="41"/>
  <c r="C322" i="41"/>
  <c r="D322" i="41"/>
  <c r="E322" i="41"/>
  <c r="G322" i="41"/>
  <c r="A323" i="41"/>
  <c r="B323" i="41"/>
  <c r="C323" i="41"/>
  <c r="D323" i="41"/>
  <c r="E323" i="41"/>
  <c r="G323" i="41"/>
  <c r="A324" i="41"/>
  <c r="B324" i="41"/>
  <c r="C324" i="41"/>
  <c r="D324" i="41"/>
  <c r="E324" i="41"/>
  <c r="G324" i="41"/>
  <c r="A325" i="41"/>
  <c r="B325" i="41"/>
  <c r="C325" i="41"/>
  <c r="D325" i="41"/>
  <c r="E325" i="41"/>
  <c r="G325" i="41"/>
  <c r="A326" i="41"/>
  <c r="B326" i="41"/>
  <c r="C326" i="41"/>
  <c r="D326" i="41"/>
  <c r="E326" i="41"/>
  <c r="G326" i="41"/>
  <c r="A327" i="41"/>
  <c r="B327" i="41"/>
  <c r="C327" i="41"/>
  <c r="D327" i="41"/>
  <c r="E327" i="41"/>
  <c r="G327" i="41"/>
  <c r="A328" i="41"/>
  <c r="B328" i="41"/>
  <c r="C328" i="41"/>
  <c r="D328" i="41"/>
  <c r="E328" i="41"/>
  <c r="G328" i="41"/>
  <c r="A329" i="41"/>
  <c r="B329" i="41"/>
  <c r="C329" i="41"/>
  <c r="D329" i="41"/>
  <c r="E329" i="41"/>
  <c r="G329" i="41"/>
  <c r="A330" i="41"/>
  <c r="B330" i="41"/>
  <c r="C330" i="41"/>
  <c r="D330" i="41"/>
  <c r="E330" i="41"/>
  <c r="G330" i="41"/>
  <c r="A331" i="41"/>
  <c r="B331" i="41"/>
  <c r="C331" i="41"/>
  <c r="D331" i="41"/>
  <c r="E331" i="41"/>
  <c r="G331" i="41"/>
  <c r="A332" i="41"/>
  <c r="B332" i="41"/>
  <c r="C332" i="41"/>
  <c r="D332" i="41"/>
  <c r="E332" i="41"/>
  <c r="G332" i="41"/>
  <c r="A333" i="41"/>
  <c r="B333" i="41"/>
  <c r="C333" i="41"/>
  <c r="D333" i="41"/>
  <c r="E333" i="41"/>
  <c r="G333" i="41"/>
  <c r="A334" i="41"/>
  <c r="B334" i="41"/>
  <c r="C334" i="41"/>
  <c r="D334" i="41"/>
  <c r="E334" i="41"/>
  <c r="G334" i="41"/>
  <c r="A335" i="41"/>
  <c r="B335" i="41"/>
  <c r="C335" i="41"/>
  <c r="D335" i="41"/>
  <c r="E335" i="41"/>
  <c r="G335" i="41"/>
  <c r="A336" i="41"/>
  <c r="B336" i="41"/>
  <c r="C336" i="41"/>
  <c r="D336" i="41"/>
  <c r="E336" i="41"/>
  <c r="G336" i="41"/>
  <c r="A337" i="41"/>
  <c r="B337" i="41"/>
  <c r="C337" i="41"/>
  <c r="D337" i="41"/>
  <c r="E337" i="41"/>
  <c r="G337" i="41"/>
  <c r="A338" i="41"/>
  <c r="B338" i="41"/>
  <c r="C338" i="41"/>
  <c r="D338" i="41"/>
  <c r="E338" i="41"/>
  <c r="G338" i="41"/>
  <c r="A339" i="41"/>
  <c r="B339" i="41"/>
  <c r="C339" i="41"/>
  <c r="D339" i="41"/>
  <c r="E339" i="41"/>
  <c r="G339" i="41"/>
  <c r="A340" i="41"/>
  <c r="B340" i="41"/>
  <c r="C340" i="41"/>
  <c r="D340" i="41"/>
  <c r="E340" i="41"/>
  <c r="G340" i="41"/>
  <c r="A341" i="41"/>
  <c r="B341" i="41"/>
  <c r="C341" i="41"/>
  <c r="D341" i="41"/>
  <c r="E341" i="41"/>
  <c r="G341" i="41"/>
  <c r="A342" i="41"/>
  <c r="B342" i="41"/>
  <c r="C342" i="41"/>
  <c r="D342" i="41"/>
  <c r="E342" i="41"/>
  <c r="G342" i="41"/>
  <c r="A343" i="41"/>
  <c r="B343" i="41"/>
  <c r="C343" i="41"/>
  <c r="D343" i="41"/>
  <c r="E343" i="41"/>
  <c r="G343" i="41"/>
  <c r="A344" i="41"/>
  <c r="B344" i="41"/>
  <c r="C344" i="41"/>
  <c r="D344" i="41"/>
  <c r="E344" i="41"/>
  <c r="G344" i="41"/>
  <c r="A345" i="41"/>
  <c r="B345" i="41"/>
  <c r="C345" i="41"/>
  <c r="D345" i="41"/>
  <c r="E345" i="41"/>
  <c r="G345" i="41"/>
  <c r="A346" i="41"/>
  <c r="B346" i="41"/>
  <c r="C346" i="41"/>
  <c r="D346" i="41"/>
  <c r="E346" i="41"/>
  <c r="G346" i="41"/>
  <c r="A347" i="41"/>
  <c r="B347" i="41"/>
  <c r="C347" i="41"/>
  <c r="D347" i="41"/>
  <c r="E347" i="41"/>
  <c r="G347" i="41"/>
  <c r="A348" i="41"/>
  <c r="B348" i="41"/>
  <c r="C348" i="41"/>
  <c r="D348" i="41"/>
  <c r="E348" i="41"/>
  <c r="G348" i="41"/>
  <c r="A349" i="41"/>
  <c r="B349" i="41"/>
  <c r="C349" i="41"/>
  <c r="D349" i="41"/>
  <c r="E349" i="41"/>
  <c r="G349" i="41"/>
  <c r="A350" i="41"/>
  <c r="B350" i="41"/>
  <c r="C350" i="41"/>
  <c r="D350" i="41"/>
  <c r="E350" i="41"/>
  <c r="G350" i="41"/>
  <c r="A351" i="41"/>
  <c r="B351" i="41"/>
  <c r="C351" i="41"/>
  <c r="D351" i="41"/>
  <c r="E351" i="41"/>
  <c r="G351" i="41"/>
  <c r="A352" i="41"/>
  <c r="B352" i="41"/>
  <c r="C352" i="41"/>
  <c r="D352" i="41"/>
  <c r="E352" i="41"/>
  <c r="G352" i="41"/>
  <c r="A353" i="41"/>
  <c r="B353" i="41"/>
  <c r="C353" i="41"/>
  <c r="D353" i="41"/>
  <c r="E353" i="41"/>
  <c r="G353" i="41"/>
  <c r="A354" i="41"/>
  <c r="B354" i="41"/>
  <c r="C354" i="41"/>
  <c r="D354" i="41"/>
  <c r="E354" i="41"/>
  <c r="G354" i="41"/>
  <c r="A355" i="41"/>
  <c r="B355" i="41"/>
  <c r="C355" i="41"/>
  <c r="D355" i="41"/>
  <c r="E355" i="41"/>
  <c r="G355" i="41"/>
  <c r="A356" i="41"/>
  <c r="B356" i="41"/>
  <c r="C356" i="41"/>
  <c r="D356" i="41"/>
  <c r="E356" i="41"/>
  <c r="G356" i="41"/>
  <c r="A357" i="41"/>
  <c r="B357" i="41"/>
  <c r="C357" i="41"/>
  <c r="D357" i="41"/>
  <c r="E357" i="41"/>
  <c r="G357" i="41"/>
  <c r="A358" i="41"/>
  <c r="B358" i="41"/>
  <c r="C358" i="41"/>
  <c r="D358" i="41"/>
  <c r="E358" i="41"/>
  <c r="G358" i="41"/>
  <c r="A359" i="41"/>
  <c r="B359" i="41"/>
  <c r="C359" i="41"/>
  <c r="D359" i="41"/>
  <c r="E359" i="41"/>
  <c r="G359" i="41"/>
  <c r="A360" i="41"/>
  <c r="B360" i="41"/>
  <c r="C360" i="41"/>
  <c r="D360" i="41"/>
  <c r="E360" i="41"/>
  <c r="G360" i="41"/>
  <c r="A361" i="41"/>
  <c r="B361" i="41"/>
  <c r="C361" i="41"/>
  <c r="D361" i="41"/>
  <c r="E361" i="41"/>
  <c r="G361" i="41"/>
  <c r="A362" i="41"/>
  <c r="B362" i="41"/>
  <c r="C362" i="41"/>
  <c r="D362" i="41"/>
  <c r="E362" i="41"/>
  <c r="G362" i="41"/>
  <c r="A363" i="41"/>
  <c r="B363" i="41"/>
  <c r="C363" i="41"/>
  <c r="D363" i="41"/>
  <c r="E363" i="41"/>
  <c r="G363" i="41"/>
  <c r="A364" i="41"/>
  <c r="B364" i="41"/>
  <c r="C364" i="41"/>
  <c r="D364" i="41"/>
  <c r="E364" i="41"/>
  <c r="G364" i="41"/>
  <c r="A365" i="41"/>
  <c r="B365" i="41"/>
  <c r="C365" i="41"/>
  <c r="D365" i="41"/>
  <c r="E365" i="41"/>
  <c r="G365" i="41"/>
  <c r="A366" i="41"/>
  <c r="B366" i="41"/>
  <c r="C366" i="41"/>
  <c r="D366" i="41"/>
  <c r="E366" i="41"/>
  <c r="G366" i="41"/>
  <c r="A367" i="41"/>
  <c r="B367" i="41"/>
  <c r="C367" i="41"/>
  <c r="D367" i="41"/>
  <c r="E367" i="41"/>
  <c r="G367" i="41"/>
  <c r="A368" i="41"/>
  <c r="B368" i="41"/>
  <c r="C368" i="41"/>
  <c r="D368" i="41"/>
  <c r="E368" i="41"/>
  <c r="G368" i="41"/>
  <c r="A369" i="41"/>
  <c r="B369" i="41"/>
  <c r="C369" i="41"/>
  <c r="D369" i="41"/>
  <c r="E369" i="41"/>
  <c r="G369" i="41"/>
  <c r="A370" i="41"/>
  <c r="B370" i="41"/>
  <c r="C370" i="41"/>
  <c r="D370" i="41"/>
  <c r="E370" i="41"/>
  <c r="G370" i="41"/>
  <c r="A371" i="41"/>
  <c r="B371" i="41"/>
  <c r="C371" i="41"/>
  <c r="D371" i="41"/>
  <c r="E371" i="41"/>
  <c r="G371" i="41"/>
  <c r="A372" i="41"/>
  <c r="B372" i="41"/>
  <c r="C372" i="41"/>
  <c r="D372" i="41"/>
  <c r="E372" i="41"/>
  <c r="G372" i="41"/>
  <c r="A373" i="41"/>
  <c r="B373" i="41"/>
  <c r="C373" i="41"/>
  <c r="D373" i="41"/>
  <c r="E373" i="41"/>
  <c r="G373" i="41"/>
  <c r="A374" i="41"/>
  <c r="B374" i="41"/>
  <c r="C374" i="41"/>
  <c r="D374" i="41"/>
  <c r="E374" i="41"/>
  <c r="G374" i="41"/>
  <c r="A375" i="41"/>
  <c r="B375" i="41"/>
  <c r="C375" i="41"/>
  <c r="D375" i="41"/>
  <c r="E375" i="41"/>
  <c r="G375" i="41"/>
  <c r="A376" i="41"/>
  <c r="B376" i="41"/>
  <c r="C376" i="41"/>
  <c r="D376" i="41"/>
  <c r="E376" i="41"/>
  <c r="G376" i="41"/>
  <c r="A377" i="41"/>
  <c r="B377" i="41"/>
  <c r="C377" i="41"/>
  <c r="D377" i="41"/>
  <c r="E377" i="41"/>
  <c r="G377" i="41"/>
  <c r="A378" i="41"/>
  <c r="B378" i="41"/>
  <c r="C378" i="41"/>
  <c r="D378" i="41"/>
  <c r="E378" i="41"/>
  <c r="G378" i="41"/>
  <c r="A379" i="41"/>
  <c r="B379" i="41"/>
  <c r="C379" i="41"/>
  <c r="D379" i="41"/>
  <c r="E379" i="41"/>
  <c r="G379" i="41"/>
  <c r="A380" i="41"/>
  <c r="B380" i="41"/>
  <c r="C380" i="41"/>
  <c r="D380" i="41"/>
  <c r="E380" i="41"/>
  <c r="G380" i="41"/>
  <c r="A381" i="41"/>
  <c r="B381" i="41"/>
  <c r="C381" i="41"/>
  <c r="D381" i="41"/>
  <c r="E381" i="41"/>
  <c r="G381" i="41"/>
  <c r="A382" i="41"/>
  <c r="B382" i="41"/>
  <c r="C382" i="41"/>
  <c r="D382" i="41"/>
  <c r="E382" i="41"/>
  <c r="G382" i="41"/>
  <c r="A383" i="41"/>
  <c r="B383" i="41"/>
  <c r="C383" i="41"/>
  <c r="D383" i="41"/>
  <c r="E383" i="41"/>
  <c r="G383" i="41"/>
  <c r="A384" i="41"/>
  <c r="B384" i="41"/>
  <c r="C384" i="41"/>
  <c r="D384" i="41"/>
  <c r="E384" i="41"/>
  <c r="G384" i="41"/>
  <c r="A385" i="41"/>
  <c r="B385" i="41"/>
  <c r="C385" i="41"/>
  <c r="D385" i="41"/>
  <c r="E385" i="41"/>
  <c r="G385" i="41"/>
  <c r="A386" i="41"/>
  <c r="B386" i="41"/>
  <c r="C386" i="41"/>
  <c r="D386" i="41"/>
  <c r="E386" i="41"/>
  <c r="G386" i="41"/>
  <c r="A387" i="41"/>
  <c r="B387" i="41"/>
  <c r="C387" i="41"/>
  <c r="D387" i="41"/>
  <c r="E387" i="41"/>
  <c r="G387" i="41"/>
  <c r="A388" i="41"/>
  <c r="B388" i="41"/>
  <c r="C388" i="41"/>
  <c r="D388" i="41"/>
  <c r="E388" i="41"/>
  <c r="G388" i="41"/>
  <c r="A389" i="41"/>
  <c r="B389" i="41"/>
  <c r="C389" i="41"/>
  <c r="D389" i="41"/>
  <c r="E389" i="41"/>
  <c r="G389" i="41"/>
  <c r="A390" i="41"/>
  <c r="B390" i="41"/>
  <c r="C390" i="41"/>
  <c r="D390" i="41"/>
  <c r="E390" i="41"/>
  <c r="G390" i="41"/>
  <c r="A391" i="41"/>
  <c r="B391" i="41"/>
  <c r="C391" i="41"/>
  <c r="D391" i="41"/>
  <c r="E391" i="41"/>
  <c r="G391" i="41"/>
  <c r="A392" i="41"/>
  <c r="B392" i="41"/>
  <c r="C392" i="41"/>
  <c r="D392" i="41"/>
  <c r="E392" i="41"/>
  <c r="G392" i="41"/>
  <c r="A393" i="41"/>
  <c r="B393" i="41"/>
  <c r="C393" i="41"/>
  <c r="D393" i="41"/>
  <c r="E393" i="41"/>
  <c r="G393" i="41"/>
  <c r="A394" i="41"/>
  <c r="B394" i="41"/>
  <c r="C394" i="41"/>
  <c r="D394" i="41"/>
  <c r="E394" i="41"/>
  <c r="G394" i="41"/>
  <c r="A395" i="41"/>
  <c r="B395" i="41"/>
  <c r="C395" i="41"/>
  <c r="D395" i="41"/>
  <c r="E395" i="41"/>
  <c r="G395" i="41"/>
  <c r="A396" i="41"/>
  <c r="B396" i="41"/>
  <c r="C396" i="41"/>
  <c r="D396" i="41"/>
  <c r="E396" i="41"/>
  <c r="G396" i="41"/>
  <c r="A397" i="41"/>
  <c r="B397" i="41"/>
  <c r="C397" i="41"/>
  <c r="D397" i="41"/>
  <c r="E397" i="41"/>
  <c r="G397" i="41"/>
  <c r="A398" i="41"/>
  <c r="B398" i="41"/>
  <c r="C398" i="41"/>
  <c r="D398" i="41"/>
  <c r="E398" i="41"/>
  <c r="G398" i="41"/>
  <c r="A399" i="41"/>
  <c r="B399" i="41"/>
  <c r="C399" i="41"/>
  <c r="D399" i="41"/>
  <c r="E399" i="41"/>
  <c r="G399" i="41"/>
  <c r="A400" i="41"/>
  <c r="B400" i="41"/>
  <c r="C400" i="41"/>
  <c r="D400" i="41"/>
  <c r="E400" i="41"/>
  <c r="G400" i="41"/>
  <c r="A401" i="41"/>
  <c r="B401" i="41"/>
  <c r="C401" i="41"/>
  <c r="D401" i="41"/>
  <c r="E401" i="41"/>
  <c r="G401" i="41"/>
  <c r="A402" i="41"/>
  <c r="B402" i="41"/>
  <c r="C402" i="41"/>
  <c r="D402" i="41"/>
  <c r="E402" i="41"/>
  <c r="G402" i="41"/>
  <c r="A403" i="41"/>
  <c r="B403" i="41"/>
  <c r="C403" i="41"/>
  <c r="D403" i="41"/>
  <c r="E403" i="41"/>
  <c r="G403" i="41"/>
  <c r="A404" i="41"/>
  <c r="B404" i="41"/>
  <c r="C404" i="41"/>
  <c r="D404" i="41"/>
  <c r="E404" i="41"/>
  <c r="G404" i="41"/>
  <c r="A405" i="41"/>
  <c r="B405" i="41"/>
  <c r="C405" i="41"/>
  <c r="D405" i="41"/>
  <c r="E405" i="41"/>
  <c r="G405" i="41"/>
  <c r="A406" i="41"/>
  <c r="B406" i="41"/>
  <c r="C406" i="41"/>
  <c r="D406" i="41"/>
  <c r="E406" i="41"/>
  <c r="G406" i="41"/>
  <c r="A407" i="41"/>
  <c r="B407" i="41"/>
  <c r="C407" i="41"/>
  <c r="D407" i="41"/>
  <c r="E407" i="41"/>
  <c r="G407" i="41"/>
  <c r="A408" i="41"/>
  <c r="B408" i="41"/>
  <c r="C408" i="41"/>
  <c r="D408" i="41"/>
  <c r="E408" i="41"/>
  <c r="G408" i="41"/>
  <c r="A409" i="41"/>
  <c r="B409" i="41"/>
  <c r="C409" i="41"/>
  <c r="D409" i="41"/>
  <c r="E409" i="41"/>
  <c r="G409" i="41"/>
  <c r="A410" i="41"/>
  <c r="B410" i="41"/>
  <c r="C410" i="41"/>
  <c r="D410" i="41"/>
  <c r="E410" i="41"/>
  <c r="G410" i="41"/>
  <c r="A411" i="41"/>
  <c r="B411" i="41"/>
  <c r="C411" i="41"/>
  <c r="D411" i="41"/>
  <c r="E411" i="41"/>
  <c r="G411" i="41"/>
  <c r="A412" i="41"/>
  <c r="B412" i="41"/>
  <c r="C412" i="41"/>
  <c r="D412" i="41"/>
  <c r="E412" i="41"/>
  <c r="G412" i="41"/>
  <c r="A413" i="41"/>
  <c r="B413" i="41"/>
  <c r="C413" i="41"/>
  <c r="D413" i="41"/>
  <c r="E413" i="41"/>
  <c r="G413" i="41"/>
  <c r="A414" i="41"/>
  <c r="B414" i="41"/>
  <c r="C414" i="41"/>
  <c r="D414" i="41"/>
  <c r="E414" i="41"/>
  <c r="G414" i="41"/>
  <c r="A415" i="41"/>
  <c r="B415" i="41"/>
  <c r="C415" i="41"/>
  <c r="D415" i="41"/>
  <c r="E415" i="41"/>
  <c r="G415" i="41"/>
  <c r="A416" i="41"/>
  <c r="B416" i="41"/>
  <c r="C416" i="41"/>
  <c r="D416" i="41"/>
  <c r="E416" i="41"/>
  <c r="G416" i="41"/>
  <c r="A417" i="41"/>
  <c r="B417" i="41"/>
  <c r="C417" i="41"/>
  <c r="D417" i="41"/>
  <c r="E417" i="41"/>
  <c r="G417" i="41"/>
  <c r="A418" i="41"/>
  <c r="B418" i="41"/>
  <c r="C418" i="41"/>
  <c r="D418" i="41"/>
  <c r="E418" i="41"/>
  <c r="G418" i="41"/>
  <c r="A419" i="41"/>
  <c r="B419" i="41"/>
  <c r="C419" i="41"/>
  <c r="D419" i="41"/>
  <c r="E419" i="41"/>
  <c r="G419" i="41"/>
  <c r="A420" i="41"/>
  <c r="B420" i="41"/>
  <c r="C420" i="41"/>
  <c r="D420" i="41"/>
  <c r="E420" i="41"/>
  <c r="G420" i="41"/>
  <c r="A421" i="41"/>
  <c r="B421" i="41"/>
  <c r="C421" i="41"/>
  <c r="D421" i="41"/>
  <c r="E421" i="41"/>
  <c r="G421" i="41"/>
  <c r="A422" i="41"/>
  <c r="B422" i="41"/>
  <c r="C422" i="41"/>
  <c r="D422" i="41"/>
  <c r="E422" i="41"/>
  <c r="G422" i="41"/>
  <c r="A423" i="41"/>
  <c r="B423" i="41"/>
  <c r="C423" i="41"/>
  <c r="D423" i="41"/>
  <c r="E423" i="41"/>
  <c r="G423" i="41"/>
  <c r="A424" i="41"/>
  <c r="B424" i="41"/>
  <c r="C424" i="41"/>
  <c r="D424" i="41"/>
  <c r="E424" i="41"/>
  <c r="G424" i="41"/>
  <c r="A425" i="41"/>
  <c r="B425" i="41"/>
  <c r="C425" i="41"/>
  <c r="D425" i="41"/>
  <c r="E425" i="41"/>
  <c r="G425" i="41"/>
  <c r="A426" i="41"/>
  <c r="B426" i="41"/>
  <c r="C426" i="41"/>
  <c r="D426" i="41"/>
  <c r="E426" i="41"/>
  <c r="G426" i="41"/>
  <c r="A427" i="41"/>
  <c r="B427" i="41"/>
  <c r="C427" i="41"/>
  <c r="D427" i="41"/>
  <c r="E427" i="41"/>
  <c r="G427" i="41"/>
  <c r="A428" i="41"/>
  <c r="B428" i="41"/>
  <c r="C428" i="41"/>
  <c r="D428" i="41"/>
  <c r="E428" i="41"/>
  <c r="G428" i="41"/>
  <c r="A429" i="41"/>
  <c r="B429" i="41"/>
  <c r="C429" i="41"/>
  <c r="D429" i="41"/>
  <c r="E429" i="41"/>
  <c r="G429" i="41"/>
  <c r="A430" i="41"/>
  <c r="B430" i="41"/>
  <c r="C430" i="41"/>
  <c r="D430" i="41"/>
  <c r="E430" i="41"/>
  <c r="G430" i="41"/>
  <c r="A431" i="41"/>
  <c r="B431" i="41"/>
  <c r="C431" i="41"/>
  <c r="D431" i="41"/>
  <c r="E431" i="41"/>
  <c r="G431" i="41"/>
  <c r="A432" i="41"/>
  <c r="B432" i="41"/>
  <c r="C432" i="41"/>
  <c r="D432" i="41"/>
  <c r="E432" i="41"/>
  <c r="G432" i="41"/>
  <c r="A433" i="41"/>
  <c r="B433" i="41"/>
  <c r="C433" i="41"/>
  <c r="D433" i="41"/>
  <c r="E433" i="41"/>
  <c r="G433" i="41"/>
  <c r="A434" i="41"/>
  <c r="B434" i="41"/>
  <c r="C434" i="41"/>
  <c r="D434" i="41"/>
  <c r="E434" i="41"/>
  <c r="G434" i="41"/>
  <c r="A435" i="41"/>
  <c r="B435" i="41"/>
  <c r="C435" i="41"/>
  <c r="D435" i="41"/>
  <c r="E435" i="41"/>
  <c r="G435" i="41"/>
  <c r="A436" i="41"/>
  <c r="B436" i="41"/>
  <c r="C436" i="41"/>
  <c r="D436" i="41"/>
  <c r="E436" i="41"/>
  <c r="G436" i="41"/>
  <c r="A437" i="41"/>
  <c r="B437" i="41"/>
  <c r="C437" i="41"/>
  <c r="D437" i="41"/>
  <c r="E437" i="41"/>
  <c r="G437" i="41"/>
  <c r="A438" i="41"/>
  <c r="B438" i="41"/>
  <c r="C438" i="41"/>
  <c r="D438" i="41"/>
  <c r="E438" i="41"/>
  <c r="G438" i="41"/>
  <c r="A439" i="41"/>
  <c r="B439" i="41"/>
  <c r="C439" i="41"/>
  <c r="D439" i="41"/>
  <c r="E439" i="41"/>
  <c r="G439" i="41"/>
  <c r="A440" i="41"/>
  <c r="B440" i="41"/>
  <c r="C440" i="41"/>
  <c r="D440" i="41"/>
  <c r="E440" i="41"/>
  <c r="G440" i="41"/>
  <c r="A441" i="41"/>
  <c r="B441" i="41"/>
  <c r="C441" i="41"/>
  <c r="D441" i="41"/>
  <c r="E441" i="41"/>
  <c r="G441" i="41"/>
  <c r="A442" i="41"/>
  <c r="B442" i="41"/>
  <c r="C442" i="41"/>
  <c r="D442" i="41"/>
  <c r="E442" i="41"/>
  <c r="G442" i="41"/>
  <c r="A443" i="41"/>
  <c r="B443" i="41"/>
  <c r="C443" i="41"/>
  <c r="D443" i="41"/>
  <c r="E443" i="41"/>
  <c r="G443" i="41"/>
  <c r="A444" i="41"/>
  <c r="B444" i="41"/>
  <c r="C444" i="41"/>
  <c r="D444" i="41"/>
  <c r="E444" i="41"/>
  <c r="G444" i="41"/>
  <c r="A445" i="41"/>
  <c r="B445" i="41"/>
  <c r="C445" i="41"/>
  <c r="D445" i="41"/>
  <c r="E445" i="41"/>
  <c r="G445" i="41"/>
  <c r="A446" i="41"/>
  <c r="B446" i="41"/>
  <c r="C446" i="41"/>
  <c r="D446" i="41"/>
  <c r="E446" i="41"/>
  <c r="G446" i="41"/>
  <c r="A447" i="41"/>
  <c r="B447" i="41"/>
  <c r="C447" i="41"/>
  <c r="D447" i="41"/>
  <c r="E447" i="41"/>
  <c r="G447" i="41"/>
  <c r="A448" i="41"/>
  <c r="B448" i="41"/>
  <c r="C448" i="41"/>
  <c r="D448" i="41"/>
  <c r="E448" i="41"/>
  <c r="G448" i="41"/>
  <c r="A449" i="41"/>
  <c r="B449" i="41"/>
  <c r="C449" i="41"/>
  <c r="D449" i="41"/>
  <c r="E449" i="41"/>
  <c r="G449" i="41"/>
  <c r="A450" i="41"/>
  <c r="B450" i="41"/>
  <c r="C450" i="41"/>
  <c r="D450" i="41"/>
  <c r="E450" i="41"/>
  <c r="G450" i="41"/>
  <c r="A451" i="41"/>
  <c r="B451" i="41"/>
  <c r="C451" i="41"/>
  <c r="D451" i="41"/>
  <c r="E451" i="41"/>
  <c r="G451" i="41"/>
  <c r="A452" i="41"/>
  <c r="B452" i="41"/>
  <c r="C452" i="41"/>
  <c r="D452" i="41"/>
  <c r="E452" i="41"/>
  <c r="G452" i="41"/>
  <c r="A453" i="41"/>
  <c r="B453" i="41"/>
  <c r="C453" i="41"/>
  <c r="D453" i="41"/>
  <c r="E453" i="41"/>
  <c r="G453" i="41"/>
  <c r="A454" i="41"/>
  <c r="B454" i="41"/>
  <c r="C454" i="41"/>
  <c r="D454" i="41"/>
  <c r="E454" i="41"/>
  <c r="G454" i="41"/>
  <c r="A455" i="41"/>
  <c r="B455" i="41"/>
  <c r="C455" i="41"/>
  <c r="D455" i="41"/>
  <c r="E455" i="41"/>
  <c r="G455" i="41"/>
  <c r="A456" i="41"/>
  <c r="B456" i="41"/>
  <c r="C456" i="41"/>
  <c r="D456" i="41"/>
  <c r="E456" i="41"/>
  <c r="G456" i="41"/>
  <c r="A457" i="41"/>
  <c r="B457" i="41"/>
  <c r="C457" i="41"/>
  <c r="D457" i="41"/>
  <c r="E457" i="41"/>
  <c r="G457" i="41"/>
  <c r="A458" i="41"/>
  <c r="B458" i="41"/>
  <c r="C458" i="41"/>
  <c r="D458" i="41"/>
  <c r="E458" i="41"/>
  <c r="G458" i="41"/>
  <c r="A459" i="41"/>
  <c r="B459" i="41"/>
  <c r="C459" i="41"/>
  <c r="D459" i="41"/>
  <c r="E459" i="41"/>
  <c r="G459" i="41"/>
  <c r="A460" i="41"/>
  <c r="B460" i="41"/>
  <c r="C460" i="41"/>
  <c r="D460" i="41"/>
  <c r="E460" i="41"/>
  <c r="G460" i="41"/>
  <c r="A461" i="41"/>
  <c r="B461" i="41"/>
  <c r="C461" i="41"/>
  <c r="D461" i="41"/>
  <c r="E461" i="41"/>
  <c r="G461" i="41"/>
  <c r="A462" i="41"/>
  <c r="B462" i="41"/>
  <c r="C462" i="41"/>
  <c r="D462" i="41"/>
  <c r="E462" i="41"/>
  <c r="G462" i="41"/>
  <c r="A463" i="41"/>
  <c r="B463" i="41"/>
  <c r="C463" i="41"/>
  <c r="D463" i="41"/>
  <c r="E463" i="41"/>
  <c r="G463" i="41"/>
  <c r="A464" i="41"/>
  <c r="B464" i="41"/>
  <c r="C464" i="41"/>
  <c r="D464" i="41"/>
  <c r="E464" i="41"/>
  <c r="G464" i="41"/>
  <c r="A465" i="41"/>
  <c r="B465" i="41"/>
  <c r="C465" i="41"/>
  <c r="D465" i="41"/>
  <c r="E465" i="41"/>
  <c r="G465" i="41"/>
  <c r="A466" i="41"/>
  <c r="B466" i="41"/>
  <c r="C466" i="41"/>
  <c r="D466" i="41"/>
  <c r="E466" i="41"/>
  <c r="G466" i="41"/>
  <c r="A467" i="41"/>
  <c r="B467" i="41"/>
  <c r="C467" i="41"/>
  <c r="D467" i="41"/>
  <c r="E467" i="41"/>
  <c r="G467" i="41"/>
  <c r="A468" i="41"/>
  <c r="B468" i="41"/>
  <c r="C468" i="41"/>
  <c r="D468" i="41"/>
  <c r="E468" i="41"/>
  <c r="G468" i="41"/>
  <c r="A469" i="41"/>
  <c r="B469" i="41"/>
  <c r="C469" i="41"/>
  <c r="D469" i="41"/>
  <c r="E469" i="41"/>
  <c r="G469" i="41"/>
  <c r="A470" i="41"/>
  <c r="B470" i="41"/>
  <c r="C470" i="41"/>
  <c r="D470" i="41"/>
  <c r="E470" i="41"/>
  <c r="G470" i="41"/>
  <c r="A471" i="41"/>
  <c r="B471" i="41"/>
  <c r="C471" i="41"/>
  <c r="D471" i="41"/>
  <c r="E471" i="41"/>
  <c r="G471" i="41"/>
  <c r="A472" i="41"/>
  <c r="B472" i="41"/>
  <c r="C472" i="41"/>
  <c r="D472" i="41"/>
  <c r="E472" i="41"/>
  <c r="G472" i="41"/>
  <c r="A473" i="41"/>
  <c r="B473" i="41"/>
  <c r="C473" i="41"/>
  <c r="D473" i="41"/>
  <c r="E473" i="41"/>
  <c r="G473" i="41"/>
  <c r="A474" i="41"/>
  <c r="B474" i="41"/>
  <c r="C474" i="41"/>
  <c r="D474" i="41"/>
  <c r="E474" i="41"/>
  <c r="G474" i="41"/>
  <c r="A475" i="41"/>
  <c r="B475" i="41"/>
  <c r="C475" i="41"/>
  <c r="D475" i="41"/>
  <c r="E475" i="41"/>
  <c r="G475" i="41"/>
  <c r="A476" i="41"/>
  <c r="B476" i="41"/>
  <c r="C476" i="41"/>
  <c r="D476" i="41"/>
  <c r="E476" i="41"/>
  <c r="G476" i="41"/>
  <c r="A477" i="41"/>
  <c r="B477" i="41"/>
  <c r="C477" i="41"/>
  <c r="D477" i="41"/>
  <c r="E477" i="41"/>
  <c r="G477" i="41"/>
  <c r="A478" i="41"/>
  <c r="B478" i="41"/>
  <c r="C478" i="41"/>
  <c r="D478" i="41"/>
  <c r="E478" i="41"/>
  <c r="G478" i="41"/>
  <c r="A479" i="41"/>
  <c r="B479" i="41"/>
  <c r="C479" i="41"/>
  <c r="D479" i="41"/>
  <c r="E479" i="41"/>
  <c r="G479" i="41"/>
  <c r="A480" i="41"/>
  <c r="B480" i="41"/>
  <c r="C480" i="41"/>
  <c r="D480" i="41"/>
  <c r="E480" i="41"/>
  <c r="G480" i="41"/>
  <c r="A481" i="41"/>
  <c r="B481" i="41"/>
  <c r="C481" i="41"/>
  <c r="D481" i="41"/>
  <c r="E481" i="41"/>
  <c r="G481" i="41"/>
  <c r="A482" i="41"/>
  <c r="B482" i="41"/>
  <c r="C482" i="41"/>
  <c r="D482" i="41"/>
  <c r="E482" i="41"/>
  <c r="G482" i="41"/>
  <c r="A483" i="41"/>
  <c r="B483" i="41"/>
  <c r="C483" i="41"/>
  <c r="D483" i="41"/>
  <c r="E483" i="41"/>
  <c r="G483" i="41"/>
  <c r="A484" i="41"/>
  <c r="B484" i="41"/>
  <c r="C484" i="41"/>
  <c r="D484" i="41"/>
  <c r="E484" i="41"/>
  <c r="G484" i="41"/>
  <c r="A485" i="41"/>
  <c r="B485" i="41"/>
  <c r="C485" i="41"/>
  <c r="D485" i="41"/>
  <c r="E485" i="41"/>
  <c r="G485" i="41"/>
  <c r="A486" i="41"/>
  <c r="B486" i="41"/>
  <c r="C486" i="41"/>
  <c r="D486" i="41"/>
  <c r="E486" i="41"/>
  <c r="G486" i="41"/>
  <c r="A487" i="41"/>
  <c r="B487" i="41"/>
  <c r="C487" i="41"/>
  <c r="D487" i="41"/>
  <c r="E487" i="41"/>
  <c r="G487" i="41"/>
  <c r="A4" i="41"/>
  <c r="B4" i="41"/>
  <c r="C4" i="41"/>
  <c r="D4" i="41"/>
  <c r="E4" i="41"/>
  <c r="G4" i="41"/>
  <c r="A5" i="41"/>
  <c r="B5" i="41"/>
  <c r="C5" i="41"/>
  <c r="D5" i="41"/>
  <c r="E5" i="41"/>
  <c r="G5" i="41"/>
  <c r="A6" i="41"/>
  <c r="B6" i="41"/>
  <c r="C6" i="41"/>
  <c r="D6" i="41"/>
  <c r="E6" i="41"/>
  <c r="G6" i="41"/>
  <c r="A7" i="41"/>
  <c r="B7" i="41"/>
  <c r="C7" i="41"/>
  <c r="D7" i="41"/>
  <c r="E7" i="41"/>
  <c r="G7" i="41"/>
  <c r="A8" i="41"/>
  <c r="B8" i="41"/>
  <c r="C8" i="41"/>
  <c r="D8" i="41"/>
  <c r="E8" i="41"/>
  <c r="G8" i="41"/>
  <c r="A9" i="41"/>
  <c r="B9" i="41"/>
  <c r="C9" i="41"/>
  <c r="D9" i="41"/>
  <c r="E9" i="41"/>
  <c r="G9" i="41"/>
  <c r="A10" i="41"/>
  <c r="B10" i="41"/>
  <c r="C10" i="41"/>
  <c r="D10" i="41"/>
  <c r="E10" i="41"/>
  <c r="G10" i="41"/>
  <c r="A11" i="41"/>
  <c r="B11" i="41"/>
  <c r="C11" i="41"/>
  <c r="D11" i="41"/>
  <c r="E11" i="41"/>
  <c r="G11" i="41"/>
  <c r="A12" i="41"/>
  <c r="B12" i="41"/>
  <c r="C12" i="41"/>
  <c r="D12" i="41"/>
  <c r="E12" i="41"/>
  <c r="G12" i="41"/>
  <c r="A13" i="41"/>
  <c r="B13" i="41"/>
  <c r="C13" i="41"/>
  <c r="D13" i="41"/>
  <c r="E13" i="41"/>
  <c r="G13" i="41"/>
  <c r="A14" i="41"/>
  <c r="B14" i="41"/>
  <c r="C14" i="41"/>
  <c r="D14" i="41"/>
  <c r="E14" i="41"/>
  <c r="G14" i="41"/>
  <c r="A15" i="41"/>
  <c r="B15" i="41"/>
  <c r="C15" i="41"/>
  <c r="D15" i="41"/>
  <c r="E15" i="41"/>
  <c r="G15" i="41"/>
  <c r="A16" i="41"/>
  <c r="B16" i="41"/>
  <c r="C16" i="41"/>
  <c r="D16" i="41"/>
  <c r="E16" i="41"/>
  <c r="G16" i="41"/>
  <c r="A17" i="41"/>
  <c r="B17" i="41"/>
  <c r="C17" i="41"/>
  <c r="D17" i="41"/>
  <c r="E17" i="41"/>
  <c r="G17" i="41"/>
  <c r="A18" i="41"/>
  <c r="B18" i="41"/>
  <c r="C18" i="41"/>
  <c r="D18" i="41"/>
  <c r="E18" i="41"/>
  <c r="G18" i="41"/>
  <c r="A19" i="41"/>
  <c r="B19" i="41"/>
  <c r="C19" i="41"/>
  <c r="D19" i="41"/>
  <c r="E19" i="41"/>
  <c r="G19" i="41"/>
  <c r="A20" i="41"/>
  <c r="B20" i="41"/>
  <c r="C20" i="41"/>
  <c r="D20" i="41"/>
  <c r="E20" i="41"/>
  <c r="G20" i="41"/>
  <c r="A21" i="41"/>
  <c r="B21" i="41"/>
  <c r="C21" i="41"/>
  <c r="D21" i="41"/>
  <c r="E21" i="41"/>
  <c r="G21" i="41"/>
  <c r="A22" i="41"/>
  <c r="B22" i="41"/>
  <c r="C22" i="41"/>
  <c r="D22" i="41"/>
  <c r="E22" i="41"/>
  <c r="G22" i="41"/>
  <c r="A23" i="41"/>
  <c r="B23" i="41"/>
  <c r="C23" i="41"/>
  <c r="D23" i="41"/>
  <c r="E23" i="41"/>
  <c r="G23" i="41"/>
  <c r="A24" i="41"/>
  <c r="B24" i="41"/>
  <c r="C24" i="41"/>
  <c r="D24" i="41"/>
  <c r="E24" i="41"/>
  <c r="G24" i="41"/>
  <c r="A25" i="41"/>
  <c r="B25" i="41"/>
  <c r="C25" i="41"/>
  <c r="D25" i="41"/>
  <c r="E25" i="41"/>
  <c r="G25" i="41"/>
  <c r="A26" i="41"/>
  <c r="B26" i="41"/>
  <c r="C26" i="41"/>
  <c r="D26" i="41"/>
  <c r="E26" i="41"/>
  <c r="G26" i="41"/>
  <c r="A27" i="41"/>
  <c r="B27" i="41"/>
  <c r="C27" i="41"/>
  <c r="D27" i="41"/>
  <c r="E27" i="41"/>
  <c r="G27" i="41"/>
  <c r="A28" i="41"/>
  <c r="B28" i="41"/>
  <c r="C28" i="41"/>
  <c r="D28" i="41"/>
  <c r="E28" i="41"/>
  <c r="G28" i="41"/>
  <c r="A29" i="41"/>
  <c r="B29" i="41"/>
  <c r="C29" i="41"/>
  <c r="D29" i="41"/>
  <c r="E29" i="41"/>
  <c r="G29" i="41"/>
  <c r="A30" i="41"/>
  <c r="B30" i="41"/>
  <c r="C30" i="41"/>
  <c r="D30" i="41"/>
  <c r="E30" i="41"/>
  <c r="G30" i="41"/>
  <c r="A31" i="41"/>
  <c r="B31" i="41"/>
  <c r="C31" i="41"/>
  <c r="D31" i="41"/>
  <c r="E31" i="41"/>
  <c r="G31" i="41"/>
  <c r="A32" i="41"/>
  <c r="B32" i="41"/>
  <c r="C32" i="41"/>
  <c r="D32" i="41"/>
  <c r="E32" i="41"/>
  <c r="G32" i="41"/>
  <c r="A33" i="41"/>
  <c r="B33" i="41"/>
  <c r="C33" i="41"/>
  <c r="D33" i="41"/>
  <c r="E33" i="41"/>
  <c r="G33" i="41"/>
  <c r="A34" i="41"/>
  <c r="B34" i="41"/>
  <c r="C34" i="41"/>
  <c r="D34" i="41"/>
  <c r="E34" i="41"/>
  <c r="G34" i="41"/>
  <c r="A35" i="41"/>
  <c r="B35" i="41"/>
  <c r="C35" i="41"/>
  <c r="D35" i="41"/>
  <c r="E35" i="41"/>
  <c r="G35" i="41"/>
  <c r="A36" i="41"/>
  <c r="B36" i="41"/>
  <c r="C36" i="41"/>
  <c r="D36" i="41"/>
  <c r="E36" i="41"/>
  <c r="G36" i="41"/>
  <c r="A37" i="41"/>
  <c r="B37" i="41"/>
  <c r="C37" i="41"/>
  <c r="D37" i="41"/>
  <c r="E37" i="41"/>
  <c r="G37" i="41"/>
  <c r="A38" i="41"/>
  <c r="B38" i="41"/>
  <c r="C38" i="41"/>
  <c r="D38" i="41"/>
  <c r="E38" i="41"/>
  <c r="G38" i="41"/>
  <c r="A39" i="41"/>
  <c r="B39" i="41"/>
  <c r="C39" i="41"/>
  <c r="D39" i="41"/>
  <c r="E39" i="41"/>
  <c r="G39" i="41"/>
  <c r="A40" i="41"/>
  <c r="B40" i="41"/>
  <c r="C40" i="41"/>
  <c r="D40" i="41"/>
  <c r="E40" i="41"/>
  <c r="G40" i="41"/>
  <c r="A41" i="41"/>
  <c r="B41" i="41"/>
  <c r="C41" i="41"/>
  <c r="D41" i="41"/>
  <c r="E41" i="41"/>
  <c r="G41" i="41"/>
  <c r="A42" i="41"/>
  <c r="B42" i="41"/>
  <c r="C42" i="41"/>
  <c r="D42" i="41"/>
  <c r="E42" i="41"/>
  <c r="G42" i="41"/>
  <c r="A43" i="41"/>
  <c r="B43" i="41"/>
  <c r="C43" i="41"/>
  <c r="D43" i="41"/>
  <c r="E43" i="41"/>
  <c r="G43" i="41"/>
  <c r="A44" i="41"/>
  <c r="B44" i="41"/>
  <c r="C44" i="41"/>
  <c r="D44" i="41"/>
  <c r="E44" i="41"/>
  <c r="G44" i="41"/>
  <c r="A45" i="41"/>
  <c r="B45" i="41"/>
  <c r="C45" i="41"/>
  <c r="D45" i="41"/>
  <c r="E45" i="41"/>
  <c r="G45" i="41"/>
  <c r="A46" i="41"/>
  <c r="B46" i="41"/>
  <c r="C46" i="41"/>
  <c r="D46" i="41"/>
  <c r="E46" i="41"/>
  <c r="G46" i="41"/>
  <c r="A47" i="41"/>
  <c r="B47" i="41"/>
  <c r="C47" i="41"/>
  <c r="D47" i="41"/>
  <c r="E47" i="41"/>
  <c r="G47" i="41"/>
  <c r="A48" i="41"/>
  <c r="B48" i="41"/>
  <c r="C48" i="41"/>
  <c r="D48" i="41"/>
  <c r="E48" i="41"/>
  <c r="G48" i="41"/>
  <c r="A49" i="41"/>
  <c r="B49" i="41"/>
  <c r="C49" i="41"/>
  <c r="D49" i="41"/>
  <c r="E49" i="41"/>
  <c r="G49" i="41"/>
  <c r="A50" i="41"/>
  <c r="B50" i="41"/>
  <c r="C50" i="41"/>
  <c r="D50" i="41"/>
  <c r="E50" i="41"/>
  <c r="G50" i="41"/>
  <c r="A51" i="41"/>
  <c r="B51" i="41"/>
  <c r="C51" i="41"/>
  <c r="D51" i="41"/>
  <c r="E51" i="41"/>
  <c r="G51" i="41"/>
  <c r="A52" i="41"/>
  <c r="B52" i="41"/>
  <c r="C52" i="41"/>
  <c r="D52" i="41"/>
  <c r="E52" i="41"/>
  <c r="G52" i="41"/>
  <c r="A53" i="41"/>
  <c r="B53" i="41"/>
  <c r="C53" i="41"/>
  <c r="D53" i="41"/>
  <c r="E53" i="41"/>
  <c r="G53" i="41"/>
  <c r="A54" i="41"/>
  <c r="B54" i="41"/>
  <c r="C54" i="41"/>
  <c r="D54" i="41"/>
  <c r="E54" i="41"/>
  <c r="G54" i="41"/>
  <c r="A55" i="41"/>
  <c r="B55" i="41"/>
  <c r="C55" i="41"/>
  <c r="D55" i="41"/>
  <c r="E55" i="41"/>
  <c r="G55" i="41"/>
  <c r="A56" i="41"/>
  <c r="B56" i="41"/>
  <c r="C56" i="41"/>
  <c r="D56" i="41"/>
  <c r="E56" i="41"/>
  <c r="G56" i="41"/>
  <c r="A57" i="41"/>
  <c r="B57" i="41"/>
  <c r="C57" i="41"/>
  <c r="D57" i="41"/>
  <c r="E57" i="41"/>
  <c r="G57" i="41"/>
  <c r="A58" i="41"/>
  <c r="B58" i="41"/>
  <c r="C58" i="41"/>
  <c r="D58" i="41"/>
  <c r="E58" i="41"/>
  <c r="G58" i="41"/>
  <c r="A59" i="41"/>
  <c r="B59" i="41"/>
  <c r="C59" i="41"/>
  <c r="D59" i="41"/>
  <c r="E59" i="41"/>
  <c r="G59" i="41"/>
  <c r="A60" i="41"/>
  <c r="B60" i="41"/>
  <c r="C60" i="41"/>
  <c r="D60" i="41"/>
  <c r="E60" i="41"/>
  <c r="G60" i="41"/>
  <c r="A61" i="41"/>
  <c r="B61" i="41"/>
  <c r="C61" i="41"/>
  <c r="D61" i="41"/>
  <c r="E61" i="41"/>
  <c r="G61" i="41"/>
  <c r="A62" i="41"/>
  <c r="B62" i="41"/>
  <c r="C62" i="41"/>
  <c r="D62" i="41"/>
  <c r="E62" i="41"/>
  <c r="G62" i="41"/>
  <c r="A63" i="41"/>
  <c r="B63" i="41"/>
  <c r="C63" i="41"/>
  <c r="D63" i="41"/>
  <c r="E63" i="41"/>
  <c r="G63" i="41"/>
  <c r="A64" i="41"/>
  <c r="B64" i="41"/>
  <c r="C64" i="41"/>
  <c r="D64" i="41"/>
  <c r="E64" i="41"/>
  <c r="G64" i="41"/>
  <c r="A65" i="41"/>
  <c r="B65" i="41"/>
  <c r="C65" i="41"/>
  <c r="D65" i="41"/>
  <c r="E65" i="41"/>
  <c r="G65" i="41"/>
  <c r="A66" i="41"/>
  <c r="B66" i="41"/>
  <c r="C66" i="41"/>
  <c r="D66" i="41"/>
  <c r="E66" i="41"/>
  <c r="G66" i="41"/>
  <c r="A67" i="41"/>
  <c r="B67" i="41"/>
  <c r="C67" i="41"/>
  <c r="D67" i="41"/>
  <c r="E67" i="41"/>
  <c r="G67" i="41"/>
  <c r="A68" i="41"/>
  <c r="B68" i="41"/>
  <c r="C68" i="41"/>
  <c r="D68" i="41"/>
  <c r="E68" i="41"/>
  <c r="G68" i="41"/>
  <c r="A69" i="41"/>
  <c r="B69" i="41"/>
  <c r="C69" i="41"/>
  <c r="D69" i="41"/>
  <c r="E69" i="41"/>
  <c r="G69" i="41"/>
  <c r="A70" i="41"/>
  <c r="B70" i="41"/>
  <c r="C70" i="41"/>
  <c r="D70" i="41"/>
  <c r="E70" i="41"/>
  <c r="G70" i="41"/>
  <c r="A71" i="41"/>
  <c r="B71" i="41"/>
  <c r="C71" i="41"/>
  <c r="D71" i="41"/>
  <c r="E71" i="41"/>
  <c r="G71" i="41"/>
  <c r="A72" i="41"/>
  <c r="B72" i="41"/>
  <c r="C72" i="41"/>
  <c r="D72" i="41"/>
  <c r="E72" i="41"/>
  <c r="G72" i="41"/>
  <c r="A73" i="41"/>
  <c r="B73" i="41"/>
  <c r="C73" i="41"/>
  <c r="D73" i="41"/>
  <c r="E73" i="41"/>
  <c r="G73" i="41"/>
  <c r="A74" i="41"/>
  <c r="B74" i="41"/>
  <c r="C74" i="41"/>
  <c r="D74" i="41"/>
  <c r="E74" i="41"/>
  <c r="G74" i="41"/>
  <c r="A75" i="41"/>
  <c r="B75" i="41"/>
  <c r="C75" i="41"/>
  <c r="D75" i="41"/>
  <c r="E75" i="41"/>
  <c r="G75" i="41"/>
  <c r="A76" i="41"/>
  <c r="B76" i="41"/>
  <c r="C76" i="41"/>
  <c r="D76" i="41"/>
  <c r="E76" i="41"/>
  <c r="G76" i="41"/>
  <c r="A77" i="41"/>
  <c r="B77" i="41"/>
  <c r="C77" i="41"/>
  <c r="D77" i="41"/>
  <c r="E77" i="41"/>
  <c r="G77" i="41"/>
  <c r="A78" i="41"/>
  <c r="B78" i="41"/>
  <c r="C78" i="41"/>
  <c r="D78" i="41"/>
  <c r="E78" i="41"/>
  <c r="G78" i="41"/>
  <c r="A79" i="41"/>
  <c r="B79" i="41"/>
  <c r="C79" i="41"/>
  <c r="D79" i="41"/>
  <c r="E79" i="41"/>
  <c r="G79" i="41"/>
  <c r="A80" i="41"/>
  <c r="B80" i="41"/>
  <c r="C80" i="41"/>
  <c r="D80" i="41"/>
  <c r="E80" i="41"/>
  <c r="G80" i="41"/>
  <c r="A81" i="41"/>
  <c r="B81" i="41"/>
  <c r="C81" i="41"/>
  <c r="D81" i="41"/>
  <c r="E81" i="41"/>
  <c r="G81" i="41"/>
  <c r="A82" i="41"/>
  <c r="B82" i="41"/>
  <c r="C82" i="41"/>
  <c r="D82" i="41"/>
  <c r="E82" i="41"/>
  <c r="G82" i="41"/>
  <c r="A83" i="41"/>
  <c r="B83" i="41"/>
  <c r="C83" i="41"/>
  <c r="D83" i="41"/>
  <c r="E83" i="41"/>
  <c r="G83" i="41"/>
  <c r="A84" i="41"/>
  <c r="B84" i="41"/>
  <c r="C84" i="41"/>
  <c r="D84" i="41"/>
  <c r="E84" i="41"/>
  <c r="G84" i="41"/>
  <c r="A85" i="41"/>
  <c r="B85" i="41"/>
  <c r="C85" i="41"/>
  <c r="D85" i="41"/>
  <c r="E85" i="41"/>
  <c r="G85" i="41"/>
  <c r="A86" i="41"/>
  <c r="B86" i="41"/>
  <c r="C86" i="41"/>
  <c r="D86" i="41"/>
  <c r="E86" i="41"/>
  <c r="G86" i="41"/>
  <c r="A87" i="41"/>
  <c r="B87" i="41"/>
  <c r="C87" i="41"/>
  <c r="D87" i="41"/>
  <c r="E87" i="41"/>
  <c r="G87" i="41"/>
  <c r="A88" i="41"/>
  <c r="B88" i="41"/>
  <c r="C88" i="41"/>
  <c r="D88" i="41"/>
  <c r="E88" i="41"/>
  <c r="G88" i="41"/>
  <c r="A89" i="41"/>
  <c r="B89" i="41"/>
  <c r="C89" i="41"/>
  <c r="D89" i="41"/>
  <c r="E89" i="41"/>
  <c r="G89" i="41"/>
  <c r="A90" i="41"/>
  <c r="B90" i="41"/>
  <c r="C90" i="41"/>
  <c r="D90" i="41"/>
  <c r="E90" i="41"/>
  <c r="G90" i="41"/>
  <c r="A91" i="41"/>
  <c r="B91" i="41"/>
  <c r="C91" i="41"/>
  <c r="D91" i="41"/>
  <c r="E91" i="41"/>
  <c r="G91" i="41"/>
  <c r="A92" i="41"/>
  <c r="B92" i="41"/>
  <c r="C92" i="41"/>
  <c r="D92" i="41"/>
  <c r="E92" i="41"/>
  <c r="G92" i="41"/>
  <c r="A93" i="41"/>
  <c r="B93" i="41"/>
  <c r="C93" i="41"/>
  <c r="D93" i="41"/>
  <c r="E93" i="41"/>
  <c r="G93" i="41"/>
  <c r="A94" i="41"/>
  <c r="B94" i="41"/>
  <c r="C94" i="41"/>
  <c r="D94" i="41"/>
  <c r="E94" i="41"/>
  <c r="G94" i="41"/>
  <c r="A95" i="41"/>
  <c r="B95" i="41"/>
  <c r="C95" i="41"/>
  <c r="D95" i="41"/>
  <c r="E95" i="41"/>
  <c r="G95" i="41"/>
  <c r="A96" i="41"/>
  <c r="B96" i="41"/>
  <c r="C96" i="41"/>
  <c r="D96" i="41"/>
  <c r="E96" i="41"/>
  <c r="G96" i="41"/>
  <c r="A97" i="41"/>
  <c r="B97" i="41"/>
  <c r="C97" i="41"/>
  <c r="D97" i="41"/>
  <c r="E97" i="41"/>
  <c r="G97" i="41"/>
  <c r="A98" i="41"/>
  <c r="B98" i="41"/>
  <c r="C98" i="41"/>
  <c r="D98" i="41"/>
  <c r="E98" i="41"/>
  <c r="G98" i="41"/>
  <c r="A99" i="41"/>
  <c r="B99" i="41"/>
  <c r="C99" i="41"/>
  <c r="D99" i="41"/>
  <c r="E99" i="41"/>
  <c r="G99" i="41"/>
  <c r="A100" i="41"/>
  <c r="B100" i="41"/>
  <c r="C100" i="41"/>
  <c r="D100" i="41"/>
  <c r="E100" i="41"/>
  <c r="G100" i="41"/>
  <c r="A101" i="41"/>
  <c r="B101" i="41"/>
  <c r="C101" i="41"/>
  <c r="D101" i="41"/>
  <c r="E101" i="41"/>
  <c r="G101" i="41"/>
  <c r="A102" i="41"/>
  <c r="B102" i="41"/>
  <c r="C102" i="41"/>
  <c r="D102" i="41"/>
  <c r="E102" i="41"/>
  <c r="G102" i="41"/>
  <c r="A103" i="41"/>
  <c r="B103" i="41"/>
  <c r="C103" i="41"/>
  <c r="D103" i="41"/>
  <c r="E103" i="41"/>
  <c r="G103" i="41"/>
  <c r="A104" i="41"/>
  <c r="B104" i="41"/>
  <c r="C104" i="41"/>
  <c r="D104" i="41"/>
  <c r="E104" i="41"/>
  <c r="G104" i="41"/>
  <c r="A105" i="41"/>
  <c r="B105" i="41"/>
  <c r="C105" i="41"/>
  <c r="D105" i="41"/>
  <c r="E105" i="41"/>
  <c r="G105" i="41"/>
  <c r="A106" i="41"/>
  <c r="B106" i="41"/>
  <c r="C106" i="41"/>
  <c r="D106" i="41"/>
  <c r="E106" i="41"/>
  <c r="G106" i="41"/>
  <c r="A107" i="41"/>
  <c r="B107" i="41"/>
  <c r="C107" i="41"/>
  <c r="D107" i="41"/>
  <c r="E107" i="41"/>
  <c r="G107" i="41"/>
  <c r="A108" i="41"/>
  <c r="B108" i="41"/>
  <c r="C108" i="41"/>
  <c r="D108" i="41"/>
  <c r="E108" i="41"/>
  <c r="G108" i="41"/>
  <c r="A109" i="41"/>
  <c r="B109" i="41"/>
  <c r="C109" i="41"/>
  <c r="D109" i="41"/>
  <c r="E109" i="41"/>
  <c r="G109" i="41"/>
  <c r="A110" i="41"/>
  <c r="B110" i="41"/>
  <c r="C110" i="41"/>
  <c r="D110" i="41"/>
  <c r="E110" i="41"/>
  <c r="G110" i="41"/>
  <c r="A111" i="41"/>
  <c r="B111" i="41"/>
  <c r="C111" i="41"/>
  <c r="D111" i="41"/>
  <c r="E111" i="41"/>
  <c r="G111" i="41"/>
  <c r="A112" i="41"/>
  <c r="B112" i="41"/>
  <c r="C112" i="41"/>
  <c r="D112" i="41"/>
  <c r="E112" i="41"/>
  <c r="G112" i="41"/>
  <c r="A113" i="41"/>
  <c r="B113" i="41"/>
  <c r="C113" i="41"/>
  <c r="D113" i="41"/>
  <c r="E113" i="41"/>
  <c r="G113" i="41"/>
  <c r="A114" i="41"/>
  <c r="B114" i="41"/>
  <c r="C114" i="41"/>
  <c r="D114" i="41"/>
  <c r="E114" i="41"/>
  <c r="G114" i="41"/>
  <c r="A115" i="41"/>
  <c r="B115" i="41"/>
  <c r="C115" i="41"/>
  <c r="D115" i="41"/>
  <c r="E115" i="41"/>
  <c r="G115" i="41"/>
  <c r="A116" i="41"/>
  <c r="B116" i="41"/>
  <c r="C116" i="41"/>
  <c r="D116" i="41"/>
  <c r="E116" i="41"/>
  <c r="G116" i="41"/>
  <c r="A117" i="41"/>
  <c r="B117" i="41"/>
  <c r="C117" i="41"/>
  <c r="D117" i="41"/>
  <c r="E117" i="41"/>
  <c r="G117" i="41"/>
  <c r="A118" i="41"/>
  <c r="B118" i="41"/>
  <c r="C118" i="41"/>
  <c r="D118" i="41"/>
  <c r="E118" i="41"/>
  <c r="G118" i="41"/>
  <c r="A119" i="41"/>
  <c r="B119" i="41"/>
  <c r="C119" i="41"/>
  <c r="D119" i="41"/>
  <c r="E119" i="41"/>
  <c r="G119" i="41"/>
  <c r="A120" i="41"/>
  <c r="B120" i="41"/>
  <c r="C120" i="41"/>
  <c r="D120" i="41"/>
  <c r="E120" i="41"/>
  <c r="G120" i="41"/>
  <c r="A121" i="41"/>
  <c r="B121" i="41"/>
  <c r="C121" i="41"/>
  <c r="D121" i="41"/>
  <c r="E121" i="41"/>
  <c r="G121" i="41"/>
  <c r="A122" i="41"/>
  <c r="B122" i="41"/>
  <c r="C122" i="41"/>
  <c r="D122" i="41"/>
  <c r="E122" i="41"/>
  <c r="G122" i="41"/>
  <c r="A123" i="41"/>
  <c r="B123" i="41"/>
  <c r="C123" i="41"/>
  <c r="D123" i="41"/>
  <c r="E123" i="41"/>
  <c r="G123" i="41"/>
  <c r="A124" i="41"/>
  <c r="B124" i="41"/>
  <c r="C124" i="41"/>
  <c r="D124" i="41"/>
  <c r="E124" i="41"/>
  <c r="G124" i="41"/>
  <c r="A125" i="41"/>
  <c r="B125" i="41"/>
  <c r="C125" i="41"/>
  <c r="D125" i="41"/>
  <c r="E125" i="41"/>
  <c r="G125" i="41"/>
  <c r="A126" i="41"/>
  <c r="B126" i="41"/>
  <c r="C126" i="41"/>
  <c r="D126" i="41"/>
  <c r="E126" i="41"/>
  <c r="G126" i="41"/>
  <c r="A127" i="41"/>
  <c r="B127" i="41"/>
  <c r="C127" i="41"/>
  <c r="D127" i="41"/>
  <c r="E127" i="41"/>
  <c r="G127" i="41"/>
  <c r="A128" i="41"/>
  <c r="B128" i="41"/>
  <c r="C128" i="41"/>
  <c r="D128" i="41"/>
  <c r="E128" i="41"/>
  <c r="G128" i="41"/>
  <c r="A129" i="41"/>
  <c r="B129" i="41"/>
  <c r="C129" i="41"/>
  <c r="D129" i="41"/>
  <c r="E129" i="41"/>
  <c r="G129" i="41"/>
  <c r="A130" i="41"/>
  <c r="B130" i="41"/>
  <c r="C130" i="41"/>
  <c r="D130" i="41"/>
  <c r="E130" i="41"/>
  <c r="G130" i="41"/>
  <c r="A131" i="41"/>
  <c r="B131" i="41"/>
  <c r="C131" i="41"/>
  <c r="D131" i="41"/>
  <c r="E131" i="41"/>
  <c r="G131" i="41"/>
  <c r="A132" i="41"/>
  <c r="B132" i="41"/>
  <c r="C132" i="41"/>
  <c r="D132" i="41"/>
  <c r="E132" i="41"/>
  <c r="G132" i="41"/>
  <c r="A133" i="41"/>
  <c r="B133" i="41"/>
  <c r="C133" i="41"/>
  <c r="D133" i="41"/>
  <c r="E133" i="41"/>
  <c r="G133" i="41"/>
  <c r="A134" i="41"/>
  <c r="B134" i="41"/>
  <c r="C134" i="41"/>
  <c r="D134" i="41"/>
  <c r="E134" i="41"/>
  <c r="G134" i="41"/>
  <c r="A135" i="41"/>
  <c r="B135" i="41"/>
  <c r="C135" i="41"/>
  <c r="D135" i="41"/>
  <c r="E135" i="41"/>
  <c r="G135" i="41"/>
  <c r="A136" i="41"/>
  <c r="B136" i="41"/>
  <c r="C136" i="41"/>
  <c r="D136" i="41"/>
  <c r="E136" i="41"/>
  <c r="G136" i="41"/>
  <c r="A137" i="41"/>
  <c r="B137" i="41"/>
  <c r="C137" i="41"/>
  <c r="D137" i="41"/>
  <c r="E137" i="41"/>
  <c r="G137" i="41"/>
  <c r="A138" i="41"/>
  <c r="B138" i="41"/>
  <c r="C138" i="41"/>
  <c r="D138" i="41"/>
  <c r="E138" i="41"/>
  <c r="G138" i="41"/>
  <c r="A139" i="41"/>
  <c r="B139" i="41"/>
  <c r="C139" i="41"/>
  <c r="D139" i="41"/>
  <c r="E139" i="41"/>
  <c r="G139" i="41"/>
  <c r="A140" i="41"/>
  <c r="B140" i="41"/>
  <c r="C140" i="41"/>
  <c r="D140" i="41"/>
  <c r="E140" i="41"/>
  <c r="G140" i="41"/>
  <c r="A141" i="41"/>
  <c r="B141" i="41"/>
  <c r="C141" i="41"/>
  <c r="D141" i="41"/>
  <c r="E141" i="41"/>
  <c r="G141" i="41"/>
  <c r="A142" i="41"/>
  <c r="B142" i="41"/>
  <c r="C142" i="41"/>
  <c r="D142" i="41"/>
  <c r="E142" i="41"/>
  <c r="G142" i="41"/>
  <c r="A143" i="41"/>
  <c r="B143" i="41"/>
  <c r="C143" i="41"/>
  <c r="D143" i="41"/>
  <c r="E143" i="41"/>
  <c r="G143" i="41"/>
  <c r="A144" i="41"/>
  <c r="B144" i="41"/>
  <c r="C144" i="41"/>
  <c r="D144" i="41"/>
  <c r="E144" i="41"/>
  <c r="G144" i="41"/>
  <c r="A145" i="41"/>
  <c r="B145" i="41"/>
  <c r="C145" i="41"/>
  <c r="D145" i="41"/>
  <c r="E145" i="41"/>
  <c r="G145" i="41"/>
  <c r="A146" i="41"/>
  <c r="B146" i="41"/>
  <c r="C146" i="41"/>
  <c r="D146" i="41"/>
  <c r="E146" i="41"/>
  <c r="G146" i="41"/>
  <c r="A147" i="41"/>
  <c r="B147" i="41"/>
  <c r="C147" i="41"/>
  <c r="D147" i="41"/>
  <c r="E147" i="41"/>
  <c r="G147" i="41"/>
  <c r="A148" i="41"/>
  <c r="B148" i="41"/>
  <c r="C148" i="41"/>
  <c r="D148" i="41"/>
  <c r="E148" i="41"/>
  <c r="G148" i="41"/>
  <c r="A149" i="41"/>
  <c r="B149" i="41"/>
  <c r="C149" i="41"/>
  <c r="D149" i="41"/>
  <c r="E149" i="41"/>
  <c r="G149" i="41"/>
  <c r="A150" i="41"/>
  <c r="B150" i="41"/>
  <c r="C150" i="41"/>
  <c r="D150" i="41"/>
  <c r="E150" i="41"/>
  <c r="G150" i="41"/>
  <c r="A151" i="41"/>
  <c r="B151" i="41"/>
  <c r="C151" i="41"/>
  <c r="D151" i="41"/>
  <c r="E151" i="41"/>
  <c r="G151" i="41"/>
  <c r="A152" i="41"/>
  <c r="B152" i="41"/>
  <c r="C152" i="41"/>
  <c r="D152" i="41"/>
  <c r="E152" i="41"/>
  <c r="G152" i="41"/>
  <c r="A153" i="41"/>
  <c r="B153" i="41"/>
  <c r="C153" i="41"/>
  <c r="D153" i="41"/>
  <c r="E153" i="41"/>
  <c r="G153" i="41"/>
  <c r="A154" i="41"/>
  <c r="B154" i="41"/>
  <c r="C154" i="41"/>
  <c r="D154" i="41"/>
  <c r="E154" i="41"/>
  <c r="G154" i="41"/>
  <c r="A155" i="41"/>
  <c r="B155" i="41"/>
  <c r="C155" i="41"/>
  <c r="D155" i="41"/>
  <c r="E155" i="41"/>
  <c r="G155" i="41"/>
  <c r="A156" i="41"/>
  <c r="B156" i="41"/>
  <c r="C156" i="41"/>
  <c r="D156" i="41"/>
  <c r="E156" i="41"/>
  <c r="G156" i="41"/>
  <c r="A157" i="41"/>
  <c r="B157" i="41"/>
  <c r="C157" i="41"/>
  <c r="D157" i="41"/>
  <c r="E157" i="41"/>
  <c r="G157" i="41"/>
  <c r="A158" i="41"/>
  <c r="B158" i="41"/>
  <c r="C158" i="41"/>
  <c r="D158" i="41"/>
  <c r="E158" i="41"/>
  <c r="G158" i="41"/>
  <c r="A159" i="41"/>
  <c r="B159" i="41"/>
  <c r="C159" i="41"/>
  <c r="D159" i="41"/>
  <c r="E159" i="41"/>
  <c r="G159" i="41"/>
  <c r="A160" i="41"/>
  <c r="B160" i="41"/>
  <c r="C160" i="41"/>
  <c r="D160" i="41"/>
  <c r="E160" i="41"/>
  <c r="G160" i="41"/>
  <c r="A161" i="41"/>
  <c r="B161" i="41"/>
  <c r="C161" i="41"/>
  <c r="D161" i="41"/>
  <c r="E161" i="41"/>
  <c r="G161" i="41"/>
  <c r="A162" i="41"/>
  <c r="B162" i="41"/>
  <c r="C162" i="41"/>
  <c r="D162" i="41"/>
  <c r="E162" i="41"/>
  <c r="G162" i="41"/>
  <c r="A163" i="41"/>
  <c r="B163" i="41"/>
  <c r="C163" i="41"/>
  <c r="D163" i="41"/>
  <c r="E163" i="41"/>
  <c r="G163" i="41"/>
  <c r="A164" i="41"/>
  <c r="B164" i="41"/>
  <c r="C164" i="41"/>
  <c r="D164" i="41"/>
  <c r="E164" i="41"/>
  <c r="G164" i="41"/>
  <c r="A165" i="41"/>
  <c r="B165" i="41"/>
  <c r="C165" i="41"/>
  <c r="D165" i="41"/>
  <c r="E165" i="41"/>
  <c r="G165" i="41"/>
  <c r="A166" i="41"/>
  <c r="B166" i="41"/>
  <c r="C166" i="41"/>
  <c r="D166" i="41"/>
  <c r="E166" i="41"/>
  <c r="G166" i="41"/>
  <c r="A167" i="41"/>
  <c r="B167" i="41"/>
  <c r="C167" i="41"/>
  <c r="D167" i="41"/>
  <c r="E167" i="41"/>
  <c r="G167" i="41"/>
  <c r="A168" i="41"/>
  <c r="B168" i="41"/>
  <c r="C168" i="41"/>
  <c r="D168" i="41"/>
  <c r="E168" i="41"/>
  <c r="G168" i="41"/>
  <c r="A169" i="41"/>
  <c r="B169" i="41"/>
  <c r="C169" i="41"/>
  <c r="D169" i="41"/>
  <c r="E169" i="41"/>
  <c r="G169" i="41"/>
  <c r="A170" i="41"/>
  <c r="B170" i="41"/>
  <c r="C170" i="41"/>
  <c r="D170" i="41"/>
  <c r="E170" i="41"/>
  <c r="G170" i="41"/>
  <c r="A171" i="41"/>
  <c r="B171" i="41"/>
  <c r="C171" i="41"/>
  <c r="D171" i="41"/>
  <c r="E171" i="41"/>
  <c r="G171" i="41"/>
  <c r="A172" i="41"/>
  <c r="B172" i="41"/>
  <c r="C172" i="41"/>
  <c r="D172" i="41"/>
  <c r="E172" i="41"/>
  <c r="G172" i="41"/>
  <c r="A173" i="41"/>
  <c r="B173" i="41"/>
  <c r="C173" i="41"/>
  <c r="D173" i="41"/>
  <c r="E173" i="41"/>
  <c r="G173" i="41"/>
  <c r="A174" i="41"/>
  <c r="B174" i="41"/>
  <c r="C174" i="41"/>
  <c r="D174" i="41"/>
  <c r="E174" i="41"/>
  <c r="G174" i="41"/>
  <c r="A175" i="41"/>
  <c r="B175" i="41"/>
  <c r="C175" i="41"/>
  <c r="D175" i="41"/>
  <c r="E175" i="41"/>
  <c r="G175" i="41"/>
  <c r="A176" i="41"/>
  <c r="B176" i="41"/>
  <c r="C176" i="41"/>
  <c r="D176" i="41"/>
  <c r="E176" i="41"/>
  <c r="G176" i="41"/>
  <c r="A177" i="41"/>
  <c r="B177" i="41"/>
  <c r="C177" i="41"/>
  <c r="D177" i="41"/>
  <c r="E177" i="41"/>
  <c r="G177" i="41"/>
  <c r="A178" i="41"/>
  <c r="B178" i="41"/>
  <c r="C178" i="41"/>
  <c r="D178" i="41"/>
  <c r="E178" i="41"/>
  <c r="G178" i="41"/>
  <c r="A179" i="41"/>
  <c r="B179" i="41"/>
  <c r="C179" i="41"/>
  <c r="D179" i="41"/>
  <c r="E179" i="41"/>
  <c r="G179" i="41"/>
  <c r="A180" i="41"/>
  <c r="B180" i="41"/>
  <c r="C180" i="41"/>
  <c r="D180" i="41"/>
  <c r="E180" i="41"/>
  <c r="G180" i="41"/>
  <c r="A181" i="41"/>
  <c r="B181" i="41"/>
  <c r="C181" i="41"/>
  <c r="D181" i="41"/>
  <c r="E181" i="41"/>
  <c r="G181" i="41"/>
  <c r="A182" i="41"/>
  <c r="B182" i="41"/>
  <c r="C182" i="41"/>
  <c r="D182" i="41"/>
  <c r="E182" i="41"/>
  <c r="G182" i="41"/>
  <c r="A183" i="41"/>
  <c r="B183" i="41"/>
  <c r="C183" i="41"/>
  <c r="D183" i="41"/>
  <c r="E183" i="41"/>
  <c r="G183" i="41"/>
  <c r="A184" i="41"/>
  <c r="B184" i="41"/>
  <c r="C184" i="41"/>
  <c r="D184" i="41"/>
  <c r="E184" i="41"/>
  <c r="G184" i="41"/>
  <c r="A185" i="41"/>
  <c r="B185" i="41"/>
  <c r="C185" i="41"/>
  <c r="D185" i="41"/>
  <c r="E185" i="41"/>
  <c r="G185" i="41"/>
  <c r="A186" i="41"/>
  <c r="B186" i="41"/>
  <c r="C186" i="41"/>
  <c r="D186" i="41"/>
  <c r="E186" i="41"/>
  <c r="G186" i="41"/>
  <c r="A187" i="41"/>
  <c r="B187" i="41"/>
  <c r="C187" i="41"/>
  <c r="D187" i="41"/>
  <c r="E187" i="41"/>
  <c r="G187" i="41"/>
  <c r="A188" i="41"/>
  <c r="B188" i="41"/>
  <c r="C188" i="41"/>
  <c r="D188" i="41"/>
  <c r="E188" i="41"/>
  <c r="G188" i="41"/>
  <c r="A189" i="41"/>
  <c r="B189" i="41"/>
  <c r="C189" i="41"/>
  <c r="D189" i="41"/>
  <c r="E189" i="41"/>
  <c r="G189" i="41"/>
  <c r="A190" i="41"/>
  <c r="B190" i="41"/>
  <c r="C190" i="41"/>
  <c r="D190" i="41"/>
  <c r="E190" i="41"/>
  <c r="G190" i="41"/>
  <c r="A191" i="41"/>
  <c r="B191" i="41"/>
  <c r="C191" i="41"/>
  <c r="D191" i="41"/>
  <c r="E191" i="41"/>
  <c r="G191" i="41"/>
  <c r="A192" i="41"/>
  <c r="B192" i="41"/>
  <c r="C192" i="41"/>
  <c r="D192" i="41"/>
  <c r="E192" i="41"/>
  <c r="G192" i="41"/>
  <c r="A193" i="41"/>
  <c r="B193" i="41"/>
  <c r="C193" i="41"/>
  <c r="D193" i="41"/>
  <c r="E193" i="41"/>
  <c r="G193" i="41"/>
  <c r="A194" i="41"/>
  <c r="B194" i="41"/>
  <c r="C194" i="41"/>
  <c r="D194" i="41"/>
  <c r="E194" i="41"/>
  <c r="G194" i="41"/>
  <c r="A195" i="41"/>
  <c r="B195" i="41"/>
  <c r="C195" i="41"/>
  <c r="D195" i="41"/>
  <c r="E195" i="41"/>
  <c r="G195" i="41"/>
  <c r="A196" i="41"/>
  <c r="B196" i="41"/>
  <c r="C196" i="41"/>
  <c r="D196" i="41"/>
  <c r="E196" i="41"/>
  <c r="G196" i="41"/>
  <c r="A197" i="41"/>
  <c r="B197" i="41"/>
  <c r="C197" i="41"/>
  <c r="D197" i="41"/>
  <c r="E197" i="41"/>
  <c r="G197" i="41"/>
  <c r="A198" i="41"/>
  <c r="B198" i="41"/>
  <c r="C198" i="41"/>
  <c r="D198" i="41"/>
  <c r="E198" i="41"/>
  <c r="G198" i="41"/>
  <c r="A199" i="41"/>
  <c r="B199" i="41"/>
  <c r="C199" i="41"/>
  <c r="D199" i="41"/>
  <c r="E199" i="41"/>
  <c r="G199" i="41"/>
  <c r="A200" i="41"/>
  <c r="B200" i="41"/>
  <c r="C200" i="41"/>
  <c r="D200" i="41"/>
  <c r="E200" i="41"/>
  <c r="G200" i="41"/>
  <c r="A201" i="41"/>
  <c r="B201" i="41"/>
  <c r="C201" i="41"/>
  <c r="D201" i="41"/>
  <c r="E201" i="41"/>
  <c r="G201" i="41"/>
  <c r="A202" i="41"/>
  <c r="B202" i="41"/>
  <c r="C202" i="41"/>
  <c r="D202" i="41"/>
  <c r="E202" i="41"/>
  <c r="G202" i="41"/>
  <c r="A203" i="41"/>
  <c r="B203" i="41"/>
  <c r="C203" i="41"/>
  <c r="D203" i="41"/>
  <c r="E203" i="41"/>
  <c r="G203" i="41"/>
  <c r="A204" i="41"/>
  <c r="B204" i="41"/>
  <c r="C204" i="41"/>
  <c r="D204" i="41"/>
  <c r="E204" i="41"/>
  <c r="G204" i="41"/>
  <c r="A205" i="41"/>
  <c r="B205" i="41"/>
  <c r="C205" i="41"/>
  <c r="D205" i="41"/>
  <c r="E205" i="41"/>
  <c r="G205" i="41"/>
  <c r="A206" i="41"/>
  <c r="B206" i="41"/>
  <c r="C206" i="41"/>
  <c r="D206" i="41"/>
  <c r="E206" i="41"/>
  <c r="G206" i="41"/>
  <c r="A207" i="41"/>
  <c r="B207" i="41"/>
  <c r="C207" i="41"/>
  <c r="D207" i="41"/>
  <c r="E207" i="41"/>
  <c r="G207" i="41"/>
  <c r="A208" i="41"/>
  <c r="B208" i="41"/>
  <c r="C208" i="41"/>
  <c r="D208" i="41"/>
  <c r="E208" i="41"/>
  <c r="G208" i="41"/>
  <c r="A209" i="41"/>
  <c r="B209" i="41"/>
  <c r="C209" i="41"/>
  <c r="D209" i="41"/>
  <c r="E209" i="41"/>
  <c r="G209" i="41"/>
  <c r="A210" i="41"/>
  <c r="B210" i="41"/>
  <c r="C210" i="41"/>
  <c r="D210" i="41"/>
  <c r="E210" i="41"/>
  <c r="G210" i="41"/>
  <c r="A211" i="41"/>
  <c r="B211" i="41"/>
  <c r="C211" i="41"/>
  <c r="D211" i="41"/>
  <c r="E211" i="41"/>
  <c r="G211" i="41"/>
  <c r="A212" i="41"/>
  <c r="B212" i="41"/>
  <c r="C212" i="41"/>
  <c r="D212" i="41"/>
  <c r="E212" i="41"/>
  <c r="G212" i="41"/>
  <c r="A213" i="41"/>
  <c r="B213" i="41"/>
  <c r="C213" i="41"/>
  <c r="D213" i="41"/>
  <c r="E213" i="41"/>
  <c r="G213" i="41"/>
  <c r="A214" i="41"/>
  <c r="B214" i="41"/>
  <c r="C214" i="41"/>
  <c r="D214" i="41"/>
  <c r="E214" i="41"/>
  <c r="G214" i="41"/>
  <c r="A215" i="41"/>
  <c r="B215" i="41"/>
  <c r="C215" i="41"/>
  <c r="D215" i="41"/>
  <c r="E215" i="41"/>
  <c r="G215" i="41"/>
  <c r="A216" i="41"/>
  <c r="B216" i="41"/>
  <c r="C216" i="41"/>
  <c r="D216" i="41"/>
  <c r="E216" i="41"/>
  <c r="G216" i="41"/>
  <c r="A217" i="41"/>
  <c r="B217" i="41"/>
  <c r="C217" i="41"/>
  <c r="D217" i="41"/>
  <c r="E217" i="41"/>
  <c r="G217" i="41"/>
  <c r="A218" i="41"/>
  <c r="B218" i="41"/>
  <c r="C218" i="41"/>
  <c r="D218" i="41"/>
  <c r="E218" i="41"/>
  <c r="G218" i="41"/>
  <c r="A219" i="41"/>
  <c r="B219" i="41"/>
  <c r="C219" i="41"/>
  <c r="D219" i="41"/>
  <c r="E219" i="41"/>
  <c r="G219" i="41"/>
  <c r="A220" i="41"/>
  <c r="B220" i="41"/>
  <c r="C220" i="41"/>
  <c r="D220" i="41"/>
  <c r="E220" i="41"/>
  <c r="G220" i="41"/>
  <c r="A221" i="41"/>
  <c r="B221" i="41"/>
  <c r="C221" i="41"/>
  <c r="D221" i="41"/>
  <c r="E221" i="41"/>
  <c r="G221" i="41"/>
  <c r="A222" i="41"/>
  <c r="B222" i="41"/>
  <c r="C222" i="41"/>
  <c r="D222" i="41"/>
  <c r="E222" i="41"/>
  <c r="G222" i="41"/>
  <c r="A223" i="41"/>
  <c r="B223" i="41"/>
  <c r="C223" i="41"/>
  <c r="D223" i="41"/>
  <c r="E223" i="41"/>
  <c r="G223" i="41"/>
  <c r="A224" i="41"/>
  <c r="B224" i="41"/>
  <c r="C224" i="41"/>
  <c r="D224" i="41"/>
  <c r="E224" i="41"/>
  <c r="G224" i="41"/>
  <c r="A225" i="41"/>
  <c r="B225" i="41"/>
  <c r="C225" i="41"/>
  <c r="D225" i="41"/>
  <c r="E225" i="41"/>
  <c r="G225" i="41"/>
  <c r="A226" i="41"/>
  <c r="B226" i="41"/>
  <c r="C226" i="41"/>
  <c r="D226" i="41"/>
  <c r="E226" i="41"/>
  <c r="G226" i="41"/>
  <c r="A227" i="41"/>
  <c r="B227" i="41"/>
  <c r="C227" i="41"/>
  <c r="D227" i="41"/>
  <c r="E227" i="41"/>
  <c r="G227" i="41"/>
  <c r="A228" i="41"/>
  <c r="B228" i="41"/>
  <c r="C228" i="41"/>
  <c r="D228" i="41"/>
  <c r="E228" i="41"/>
  <c r="G228" i="41"/>
  <c r="A229" i="41"/>
  <c r="B229" i="41"/>
  <c r="C229" i="41"/>
  <c r="D229" i="41"/>
  <c r="E229" i="41"/>
  <c r="G229" i="41"/>
  <c r="A230" i="41"/>
  <c r="B230" i="41"/>
  <c r="C230" i="41"/>
  <c r="D230" i="41"/>
  <c r="E230" i="41"/>
  <c r="G230" i="41"/>
  <c r="A231" i="41"/>
  <c r="B231" i="41"/>
  <c r="C231" i="41"/>
  <c r="D231" i="41"/>
  <c r="E231" i="41"/>
  <c r="G231" i="41"/>
  <c r="A232" i="41"/>
  <c r="B232" i="41"/>
  <c r="C232" i="41"/>
  <c r="D232" i="41"/>
  <c r="E232" i="41"/>
  <c r="G232" i="41"/>
  <c r="A233" i="41"/>
  <c r="B233" i="41"/>
  <c r="C233" i="41"/>
  <c r="D233" i="41"/>
  <c r="E233" i="41"/>
  <c r="G233" i="41"/>
  <c r="A234" i="41"/>
  <c r="B234" i="41"/>
  <c r="C234" i="41"/>
  <c r="D234" i="41"/>
  <c r="E234" i="41"/>
  <c r="G234" i="41"/>
  <c r="A235" i="41"/>
  <c r="B235" i="41"/>
  <c r="C235" i="41"/>
  <c r="D235" i="41"/>
  <c r="E235" i="41"/>
  <c r="G235" i="41"/>
  <c r="A236" i="41"/>
  <c r="B236" i="41"/>
  <c r="C236" i="41"/>
  <c r="D236" i="41"/>
  <c r="E236" i="41"/>
  <c r="G236" i="41"/>
  <c r="A237" i="41"/>
  <c r="B237" i="41"/>
  <c r="C237" i="41"/>
  <c r="D237" i="41"/>
  <c r="E237" i="41"/>
  <c r="G237" i="41"/>
  <c r="A238" i="41"/>
  <c r="B238" i="41"/>
  <c r="C238" i="41"/>
  <c r="D238" i="41"/>
  <c r="E238" i="41"/>
  <c r="G238" i="41"/>
  <c r="A239" i="41"/>
  <c r="B239" i="41"/>
  <c r="C239" i="41"/>
  <c r="D239" i="41"/>
  <c r="E239" i="41"/>
  <c r="G239" i="41"/>
  <c r="A240" i="41"/>
  <c r="B240" i="41"/>
  <c r="C240" i="41"/>
  <c r="D240" i="41"/>
  <c r="E240" i="41"/>
  <c r="G240" i="41"/>
  <c r="A241" i="41"/>
  <c r="B241" i="41"/>
  <c r="C241" i="41"/>
  <c r="D241" i="41"/>
  <c r="E241" i="41"/>
  <c r="G241" i="41"/>
  <c r="A242" i="41"/>
  <c r="B242" i="41"/>
  <c r="C242" i="41"/>
  <c r="D242" i="41"/>
  <c r="E242" i="41"/>
  <c r="G242" i="41"/>
  <c r="A243" i="41"/>
  <c r="B243" i="41"/>
  <c r="C243" i="41"/>
  <c r="D243" i="41"/>
  <c r="E243" i="41"/>
  <c r="G243" i="41"/>
  <c r="A244" i="41"/>
  <c r="B244" i="41"/>
  <c r="C244" i="41"/>
  <c r="D244" i="41"/>
  <c r="E244" i="41"/>
  <c r="G244" i="41"/>
  <c r="A245" i="41"/>
  <c r="B245" i="41"/>
  <c r="C245" i="41"/>
  <c r="D245" i="41"/>
  <c r="E245" i="41"/>
  <c r="G245" i="41"/>
  <c r="A246" i="41"/>
  <c r="B246" i="41"/>
  <c r="C246" i="41"/>
  <c r="D246" i="41"/>
  <c r="E246" i="41"/>
  <c r="G246" i="41"/>
  <c r="A247" i="41"/>
  <c r="B247" i="41"/>
  <c r="C247" i="41"/>
  <c r="D247" i="41"/>
  <c r="E247" i="41"/>
  <c r="G247" i="41"/>
  <c r="A248" i="41"/>
  <c r="B248" i="41"/>
  <c r="C248" i="41"/>
  <c r="D248" i="41"/>
  <c r="E248" i="41"/>
  <c r="G248" i="41"/>
  <c r="A249" i="41"/>
  <c r="B249" i="41"/>
  <c r="C249" i="41"/>
  <c r="D249" i="41"/>
  <c r="E249" i="41"/>
  <c r="G249" i="41"/>
  <c r="A250" i="41"/>
  <c r="B250" i="41"/>
  <c r="C250" i="41"/>
  <c r="D250" i="41"/>
  <c r="E250" i="41"/>
  <c r="G250" i="41"/>
  <c r="A251" i="41"/>
  <c r="B251" i="41"/>
  <c r="C251" i="41"/>
  <c r="D251" i="41"/>
  <c r="E251" i="41"/>
  <c r="G251" i="41"/>
  <c r="A3" i="41"/>
  <c r="B3" i="41"/>
  <c r="C3" i="41"/>
  <c r="D3" i="41"/>
  <c r="E3" i="41"/>
  <c r="G3" i="41"/>
  <c r="B2" i="41"/>
  <c r="A2" i="41"/>
  <c r="G2" i="41"/>
  <c r="E2" i="41"/>
  <c r="D2" i="41"/>
  <c r="C2" i="41"/>
  <c r="Y3" i="40"/>
  <c r="Z3" i="40"/>
  <c r="AA3" i="40"/>
  <c r="AB3" i="40"/>
  <c r="Y4" i="40"/>
  <c r="Z4" i="40"/>
  <c r="AA4" i="40"/>
  <c r="AB4" i="40"/>
  <c r="Y5" i="40"/>
  <c r="Z5" i="40"/>
  <c r="AA5" i="40"/>
  <c r="AB5" i="40"/>
  <c r="Y6" i="40"/>
  <c r="Z6" i="40"/>
  <c r="AA6" i="40"/>
  <c r="AB6" i="40"/>
  <c r="Y7" i="40"/>
  <c r="Z7" i="40"/>
  <c r="AA7" i="40"/>
  <c r="AB7" i="40"/>
  <c r="Y8" i="40"/>
  <c r="Z8" i="40"/>
  <c r="AA8" i="40"/>
  <c r="AB8" i="40"/>
  <c r="Y9" i="40"/>
  <c r="Z9" i="40"/>
  <c r="AA9" i="40"/>
  <c r="AB9" i="40"/>
  <c r="Y10" i="40"/>
  <c r="Z10" i="40"/>
  <c r="AA10" i="40"/>
  <c r="AB10" i="40"/>
  <c r="Y11" i="40"/>
  <c r="Z11" i="40"/>
  <c r="AA11" i="40"/>
  <c r="AB11" i="40"/>
  <c r="Y12" i="40"/>
  <c r="Z12" i="40"/>
  <c r="AA12" i="40"/>
  <c r="AB12" i="40"/>
  <c r="Y13" i="40"/>
  <c r="Z13" i="40"/>
  <c r="AA13" i="40"/>
  <c r="AB13" i="40"/>
  <c r="Y14" i="40"/>
  <c r="Z14" i="40"/>
  <c r="AA14" i="40"/>
  <c r="AB14" i="40"/>
  <c r="Y15" i="40"/>
  <c r="Z15" i="40"/>
  <c r="AA15" i="40"/>
  <c r="AB15" i="40"/>
  <c r="Y16" i="40"/>
  <c r="Z16" i="40"/>
  <c r="AA16" i="40"/>
  <c r="AB16" i="40"/>
  <c r="Y17" i="40"/>
  <c r="Z17" i="40"/>
  <c r="AA17" i="40"/>
  <c r="AB17" i="40"/>
  <c r="Y18" i="40"/>
  <c r="Z18" i="40"/>
  <c r="AA18" i="40"/>
  <c r="AB18" i="40"/>
  <c r="Y19" i="40"/>
  <c r="Z19" i="40"/>
  <c r="AA19" i="40"/>
  <c r="AB19" i="40"/>
  <c r="Y20" i="40"/>
  <c r="Z20" i="40"/>
  <c r="AA20" i="40"/>
  <c r="AB20" i="40"/>
  <c r="Y21" i="40"/>
  <c r="Z21" i="40"/>
  <c r="AA21" i="40"/>
  <c r="AB21" i="40"/>
  <c r="Y22" i="40"/>
  <c r="Z22" i="40"/>
  <c r="AA22" i="40"/>
  <c r="AB22" i="40"/>
  <c r="Y23" i="40"/>
  <c r="Z23" i="40"/>
  <c r="AA23" i="40"/>
  <c r="AB23" i="40"/>
  <c r="Y24" i="40"/>
  <c r="Z24" i="40"/>
  <c r="AA24" i="40"/>
  <c r="AB24" i="40"/>
  <c r="Y25" i="40"/>
  <c r="Z25" i="40"/>
  <c r="AA25" i="40"/>
  <c r="AB25" i="40"/>
  <c r="Y26" i="40"/>
  <c r="Z26" i="40"/>
  <c r="AA26" i="40"/>
  <c r="AB26" i="40"/>
  <c r="Y27" i="40"/>
  <c r="Z27" i="40"/>
  <c r="AA27" i="40"/>
  <c r="AB27" i="40"/>
  <c r="Y28" i="40"/>
  <c r="Z28" i="40"/>
  <c r="AA28" i="40"/>
  <c r="AB28" i="40"/>
  <c r="Y29" i="40"/>
  <c r="Z29" i="40"/>
  <c r="AA29" i="40"/>
  <c r="AB29" i="40"/>
  <c r="Y30" i="40"/>
  <c r="Z30" i="40"/>
  <c r="AA30" i="40"/>
  <c r="AB30" i="40"/>
  <c r="Y31" i="40"/>
  <c r="Z31" i="40"/>
  <c r="AA31" i="40"/>
  <c r="AB31" i="40"/>
  <c r="Y32" i="40"/>
  <c r="Z32" i="40"/>
  <c r="AA32" i="40"/>
  <c r="AB32" i="40"/>
  <c r="Y33" i="40"/>
  <c r="Z33" i="40"/>
  <c r="AA33" i="40"/>
  <c r="AB33" i="40"/>
  <c r="Y34" i="40"/>
  <c r="Z34" i="40"/>
  <c r="AA34" i="40"/>
  <c r="AB34" i="40"/>
  <c r="Y35" i="40"/>
  <c r="Z35" i="40"/>
  <c r="AA35" i="40"/>
  <c r="AB35" i="40"/>
  <c r="Y36" i="40"/>
  <c r="Z36" i="40"/>
  <c r="AA36" i="40"/>
  <c r="AB36" i="40"/>
  <c r="Y37" i="40"/>
  <c r="Z37" i="40"/>
  <c r="AA37" i="40"/>
  <c r="AB37" i="40"/>
  <c r="Y38" i="40"/>
  <c r="Z38" i="40"/>
  <c r="AA38" i="40"/>
  <c r="AB38" i="40"/>
  <c r="Y39" i="40"/>
  <c r="Z39" i="40"/>
  <c r="AA39" i="40"/>
  <c r="AB39" i="40"/>
  <c r="Y40" i="40"/>
  <c r="Z40" i="40"/>
  <c r="AA40" i="40"/>
  <c r="AB40" i="40"/>
  <c r="Y41" i="40"/>
  <c r="Z41" i="40"/>
  <c r="AA41" i="40"/>
  <c r="AB41" i="40"/>
  <c r="Y42" i="40"/>
  <c r="Z42" i="40"/>
  <c r="AA42" i="40"/>
  <c r="AB42" i="40"/>
  <c r="Y43" i="40"/>
  <c r="Z43" i="40"/>
  <c r="AA43" i="40"/>
  <c r="AB43" i="40"/>
  <c r="Y44" i="40"/>
  <c r="Z44" i="40"/>
  <c r="AA44" i="40"/>
  <c r="AB44" i="40"/>
  <c r="Y45" i="40"/>
  <c r="Z45" i="40"/>
  <c r="AA45" i="40"/>
  <c r="AB45" i="40"/>
  <c r="Y46" i="40"/>
  <c r="Z46" i="40"/>
  <c r="AA46" i="40"/>
  <c r="AB46" i="40"/>
  <c r="Y47" i="40"/>
  <c r="Z47" i="40"/>
  <c r="AA47" i="40"/>
  <c r="AB47" i="40"/>
  <c r="Y48" i="40"/>
  <c r="Z48" i="40"/>
  <c r="AA48" i="40"/>
  <c r="AB48" i="40"/>
  <c r="Y49" i="40"/>
  <c r="Z49" i="40"/>
  <c r="AA49" i="40"/>
  <c r="AB49" i="40"/>
  <c r="Y50" i="40"/>
  <c r="Z50" i="40"/>
  <c r="AA50" i="40"/>
  <c r="AB50" i="40"/>
  <c r="Y51" i="40"/>
  <c r="Z51" i="40"/>
  <c r="AA51" i="40"/>
  <c r="AB51" i="40"/>
  <c r="Y52" i="40"/>
  <c r="Z52" i="40"/>
  <c r="AA52" i="40"/>
  <c r="AB52" i="40"/>
  <c r="Y53" i="40"/>
  <c r="Z53" i="40"/>
  <c r="AA53" i="40"/>
  <c r="AB53" i="40"/>
  <c r="Y54" i="40"/>
  <c r="Z54" i="40"/>
  <c r="AA54" i="40"/>
  <c r="AB54" i="40"/>
  <c r="Y55" i="40"/>
  <c r="Z55" i="40"/>
  <c r="AA55" i="40"/>
  <c r="AB55" i="40"/>
  <c r="Y56" i="40"/>
  <c r="Z56" i="40"/>
  <c r="AA56" i="40"/>
  <c r="AB56" i="40"/>
  <c r="Y57" i="40"/>
  <c r="Z57" i="40"/>
  <c r="AA57" i="40"/>
  <c r="AB57" i="40"/>
  <c r="Y58" i="40"/>
  <c r="Z58" i="40"/>
  <c r="AA58" i="40"/>
  <c r="AB58" i="40"/>
  <c r="Y59" i="40"/>
  <c r="Z59" i="40"/>
  <c r="AA59" i="40"/>
  <c r="AB59" i="40"/>
  <c r="Y60" i="40"/>
  <c r="Z60" i="40"/>
  <c r="AA60" i="40"/>
  <c r="AB60" i="40"/>
  <c r="Y61" i="40"/>
  <c r="Z61" i="40"/>
  <c r="AA61" i="40"/>
  <c r="AB61" i="40"/>
  <c r="Y62" i="40"/>
  <c r="Z62" i="40"/>
  <c r="AA62" i="40"/>
  <c r="AB62" i="40"/>
  <c r="Y63" i="40"/>
  <c r="Z63" i="40"/>
  <c r="AA63" i="40"/>
  <c r="AB63" i="40"/>
  <c r="Y64" i="40"/>
  <c r="Z64" i="40"/>
  <c r="AA64" i="40"/>
  <c r="AB64" i="40"/>
  <c r="Y65" i="40"/>
  <c r="Z65" i="40"/>
  <c r="AA65" i="40"/>
  <c r="AB65" i="40"/>
  <c r="Y66" i="40"/>
  <c r="Z66" i="40"/>
  <c r="AA66" i="40"/>
  <c r="AB66" i="40"/>
  <c r="Y67" i="40"/>
  <c r="Z67" i="40"/>
  <c r="AA67" i="40"/>
  <c r="AB67" i="40"/>
  <c r="Y68" i="40"/>
  <c r="Z68" i="40"/>
  <c r="AA68" i="40"/>
  <c r="AB68" i="40"/>
  <c r="Y69" i="40"/>
  <c r="Z69" i="40"/>
  <c r="AA69" i="40"/>
  <c r="AB69" i="40"/>
  <c r="Y70" i="40"/>
  <c r="Z70" i="40"/>
  <c r="AA70" i="40"/>
  <c r="AB70" i="40"/>
  <c r="Y71" i="40"/>
  <c r="Z71" i="40"/>
  <c r="AA71" i="40"/>
  <c r="AB71" i="40"/>
  <c r="Y72" i="40"/>
  <c r="Z72" i="40"/>
  <c r="AA72" i="40"/>
  <c r="AB72" i="40"/>
  <c r="Y73" i="40"/>
  <c r="Z73" i="40"/>
  <c r="AA73" i="40"/>
  <c r="AB73" i="40"/>
  <c r="Y74" i="40"/>
  <c r="Z74" i="40"/>
  <c r="AA74" i="40"/>
  <c r="AB74" i="40"/>
  <c r="Y75" i="40"/>
  <c r="Z75" i="40"/>
  <c r="AA75" i="40"/>
  <c r="AB75" i="40"/>
  <c r="Y76" i="40"/>
  <c r="Z76" i="40"/>
  <c r="AA76" i="40"/>
  <c r="AB76" i="40"/>
  <c r="Y77" i="40"/>
  <c r="Z77" i="40"/>
  <c r="AA77" i="40"/>
  <c r="AB77" i="40"/>
  <c r="Y78" i="40"/>
  <c r="Z78" i="40"/>
  <c r="AA78" i="40"/>
  <c r="AB78" i="40"/>
  <c r="Y79" i="40"/>
  <c r="Z79" i="40"/>
  <c r="AA79" i="40"/>
  <c r="AB79" i="40"/>
  <c r="Y80" i="40"/>
  <c r="Z80" i="40"/>
  <c r="AA80" i="40"/>
  <c r="AB80" i="40"/>
  <c r="Y81" i="40"/>
  <c r="Z81" i="40"/>
  <c r="AA81" i="40"/>
  <c r="AB81" i="40"/>
  <c r="Y82" i="40"/>
  <c r="Z82" i="40"/>
  <c r="AA82" i="40"/>
  <c r="AB82" i="40"/>
  <c r="Y83" i="40"/>
  <c r="Z83" i="40"/>
  <c r="AA83" i="40"/>
  <c r="AB83" i="40"/>
  <c r="Y84" i="40"/>
  <c r="Z84" i="40"/>
  <c r="AA84" i="40"/>
  <c r="AB84" i="40"/>
  <c r="Y85" i="40"/>
  <c r="Z85" i="40"/>
  <c r="AA85" i="40"/>
  <c r="AB85" i="40"/>
  <c r="Y86" i="40"/>
  <c r="Z86" i="40"/>
  <c r="AA86" i="40"/>
  <c r="AB86" i="40"/>
  <c r="Y87" i="40"/>
  <c r="Z87" i="40"/>
  <c r="AA87" i="40"/>
  <c r="AB87" i="40"/>
  <c r="Y88" i="40"/>
  <c r="Z88" i="40"/>
  <c r="AA88" i="40"/>
  <c r="AB88" i="40"/>
  <c r="Y89" i="40"/>
  <c r="Z89" i="40"/>
  <c r="AA89" i="40"/>
  <c r="AB89" i="40"/>
  <c r="Y90" i="40"/>
  <c r="Z90" i="40"/>
  <c r="AA90" i="40"/>
  <c r="AB90" i="40"/>
  <c r="Y91" i="40"/>
  <c r="Z91" i="40"/>
  <c r="AA91" i="40"/>
  <c r="AB91" i="40"/>
  <c r="Y92" i="40"/>
  <c r="Z92" i="40"/>
  <c r="AA92" i="40"/>
  <c r="AB92" i="40"/>
  <c r="Y93" i="40"/>
  <c r="Z93" i="40"/>
  <c r="AA93" i="40"/>
  <c r="AB93" i="40"/>
  <c r="Y94" i="40"/>
  <c r="Z94" i="40"/>
  <c r="AA94" i="40"/>
  <c r="AB94" i="40"/>
  <c r="Y95" i="40"/>
  <c r="Z95" i="40"/>
  <c r="AA95" i="40"/>
  <c r="AB95" i="40"/>
  <c r="Y96" i="40"/>
  <c r="Z96" i="40"/>
  <c r="AA96" i="40"/>
  <c r="AB96" i="40"/>
  <c r="Y97" i="40"/>
  <c r="Z97" i="40"/>
  <c r="AA97" i="40"/>
  <c r="AB97" i="40"/>
  <c r="Y98" i="40"/>
  <c r="Z98" i="40"/>
  <c r="AA98" i="40"/>
  <c r="AB98" i="40"/>
  <c r="Y99" i="40"/>
  <c r="Z99" i="40"/>
  <c r="AA99" i="40"/>
  <c r="AB99" i="40"/>
  <c r="Y100" i="40"/>
  <c r="Z100" i="40"/>
  <c r="AA100" i="40"/>
  <c r="AB100" i="40"/>
  <c r="Y101" i="40"/>
  <c r="Z101" i="40"/>
  <c r="AA101" i="40"/>
  <c r="AB101" i="40"/>
  <c r="Y102" i="40"/>
  <c r="Z102" i="40"/>
  <c r="AA102" i="40"/>
  <c r="AB102" i="40"/>
  <c r="Y103" i="40"/>
  <c r="Z103" i="40"/>
  <c r="AA103" i="40"/>
  <c r="AB103" i="40"/>
  <c r="Y104" i="40"/>
  <c r="Z104" i="40"/>
  <c r="AA104" i="40"/>
  <c r="AB104" i="40"/>
  <c r="Y105" i="40"/>
  <c r="Z105" i="40"/>
  <c r="AA105" i="40"/>
  <c r="AB105" i="40"/>
  <c r="Y106" i="40"/>
  <c r="Z106" i="40"/>
  <c r="AA106" i="40"/>
  <c r="AB106" i="40"/>
  <c r="Y107" i="40"/>
  <c r="Z107" i="40"/>
  <c r="AA107" i="40"/>
  <c r="AB107" i="40"/>
  <c r="Y108" i="40"/>
  <c r="Z108" i="40"/>
  <c r="AA108" i="40"/>
  <c r="AB108" i="40"/>
  <c r="Y109" i="40"/>
  <c r="Z109" i="40"/>
  <c r="AA109" i="40"/>
  <c r="AB109" i="40"/>
  <c r="Y110" i="40"/>
  <c r="Z110" i="40"/>
  <c r="AA110" i="40"/>
  <c r="AB110" i="40"/>
  <c r="Y111" i="40"/>
  <c r="AA111" i="40" s="1"/>
  <c r="AB111" i="40" s="1"/>
  <c r="Z111" i="40"/>
  <c r="Y112" i="40"/>
  <c r="Z112" i="40"/>
  <c r="AA112" i="40"/>
  <c r="AB112" i="40"/>
  <c r="Y113" i="40"/>
  <c r="Z113" i="40"/>
  <c r="AA113" i="40"/>
  <c r="AB113" i="40"/>
  <c r="Y114" i="40"/>
  <c r="Z114" i="40"/>
  <c r="AA114" i="40"/>
  <c r="AB114" i="40"/>
  <c r="Y115" i="40"/>
  <c r="Z115" i="40"/>
  <c r="AA115" i="40"/>
  <c r="AB115" i="40"/>
  <c r="Y116" i="40"/>
  <c r="Z116" i="40"/>
  <c r="AA116" i="40"/>
  <c r="AB116" i="40"/>
  <c r="Y117" i="40"/>
  <c r="Z117" i="40"/>
  <c r="AA117" i="40"/>
  <c r="AB117" i="40"/>
  <c r="Y118" i="40"/>
  <c r="Z118" i="40"/>
  <c r="AA118" i="40"/>
  <c r="AB118" i="40"/>
  <c r="Y119" i="40"/>
  <c r="Z119" i="40"/>
  <c r="AA119" i="40"/>
  <c r="AB119" i="40"/>
  <c r="Y120" i="40"/>
  <c r="Z120" i="40"/>
  <c r="AA120" i="40"/>
  <c r="AB120" i="40"/>
  <c r="Y121" i="40"/>
  <c r="Z121" i="40"/>
  <c r="AA121" i="40"/>
  <c r="AB121" i="40"/>
  <c r="Y122" i="40"/>
  <c r="Z122" i="40"/>
  <c r="AA122" i="40"/>
  <c r="AB122" i="40"/>
  <c r="Y123" i="40"/>
  <c r="Z123" i="40"/>
  <c r="AA123" i="40"/>
  <c r="AB123" i="40"/>
  <c r="Y124" i="40"/>
  <c r="Z124" i="40"/>
  <c r="AA124" i="40"/>
  <c r="AB124" i="40"/>
  <c r="Y125" i="40"/>
  <c r="Z125" i="40"/>
  <c r="AA125" i="40"/>
  <c r="AB125" i="40"/>
  <c r="Y126" i="40"/>
  <c r="Z126" i="40"/>
  <c r="AA126" i="40"/>
  <c r="AB126" i="40"/>
  <c r="Y127" i="40"/>
  <c r="Z127" i="40"/>
  <c r="AA127" i="40"/>
  <c r="AB127" i="40"/>
  <c r="Y128" i="40"/>
  <c r="Z128" i="40"/>
  <c r="AA128" i="40"/>
  <c r="AB128" i="40"/>
  <c r="Y129" i="40"/>
  <c r="Z129" i="40"/>
  <c r="AA129" i="40"/>
  <c r="AB129" i="40"/>
  <c r="Y130" i="40"/>
  <c r="Z130" i="40"/>
  <c r="AA130" i="40"/>
  <c r="AB130" i="40"/>
  <c r="Y131" i="40"/>
  <c r="Z131" i="40"/>
  <c r="AA131" i="40"/>
  <c r="AB131" i="40"/>
  <c r="Y132" i="40"/>
  <c r="Z132" i="40"/>
  <c r="AA132" i="40"/>
  <c r="AB132" i="40"/>
  <c r="Y133" i="40"/>
  <c r="Z133" i="40"/>
  <c r="AA133" i="40"/>
  <c r="AB133" i="40"/>
  <c r="Y134" i="40"/>
  <c r="Z134" i="40"/>
  <c r="AA134" i="40"/>
  <c r="AB134" i="40"/>
  <c r="Y135" i="40"/>
  <c r="Z135" i="40"/>
  <c r="AA135" i="40"/>
  <c r="AB135" i="40"/>
  <c r="Y136" i="40"/>
  <c r="Z136" i="40"/>
  <c r="AA136" i="40"/>
  <c r="AB136" i="40"/>
  <c r="Y137" i="40"/>
  <c r="Z137" i="40"/>
  <c r="AA137" i="40"/>
  <c r="AB137" i="40"/>
  <c r="Y138" i="40"/>
  <c r="Z138" i="40"/>
  <c r="AA138" i="40"/>
  <c r="AB138" i="40"/>
  <c r="Y139" i="40"/>
  <c r="Z139" i="40"/>
  <c r="AA139" i="40"/>
  <c r="AB139" i="40"/>
  <c r="Y140" i="40"/>
  <c r="Z140" i="40"/>
  <c r="AA140" i="40"/>
  <c r="AB140" i="40"/>
  <c r="Y141" i="40"/>
  <c r="Z141" i="40"/>
  <c r="AA141" i="40"/>
  <c r="AB141" i="40"/>
  <c r="Y142" i="40"/>
  <c r="Z142" i="40"/>
  <c r="AA142" i="40"/>
  <c r="AB142" i="40"/>
  <c r="Y143" i="40"/>
  <c r="Z143" i="40"/>
  <c r="AA143" i="40"/>
  <c r="AB143" i="40"/>
  <c r="Y144" i="40"/>
  <c r="Z144" i="40"/>
  <c r="AA144" i="40"/>
  <c r="AB144" i="40"/>
  <c r="Y145" i="40"/>
  <c r="Z145" i="40"/>
  <c r="AA145" i="40"/>
  <c r="AB145" i="40"/>
  <c r="Y146" i="40"/>
  <c r="Z146" i="40"/>
  <c r="AA146" i="40"/>
  <c r="AB146" i="40"/>
  <c r="Y147" i="40"/>
  <c r="Z147" i="40"/>
  <c r="AA147" i="40"/>
  <c r="AB147" i="40"/>
  <c r="Y148" i="40"/>
  <c r="Z148" i="40"/>
  <c r="AA148" i="40"/>
  <c r="AB148" i="40"/>
  <c r="Y149" i="40"/>
  <c r="Z149" i="40"/>
  <c r="AA149" i="40"/>
  <c r="AB149" i="40"/>
  <c r="Y150" i="40"/>
  <c r="Z150" i="40"/>
  <c r="AA150" i="40"/>
  <c r="AB150" i="40"/>
  <c r="Y151" i="40"/>
  <c r="Z151" i="40"/>
  <c r="AA151" i="40"/>
  <c r="AB151" i="40"/>
  <c r="Y152" i="40"/>
  <c r="Z152" i="40"/>
  <c r="AA152" i="40"/>
  <c r="AB152" i="40"/>
  <c r="Y153" i="40"/>
  <c r="Z153" i="40"/>
  <c r="AA153" i="40"/>
  <c r="AB153" i="40"/>
  <c r="Y154" i="40"/>
  <c r="Z154" i="40"/>
  <c r="AA154" i="40"/>
  <c r="AB154" i="40"/>
  <c r="Y155" i="40"/>
  <c r="Z155" i="40"/>
  <c r="AA155" i="40"/>
  <c r="AB155" i="40"/>
  <c r="Y156" i="40"/>
  <c r="Z156" i="40"/>
  <c r="AA156" i="40"/>
  <c r="AB156" i="40"/>
  <c r="Y157" i="40"/>
  <c r="Z157" i="40"/>
  <c r="AA157" i="40"/>
  <c r="AB157" i="40"/>
  <c r="Y158" i="40"/>
  <c r="Z158" i="40"/>
  <c r="AA158" i="40"/>
  <c r="AB158" i="40"/>
  <c r="Y159" i="40"/>
  <c r="Z159" i="40"/>
  <c r="AA159" i="40"/>
  <c r="AB159" i="40"/>
  <c r="Y160" i="40"/>
  <c r="Z160" i="40"/>
  <c r="AA160" i="40"/>
  <c r="AB160" i="40"/>
  <c r="Y161" i="40"/>
  <c r="Z161" i="40"/>
  <c r="AA161" i="40"/>
  <c r="AB161" i="40"/>
  <c r="Y162" i="40"/>
  <c r="Z162" i="40"/>
  <c r="AA162" i="40"/>
  <c r="AB162" i="40"/>
  <c r="Y163" i="40"/>
  <c r="Z163" i="40"/>
  <c r="AA163" i="40"/>
  <c r="AB163" i="40"/>
  <c r="Y164" i="40"/>
  <c r="Z164" i="40"/>
  <c r="AA164" i="40"/>
  <c r="AB164" i="40"/>
  <c r="Y165" i="40"/>
  <c r="Z165" i="40"/>
  <c r="AA165" i="40"/>
  <c r="AB165" i="40"/>
  <c r="Y166" i="40"/>
  <c r="Z166" i="40"/>
  <c r="AA166" i="40"/>
  <c r="AB166" i="40"/>
  <c r="Y167" i="40"/>
  <c r="Z167" i="40"/>
  <c r="AA167" i="40"/>
  <c r="AB167" i="40"/>
  <c r="Y168" i="40"/>
  <c r="Z168" i="40"/>
  <c r="AA168" i="40"/>
  <c r="AB168" i="40"/>
  <c r="Y169" i="40"/>
  <c r="Z169" i="40"/>
  <c r="AA169" i="40"/>
  <c r="AB169" i="40"/>
  <c r="Y170" i="40"/>
  <c r="Z170" i="40"/>
  <c r="AA170" i="40"/>
  <c r="AB170" i="40"/>
  <c r="Y171" i="40"/>
  <c r="Z171" i="40"/>
  <c r="AA171" i="40"/>
  <c r="AB171" i="40"/>
  <c r="Y172" i="40"/>
  <c r="Z172" i="40"/>
  <c r="AA172" i="40"/>
  <c r="AB172" i="40"/>
  <c r="Y173" i="40"/>
  <c r="Z173" i="40"/>
  <c r="AA173" i="40"/>
  <c r="AB173" i="40"/>
  <c r="Y174" i="40"/>
  <c r="Z174" i="40"/>
  <c r="AA174" i="40"/>
  <c r="AB174" i="40"/>
  <c r="Y175" i="40"/>
  <c r="Z175" i="40"/>
  <c r="AA175" i="40"/>
  <c r="AB175" i="40"/>
  <c r="Y176" i="40"/>
  <c r="Z176" i="40"/>
  <c r="AA176" i="40"/>
  <c r="AB176" i="40"/>
  <c r="Y177" i="40"/>
  <c r="Z177" i="40"/>
  <c r="AA177" i="40"/>
  <c r="AB177" i="40"/>
  <c r="Y178" i="40"/>
  <c r="Z178" i="40"/>
  <c r="AA178" i="40"/>
  <c r="AB178" i="40"/>
  <c r="Y179" i="40"/>
  <c r="Z179" i="40"/>
  <c r="AA179" i="40"/>
  <c r="AB179" i="40"/>
  <c r="Y180" i="40"/>
  <c r="Z180" i="40"/>
  <c r="AA180" i="40"/>
  <c r="AB180" i="40"/>
  <c r="Y181" i="40"/>
  <c r="Z181" i="40"/>
  <c r="AA181" i="40"/>
  <c r="AB181" i="40"/>
  <c r="Y182" i="40"/>
  <c r="Z182" i="40"/>
  <c r="AA182" i="40"/>
  <c r="AB182" i="40"/>
  <c r="Y183" i="40"/>
  <c r="Z183" i="40"/>
  <c r="AA183" i="40"/>
  <c r="AB183" i="40"/>
  <c r="Y184" i="40"/>
  <c r="Z184" i="40"/>
  <c r="AA184" i="40"/>
  <c r="AB184" i="40"/>
  <c r="Y185" i="40"/>
  <c r="Z185" i="40"/>
  <c r="AA185" i="40"/>
  <c r="AB185" i="40"/>
  <c r="Y186" i="40"/>
  <c r="Z186" i="40"/>
  <c r="AA186" i="40"/>
  <c r="AB186" i="40"/>
  <c r="Y187" i="40"/>
  <c r="Z187" i="40"/>
  <c r="AA187" i="40"/>
  <c r="AB187" i="40"/>
  <c r="Y188" i="40"/>
  <c r="Z188" i="40"/>
  <c r="AA188" i="40"/>
  <c r="AB188" i="40"/>
  <c r="Y189" i="40"/>
  <c r="Z189" i="40"/>
  <c r="AA189" i="40"/>
  <c r="AB189" i="40"/>
  <c r="Y190" i="40"/>
  <c r="Z190" i="40"/>
  <c r="AA190" i="40"/>
  <c r="AB190" i="40"/>
  <c r="Y191" i="40"/>
  <c r="Z191" i="40"/>
  <c r="AA191" i="40"/>
  <c r="AB191" i="40"/>
  <c r="Y192" i="40"/>
  <c r="Z192" i="40"/>
  <c r="AA192" i="40"/>
  <c r="AB192" i="40"/>
  <c r="Y193" i="40"/>
  <c r="Z193" i="40"/>
  <c r="AA193" i="40"/>
  <c r="AB193" i="40"/>
  <c r="Y194" i="40"/>
  <c r="Z194" i="40"/>
  <c r="AA194" i="40"/>
  <c r="AB194" i="40"/>
  <c r="Y195" i="40"/>
  <c r="Z195" i="40"/>
  <c r="AA195" i="40"/>
  <c r="AB195" i="40"/>
  <c r="Y196" i="40"/>
  <c r="Z196" i="40"/>
  <c r="AA196" i="40"/>
  <c r="AB196" i="40"/>
  <c r="Y197" i="40"/>
  <c r="Z197" i="40"/>
  <c r="AA197" i="40"/>
  <c r="AB197" i="40"/>
  <c r="Y198" i="40"/>
  <c r="Z198" i="40"/>
  <c r="AA198" i="40"/>
  <c r="AB198" i="40"/>
  <c r="Y199" i="40"/>
  <c r="Z199" i="40"/>
  <c r="AA199" i="40"/>
  <c r="AB199" i="40"/>
  <c r="Y200" i="40"/>
  <c r="Z200" i="40"/>
  <c r="AA200" i="40"/>
  <c r="AB200" i="40"/>
  <c r="Y201" i="40"/>
  <c r="Z201" i="40"/>
  <c r="AA201" i="40"/>
  <c r="AB201" i="40"/>
  <c r="Y202" i="40"/>
  <c r="Z202" i="40"/>
  <c r="AA202" i="40"/>
  <c r="AB202" i="40"/>
  <c r="Y203" i="40"/>
  <c r="Z203" i="40"/>
  <c r="AA203" i="40"/>
  <c r="AB203" i="40"/>
  <c r="Y204" i="40"/>
  <c r="Z204" i="40"/>
  <c r="AA204" i="40"/>
  <c r="AB204" i="40"/>
  <c r="Y205" i="40"/>
  <c r="Z205" i="40"/>
  <c r="AA205" i="40"/>
  <c r="AB205" i="40"/>
  <c r="Y206" i="40"/>
  <c r="Z206" i="40"/>
  <c r="AA206" i="40"/>
  <c r="AB206" i="40"/>
  <c r="Y207" i="40"/>
  <c r="Z207" i="40"/>
  <c r="AA207" i="40"/>
  <c r="AB207" i="40"/>
  <c r="Y208" i="40"/>
  <c r="Z208" i="40"/>
  <c r="AA208" i="40"/>
  <c r="AB208" i="40"/>
  <c r="Y209" i="40"/>
  <c r="Z209" i="40"/>
  <c r="AA209" i="40"/>
  <c r="AB209" i="40"/>
  <c r="Y210" i="40"/>
  <c r="Z210" i="40"/>
  <c r="AA210" i="40"/>
  <c r="AB210" i="40"/>
  <c r="Y211" i="40"/>
  <c r="Z211" i="40"/>
  <c r="AA211" i="40"/>
  <c r="AB211" i="40"/>
  <c r="Y212" i="40"/>
  <c r="Z212" i="40"/>
  <c r="AA212" i="40"/>
  <c r="AB212" i="40"/>
  <c r="Y213" i="40"/>
  <c r="Z213" i="40"/>
  <c r="AA213" i="40"/>
  <c r="AB213" i="40"/>
  <c r="Y214" i="40"/>
  <c r="Z214" i="40"/>
  <c r="AA214" i="40"/>
  <c r="AB214" i="40"/>
  <c r="Y215" i="40"/>
  <c r="Z215" i="40"/>
  <c r="AA215" i="40"/>
  <c r="AB215" i="40"/>
  <c r="Y216" i="40"/>
  <c r="Z216" i="40"/>
  <c r="AA216" i="40"/>
  <c r="AB216" i="40"/>
  <c r="Y217" i="40"/>
  <c r="Z217" i="40"/>
  <c r="AA217" i="40"/>
  <c r="AB217" i="40"/>
  <c r="Y218" i="40"/>
  <c r="Z218" i="40"/>
  <c r="AA218" i="40"/>
  <c r="AB218" i="40"/>
  <c r="Y219" i="40"/>
  <c r="Z219" i="40"/>
  <c r="AA219" i="40"/>
  <c r="AB219" i="40"/>
  <c r="Y220" i="40"/>
  <c r="AA220" i="40" s="1"/>
  <c r="AB220" i="40" s="1"/>
  <c r="Z220" i="40"/>
  <c r="Y221" i="40"/>
  <c r="Z221" i="40"/>
  <c r="AA221" i="40"/>
  <c r="AB221" i="40"/>
  <c r="Y222" i="40"/>
  <c r="Z222" i="40"/>
  <c r="AA222" i="40"/>
  <c r="AB222" i="40"/>
  <c r="Y223" i="40"/>
  <c r="Z223" i="40"/>
  <c r="AA223" i="40"/>
  <c r="AB223" i="40"/>
  <c r="Y224" i="40"/>
  <c r="Z224" i="40"/>
  <c r="AA224" i="40"/>
  <c r="AB224" i="40"/>
  <c r="Y225" i="40"/>
  <c r="Z225" i="40"/>
  <c r="AA225" i="40"/>
  <c r="AB225" i="40"/>
  <c r="Y226" i="40"/>
  <c r="Z226" i="40"/>
  <c r="AA226" i="40"/>
  <c r="AB226" i="40"/>
  <c r="Y227" i="40"/>
  <c r="Z227" i="40"/>
  <c r="AA227" i="40"/>
  <c r="AB227" i="40"/>
  <c r="Y228" i="40"/>
  <c r="Z228" i="40"/>
  <c r="AA228" i="40"/>
  <c r="AB228" i="40"/>
  <c r="Y229" i="40"/>
  <c r="Z229" i="40"/>
  <c r="AA229" i="40"/>
  <c r="AB229" i="40"/>
  <c r="Y230" i="40"/>
  <c r="Z230" i="40"/>
  <c r="AA230" i="40"/>
  <c r="AB230" i="40"/>
  <c r="Y231" i="40"/>
  <c r="Z231" i="40"/>
  <c r="AA231" i="40"/>
  <c r="AB231" i="40"/>
  <c r="Y232" i="40"/>
  <c r="Z232" i="40"/>
  <c r="AA232" i="40"/>
  <c r="AB232" i="40"/>
  <c r="Y233" i="40"/>
  <c r="Z233" i="40"/>
  <c r="AA233" i="40"/>
  <c r="AB233" i="40"/>
  <c r="Y234" i="40"/>
  <c r="Z234" i="40"/>
  <c r="AA234" i="40"/>
  <c r="AB234" i="40"/>
  <c r="Y235" i="40"/>
  <c r="Z235" i="40"/>
  <c r="AA235" i="40"/>
  <c r="AB235" i="40"/>
  <c r="Y236" i="40"/>
  <c r="Z236" i="40"/>
  <c r="AA236" i="40"/>
  <c r="AB236" i="40"/>
  <c r="Y237" i="40"/>
  <c r="Z237" i="40"/>
  <c r="AA237" i="40"/>
  <c r="AB237" i="40"/>
  <c r="Y238" i="40"/>
  <c r="Z238" i="40"/>
  <c r="AA238" i="40"/>
  <c r="AB238" i="40"/>
  <c r="Y239" i="40"/>
  <c r="Z239" i="40"/>
  <c r="AA239" i="40"/>
  <c r="AB239" i="40"/>
  <c r="Y240" i="40"/>
  <c r="Z240" i="40"/>
  <c r="AA240" i="40"/>
  <c r="AB240" i="40"/>
  <c r="Y241" i="40"/>
  <c r="Z241" i="40"/>
  <c r="AA241" i="40"/>
  <c r="AB241" i="40"/>
  <c r="Y242" i="40"/>
  <c r="Z242" i="40"/>
  <c r="AA242" i="40"/>
  <c r="AB242" i="40"/>
  <c r="Y243" i="40"/>
  <c r="Z243" i="40"/>
  <c r="AA243" i="40"/>
  <c r="AB243" i="40"/>
  <c r="Y244" i="40"/>
  <c r="Z244" i="40"/>
  <c r="AA244" i="40"/>
  <c r="AB244" i="40"/>
  <c r="Y245" i="40"/>
  <c r="Z245" i="40"/>
  <c r="AA245" i="40"/>
  <c r="AB245" i="40"/>
  <c r="Y246" i="40"/>
  <c r="Z246" i="40"/>
  <c r="AA246" i="40"/>
  <c r="AB246" i="40"/>
  <c r="Y247" i="40"/>
  <c r="Z247" i="40"/>
  <c r="AA247" i="40"/>
  <c r="AB247" i="40"/>
  <c r="Y248" i="40"/>
  <c r="Z248" i="40"/>
  <c r="AA248" i="40"/>
  <c r="AB248" i="40"/>
  <c r="Y249" i="40"/>
  <c r="Z249" i="40"/>
  <c r="AA249" i="40"/>
  <c r="AB249" i="40"/>
  <c r="Y250" i="40"/>
  <c r="Z250" i="40"/>
  <c r="AA250" i="40"/>
  <c r="AB250" i="40"/>
  <c r="Y251" i="40"/>
  <c r="Z251" i="40"/>
  <c r="AA251" i="40"/>
  <c r="AB251" i="40"/>
  <c r="Y252" i="40"/>
  <c r="Z252" i="40"/>
  <c r="AA252" i="40"/>
  <c r="AB252" i="40"/>
  <c r="Y253" i="40"/>
  <c r="Z253" i="40"/>
  <c r="AA253" i="40"/>
  <c r="AB253" i="40"/>
  <c r="Y254" i="40"/>
  <c r="Z254" i="40"/>
  <c r="AA254" i="40"/>
  <c r="AB254" i="40"/>
  <c r="Y255" i="40"/>
  <c r="Z255" i="40"/>
  <c r="AA255" i="40"/>
  <c r="AB255" i="40"/>
  <c r="Y256" i="40"/>
  <c r="Z256" i="40"/>
  <c r="AA256" i="40"/>
  <c r="AB256" i="40"/>
  <c r="Y257" i="40"/>
  <c r="Z257" i="40"/>
  <c r="AA257" i="40"/>
  <c r="AB257" i="40"/>
  <c r="Y258" i="40"/>
  <c r="Z258" i="40"/>
  <c r="AA258" i="40"/>
  <c r="AB258" i="40"/>
  <c r="Y259" i="40"/>
  <c r="Z259" i="40"/>
  <c r="AA259" i="40"/>
  <c r="AB259" i="40"/>
  <c r="Y260" i="40"/>
  <c r="Z260" i="40"/>
  <c r="AA260" i="40"/>
  <c r="AB260" i="40"/>
  <c r="Y261" i="40"/>
  <c r="Z261" i="40"/>
  <c r="AA261" i="40"/>
  <c r="AB261" i="40"/>
  <c r="Y262" i="40"/>
  <c r="Z262" i="40"/>
  <c r="AA262" i="40"/>
  <c r="AB262" i="40"/>
  <c r="Y263" i="40"/>
  <c r="Z263" i="40"/>
  <c r="AA263" i="40"/>
  <c r="AB263" i="40"/>
  <c r="Y264" i="40"/>
  <c r="Z264" i="40"/>
  <c r="AA264" i="40"/>
  <c r="AB264" i="40"/>
  <c r="Y265" i="40"/>
  <c r="Z265" i="40"/>
  <c r="AA265" i="40"/>
  <c r="AB265" i="40"/>
  <c r="Y266" i="40"/>
  <c r="Z266" i="40"/>
  <c r="AA266" i="40"/>
  <c r="AB266" i="40"/>
  <c r="Y267" i="40"/>
  <c r="Z267" i="40"/>
  <c r="AA267" i="40"/>
  <c r="AB267" i="40"/>
  <c r="Y268" i="40"/>
  <c r="Z268" i="40"/>
  <c r="AA268" i="40"/>
  <c r="AB268" i="40"/>
  <c r="Y269" i="40"/>
  <c r="Z269" i="40"/>
  <c r="AA269" i="40"/>
  <c r="AB269" i="40"/>
  <c r="Y270" i="40"/>
  <c r="Z270" i="40"/>
  <c r="AA270" i="40"/>
  <c r="AB270" i="40"/>
  <c r="Y271" i="40"/>
  <c r="Z271" i="40"/>
  <c r="AA271" i="40"/>
  <c r="AB271" i="40"/>
  <c r="Y272" i="40"/>
  <c r="Z272" i="40"/>
  <c r="AA272" i="40"/>
  <c r="AB272" i="40"/>
  <c r="Y273" i="40"/>
  <c r="Z273" i="40"/>
  <c r="AA273" i="40"/>
  <c r="AB273" i="40"/>
  <c r="Y274" i="40"/>
  <c r="Z274" i="40"/>
  <c r="AA274" i="40"/>
  <c r="AB274" i="40"/>
  <c r="Y275" i="40"/>
  <c r="Z275" i="40"/>
  <c r="AA275" i="40"/>
  <c r="AB275" i="40"/>
  <c r="Y276" i="40"/>
  <c r="Z276" i="40"/>
  <c r="AA276" i="40"/>
  <c r="AB276" i="40"/>
  <c r="Y277" i="40"/>
  <c r="Z277" i="40"/>
  <c r="AA277" i="40"/>
  <c r="AB277" i="40"/>
  <c r="Y278" i="40"/>
  <c r="Z278" i="40"/>
  <c r="AA278" i="40"/>
  <c r="AB278" i="40"/>
  <c r="Y279" i="40"/>
  <c r="Z279" i="40"/>
  <c r="AA279" i="40"/>
  <c r="AB279" i="40"/>
  <c r="Y280" i="40"/>
  <c r="Z280" i="40"/>
  <c r="AA280" i="40"/>
  <c r="AB280" i="40"/>
  <c r="Y281" i="40"/>
  <c r="Z281" i="40"/>
  <c r="AA281" i="40"/>
  <c r="AB281" i="40"/>
  <c r="Y282" i="40"/>
  <c r="Z282" i="40"/>
  <c r="AA282" i="40"/>
  <c r="AB282" i="40"/>
  <c r="Y283" i="40"/>
  <c r="Z283" i="40"/>
  <c r="AA283" i="40"/>
  <c r="AB283" i="40"/>
  <c r="Y284" i="40"/>
  <c r="Z284" i="40"/>
  <c r="AA284" i="40"/>
  <c r="AB284" i="40"/>
  <c r="Y285" i="40"/>
  <c r="Z285" i="40"/>
  <c r="AA285" i="40"/>
  <c r="AB285" i="40"/>
  <c r="Y286" i="40"/>
  <c r="Z286" i="40"/>
  <c r="AA286" i="40"/>
  <c r="AB286" i="40"/>
  <c r="Y287" i="40"/>
  <c r="Z287" i="40"/>
  <c r="AA287" i="40"/>
  <c r="AB287" i="40"/>
  <c r="Y288" i="40"/>
  <c r="Z288" i="40"/>
  <c r="AA288" i="40"/>
  <c r="AB288" i="40"/>
  <c r="Y289" i="40"/>
  <c r="Z289" i="40"/>
  <c r="AA289" i="40"/>
  <c r="AB289" i="40"/>
  <c r="Y290" i="40"/>
  <c r="Z290" i="40"/>
  <c r="AA290" i="40"/>
  <c r="AB290" i="40"/>
  <c r="Y291" i="40"/>
  <c r="Z291" i="40"/>
  <c r="AA291" i="40"/>
  <c r="AB291" i="40"/>
  <c r="Y292" i="40"/>
  <c r="Z292" i="40"/>
  <c r="AA292" i="40"/>
  <c r="AB292" i="40" s="1"/>
  <c r="Y293" i="40"/>
  <c r="Z293" i="40"/>
  <c r="AA293" i="40"/>
  <c r="AB293" i="40" s="1"/>
  <c r="Y294" i="40"/>
  <c r="Z294" i="40"/>
  <c r="AA294" i="40" s="1"/>
  <c r="AB294" i="40" s="1"/>
  <c r="Y295" i="40"/>
  <c r="Z295" i="40"/>
  <c r="AA295" i="40" s="1"/>
  <c r="AB295" i="40" s="1"/>
  <c r="Y296" i="40"/>
  <c r="Z296" i="40"/>
  <c r="AA296" i="40"/>
  <c r="AB296" i="40" s="1"/>
  <c r="Y297" i="40"/>
  <c r="Z297" i="40"/>
  <c r="AA297" i="40"/>
  <c r="AB297" i="40"/>
  <c r="Y298" i="40"/>
  <c r="Z298" i="40"/>
  <c r="AA298" i="40" s="1"/>
  <c r="AB298" i="40" s="1"/>
  <c r="Y299" i="40"/>
  <c r="Z299" i="40"/>
  <c r="AA299" i="40"/>
  <c r="AB299" i="40" s="1"/>
  <c r="Y300" i="40"/>
  <c r="Z300" i="40"/>
  <c r="AA300" i="40"/>
  <c r="AB300" i="40" s="1"/>
  <c r="Y301" i="40"/>
  <c r="Z301" i="40"/>
  <c r="AA301" i="40"/>
  <c r="AB301" i="40" s="1"/>
  <c r="Y302" i="40"/>
  <c r="Z302" i="40"/>
  <c r="AA302" i="40" s="1"/>
  <c r="AB302" i="40" s="1"/>
  <c r="Y303" i="40"/>
  <c r="Z303" i="40"/>
  <c r="AA303" i="40"/>
  <c r="AB303" i="40"/>
  <c r="Y304" i="40"/>
  <c r="Z304" i="40"/>
  <c r="AA304" i="40"/>
  <c r="AB304" i="40" s="1"/>
  <c r="Y305" i="40"/>
  <c r="AA305" i="40" s="1"/>
  <c r="AB305" i="40" s="1"/>
  <c r="Z305" i="40"/>
  <c r="Y306" i="40"/>
  <c r="Z306" i="40"/>
  <c r="AA306" i="40"/>
  <c r="AB306" i="40" s="1"/>
  <c r="Y307" i="40"/>
  <c r="Z307" i="40"/>
  <c r="AA307" i="40" s="1"/>
  <c r="AB307" i="40" s="1"/>
  <c r="Y308" i="40"/>
  <c r="Z308" i="40"/>
  <c r="AA308" i="40"/>
  <c r="AB308" i="40" s="1"/>
  <c r="Y309" i="40"/>
  <c r="Z309" i="40"/>
  <c r="AA309" i="40" s="1"/>
  <c r="AB309" i="40" s="1"/>
  <c r="Y310" i="40"/>
  <c r="Z310" i="40"/>
  <c r="AA310" i="40" s="1"/>
  <c r="AB310" i="40" s="1"/>
  <c r="Y311" i="40"/>
  <c r="Z311" i="40"/>
  <c r="AA311" i="40"/>
  <c r="AB311" i="40" s="1"/>
  <c r="Y312" i="40"/>
  <c r="AA312" i="40" s="1"/>
  <c r="AB312" i="40" s="1"/>
  <c r="Z312" i="40"/>
  <c r="Y313" i="40"/>
  <c r="AA313" i="40" s="1"/>
  <c r="AB313" i="40" s="1"/>
  <c r="Z313" i="40"/>
  <c r="Y314" i="40"/>
  <c r="Z314" i="40"/>
  <c r="AA314" i="40" s="1"/>
  <c r="AB314" i="40" s="1"/>
  <c r="Y315" i="40"/>
  <c r="Z315" i="40"/>
  <c r="AA315" i="40"/>
  <c r="AB315" i="40" s="1"/>
  <c r="Y316" i="40"/>
  <c r="Z316" i="40"/>
  <c r="AA316" i="40"/>
  <c r="AB316" i="40" s="1"/>
  <c r="Y317" i="40"/>
  <c r="Z317" i="40"/>
  <c r="AA317" i="40"/>
  <c r="AB317" i="40" s="1"/>
  <c r="Y318" i="40"/>
  <c r="Z318" i="40"/>
  <c r="AA318" i="40"/>
  <c r="AB318" i="40" s="1"/>
  <c r="Y319" i="40"/>
  <c r="Z319" i="40"/>
  <c r="AA319" i="40"/>
  <c r="AB319" i="40"/>
  <c r="Y320" i="40"/>
  <c r="Z320" i="40"/>
  <c r="AA320" i="40"/>
  <c r="AB320" i="40"/>
  <c r="Y321" i="40"/>
  <c r="AA321" i="40" s="1"/>
  <c r="AB321" i="40" s="1"/>
  <c r="Z321" i="40"/>
  <c r="Y322" i="40"/>
  <c r="AA322" i="40" s="1"/>
  <c r="AB322" i="40" s="1"/>
  <c r="Z322" i="40"/>
  <c r="Y323" i="40"/>
  <c r="AA323" i="40" s="1"/>
  <c r="AB323" i="40" s="1"/>
  <c r="Z323" i="40"/>
  <c r="Y324" i="40"/>
  <c r="AA324" i="40" s="1"/>
  <c r="AB324" i="40" s="1"/>
  <c r="Z324" i="40"/>
  <c r="Y325" i="40"/>
  <c r="AA325" i="40" s="1"/>
  <c r="AB325" i="40" s="1"/>
  <c r="Z325" i="40"/>
  <c r="Y326" i="40"/>
  <c r="Z326" i="40"/>
  <c r="AA326" i="40"/>
  <c r="AB326" i="40" s="1"/>
  <c r="Y327" i="40"/>
  <c r="AA327" i="40" s="1"/>
  <c r="AB327" i="40" s="1"/>
  <c r="Z327" i="40"/>
  <c r="Y328" i="40"/>
  <c r="Z328" i="40"/>
  <c r="AA328" i="40"/>
  <c r="AB328" i="40" s="1"/>
  <c r="Y329" i="40"/>
  <c r="Z329" i="40"/>
  <c r="AA329" i="40" s="1"/>
  <c r="AB329" i="40" s="1"/>
  <c r="Y330" i="40"/>
  <c r="Z330" i="40"/>
  <c r="AA330" i="40"/>
  <c r="AB330" i="40"/>
  <c r="Y331" i="40"/>
  <c r="Z331" i="40"/>
  <c r="AA331" i="40" s="1"/>
  <c r="AB331" i="40" s="1"/>
  <c r="Y332" i="40"/>
  <c r="Z332" i="40"/>
  <c r="AA332" i="40"/>
  <c r="AB332" i="40" s="1"/>
  <c r="Y333" i="40"/>
  <c r="AA333" i="40" s="1"/>
  <c r="AB333" i="40" s="1"/>
  <c r="Z333" i="40"/>
  <c r="Y334" i="40"/>
  <c r="Z334" i="40"/>
  <c r="AA334" i="40"/>
  <c r="AB334" i="40" s="1"/>
  <c r="Y335" i="40"/>
  <c r="AA335" i="40" s="1"/>
  <c r="AB335" i="40" s="1"/>
  <c r="Z335" i="40"/>
  <c r="Y336" i="40"/>
  <c r="Z336" i="40"/>
  <c r="AA336" i="40" s="1"/>
  <c r="AB336" i="40" s="1"/>
  <c r="Y337" i="40"/>
  <c r="AA337" i="40" s="1"/>
  <c r="AB337" i="40" s="1"/>
  <c r="Z337" i="40"/>
  <c r="Y338" i="40"/>
  <c r="AA338" i="40" s="1"/>
  <c r="AB338" i="40" s="1"/>
  <c r="Z338" i="40"/>
  <c r="Y339" i="40"/>
  <c r="AA339" i="40" s="1"/>
  <c r="AB339" i="40" s="1"/>
  <c r="Z339" i="40"/>
  <c r="Y340" i="40"/>
  <c r="Z340" i="40"/>
  <c r="AA340" i="40"/>
  <c r="AB340" i="40"/>
  <c r="Y341" i="40"/>
  <c r="Z341" i="40"/>
  <c r="AA341" i="40"/>
  <c r="AB341" i="40" s="1"/>
  <c r="Y342" i="40"/>
  <c r="Z342" i="40"/>
  <c r="AA342" i="40"/>
  <c r="AB342" i="40"/>
  <c r="Y343" i="40"/>
  <c r="Z343" i="40"/>
  <c r="AA343" i="40"/>
  <c r="AB343" i="40" s="1"/>
  <c r="Y344" i="40"/>
  <c r="AA344" i="40" s="1"/>
  <c r="AB344" i="40" s="1"/>
  <c r="Z344" i="40"/>
  <c r="Y345" i="40"/>
  <c r="Z345" i="40"/>
  <c r="AA345" i="40"/>
  <c r="AB345" i="40" s="1"/>
  <c r="Y346" i="40"/>
  <c r="Z346" i="40"/>
  <c r="AA346" i="40"/>
  <c r="AB346" i="40" s="1"/>
  <c r="Y347" i="40"/>
  <c r="AA347" i="40" s="1"/>
  <c r="AB347" i="40" s="1"/>
  <c r="Z347" i="40"/>
  <c r="Y348" i="40"/>
  <c r="AA348" i="40" s="1"/>
  <c r="AB348" i="40" s="1"/>
  <c r="Z348" i="40"/>
  <c r="Y349" i="40"/>
  <c r="AA349" i="40" s="1"/>
  <c r="AB349" i="40" s="1"/>
  <c r="Z349" i="40"/>
  <c r="Y350" i="40"/>
  <c r="Z350" i="40"/>
  <c r="AA350" i="40"/>
  <c r="AB350" i="40"/>
  <c r="Y351" i="40"/>
  <c r="Z351" i="40"/>
  <c r="AA351" i="40"/>
  <c r="AB351" i="40" s="1"/>
  <c r="Y352" i="40"/>
  <c r="Z352" i="40"/>
  <c r="AA352" i="40"/>
  <c r="AB352" i="40" s="1"/>
  <c r="Y353" i="40"/>
  <c r="Z353" i="40"/>
  <c r="AA353" i="40"/>
  <c r="AB353" i="40" s="1"/>
  <c r="Y354" i="40"/>
  <c r="Z354" i="40"/>
  <c r="AA354" i="40" s="1"/>
  <c r="AB354" i="40" s="1"/>
  <c r="Y355" i="40"/>
  <c r="Z355" i="40"/>
  <c r="AA355" i="40" s="1"/>
  <c r="AB355" i="40" s="1"/>
  <c r="Y356" i="40"/>
  <c r="Z356" i="40"/>
  <c r="AA356" i="40"/>
  <c r="AB356" i="40" s="1"/>
  <c r="Y357" i="40"/>
  <c r="Z357" i="40"/>
  <c r="AA357" i="40"/>
  <c r="AB357" i="40" s="1"/>
  <c r="Y358" i="40"/>
  <c r="Z358" i="40"/>
  <c r="AA358" i="40"/>
  <c r="AB358" i="40" s="1"/>
  <c r="Y359" i="40"/>
  <c r="Z359" i="40"/>
  <c r="AA359" i="40"/>
  <c r="AB359" i="40"/>
  <c r="Y360" i="40"/>
  <c r="Z360" i="40"/>
  <c r="AA360" i="40"/>
  <c r="AB360" i="40" s="1"/>
  <c r="Y361" i="40"/>
  <c r="AA361" i="40" s="1"/>
  <c r="AB361" i="40" s="1"/>
  <c r="Z361" i="40"/>
  <c r="Y362" i="40"/>
  <c r="AA362" i="40" s="1"/>
  <c r="AB362" i="40" s="1"/>
  <c r="Z362" i="40"/>
  <c r="Y363" i="40"/>
  <c r="Z363" i="40"/>
  <c r="AA363" i="40"/>
  <c r="AB363" i="40"/>
  <c r="Y364" i="40"/>
  <c r="Z364" i="40"/>
  <c r="AA364" i="40"/>
  <c r="AB364" i="40"/>
  <c r="Y365" i="40"/>
  <c r="AA365" i="40" s="1"/>
  <c r="AB365" i="40" s="1"/>
  <c r="Z365" i="40"/>
  <c r="Y366" i="40"/>
  <c r="Z366" i="40"/>
  <c r="AA366" i="40" s="1"/>
  <c r="AB366" i="40" s="1"/>
  <c r="Y367" i="40"/>
  <c r="Z367" i="40"/>
  <c r="AA367" i="40"/>
  <c r="AB367" i="40" s="1"/>
  <c r="Y368" i="40"/>
  <c r="AA368" i="40" s="1"/>
  <c r="AB368" i="40" s="1"/>
  <c r="Z368" i="40"/>
  <c r="Y369" i="40"/>
  <c r="Z369" i="40"/>
  <c r="AA369" i="40"/>
  <c r="AB369" i="40" s="1"/>
  <c r="Y370" i="40"/>
  <c r="Z370" i="40"/>
  <c r="AA370" i="40" s="1"/>
  <c r="AB370" i="40" s="1"/>
  <c r="Y371" i="40"/>
  <c r="Z371" i="40"/>
  <c r="AA371" i="40" s="1"/>
  <c r="AB371" i="40" s="1"/>
  <c r="Y372" i="40"/>
  <c r="Z372" i="40"/>
  <c r="AA372" i="40" s="1"/>
  <c r="AB372" i="40" s="1"/>
  <c r="Y373" i="40"/>
  <c r="Z373" i="40"/>
  <c r="AA373" i="40"/>
  <c r="AB373" i="40" s="1"/>
  <c r="Y374" i="40"/>
  <c r="Z374" i="40"/>
  <c r="AA374" i="40"/>
  <c r="AB374" i="40" s="1"/>
  <c r="Y375" i="40"/>
  <c r="Z375" i="40"/>
  <c r="AA375" i="40" s="1"/>
  <c r="AB375" i="40" s="1"/>
  <c r="Y376" i="40"/>
  <c r="Z376" i="40"/>
  <c r="AA376" i="40"/>
  <c r="AB376" i="40"/>
  <c r="Y377" i="40"/>
  <c r="Z377" i="40"/>
  <c r="AA377" i="40"/>
  <c r="AB377" i="40"/>
  <c r="Y378" i="40"/>
  <c r="Z378" i="40"/>
  <c r="AA378" i="40"/>
  <c r="AB378" i="40" s="1"/>
  <c r="Y379" i="40"/>
  <c r="Z379" i="40"/>
  <c r="AA379" i="40"/>
  <c r="AB379" i="40" s="1"/>
  <c r="Y380" i="40"/>
  <c r="AA380" i="40" s="1"/>
  <c r="AB380" i="40" s="1"/>
  <c r="Z380" i="40"/>
  <c r="Y381" i="40"/>
  <c r="Z381" i="40"/>
  <c r="AA381" i="40"/>
  <c r="AB381" i="40" s="1"/>
  <c r="Y382" i="40"/>
  <c r="AA382" i="40" s="1"/>
  <c r="AB382" i="40" s="1"/>
  <c r="Z382" i="40"/>
  <c r="Y383" i="40"/>
  <c r="Z383" i="40"/>
  <c r="AA383" i="40"/>
  <c r="AB383" i="40" s="1"/>
  <c r="Y384" i="40"/>
  <c r="Z384" i="40"/>
  <c r="AA384" i="40" s="1"/>
  <c r="AB384" i="40" s="1"/>
  <c r="Y385" i="40"/>
  <c r="AA385" i="40" s="1"/>
  <c r="AB385" i="40" s="1"/>
  <c r="Z385" i="40"/>
  <c r="Y386" i="40"/>
  <c r="AA386" i="40" s="1"/>
  <c r="AB386" i="40" s="1"/>
  <c r="Z386" i="40"/>
  <c r="Y387" i="40"/>
  <c r="Z387" i="40"/>
  <c r="AA387" i="40"/>
  <c r="AB387" i="40"/>
  <c r="Y388" i="40"/>
  <c r="Z388" i="40"/>
  <c r="AA388" i="40"/>
  <c r="AB388" i="40"/>
  <c r="Y389" i="40"/>
  <c r="Z389" i="40"/>
  <c r="AA389" i="40" s="1"/>
  <c r="AB389" i="40" s="1"/>
  <c r="Y390" i="40"/>
  <c r="Z390" i="40"/>
  <c r="AA390" i="40"/>
  <c r="AB390" i="40"/>
  <c r="Y391" i="40"/>
  <c r="Z391" i="40"/>
  <c r="AA391" i="40"/>
  <c r="AB391" i="40" s="1"/>
  <c r="Y392" i="40"/>
  <c r="AA392" i="40" s="1"/>
  <c r="AB392" i="40" s="1"/>
  <c r="Z392" i="40"/>
  <c r="Y393" i="40"/>
  <c r="AA393" i="40" s="1"/>
  <c r="AB393" i="40" s="1"/>
  <c r="Z393" i="40"/>
  <c r="Y394" i="40"/>
  <c r="Z394" i="40"/>
  <c r="AA394" i="40" s="1"/>
  <c r="AB394" i="40" s="1"/>
  <c r="Y395" i="40"/>
  <c r="Z395" i="40"/>
  <c r="AA395" i="40"/>
  <c r="AB395" i="40" s="1"/>
  <c r="Y396" i="40"/>
  <c r="AA396" i="40" s="1"/>
  <c r="AB396" i="40" s="1"/>
  <c r="Z396" i="40"/>
  <c r="Y397" i="40"/>
  <c r="AA397" i="40" s="1"/>
  <c r="AB397" i="40" s="1"/>
  <c r="Z397" i="40"/>
  <c r="Y398" i="40"/>
  <c r="Z398" i="40"/>
  <c r="AA398" i="40" s="1"/>
  <c r="AB398" i="40" s="1"/>
  <c r="Y399" i="40"/>
  <c r="Z399" i="40"/>
  <c r="AA399" i="40" s="1"/>
  <c r="AB399" i="40" s="1"/>
  <c r="Y400" i="40"/>
  <c r="AA400" i="40" s="1"/>
  <c r="AB400" i="40" s="1"/>
  <c r="Z400" i="40"/>
  <c r="Y401" i="40"/>
  <c r="Z401" i="40"/>
  <c r="AA401" i="40" s="1"/>
  <c r="AB401" i="40" s="1"/>
  <c r="Y402" i="40"/>
  <c r="Z402" i="40"/>
  <c r="AA402" i="40"/>
  <c r="AB402" i="40" s="1"/>
  <c r="Y403" i="40"/>
  <c r="Z403" i="40"/>
  <c r="AA403" i="40"/>
  <c r="AB403" i="40"/>
  <c r="Y404" i="40"/>
  <c r="Z404" i="40"/>
  <c r="AA404" i="40" s="1"/>
  <c r="AB404" i="40" s="1"/>
  <c r="Y405" i="40"/>
  <c r="Z405" i="40"/>
  <c r="AA405" i="40" s="1"/>
  <c r="AB405" i="40" s="1"/>
  <c r="Y406" i="40"/>
  <c r="Z406" i="40"/>
  <c r="AA406" i="40" s="1"/>
  <c r="AB406" i="40" s="1"/>
  <c r="Y407" i="40"/>
  <c r="Z407" i="40"/>
  <c r="AA407" i="40"/>
  <c r="AB407" i="40"/>
  <c r="Y408" i="40"/>
  <c r="Z408" i="40"/>
  <c r="AA408" i="40"/>
  <c r="AB408" i="40" s="1"/>
  <c r="Y409" i="40"/>
  <c r="Z409" i="40"/>
  <c r="AA409" i="40" s="1"/>
  <c r="AB409" i="40" s="1"/>
  <c r="Y410" i="40"/>
  <c r="Z410" i="40"/>
  <c r="AA410" i="40" s="1"/>
  <c r="AB410" i="40" s="1"/>
  <c r="Y411" i="40"/>
  <c r="AA411" i="40" s="1"/>
  <c r="AB411" i="40" s="1"/>
  <c r="Z411" i="40"/>
  <c r="Y412" i="40"/>
  <c r="AA412" i="40" s="1"/>
  <c r="AB412" i="40" s="1"/>
  <c r="Z412" i="40"/>
  <c r="Y413" i="40"/>
  <c r="AA413" i="40" s="1"/>
  <c r="AB413" i="40" s="1"/>
  <c r="Z413" i="40"/>
  <c r="Y414" i="40"/>
  <c r="AA414" i="40" s="1"/>
  <c r="AB414" i="40" s="1"/>
  <c r="Z414" i="40"/>
  <c r="Y415" i="40"/>
  <c r="Z415" i="40"/>
  <c r="AA415" i="40" s="1"/>
  <c r="AB415" i="40" s="1"/>
  <c r="Y416" i="40"/>
  <c r="AA416" i="40" s="1"/>
  <c r="AB416" i="40" s="1"/>
  <c r="Z416" i="40"/>
  <c r="Y417" i="40"/>
  <c r="Z417" i="40"/>
  <c r="AA417" i="40"/>
  <c r="AB417" i="40"/>
  <c r="Y418" i="40"/>
  <c r="Z418" i="40"/>
  <c r="AA418" i="40"/>
  <c r="AB418" i="40" s="1"/>
  <c r="Y419" i="40"/>
  <c r="AA419" i="40" s="1"/>
  <c r="AB419" i="40" s="1"/>
  <c r="Z419" i="40"/>
  <c r="Y420" i="40"/>
  <c r="AA420" i="40" s="1"/>
  <c r="AB420" i="40" s="1"/>
  <c r="Z420" i="40"/>
  <c r="Y421" i="40"/>
  <c r="Z421" i="40"/>
  <c r="AA421" i="40" s="1"/>
  <c r="AB421" i="40" s="1"/>
  <c r="Y422" i="40"/>
  <c r="Z422" i="40"/>
  <c r="AA422" i="40" s="1"/>
  <c r="AB422" i="40" s="1"/>
  <c r="Y423" i="40"/>
  <c r="Z423" i="40"/>
  <c r="AA423" i="40"/>
  <c r="AB423" i="40" s="1"/>
  <c r="Y424" i="40"/>
  <c r="Z424" i="40"/>
  <c r="AA424" i="40"/>
  <c r="AB424" i="40" s="1"/>
  <c r="Y425" i="40"/>
  <c r="Z425" i="40"/>
  <c r="AA425" i="40"/>
  <c r="AB425" i="40"/>
  <c r="Y426" i="40"/>
  <c r="Z426" i="40"/>
  <c r="AA426" i="40"/>
  <c r="AB426" i="40" s="1"/>
  <c r="Y427" i="40"/>
  <c r="Z427" i="40"/>
  <c r="AA427" i="40" s="1"/>
  <c r="AB427" i="40" s="1"/>
  <c r="Y428" i="40"/>
  <c r="Z428" i="40"/>
  <c r="AA428" i="40" s="1"/>
  <c r="AB428" i="40" s="1"/>
  <c r="Y429" i="40"/>
  <c r="Z429" i="40"/>
  <c r="AA429" i="40"/>
  <c r="AB429" i="40"/>
  <c r="Y430" i="40"/>
  <c r="Z430" i="40"/>
  <c r="AA430" i="40"/>
  <c r="AB430" i="40" s="1"/>
  <c r="Y431" i="40"/>
  <c r="Z431" i="40"/>
  <c r="AA431" i="40" s="1"/>
  <c r="AB431" i="40" s="1"/>
  <c r="Y432" i="40"/>
  <c r="Z432" i="40"/>
  <c r="AA432" i="40"/>
  <c r="AB432" i="40" s="1"/>
  <c r="Y433" i="40"/>
  <c r="AA433" i="40" s="1"/>
  <c r="AB433" i="40" s="1"/>
  <c r="Z433" i="40"/>
  <c r="Y434" i="40"/>
  <c r="Z434" i="40"/>
  <c r="AA434" i="40"/>
  <c r="AB434" i="40" s="1"/>
  <c r="Y435" i="40"/>
  <c r="Z435" i="40"/>
  <c r="AA435" i="40" s="1"/>
  <c r="AB435" i="40" s="1"/>
  <c r="Y436" i="40"/>
  <c r="Z436" i="40"/>
  <c r="AA436" i="40" s="1"/>
  <c r="AB436" i="40" s="1"/>
  <c r="Y437" i="40"/>
  <c r="Z437" i="40"/>
  <c r="AA437" i="40"/>
  <c r="AB437" i="40" s="1"/>
  <c r="Y438" i="40"/>
  <c r="Z438" i="40"/>
  <c r="AA438" i="40" s="1"/>
  <c r="AB438" i="40" s="1"/>
  <c r="Y439" i="40"/>
  <c r="Z439" i="40"/>
  <c r="AA439" i="40"/>
  <c r="AB439" i="40" s="1"/>
  <c r="Y440" i="40"/>
  <c r="AA440" i="40" s="1"/>
  <c r="AB440" i="40" s="1"/>
  <c r="Z440" i="40"/>
  <c r="Y441" i="40"/>
  <c r="Z441" i="40"/>
  <c r="AA441" i="40" s="1"/>
  <c r="AB441" i="40" s="1"/>
  <c r="Y442" i="40"/>
  <c r="AA442" i="40" s="1"/>
  <c r="AB442" i="40" s="1"/>
  <c r="Z442" i="40"/>
  <c r="Y443" i="40"/>
  <c r="Z443" i="40"/>
  <c r="AA443" i="40"/>
  <c r="AB443" i="40" s="1"/>
  <c r="Y444" i="40"/>
  <c r="Z444" i="40"/>
  <c r="AA444" i="40"/>
  <c r="AB444" i="40" s="1"/>
  <c r="Y445" i="40"/>
  <c r="Z445" i="40"/>
  <c r="AA445" i="40"/>
  <c r="AB445" i="40"/>
  <c r="Y446" i="40"/>
  <c r="Z446" i="40"/>
  <c r="AA446" i="40"/>
  <c r="AB446" i="40" s="1"/>
  <c r="Y447" i="40"/>
  <c r="Z447" i="40"/>
  <c r="AA447" i="40"/>
  <c r="AB447" i="40" s="1"/>
  <c r="Y448" i="40"/>
  <c r="Z448" i="40"/>
  <c r="AA448" i="40"/>
  <c r="AB448" i="40" s="1"/>
  <c r="Y449" i="40"/>
  <c r="Z449" i="40"/>
  <c r="AA449" i="40" s="1"/>
  <c r="AB449" i="40" s="1"/>
  <c r="Y450" i="40"/>
  <c r="Z450" i="40"/>
  <c r="AA450" i="40" s="1"/>
  <c r="AB450" i="40" s="1"/>
  <c r="Y451" i="40"/>
  <c r="Z451" i="40"/>
  <c r="AA451" i="40" s="1"/>
  <c r="AB451" i="40" s="1"/>
  <c r="Y452" i="40"/>
  <c r="Z452" i="40"/>
  <c r="AA452" i="40"/>
  <c r="AB452" i="40" s="1"/>
  <c r="Y453" i="40"/>
  <c r="Z453" i="40"/>
  <c r="AA453" i="40"/>
  <c r="AB453" i="40" s="1"/>
  <c r="Y454" i="40"/>
  <c r="Z454" i="40"/>
  <c r="AA454" i="40"/>
  <c r="AB454" i="40" s="1"/>
  <c r="Y455" i="40"/>
  <c r="Z455" i="40"/>
  <c r="AA455" i="40"/>
  <c r="AB455" i="40"/>
  <c r="Y456" i="40"/>
  <c r="Z456" i="40"/>
  <c r="AA456" i="40"/>
  <c r="AB456" i="40" s="1"/>
  <c r="Y457" i="40"/>
  <c r="Z457" i="40"/>
  <c r="AA457" i="40"/>
  <c r="AB457" i="40" s="1"/>
  <c r="Y458" i="40"/>
  <c r="Z458" i="40"/>
  <c r="AA458" i="40"/>
  <c r="AB458" i="40"/>
  <c r="Y459" i="40"/>
  <c r="Z459" i="40"/>
  <c r="AA459" i="40"/>
  <c r="AB459" i="40" s="1"/>
  <c r="Y460" i="40"/>
  <c r="Z460" i="40"/>
  <c r="AA460" i="40"/>
  <c r="AB460" i="40"/>
  <c r="Y461" i="40"/>
  <c r="Z461" i="40"/>
  <c r="AA461" i="40"/>
  <c r="AB461" i="40"/>
  <c r="Y462" i="40"/>
  <c r="Z462" i="40"/>
  <c r="AA462" i="40"/>
  <c r="AB462" i="40" s="1"/>
  <c r="Y463" i="40"/>
  <c r="Z463" i="40"/>
  <c r="AA463" i="40" s="1"/>
  <c r="AB463" i="40" s="1"/>
  <c r="Y464" i="40"/>
  <c r="Z464" i="40"/>
  <c r="AA464" i="40"/>
  <c r="AB464" i="40"/>
  <c r="Y465" i="40"/>
  <c r="Z465" i="40"/>
  <c r="AA465" i="40" s="1"/>
  <c r="AB465" i="40" s="1"/>
  <c r="Y466" i="40"/>
  <c r="Z466" i="40"/>
  <c r="AA466" i="40" s="1"/>
  <c r="AB466" i="40" s="1"/>
  <c r="Y467" i="40"/>
  <c r="Z467" i="40"/>
  <c r="AA467" i="40"/>
  <c r="AB467" i="40" s="1"/>
  <c r="Y468" i="40"/>
  <c r="Z468" i="40"/>
  <c r="AA468" i="40"/>
  <c r="AB468" i="40" s="1"/>
  <c r="Y469" i="40"/>
  <c r="Z469" i="40"/>
  <c r="AA469" i="40"/>
  <c r="AB469" i="40" s="1"/>
  <c r="Y470" i="40"/>
  <c r="Z470" i="40"/>
  <c r="AA470" i="40"/>
  <c r="AB470" i="40" s="1"/>
  <c r="Y471" i="40"/>
  <c r="Z471" i="40"/>
  <c r="AA471" i="40"/>
  <c r="AB471" i="40"/>
  <c r="Y472" i="40"/>
  <c r="Z472" i="40"/>
  <c r="AA472" i="40" s="1"/>
  <c r="AB472" i="40" s="1"/>
  <c r="Y473" i="40"/>
  <c r="Z473" i="40"/>
  <c r="AA473" i="40"/>
  <c r="AB473" i="40" s="1"/>
  <c r="Y474" i="40"/>
  <c r="Z474" i="40"/>
  <c r="AA474" i="40"/>
  <c r="AB474" i="40" s="1"/>
  <c r="Y475" i="40"/>
  <c r="Z475" i="40"/>
  <c r="AA475" i="40"/>
  <c r="AB475" i="40" s="1"/>
  <c r="Y476" i="40"/>
  <c r="Z476" i="40"/>
  <c r="AA476" i="40" s="1"/>
  <c r="AB476" i="40" s="1"/>
  <c r="Y477" i="40"/>
  <c r="Z477" i="40"/>
  <c r="AA477" i="40"/>
  <c r="AB477" i="40" s="1"/>
  <c r="Y478" i="40"/>
  <c r="Z478" i="40"/>
  <c r="AA478" i="40"/>
  <c r="AB478" i="40"/>
  <c r="Y479" i="40"/>
  <c r="Z479" i="40"/>
  <c r="AA479" i="40"/>
  <c r="AB479" i="40"/>
  <c r="Y480" i="40"/>
  <c r="Z480" i="40"/>
  <c r="AA480" i="40" s="1"/>
  <c r="AB480" i="40" s="1"/>
  <c r="Y481" i="40"/>
  <c r="Z481" i="40"/>
  <c r="AA481" i="40"/>
  <c r="AB481" i="40" s="1"/>
  <c r="Y482" i="40"/>
  <c r="Z482" i="40"/>
  <c r="AA482" i="40"/>
  <c r="AB482" i="40" s="1"/>
  <c r="Y483" i="40"/>
  <c r="Z483" i="40"/>
  <c r="AA483" i="40"/>
  <c r="AB483" i="40" s="1"/>
  <c r="Y484" i="40"/>
  <c r="Z484" i="40"/>
  <c r="AA484" i="40" s="1"/>
  <c r="AB484" i="40" s="1"/>
  <c r="Y485" i="40"/>
  <c r="Z485" i="40"/>
  <c r="AA485" i="40"/>
  <c r="AB485" i="40" s="1"/>
  <c r="Y486" i="40"/>
  <c r="Z486" i="40"/>
  <c r="AA486" i="40" s="1"/>
  <c r="AB486" i="40" s="1"/>
  <c r="Y487" i="40"/>
  <c r="AA487" i="40" s="1"/>
  <c r="AB487" i="40" s="1"/>
  <c r="Z487" i="40"/>
  <c r="Y2" i="40"/>
  <c r="C2" i="39"/>
  <c r="C3" i="39"/>
  <c r="C4" i="39"/>
  <c r="C5" i="39"/>
  <c r="C6" i="39"/>
  <c r="C1" i="39"/>
  <c r="I20" i="32"/>
  <c r="J20" i="32" s="1"/>
  <c r="I21" i="32"/>
  <c r="J21" i="32" s="1"/>
  <c r="P50" i="32"/>
  <c r="Q50" i="32" s="1"/>
  <c r="J55" i="32"/>
  <c r="K55" i="32" s="1"/>
  <c r="J37" i="32"/>
  <c r="K37" i="32" s="1"/>
  <c r="J38" i="32"/>
  <c r="K38" i="32" s="1"/>
  <c r="J36" i="32"/>
  <c r="K36" i="32" s="1"/>
  <c r="J43" i="32"/>
  <c r="K43" i="32" s="1"/>
  <c r="J35" i="32"/>
  <c r="K35" i="32" s="1"/>
  <c r="J51" i="32"/>
  <c r="K51" i="32" s="1"/>
  <c r="J48" i="32"/>
  <c r="K48" i="32" s="1"/>
  <c r="J46" i="32"/>
  <c r="K46" i="32" s="1"/>
  <c r="J41" i="32"/>
  <c r="K41" i="32" s="1"/>
  <c r="J47" i="32"/>
  <c r="K47" i="32" s="1"/>
  <c r="J32" i="32"/>
  <c r="K32" i="32" s="1"/>
  <c r="J39" i="32"/>
  <c r="K39" i="32" s="1"/>
  <c r="J42" i="32"/>
  <c r="K42" i="32" s="1"/>
  <c r="J40" i="32"/>
  <c r="K40" i="32" s="1"/>
  <c r="J53" i="32"/>
  <c r="K53" i="32" s="1"/>
  <c r="J56" i="32"/>
  <c r="K56" i="32" s="1"/>
  <c r="J54" i="32"/>
  <c r="K54" i="32" s="1"/>
  <c r="J31" i="32"/>
  <c r="K31" i="32" s="1"/>
  <c r="J33" i="32"/>
  <c r="K33" i="32" s="1"/>
  <c r="J34" i="32"/>
  <c r="K34" i="32" s="1"/>
  <c r="J49" i="32"/>
  <c r="K49" i="32" s="1"/>
  <c r="J45" i="32"/>
  <c r="K45" i="32" s="1"/>
  <c r="J50" i="32"/>
  <c r="K50" i="32" s="1"/>
  <c r="J57" i="32"/>
  <c r="K57" i="32" s="1"/>
  <c r="J44" i="32"/>
  <c r="K44" i="32" s="1"/>
  <c r="J52" i="32"/>
  <c r="K52" i="32" s="1"/>
  <c r="I5" i="32"/>
  <c r="J5" i="32" s="1"/>
  <c r="I6" i="32"/>
  <c r="J6" i="32" s="1"/>
  <c r="I7" i="32"/>
  <c r="J7" i="32" s="1"/>
  <c r="I8" i="32"/>
  <c r="J8" i="32" s="1"/>
  <c r="I9" i="32"/>
  <c r="J9" i="32" s="1"/>
  <c r="I10" i="32"/>
  <c r="J10" i="32" s="1"/>
  <c r="I11" i="32"/>
  <c r="J11" i="32" s="1"/>
  <c r="I12" i="32"/>
  <c r="J12" i="32" s="1"/>
  <c r="I13" i="32"/>
  <c r="J13" i="32" s="1"/>
  <c r="I14" i="32"/>
  <c r="J14" i="32" s="1"/>
  <c r="I15" i="32"/>
  <c r="J15" i="32" s="1"/>
  <c r="I16" i="32"/>
  <c r="J16" i="32" s="1"/>
  <c r="I17" i="32"/>
  <c r="J17" i="32" s="1"/>
  <c r="I18" i="32"/>
  <c r="J18" i="32" s="1"/>
  <c r="I19" i="32"/>
  <c r="J19" i="32" s="1"/>
  <c r="I4" i="32"/>
  <c r="J4" i="32" s="1"/>
  <c r="AA2" i="40" l="1"/>
  <c r="AB2" i="40" l="1"/>
</calcChain>
</file>

<file path=xl/sharedStrings.xml><?xml version="1.0" encoding="utf-8"?>
<sst xmlns="http://schemas.openxmlformats.org/spreadsheetml/2006/main" count="161" uniqueCount="107">
  <si>
    <t>i</t>
  </si>
  <si>
    <t>t</t>
  </si>
  <si>
    <t>ln_Sg_pc</t>
  </si>
  <si>
    <t>ln_Pg</t>
  </si>
  <si>
    <t>ln_l1_Pg</t>
  </si>
  <si>
    <t>ln_l2_Pg</t>
  </si>
  <si>
    <t>ln_Pe</t>
  </si>
  <si>
    <t>ln_l1_Pe</t>
  </si>
  <si>
    <t>ln_l2_Pe</t>
  </si>
  <si>
    <t>ln_Mi_e</t>
  </si>
  <si>
    <t>ln_W_adj_Mi_e</t>
  </si>
  <si>
    <t>ln_Mi_c</t>
  </si>
  <si>
    <t>ln_gdp_pc</t>
  </si>
  <si>
    <t>y2020</t>
  </si>
  <si>
    <t>d_CW</t>
  </si>
  <si>
    <t>d_SO</t>
  </si>
  <si>
    <t>d_SE</t>
  </si>
  <si>
    <t>d_NE</t>
  </si>
  <si>
    <t>d_NO</t>
  </si>
  <si>
    <t>Row Labels</t>
  </si>
  <si>
    <t>Grand Total</t>
  </si>
  <si>
    <t>Year</t>
  </si>
  <si>
    <t>Actual</t>
  </si>
  <si>
    <t>Predicted</t>
  </si>
  <si>
    <t>State ID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</si>
  <si>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</si>
  <si>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</si>
  <si>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</si>
  <si>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</si>
  <si>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</si>
  <si>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</si>
  <si>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</si>
  <si>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</si>
  <si>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</si>
  <si>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</si>
  <si>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</si>
  <si>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</si>
  <si>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</si>
  <si>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</si>
  <si>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</si>
  <si>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</si>
  <si>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</si>
  <si>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</si>
  <si>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</si>
  <si>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</si>
  <si>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</si>
  <si>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</si>
  <si>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</si>
  <si>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</si>
  <si>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</si>
  <si>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</si>
  <si>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</si>
  <si>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State</t>
  </si>
  <si>
    <t>eps</t>
  </si>
  <si>
    <t>y</t>
  </si>
  <si>
    <t>y_hat</t>
  </si>
  <si>
    <r>
      <t>CV(RMSE)</t>
    </r>
    <r>
      <rPr>
        <vertAlign val="subscript"/>
        <sz val="11"/>
        <rFont val="Calibri"/>
        <family val="2"/>
      </rPr>
      <t>s</t>
    </r>
  </si>
  <si>
    <t>eps2</t>
  </si>
  <si>
    <t>Average of eps2</t>
  </si>
  <si>
    <t>Average of y</t>
  </si>
  <si>
    <t>MSE</t>
  </si>
  <si>
    <t>RMSE</t>
  </si>
  <si>
    <t>ln_l1_gdp_pc</t>
  </si>
  <si>
    <t>ln_stations</t>
  </si>
  <si>
    <t>Average of y_hat</t>
  </si>
  <si>
    <t>Mean y</t>
  </si>
  <si>
    <t>CV(RMSE)</t>
  </si>
  <si>
    <t>Diag</t>
  </si>
  <si>
    <t>DNO</t>
  </si>
  <si>
    <t>DIPI</t>
  </si>
  <si>
    <t>D2020</t>
  </si>
  <si>
    <t>DNE</t>
  </si>
  <si>
    <t>DSE</t>
  </si>
  <si>
    <t>DCW</t>
  </si>
  <si>
    <t>d_ln_gdp</t>
  </si>
  <si>
    <t>ipi_red</t>
  </si>
  <si>
    <t>pred</t>
  </si>
  <si>
    <r>
      <t>CV</t>
    </r>
    <r>
      <rPr>
        <vertAlign val="subscript"/>
        <sz val="11"/>
        <rFont val="Calibri"/>
        <family val="2"/>
      </rPr>
      <t>t</t>
    </r>
  </si>
  <si>
    <t>Pg</t>
  </si>
  <si>
    <t>Pe</t>
  </si>
  <si>
    <t>Mc</t>
  </si>
  <si>
    <t>Me</t>
  </si>
  <si>
    <t>S</t>
  </si>
  <si>
    <t>GDP</t>
  </si>
  <si>
    <t>Gasoline price</t>
  </si>
  <si>
    <t>Ethanol price</t>
  </si>
  <si>
    <t>GDP per capita</t>
  </si>
  <si>
    <t>Motorization index</t>
  </si>
  <si>
    <t>Motorization index (EV)</t>
  </si>
  <si>
    <t>Gasoline sales per capita</t>
  </si>
  <si>
    <t>Deviation</t>
  </si>
  <si>
    <t>Pred+</t>
  </si>
  <si>
    <t>Pred-</t>
  </si>
  <si>
    <t>Upper</t>
  </si>
  <si>
    <t>Lower</t>
  </si>
  <si>
    <t>Rho</t>
  </si>
  <si>
    <t>Rank Std</t>
  </si>
  <si>
    <t>Rank Rho</t>
  </si>
  <si>
    <t>Std</t>
  </si>
  <si>
    <t>Macro-região</t>
  </si>
  <si>
    <t>Rho*(ln(y) -ln( y_hat))</t>
  </si>
  <si>
    <t xml:space="preserve">Gasoline sales </t>
  </si>
  <si>
    <t>ICEV</t>
  </si>
  <si>
    <t>EV</t>
  </si>
  <si>
    <t>Actual sales</t>
  </si>
  <si>
    <t>Predicted sales</t>
  </si>
  <si>
    <t>Confidence 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</si>
</sst>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6" x14ac:knownFonts="1">
    <font>
      <sz val="11"/>
      <name val="Calibri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10" fontId="0" fillId="0" borderId="0" xfId="1" applyNumberFormat="1" applyFont="1"/>
    <xf numFmtId="1" fontId="0" fillId="0" borderId="1" xfId="0" applyNumberFormat="1" applyBorder="1"/>
    <xf numFmtId="0" fontId="5" fillId="2" borderId="2" xfId="0" applyFont="1" applyFill="1" applyBorder="1"/>
    <xf numFmtId="1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hartsheet" Target="chartsheets/sheet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hartsheet" Target="chartsheets/sheet5.xml"/><Relationship Id="rId5" Type="http://schemas.openxmlformats.org/officeDocument/2006/relationships/chartsheet" Target="chartsheets/sheet1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[dataset_predictions.xlsx]State preds!PivotTable23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  <a:alpha val="57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  <a:alpha val="57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8"/>
          <c:spPr>
            <a:solidFill>
              <a:schemeClr val="accent6"/>
            </a:solidFill>
            <a:ln w="9525">
              <a:solidFill>
                <a:schemeClr val="accent6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ysDot"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square"/>
          <c:size val="7"/>
          <c:spPr>
            <a:solidFill>
              <a:schemeClr val="accent2"/>
            </a:solidFill>
            <a:ln w="9525">
              <a:solidFill>
                <a:schemeClr val="accent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  <a:alpha val="31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'State preds'!$B$4</c:f>
              <c:strCache>
                <c:ptCount val="1"/>
                <c:pt idx="0">
                  <c:v>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'State preds'!$A$5:$A$23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'State preds'!$B$5:$B$23</c:f>
              <c:numCache>
                <c:formatCode>General</c:formatCode>
                <c:ptCount val="18"/>
                <c:pt idx="0">
                  <c:v>0.13521948459651553</c:v>
                </c:pt>
                <c:pt idx="1">
                  <c:v>0.14295512765968779</c:v>
                </c:pt>
                <c:pt idx="2">
                  <c:v>0.15591455266708479</c:v>
                </c:pt>
                <c:pt idx="3">
                  <c:v>0.16681286334546683</c:v>
                </c:pt>
                <c:pt idx="4">
                  <c:v>0.18930414848483226</c:v>
                </c:pt>
                <c:pt idx="5">
                  <c:v>0.214036232075279</c:v>
                </c:pt>
                <c:pt idx="6">
                  <c:v>0.23765459486124182</c:v>
                </c:pt>
                <c:pt idx="7">
                  <c:v>0.23924048564626582</c:v>
                </c:pt>
                <c:pt idx="8">
                  <c:v>0.24896135455121032</c:v>
                </c:pt>
                <c:pt idx="9">
                  <c:v>0.24164016600621074</c:v>
                </c:pt>
                <c:pt idx="10">
                  <c:v>0.26421595645480656</c:v>
                </c:pt>
                <c:pt idx="11">
                  <c:v>0.27469776379357086</c:v>
                </c:pt>
                <c:pt idx="12">
                  <c:v>0.26627832393145356</c:v>
                </c:pt>
                <c:pt idx="13">
                  <c:v>0.27955536087510974</c:v>
                </c:pt>
                <c:pt idx="14">
                  <c:v>0.24729625559719862</c:v>
                </c:pt>
                <c:pt idx="15">
                  <c:v>0.24787657140568325</c:v>
                </c:pt>
                <c:pt idx="16">
                  <c:v>0.25479345889560306</c:v>
                </c:pt>
                <c:pt idx="17">
                  <c:v>0.2619190951253299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F-4D76-A0F5-B3E0EAFBBF68}"/>
            </c:ext>
          </c:extLst>
        </c:ser>
        <c:ser>
          <c:idx val="1"/>
          <c:order val="1"/>
          <c:tx>
            <c:strRef>
              <c:f>'State preds'!$C$4</c:f>
              <c:strCache>
                <c:ptCount val="1"/>
                <c:pt idx="0">
                  <c:v>Confidence 63%</c:v>
                </c:pt>
              </c:strCache>
            </c:strRef>
          </c:tx>
          <c:spPr>
            <a:solidFill>
              <a:schemeClr val="bg1">
                <a:lumMod val="75000"/>
                <a:alpha val="31000"/>
              </a:schemeClr>
            </a:solidFill>
            <a:ln>
              <a:noFill/>
            </a:ln>
            <a:effectLst/>
          </c:spPr>
          <c:cat>
            <c:strRef>
              <c:f>'State preds'!$A$5:$A$23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'State preds'!$C$5:$C$23</c:f>
              <c:numCache>
                <c:formatCode>General</c:formatCode>
                <c:ptCount val="18"/>
                <c:pt idx="0">
                  <c:v>1.6451374196213037E-2</c:v>
                </c:pt>
                <c:pt idx="1">
                  <c:v>1.7392525237132389E-2</c:v>
                </c:pt>
                <c:pt idx="2">
                  <c:v>1.8969223675235597E-2</c:v>
                </c:pt>
                <c:pt idx="3">
                  <c:v>2.0295158229798105E-2</c:v>
                </c:pt>
                <c:pt idx="4">
                  <c:v>2.3031543071712818E-2</c:v>
                </c:pt>
                <c:pt idx="5">
                  <c:v>2.6040552927152988E-2</c:v>
                </c:pt>
                <c:pt idx="6">
                  <c:v>2.8914062800772217E-2</c:v>
                </c:pt>
                <c:pt idx="7">
                  <c:v>2.9107008978733195E-2</c:v>
                </c:pt>
                <c:pt idx="8">
                  <c:v>3.0289690988983209E-2</c:v>
                </c:pt>
                <c:pt idx="9">
                  <c:v>2.9398964237034642E-2</c:v>
                </c:pt>
                <c:pt idx="10">
                  <c:v>3.2145630352153842E-2</c:v>
                </c:pt>
                <c:pt idx="11">
                  <c:v>3.3420891349466297E-2</c:v>
                </c:pt>
                <c:pt idx="12">
                  <c:v>3.2396546698933826E-2</c:v>
                </c:pt>
                <c:pt idx="13">
                  <c:v>3.4011887148047315E-2</c:v>
                </c:pt>
                <c:pt idx="14">
                  <c:v>3.0087108010295543E-2</c:v>
                </c:pt>
                <c:pt idx="15">
                  <c:v>3.0157711685097677E-2</c:v>
                </c:pt>
                <c:pt idx="16">
                  <c:v>3.0999249461323652E-2</c:v>
                </c:pt>
                <c:pt idx="17">
                  <c:v>3.1866184491812166E-2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AF-4D76-A0F5-B3E0EAFB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925455"/>
        <c:axId val="712940815"/>
      </c:areaChart>
      <c:lineChart>
        <c:grouping val="standard"/>
        <c:varyColors val="0"/>
        <c:ser>
          <c:idx val="2"/>
          <c:order val="2"/>
          <c:tx>
            <c:strRef>
              <c:f>'State preds'!$D$4</c:f>
              <c:strCache>
                <c:ptCount val="1"/>
                <c:pt idx="0">
                  <c:v>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'State preds'!$A$5:$A$23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'State preds'!$D$5:$D$23</c:f>
              <c:numCache>
                <c:formatCode>General</c:formatCode>
                <c:ptCount val="18"/>
                <c:pt idx="0">
                  <c:v>0.14320913153239789</c:v>
                </c:pt>
                <c:pt idx="1">
                  <c:v>0.15140184671857948</c:v>
                </c:pt>
                <c:pt idx="2">
                  <c:v>0.16512699887402843</c:v>
                </c:pt>
                <c:pt idx="3">
                  <c:v>0.17666925265556349</c:v>
                </c:pt>
                <c:pt idx="4">
                  <c:v>0.20048946925723993</c:v>
                </c:pt>
                <c:pt idx="5">
                  <c:v>0.22668288526191693</c:v>
                </c:pt>
                <c:pt idx="6">
                  <c:v>0.2516967745907186</c:v>
                </c:pt>
                <c:pt idx="7">
                  <c:v>0.25337637012168968</c:v>
                </c:pt>
                <c:pt idx="8">
                  <c:v>0.26367161120895877</c:v>
                </c:pt>
                <c:pt idx="9">
                  <c:v>0.25591783921047162</c:v>
                </c:pt>
                <c:pt idx="10">
                  <c:v>0.27982755424486921</c:v>
                </c:pt>
                <c:pt idx="11">
                  <c:v>0.29092869495956347</c:v>
                </c:pt>
                <c:pt idx="12">
                  <c:v>0.28201177981053077</c:v>
                </c:pt>
                <c:pt idx="13">
                  <c:v>0.29607331048192898</c:v>
                </c:pt>
                <c:pt idx="14">
                  <c:v>0.26190812737501973</c:v>
                </c:pt>
                <c:pt idx="15">
                  <c:v>0.2625227320172101</c:v>
                </c:pt>
                <c:pt idx="16">
                  <c:v>0.26984831422375732</c:v>
                </c:pt>
                <c:pt idx="17">
                  <c:v>0.27739497940385272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AF-4D76-A0F5-B3E0EAFBBF68}"/>
            </c:ext>
          </c:extLst>
        </c:ser>
        <c:ser>
          <c:idx val="3"/>
          <c:order val="3"/>
          <c:tx>
            <c:strRef>
              <c:f>'State preds'!$E$4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'State preds'!$A$5:$A$23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'State preds'!$E$5:$E$23</c:f>
              <c:numCache>
                <c:formatCode>General</c:formatCode>
                <c:ptCount val="18"/>
                <c:pt idx="0">
                  <c:v>0.13869006314673626</c:v>
                </c:pt>
                <c:pt idx="1">
                  <c:v>0.14197603818698154</c:v>
                </c:pt>
                <c:pt idx="2">
                  <c:v>0.15254680530465814</c:v>
                </c:pt>
                <c:pt idx="3">
                  <c:v>0.1578218494571908</c:v>
                </c:pt>
                <c:pt idx="4">
                  <c:v>0.18655126456168197</c:v>
                </c:pt>
                <c:pt idx="5">
                  <c:v>0.22282756054185968</c:v>
                </c:pt>
                <c:pt idx="6">
                  <c:v>0.25726454337666699</c:v>
                </c:pt>
                <c:pt idx="7">
                  <c:v>0.25939191866017797</c:v>
                </c:pt>
                <c:pt idx="8">
                  <c:v>0.27398252137589008</c:v>
                </c:pt>
                <c:pt idx="9">
                  <c:v>0.25035631696171773</c:v>
                </c:pt>
                <c:pt idx="10">
                  <c:v>0.27657168655070519</c:v>
                </c:pt>
                <c:pt idx="11">
                  <c:v>0.28255871871299265</c:v>
                </c:pt>
                <c:pt idx="12">
                  <c:v>0.25934531479540024</c:v>
                </c:pt>
                <c:pt idx="13">
                  <c:v>0.27641312334786861</c:v>
                </c:pt>
                <c:pt idx="14">
                  <c:v>0.24843897296000483</c:v>
                </c:pt>
                <c:pt idx="15">
                  <c:v>0.23823413595718218</c:v>
                </c:pt>
                <c:pt idx="16">
                  <c:v>0.27103581376083574</c:v>
                </c:pt>
                <c:pt idx="17">
                  <c:v>0.28710324219459921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AF-4D76-A0F5-B3E0EAFB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925455"/>
        <c:axId val="712940815"/>
      </c:lineChart>
      <c:catAx>
        <c:axId val="71292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12940815"/>
        <c:crosses val="autoZero"/>
        <c:auto val="1"/>
        <c:lblAlgn val="ctr"/>
        <c:lblOffset val="100"/>
        <c:noMultiLvlLbl val="0"/>
      </c:catAx>
      <c:valAx>
        <c:axId val="7129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Gasoline sales [m³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129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- real values'!$K$22</c:f>
              <c:strCache>
                <c:ptCount val="1"/>
                <c:pt idx="0">
                  <c:v>Gasoline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values'!$K$23:$K$40</c:f>
              <c:numCache>
                <c:formatCode>General</c:formatCode>
                <c:ptCount val="18"/>
                <c:pt idx="0">
                  <c:v>0.11751240070935599</c:v>
                </c:pt>
                <c:pt idx="1">
                  <c:v>0.11945993254065038</c:v>
                </c:pt>
                <c:pt idx="2">
                  <c:v>0.12737279115493544</c:v>
                </c:pt>
                <c:pt idx="3">
                  <c:v>0.13110086472181412</c:v>
                </c:pt>
                <c:pt idx="4">
                  <c:v>0.15492585273281434</c:v>
                </c:pt>
                <c:pt idx="5">
                  <c:v>0.17681577128797871</c:v>
                </c:pt>
                <c:pt idx="6">
                  <c:v>0.19892608328744141</c:v>
                </c:pt>
                <c:pt idx="7">
                  <c:v>0.20145769793886284</c:v>
                </c:pt>
                <c:pt idx="8">
                  <c:v>0.21624676435374515</c:v>
                </c:pt>
                <c:pt idx="9">
                  <c:v>0.20535220648697183</c:v>
                </c:pt>
                <c:pt idx="10">
                  <c:v>0.21182590805501023</c:v>
                </c:pt>
                <c:pt idx="11">
                  <c:v>0.21485130506979916</c:v>
                </c:pt>
                <c:pt idx="12">
                  <c:v>0.19485206873482686</c:v>
                </c:pt>
                <c:pt idx="13">
                  <c:v>0.19701985853751416</c:v>
                </c:pt>
                <c:pt idx="14">
                  <c:v>0.18508960194746288</c:v>
                </c:pt>
                <c:pt idx="15">
                  <c:v>0.19463780746161902</c:v>
                </c:pt>
                <c:pt idx="16">
                  <c:v>0.20858144759465849</c:v>
                </c:pt>
                <c:pt idx="17">
                  <c:v>0.22057918620045336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D5-434A-9A47-DD32D596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64800"/>
        <c:axId val="58369600"/>
      </c:lineChart>
      <c:lineChart>
        <c:grouping val="standard"/>
        <c:varyColors val="0"/>
        <c:ser>
          <c:idx val="1"/>
          <c:order val="1"/>
          <c:tx>
            <c:strRef>
              <c:f>'Pivot - real values'!$L$22</c:f>
              <c:strCache>
                <c:ptCount val="1"/>
                <c:pt idx="0">
                  <c:v>Gasoline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values'!$L$23:$L$40</c:f>
              <c:numCache>
                <c:formatCode>General</c:formatCode>
                <c:ptCount val="18"/>
                <c:pt idx="0">
                  <c:v>2.6540740740740736</c:v>
                </c:pt>
                <c:pt idx="1">
                  <c:v>2.4921851851851851</c:v>
                </c:pt>
                <c:pt idx="2">
                  <c:v>2.3550111111111121</c:v>
                </c:pt>
                <c:pt idx="3">
                  <c:v>2.2647518518518521</c:v>
                </c:pt>
                <c:pt idx="4">
                  <c:v>2.1783888888888887</c:v>
                </c:pt>
                <c:pt idx="5">
                  <c:v>2.1364888888888887</c:v>
                </c:pt>
                <c:pt idx="6">
                  <c:v>2.020488888888889</c:v>
                </c:pt>
                <c:pt idx="7">
                  <c:v>1.9976148148148145</c:v>
                </c:pt>
                <c:pt idx="8">
                  <c:v>1.9543259259259258</c:v>
                </c:pt>
                <c:pt idx="9">
                  <c:v>1.9900962962962965</c:v>
                </c:pt>
                <c:pt idx="10">
                  <c:v>2.0526222222222223</c:v>
                </c:pt>
                <c:pt idx="11">
                  <c:v>2.0292592592592595</c:v>
                </c:pt>
                <c:pt idx="12">
                  <c:v>2.2745407407407403</c:v>
                </c:pt>
                <c:pt idx="13">
                  <c:v>2.1669</c:v>
                </c:pt>
                <c:pt idx="14">
                  <c:v>2.0238999999999998</c:v>
                </c:pt>
                <c:pt idx="15">
                  <c:v>2.4867481481481484</c:v>
                </c:pt>
                <c:pt idx="16">
                  <c:v>2.4885555555555556</c:v>
                </c:pt>
                <c:pt idx="17">
                  <c:v>2.1583370370370369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5-434A-9A47-DD32D5964406}"/>
            </c:ext>
          </c:extLst>
        </c:ser>
        <c:ser>
          <c:idx val="2"/>
          <c:order val="2"/>
          <c:tx>
            <c:strRef>
              <c:f>'Pivot - real values'!$M$22</c:f>
              <c:strCache>
                <c:ptCount val="1"/>
                <c:pt idx="0">
                  <c:v>Ethanol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values'!$M$23:$M$40</c:f>
              <c:numCache>
                <c:formatCode>General</c:formatCode>
                <c:ptCount val="18"/>
                <c:pt idx="0">
                  <c:v>1.9696296296296294</c:v>
                </c:pt>
                <c:pt idx="1">
                  <c:v>1.6777518518518519</c:v>
                </c:pt>
                <c:pt idx="2">
                  <c:v>1.6010259259259259</c:v>
                </c:pt>
                <c:pt idx="3">
                  <c:v>1.5358444444444443</c:v>
                </c:pt>
                <c:pt idx="4">
                  <c:v>1.5843962962962961</c:v>
                </c:pt>
                <c:pt idx="5">
                  <c:v>1.6923074074074069</c:v>
                </c:pt>
                <c:pt idx="6">
                  <c:v>1.6150518518518515</c:v>
                </c:pt>
                <c:pt idx="7">
                  <c:v>1.5855999999999999</c:v>
                </c:pt>
                <c:pt idx="8">
                  <c:v>1.5733444444444447</c:v>
                </c:pt>
                <c:pt idx="9">
                  <c:v>1.5240481481481483</c:v>
                </c:pt>
                <c:pt idx="10">
                  <c:v>1.714537037037037</c:v>
                </c:pt>
                <c:pt idx="11">
                  <c:v>1.6957481481481482</c:v>
                </c:pt>
                <c:pt idx="12">
                  <c:v>1.7584518518518517</c:v>
                </c:pt>
                <c:pt idx="13">
                  <c:v>1.7010888888888884</c:v>
                </c:pt>
                <c:pt idx="14">
                  <c:v>1.6278666666666666</c:v>
                </c:pt>
                <c:pt idx="15">
                  <c:v>2.0713592592592587</c:v>
                </c:pt>
                <c:pt idx="16">
                  <c:v>2.0371222222222225</c:v>
                </c:pt>
                <c:pt idx="17">
                  <c:v>1.6597814814814815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D5-434A-9A47-DD32D596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84160"/>
        <c:axId val="58283680"/>
      </c:lineChart>
      <c:catAx>
        <c:axId val="5836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369600"/>
        <c:crosses val="autoZero"/>
        <c:auto val="1"/>
        <c:lblAlgn val="ctr"/>
        <c:lblOffset val="100"/>
        <c:noMultiLvlLbl val="0"/>
      </c:catAx>
      <c:valAx>
        <c:axId val="583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Gasoline</a:t>
                </a:r>
                <a:r>
                  <a:rPr lang="pt-BR" baseline="0"/>
                  <a:t> s</a:t>
                </a:r>
                <a:r>
                  <a:rPr lang="pt-BR"/>
                  <a:t>ales [m³ /</a:t>
                </a:r>
                <a:r>
                  <a:rPr lang="pt-BR" baseline="0"/>
                  <a:t> person]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364800"/>
        <c:crosses val="autoZero"/>
        <c:crossBetween val="midCat"/>
      </c:valAx>
      <c:valAx>
        <c:axId val="58283680"/>
        <c:scaling>
          <c:orientation val="minMax"/>
          <c:max val="3"/>
          <c:min val="1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Fuel price [(2006) 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84160"/>
        <c:crosses val="max"/>
        <c:crossBetween val="between"/>
        <c:majorUnit val="0.36000000000000004"/>
      </c:valAx>
      <c:catAx>
        <c:axId val="5828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28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- real values'!$K$22</c:f>
              <c:strCache>
                <c:ptCount val="1"/>
                <c:pt idx="0">
                  <c:v>Gasoline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values'!$K$23:$K$40</c:f>
              <c:numCache>
                <c:formatCode>General</c:formatCode>
                <c:ptCount val="18"/>
                <c:pt idx="0">
                  <c:v>0.11751240070935599</c:v>
                </c:pt>
                <c:pt idx="1">
                  <c:v>0.11945993254065038</c:v>
                </c:pt>
                <c:pt idx="2">
                  <c:v>0.12737279115493544</c:v>
                </c:pt>
                <c:pt idx="3">
                  <c:v>0.13110086472181412</c:v>
                </c:pt>
                <c:pt idx="4">
                  <c:v>0.15492585273281434</c:v>
                </c:pt>
                <c:pt idx="5">
                  <c:v>0.17681577128797871</c:v>
                </c:pt>
                <c:pt idx="6">
                  <c:v>0.19892608328744141</c:v>
                </c:pt>
                <c:pt idx="7">
                  <c:v>0.20145769793886284</c:v>
                </c:pt>
                <c:pt idx="8">
                  <c:v>0.21624676435374515</c:v>
                </c:pt>
                <c:pt idx="9">
                  <c:v>0.20535220648697183</c:v>
                </c:pt>
                <c:pt idx="10">
                  <c:v>0.21182590805501023</c:v>
                </c:pt>
                <c:pt idx="11">
                  <c:v>0.21485130506979916</c:v>
                </c:pt>
                <c:pt idx="12">
                  <c:v>0.19485206873482686</c:v>
                </c:pt>
                <c:pt idx="13">
                  <c:v>0.19701985853751416</c:v>
                </c:pt>
                <c:pt idx="14">
                  <c:v>0.18508960194746288</c:v>
                </c:pt>
                <c:pt idx="15">
                  <c:v>0.19463780746161902</c:v>
                </c:pt>
                <c:pt idx="16">
                  <c:v>0.20858144759465849</c:v>
                </c:pt>
                <c:pt idx="17">
                  <c:v>0.22057918620045336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A-4AE3-A9F3-DECC9E54D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45760"/>
        <c:axId val="58247680"/>
      </c:lineChart>
      <c:lineChart>
        <c:grouping val="standard"/>
        <c:varyColors val="0"/>
        <c:ser>
          <c:idx val="1"/>
          <c:order val="1"/>
          <c:tx>
            <c:strRef>
              <c:f>'Pivot - real values'!$N$22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values'!$N$23:$N$40</c:f>
              <c:numCache>
                <c:formatCode>0.000</c:formatCode>
                <c:ptCount val="18"/>
                <c:pt idx="0">
                  <c:v>14461.964759502394</c:v>
                </c:pt>
                <c:pt idx="1">
                  <c:v>15193.314713226013</c:v>
                </c:pt>
                <c:pt idx="2">
                  <c:v>16119.569314780159</c:v>
                </c:pt>
                <c:pt idx="3">
                  <c:v>16058.947667230574</c:v>
                </c:pt>
                <c:pt idx="4">
                  <c:v>17150.121684567472</c:v>
                </c:pt>
                <c:pt idx="5">
                  <c:v>17767.955610828139</c:v>
                </c:pt>
                <c:pt idx="6">
                  <c:v>17992.06454104666</c:v>
                </c:pt>
                <c:pt idx="7">
                  <c:v>17769.658186347977</c:v>
                </c:pt>
                <c:pt idx="8">
                  <c:v>17841.430679778077</c:v>
                </c:pt>
                <c:pt idx="9">
                  <c:v>17114.823941160186</c:v>
                </c:pt>
                <c:pt idx="10">
                  <c:v>16493.656598246613</c:v>
                </c:pt>
                <c:pt idx="11">
                  <c:v>16631.748223528281</c:v>
                </c:pt>
                <c:pt idx="12">
                  <c:v>16902.095975271721</c:v>
                </c:pt>
                <c:pt idx="13">
                  <c:v>16903.704600099059</c:v>
                </c:pt>
                <c:pt idx="14">
                  <c:v>16541.869676691607</c:v>
                </c:pt>
                <c:pt idx="15">
                  <c:v>17123.440096660288</c:v>
                </c:pt>
                <c:pt idx="16">
                  <c:v>17516.10078629071</c:v>
                </c:pt>
                <c:pt idx="17">
                  <c:v>18311.345225823854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A-4AE3-A9F3-DECC9E54D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14400"/>
        <c:axId val="58310560"/>
      </c:lineChart>
      <c:catAx>
        <c:axId val="582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47680"/>
        <c:crosses val="autoZero"/>
        <c:auto val="1"/>
        <c:lblAlgn val="ctr"/>
        <c:lblOffset val="100"/>
        <c:noMultiLvlLbl val="0"/>
      </c:catAx>
      <c:valAx>
        <c:axId val="582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Gasoline sales [m³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45760"/>
        <c:crosses val="autoZero"/>
        <c:crossBetween val="midCat"/>
      </c:valAx>
      <c:valAx>
        <c:axId val="58310560"/>
        <c:scaling>
          <c:orientation val="minMax"/>
          <c:max val="22000"/>
          <c:min val="12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GDP [(2010) R$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314400"/>
        <c:crosses val="max"/>
        <c:crossBetween val="between"/>
        <c:majorUnit val="2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</c:dispUnitsLbl>
        </c:dispUnits>
      </c:valAx>
      <c:catAx>
        <c:axId val="5831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310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'Pivot - real values'!$O$22</c:f>
              <c:strCache>
                <c:ptCount val="1"/>
                <c:pt idx="0">
                  <c:v>ICEV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values'!$O$23:$O$40</c:f>
              <c:numCache>
                <c:formatCode>General</c:formatCode>
                <c:ptCount val="18"/>
                <c:pt idx="0">
                  <c:v>0.15173145760238355</c:v>
                </c:pt>
                <c:pt idx="1">
                  <c:v>0.16726530857476252</c:v>
                </c:pt>
                <c:pt idx="2">
                  <c:v>0.18520087946973046</c:v>
                </c:pt>
                <c:pt idx="3">
                  <c:v>0.20306488314057566</c:v>
                </c:pt>
                <c:pt idx="4">
                  <c:v>0.22281866554185129</c:v>
                </c:pt>
                <c:pt idx="5">
                  <c:v>0.24231467792257935</c:v>
                </c:pt>
                <c:pt idx="6">
                  <c:v>0.26084556093479655</c:v>
                </c:pt>
                <c:pt idx="7">
                  <c:v>0.26988587894466026</c:v>
                </c:pt>
                <c:pt idx="8">
                  <c:v>0.28456799162394814</c:v>
                </c:pt>
                <c:pt idx="9">
                  <c:v>0.29564717417338099</c:v>
                </c:pt>
                <c:pt idx="10">
                  <c:v>0.30318374649154523</c:v>
                </c:pt>
                <c:pt idx="11">
                  <c:v>0.3107346997246746</c:v>
                </c:pt>
                <c:pt idx="12">
                  <c:v>0.32010830840252663</c:v>
                </c:pt>
                <c:pt idx="13">
                  <c:v>0.32913968347367084</c:v>
                </c:pt>
                <c:pt idx="14">
                  <c:v>0.33582122307551759</c:v>
                </c:pt>
                <c:pt idx="15">
                  <c:v>0.34254491260068121</c:v>
                </c:pt>
                <c:pt idx="16">
                  <c:v>0.3522334093422021</c:v>
                </c:pt>
                <c:pt idx="17">
                  <c:v>0.36307323681516562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3-4C35-BAC7-E83B9F1E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39520"/>
        <c:axId val="582544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- real values'!$K$22</c15:sqref>
                        </c15:formulaRef>
                      </c:ext>
                    </c:extLst>
                    <c:strCache>
                      <c:ptCount val="1"/>
                      <c:pt idx="0">
                        <c:v>Gasoline sales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'Pivot - real values'!$J$23:$J$40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'Pivot - real values'!$K$23:$K$40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0.11751240070935599</c:v>
                      </c:pt>
                      <c:pt idx="1">
                        <c:v>0.11945993254065038</c:v>
                      </c:pt>
                      <c:pt idx="2">
                        <c:v>0.12737279115493544</c:v>
                      </c:pt>
                      <c:pt idx="3">
                        <c:v>0.13110086472181412</c:v>
                      </c:pt>
                      <c:pt idx="4">
                        <c:v>0.15492585273281434</c:v>
                      </c:pt>
                      <c:pt idx="5">
                        <c:v>0.17681577128797871</c:v>
                      </c:pt>
                      <c:pt idx="6">
                        <c:v>0.19892608328744141</c:v>
                      </c:pt>
                      <c:pt idx="7">
                        <c:v>0.20145769793886284</c:v>
                      </c:pt>
                      <c:pt idx="8">
                        <c:v>0.21624676435374515</c:v>
                      </c:pt>
                      <c:pt idx="9">
                        <c:v>0.20535220648697183</c:v>
                      </c:pt>
                      <c:pt idx="10">
                        <c:v>0.21182590805501023</c:v>
                      </c:pt>
                      <c:pt idx="11">
                        <c:v>0.21485130506979916</c:v>
                      </c:pt>
                      <c:pt idx="12">
                        <c:v>0.19485206873482686</c:v>
                      </c:pt>
                      <c:pt idx="13">
                        <c:v>0.19701985853751416</c:v>
                      </c:pt>
                      <c:pt idx="14">
                        <c:v>0.18508960194746288</c:v>
                      </c:pt>
                      <c:pt idx="15">
                        <c:v>0.19463780746161902</c:v>
                      </c:pt>
                      <c:pt idx="16">
                        <c:v>0.20858144759465849</c:v>
                      </c:pt>
                      <c:pt idx="17">
                        <c:v>0.22057918620045336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6A3-4C35-BAC7-E83B9F1E832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'Pivot - real values'!$P$22</c:f>
              <c:strCache>
                <c:ptCount val="1"/>
                <c:pt idx="0">
                  <c:v>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numRef>
              <c:f>'Pivot - real values'!$J$23:$J$40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'Pivot - real values'!$P$23:$P$40</c:f>
              <c:numCache>
                <c:formatCode>0.000</c:formatCode>
                <c:ptCount val="18"/>
                <c:pt idx="0">
                  <c:v>9.9999999999999788E-6</c:v>
                </c:pt>
                <c:pt idx="1">
                  <c:v>9.9999999999999788E-6</c:v>
                </c:pt>
                <c:pt idx="2">
                  <c:v>2.411329569694443E-5</c:v>
                </c:pt>
                <c:pt idx="3">
                  <c:v>2.3461209929805422E-4</c:v>
                </c:pt>
                <c:pt idx="4">
                  <c:v>5.4565174490068939E-4</c:v>
                </c:pt>
                <c:pt idx="5">
                  <c:v>3.1126515470803664E-3</c:v>
                </c:pt>
                <c:pt idx="6">
                  <c:v>4.6207476421021819E-3</c:v>
                </c:pt>
                <c:pt idx="7">
                  <c:v>1.0505889356475924E-2</c:v>
                </c:pt>
                <c:pt idx="8">
                  <c:v>2.0774184273672044E-2</c:v>
                </c:pt>
                <c:pt idx="9">
                  <c:v>3.0673599848699287E-2</c:v>
                </c:pt>
                <c:pt idx="10">
                  <c:v>4.330773500239337E-2</c:v>
                </c:pt>
                <c:pt idx="11">
                  <c:v>8.1952898408661656E-2</c:v>
                </c:pt>
                <c:pt idx="12">
                  <c:v>0.12440441938950178</c:v>
                </c:pt>
                <c:pt idx="13">
                  <c:v>0.25398022406588922</c:v>
                </c:pt>
                <c:pt idx="14">
                  <c:v>0.47214444279646345</c:v>
                </c:pt>
                <c:pt idx="15">
                  <c:v>0.8338325104596428</c:v>
                </c:pt>
                <c:pt idx="16">
                  <c:v>1.3729210873271041</c:v>
                </c:pt>
                <c:pt idx="17">
                  <c:v>2.4417684954950083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3-4C35-BAC7-E83B9F1E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89440"/>
        <c:axId val="58294720"/>
      </c:lineChart>
      <c:catAx>
        <c:axId val="5823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54400"/>
        <c:crosses val="autoZero"/>
        <c:auto val="1"/>
        <c:lblAlgn val="ctr"/>
        <c:lblOffset val="100"/>
        <c:noMultiLvlLbl val="0"/>
      </c:catAx>
      <c:valAx>
        <c:axId val="582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 ICEV motorization index [veh.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39520"/>
        <c:crosses val="autoZero"/>
        <c:crossBetween val="midCat"/>
      </c:valAx>
      <c:valAx>
        <c:axId val="58294720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EV motorization index [veh.</a:t>
                </a:r>
                <a:r>
                  <a:rPr lang="pt-BR" baseline="0"/>
                  <a:t> / 1.000 people]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8289440"/>
        <c:crosses val="max"/>
        <c:crossBetween val="between"/>
      </c:valAx>
      <c:catAx>
        <c:axId val="58289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29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CV!$J$3</c:f>
              <c:strCache>
                <c:ptCount val="1"/>
                <c:pt idx="0">
                  <c:v>CVt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CV!$F$4:$F$21</c:f>
              <c:numCache>
                <c:formatCode>0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CV!$J$4:$J$21</c:f>
              <c:numCache>
                <c:formatCode>0.00</c:formatCode>
                <c:ptCount val="18"/>
                <c:pt idx="0">
                  <c:v>0.1941206785887313</c:v>
                </c:pt>
                <c:pt idx="1">
                  <c:v>0.15044491029372056</c:v>
                </c:pt>
                <c:pt idx="2">
                  <c:v>0.12860189982807194</c:v>
                </c:pt>
                <c:pt idx="3">
                  <c:v>0.12483444263103156</c:v>
                </c:pt>
                <c:pt idx="4">
                  <c:v>0.12392246366471131</c:v>
                </c:pt>
                <c:pt idx="5">
                  <c:v>0.12102812084293615</c:v>
                </c:pt>
                <c:pt idx="6">
                  <c:v>0.10570531398351761</c:v>
                </c:pt>
                <c:pt idx="7">
                  <c:v>9.9340281342954334E-2</c:v>
                </c:pt>
                <c:pt idx="8">
                  <c:v>8.9856519717495587E-2</c:v>
                </c:pt>
                <c:pt idx="9">
                  <c:v>9.6465962191336477E-2</c:v>
                </c:pt>
                <c:pt idx="10">
                  <c:v>8.773451849692232E-2</c:v>
                </c:pt>
                <c:pt idx="11">
                  <c:v>9.5010694795202549E-2</c:v>
                </c:pt>
                <c:pt idx="12">
                  <c:v>0.1226849177992701</c:v>
                </c:pt>
                <c:pt idx="13">
                  <c:v>0.15025413932807982</c:v>
                </c:pt>
                <c:pt idx="14">
                  <c:v>0.14591865941989907</c:v>
                </c:pt>
                <c:pt idx="15">
                  <c:v>0.13270791115428288</c:v>
                </c:pt>
                <c:pt idx="16">
                  <c:v>0.11698003462133384</c:v>
                </c:pt>
                <c:pt idx="17">
                  <c:v>0.11080327506992885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D-4406-B66A-25FEFB9B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49936"/>
        <c:axId val="274350416"/>
      </c:lineChart>
      <c:lineChart>
        <c:grouping val="standard"/>
        <c:varyColors val="0"/>
        <c:ser>
          <c:idx val="1"/>
          <c:order val="1"/>
          <c:tx>
            <c:strRef>
              <c:f>CV!$G$3</c:f>
              <c:strCache>
                <c:ptCount val="1"/>
                <c:pt idx="0">
                  <c:v>Actual sales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CV!$F$4:$F$19</c:f>
              <c:numCache>
                <c:formatCode>0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cat>
          <c:val>
            <c:numRef>
              <c:f>CV!$G$4:$G$21</c:f>
              <c:numCache>
                <c:formatCode>0.00</c:formatCode>
                <c:ptCount val="18"/>
                <c:pt idx="0">
                  <c:v>0.11751240070935599</c:v>
                </c:pt>
                <c:pt idx="1">
                  <c:v>0.11945993254065038</c:v>
                </c:pt>
                <c:pt idx="2">
                  <c:v>0.12737279115493544</c:v>
                </c:pt>
                <c:pt idx="3">
                  <c:v>0.13110086472181412</c:v>
                </c:pt>
                <c:pt idx="4">
                  <c:v>0.15492585273281434</c:v>
                </c:pt>
                <c:pt idx="5">
                  <c:v>0.17681577128797871</c:v>
                </c:pt>
                <c:pt idx="6">
                  <c:v>0.19892608328744141</c:v>
                </c:pt>
                <c:pt idx="7">
                  <c:v>0.20145769793886284</c:v>
                </c:pt>
                <c:pt idx="8">
                  <c:v>0.21624676435374515</c:v>
                </c:pt>
                <c:pt idx="9">
                  <c:v>0.20535220648697183</c:v>
                </c:pt>
                <c:pt idx="10">
                  <c:v>0.21182590805501023</c:v>
                </c:pt>
                <c:pt idx="11">
                  <c:v>0.21485130506979916</c:v>
                </c:pt>
                <c:pt idx="12">
                  <c:v>0.19485206873482686</c:v>
                </c:pt>
                <c:pt idx="13">
                  <c:v>0.19701985853751416</c:v>
                </c:pt>
                <c:pt idx="14">
                  <c:v>0.18508960194746288</c:v>
                </c:pt>
                <c:pt idx="15">
                  <c:v>0.19463780746161902</c:v>
                </c:pt>
                <c:pt idx="16">
                  <c:v>0.20858144759465849</c:v>
                </c:pt>
                <c:pt idx="17">
                  <c:v>0.22057918620045336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3D-4DEC-BDB9-BE801E3D734D}"/>
            </c:ext>
          </c:extLst>
        </c:ser>
        <c:ser>
          <c:idx val="2"/>
          <c:order val="2"/>
          <c:tx>
            <c:strRef>
              <c:f>CV!$K$3</c:f>
              <c:strCache>
                <c:ptCount val="1"/>
                <c:pt idx="0">
                  <c:v>Predicted sales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CV!$F$4:$F$19</c:f>
              <c:numCache>
                <c:formatCode>0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cat>
          <c:val>
            <c:numRef>
              <c:f>CV!$K$4:$K$21</c:f>
              <c:numCache>
                <c:formatCode>0.00</c:formatCode>
                <c:ptCount val="18"/>
                <c:pt idx="0">
                  <c:v>0.10754826355964797</c:v>
                </c:pt>
                <c:pt idx="1">
                  <c:v>0.1150329285676875</c:v>
                </c:pt>
                <c:pt idx="2">
                  <c:v>0.12546921556333637</c:v>
                </c:pt>
                <c:pt idx="3">
                  <c:v>0.13449074563395852</c:v>
                </c:pt>
                <c:pt idx="4">
                  <c:v>0.15301714393822533</c:v>
                </c:pt>
                <c:pt idx="5">
                  <c:v>0.17184914902545712</c:v>
                </c:pt>
                <c:pt idx="6">
                  <c:v>0.19264258933530864</c:v>
                </c:pt>
                <c:pt idx="7">
                  <c:v>0.20024488713105276</c:v>
                </c:pt>
                <c:pt idx="8">
                  <c:v>0.21229743722867112</c:v>
                </c:pt>
                <c:pt idx="9">
                  <c:v>0.2034672421796144</c:v>
                </c:pt>
                <c:pt idx="10">
                  <c:v>0.21117083495486624</c:v>
                </c:pt>
                <c:pt idx="11">
                  <c:v>0.21820558477000823</c:v>
                </c:pt>
                <c:pt idx="12">
                  <c:v>0.20358810259811916</c:v>
                </c:pt>
                <c:pt idx="13">
                  <c:v>0.2108662478865434</c:v>
                </c:pt>
                <c:pt idx="14">
                  <c:v>0.19735995399188264</c:v>
                </c:pt>
                <c:pt idx="15">
                  <c:v>0.20396551882562985</c:v>
                </c:pt>
                <c:pt idx="16">
                  <c:v>0.20977600666680712</c:v>
                </c:pt>
                <c:pt idx="17">
                  <c:v>0.21663938252313478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3D-4DEC-BDB9-BE801E3D7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387024"/>
        <c:axId val="477386544"/>
        <c:extLst/>
      </c:lineChart>
      <c:catAx>
        <c:axId val="27434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74350416"/>
        <c:crosses val="autoZero"/>
        <c:auto val="1"/>
        <c:lblAlgn val="ctr"/>
        <c:lblOffset val="100"/>
        <c:noMultiLvlLbl val="1"/>
      </c:catAx>
      <c:valAx>
        <c:axId val="2743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CV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74349936"/>
        <c:crosses val="autoZero"/>
        <c:crossBetween val="midCat"/>
      </c:valAx>
      <c:valAx>
        <c:axId val="4773865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Gasoline sales [m³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77387024"/>
        <c:crosses val="max"/>
        <c:crossBetween val="between"/>
      </c:valAx>
      <c:catAx>
        <c:axId val="47738702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477386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CV!$K$30</c:f>
              <c:strCache>
                <c:ptCount val="1"/>
                <c:pt idx="0">
                  <c:v>CV(RMSE)s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3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CV!$F$31:$F$57</c:f>
              <c:strCache>
                <c:ptCount val="27"/>
                <c:pt idx="0">
                  <c:v>RJ</c:v>
                </c:pt>
                <c:pt idx="1">
                  <c:v>MT</c:v>
                </c:pt>
                <c:pt idx="2">
                  <c:v>AM</c:v>
                </c:pt>
                <c:pt idx="3">
                  <c:v>DF</c:v>
                </c:pt>
                <c:pt idx="4">
                  <c:v>CE</c:v>
                </c:pt>
                <c:pt idx="5">
                  <c:v>SP</c:v>
                </c:pt>
                <c:pt idx="6">
                  <c:v>PR</c:v>
                </c:pt>
                <c:pt idx="7">
                  <c:v>GO</c:v>
                </c:pt>
                <c:pt idx="8">
                  <c:v>PE</c:v>
                </c:pt>
                <c:pt idx="9">
                  <c:v>MG</c:v>
                </c:pt>
                <c:pt idx="10">
                  <c:v>RR</c:v>
                </c:pt>
                <c:pt idx="11">
                  <c:v>TO</c:v>
                </c:pt>
                <c:pt idx="12">
                  <c:v>BA</c:v>
                </c:pt>
                <c:pt idx="13">
                  <c:v>SC</c:v>
                </c:pt>
                <c:pt idx="14">
                  <c:v>AP</c:v>
                </c:pt>
                <c:pt idx="15">
                  <c:v>MA</c:v>
                </c:pt>
                <c:pt idx="16">
                  <c:v>AC</c:v>
                </c:pt>
                <c:pt idx="17">
                  <c:v>MS</c:v>
                </c:pt>
                <c:pt idx="18">
                  <c:v>PI</c:v>
                </c:pt>
                <c:pt idx="19">
                  <c:v>ES</c:v>
                </c:pt>
                <c:pt idx="20">
                  <c:v>AL</c:v>
                </c:pt>
                <c:pt idx="21">
                  <c:v>PA</c:v>
                </c:pt>
                <c:pt idx="22">
                  <c:v>SE</c:v>
                </c:pt>
                <c:pt idx="23">
                  <c:v>RS</c:v>
                </c:pt>
                <c:pt idx="24">
                  <c:v>RO</c:v>
                </c:pt>
                <c:pt idx="25">
                  <c:v>RN</c:v>
                </c:pt>
                <c:pt idx="26">
                  <c:v>PB</c:v>
                </c:pt>
              </c:strCache>
            </c:strRef>
          </c:cat>
          <c:val>
            <c:numRef>
              <c:f>CV!$K$31:$K$57</c:f>
              <c:numCache>
                <c:formatCode>0.000</c:formatCode>
                <c:ptCount val="27"/>
                <c:pt idx="0">
                  <c:v>0.36185169116383187</c:v>
                </c:pt>
                <c:pt idx="1">
                  <c:v>0.20729136560766503</c:v>
                </c:pt>
                <c:pt idx="2">
                  <c:v>0.16962294067709918</c:v>
                </c:pt>
                <c:pt idx="3">
                  <c:v>0.16447352207376931</c:v>
                </c:pt>
                <c:pt idx="4">
                  <c:v>0.15688595303175701</c:v>
                </c:pt>
                <c:pt idx="5">
                  <c:v>0.15301903005138504</c:v>
                </c:pt>
                <c:pt idx="6">
                  <c:v>0.1216576314483258</c:v>
                </c:pt>
                <c:pt idx="7">
                  <c:v>0.11353151135820101</c:v>
                </c:pt>
                <c:pt idx="8">
                  <c:v>0.10650223120539368</c:v>
                </c:pt>
                <c:pt idx="9">
                  <c:v>0.10489390529129565</c:v>
                </c:pt>
                <c:pt idx="10">
                  <c:v>9.3757755122200789E-2</c:v>
                </c:pt>
                <c:pt idx="11">
                  <c:v>9.2137355538200599E-2</c:v>
                </c:pt>
                <c:pt idx="12">
                  <c:v>9.0983109100110968E-2</c:v>
                </c:pt>
                <c:pt idx="13">
                  <c:v>7.8369091801801169E-2</c:v>
                </c:pt>
                <c:pt idx="14">
                  <c:v>6.9419154555749554E-2</c:v>
                </c:pt>
                <c:pt idx="15">
                  <c:v>6.8452913685985051E-2</c:v>
                </c:pt>
                <c:pt idx="16">
                  <c:v>6.332680785639333E-2</c:v>
                </c:pt>
                <c:pt idx="17">
                  <c:v>5.449590391246089E-2</c:v>
                </c:pt>
                <c:pt idx="18">
                  <c:v>5.3601967485236809E-2</c:v>
                </c:pt>
                <c:pt idx="19">
                  <c:v>4.8965116245083803E-2</c:v>
                </c:pt>
                <c:pt idx="20">
                  <c:v>4.2204665532725012E-2</c:v>
                </c:pt>
                <c:pt idx="21">
                  <c:v>3.6746383606109455E-2</c:v>
                </c:pt>
                <c:pt idx="22">
                  <c:v>3.3977511923185738E-2</c:v>
                </c:pt>
                <c:pt idx="23">
                  <c:v>3.2486585861671469E-2</c:v>
                </c:pt>
                <c:pt idx="24">
                  <c:v>3.1066945464985E-2</c:v>
                </c:pt>
                <c:pt idx="25">
                  <c:v>2.9285081032561111E-2</c:v>
                </c:pt>
                <c:pt idx="26">
                  <c:v>2.8991765406563064E-2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9-465C-9B84-FDCC7959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28148336"/>
        <c:axId val="228147376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48336"/>
        <c:axId val="228147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CV!$L$22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CV!$L$23:$L$49</c15:sqref>
                        </c15:formulaRef>
                      </c:ext>
                    </c:extLst>
                    <c:numCache>
                      <c:formatCode>0.000</c:formatCode>
                      <c:ptCount val="2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795-4904-9145-5B0CAF8C7EA7}"/>
                  </c:ext>
                </c:extLst>
              </c15:ser>
            </c15:filteredLineSeries>
          </c:ext>
        </c:extLst>
      </c:lineChart>
      <c:catAx>
        <c:axId val="22814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28147376"/>
        <c:crosses val="autoZero"/>
        <c:auto val="1"/>
        <c:lblAlgn val="ctr"/>
        <c:lblOffset val="100"/>
        <c:noMultiLvlLbl val="0"/>
      </c:catAx>
      <c:valAx>
        <c:axId val="2281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CV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2814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CV!$I$30</c:f>
              <c:strCache>
                <c:ptCount val="1"/>
                <c:pt idx="0">
                  <c:v>Predicted sales</c:v>
                </c:pt>
              </c:strCache>
            </c:strRef>
          </c:tx>
          <c:spPr>
            <a:ln w="38100" cap="rnd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-9.219512726301872E-2"/>
                  <c:y val="-5.5878521891620916E-2"/>
                </c:manualLayout>
              </c:layout>
              <c:tx>
                <c:rich>
                  <a:bodyPr/>
                  <a:lstStyle/>
                  <a:p>
                    <a:fld id="{26F5E5F4-0433-4860-A463-C3A65B1EFC75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D67-4AC7-B22C-43FE5DE52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67-4AC7-B22C-43FE5DE52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67-4AC7-B22C-43FE5DE52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67-4AC7-B22C-43FE5DE52E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67-4AC7-B22C-43FE5DE52E2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D67-4AC7-B22C-43FE5DE52E2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67-4AC7-B22C-43FE5DE52E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D67-4AC7-B22C-43FE5DE52E2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67-4AC7-B22C-43FE5DE52E2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67-4AC7-B22C-43FE5DE52E2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D67-4AC7-B22C-43FE5DE52E2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D67-4AC7-B22C-43FE5DE52E2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67-4AC7-B22C-43FE5DE52E2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D67-4AC7-B22C-43FE5DE52E2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D67-4AC7-B22C-43FE5DE52E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67-4AC7-B22C-43FE5DE52E2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67-4AC7-B22C-43FE5DE52E2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67-4AC7-B22C-43FE5DE52E2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67-4AC7-B22C-43FE5DE52E2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D67-4AC7-B22C-43FE5DE52E2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67-4AC7-B22C-43FE5DE52E2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67-4AC7-B22C-43FE5DE52E2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67-4AC7-B22C-43FE5DE52E2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67-4AC7-B22C-43FE5DE52E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D67-4AC7-B22C-43FE5DE52E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D67-4AC7-B22C-43FE5DE52E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67-4AC7-B22C-43FE5DE52E2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CV!$G$31:$G$57</c:f>
              <c:numCache>
                <c:formatCode>0.000</c:formatCode>
                <c:ptCount val="27"/>
                <c:pt idx="0">
                  <c:v>0.13013742362545169</c:v>
                </c:pt>
                <c:pt idx="1">
                  <c:v>0.15994044546519937</c:v>
                </c:pt>
                <c:pt idx="2">
                  <c:v>0.14265568137705431</c:v>
                </c:pt>
                <c:pt idx="3">
                  <c:v>0.35558640200769004</c:v>
                </c:pt>
                <c:pt idx="4">
                  <c:v>0.12590130930132626</c:v>
                </c:pt>
                <c:pt idx="5">
                  <c:v>0.20153994597358427</c:v>
                </c:pt>
                <c:pt idx="6">
                  <c:v>0.22394056195734877</c:v>
                </c:pt>
                <c:pt idx="7">
                  <c:v>0.19555928154029939</c:v>
                </c:pt>
                <c:pt idx="8">
                  <c:v>0.1269967221334129</c:v>
                </c:pt>
                <c:pt idx="9">
                  <c:v>0.18750114752219199</c:v>
                </c:pt>
                <c:pt idx="10">
                  <c:v>0.22080628547442679</c:v>
                </c:pt>
                <c:pt idx="11">
                  <c:v>0.20112519949740099</c:v>
                </c:pt>
                <c:pt idx="12">
                  <c:v>0.11995224872727989</c:v>
                </c:pt>
                <c:pt idx="13">
                  <c:v>0.34249588235158263</c:v>
                </c:pt>
                <c:pt idx="14">
                  <c:v>0.17948894229486623</c:v>
                </c:pt>
                <c:pt idx="15">
                  <c:v>0.10998057657588374</c:v>
                </c:pt>
                <c:pt idx="16">
                  <c:v>0.14478576347904823</c:v>
                </c:pt>
                <c:pt idx="17">
                  <c:v>0.23228388276961948</c:v>
                </c:pt>
                <c:pt idx="18">
                  <c:v>0.14364916682143225</c:v>
                </c:pt>
                <c:pt idx="19">
                  <c:v>0.20924912992375655</c:v>
                </c:pt>
                <c:pt idx="20">
                  <c:v>0.1091135810147455</c:v>
                </c:pt>
                <c:pt idx="21">
                  <c:v>0.11806835798809952</c:v>
                </c:pt>
                <c:pt idx="22">
                  <c:v>0.14784790658521996</c:v>
                </c:pt>
                <c:pt idx="23">
                  <c:v>0.27322144168761919</c:v>
                </c:pt>
                <c:pt idx="24">
                  <c:v>0.21226522926401431</c:v>
                </c:pt>
                <c:pt idx="25">
                  <c:v>0.15623371173923684</c:v>
                </c:pt>
                <c:pt idx="26">
                  <c:v>0.14458509612608009</c:v>
                </c:pt>
              </c:numCache>
            </c:numRef>
          </c:xVal>
          <c:yVal>
            <c:numRef>
              <c:f>CV!$I$31:$I$57</c:f>
              <c:numCache>
                <c:formatCode>0.000</c:formatCode>
                <c:ptCount val="27"/>
                <c:pt idx="0">
                  <c:v>0.17281645380786592</c:v>
                </c:pt>
                <c:pt idx="1">
                  <c:v>0.18281524864550611</c:v>
                </c:pt>
                <c:pt idx="2">
                  <c:v>0.1193755146411406</c:v>
                </c:pt>
                <c:pt idx="3">
                  <c:v>0.30316809941287676</c:v>
                </c:pt>
                <c:pt idx="4">
                  <c:v>0.14515454170434025</c:v>
                </c:pt>
                <c:pt idx="5">
                  <c:v>0.21500863356188932</c:v>
                </c:pt>
                <c:pt idx="6">
                  <c:v>0.24501905492844531</c:v>
                </c:pt>
                <c:pt idx="7">
                  <c:v>0.19850879679012901</c:v>
                </c:pt>
                <c:pt idx="8">
                  <c:v>0.1391174233789273</c:v>
                </c:pt>
                <c:pt idx="9">
                  <c:v>0.17866005580839056</c:v>
                </c:pt>
                <c:pt idx="10">
                  <c:v>0.21379013098131913</c:v>
                </c:pt>
                <c:pt idx="11">
                  <c:v>0.18494741886032301</c:v>
                </c:pt>
                <c:pt idx="12">
                  <c:v>0.11010800911023536</c:v>
                </c:pt>
                <c:pt idx="13">
                  <c:v>0.32325194011553426</c:v>
                </c:pt>
                <c:pt idx="14">
                  <c:v>0.18477784830637567</c:v>
                </c:pt>
                <c:pt idx="15">
                  <c:v>0.10302243034226263</c:v>
                </c:pt>
                <c:pt idx="16">
                  <c:v>0.14940514930299401</c:v>
                </c:pt>
                <c:pt idx="17">
                  <c:v>0.23937542621934982</c:v>
                </c:pt>
                <c:pt idx="18">
                  <c:v>0.14586773345270718</c:v>
                </c:pt>
                <c:pt idx="19">
                  <c:v>0.21197645349139119</c:v>
                </c:pt>
                <c:pt idx="20">
                  <c:v>0.11230513765585469</c:v>
                </c:pt>
                <c:pt idx="21">
                  <c:v>0.12122362330654408</c:v>
                </c:pt>
                <c:pt idx="22">
                  <c:v>0.14613938719720687</c:v>
                </c:pt>
                <c:pt idx="23">
                  <c:v>0.27437005751883686</c:v>
                </c:pt>
                <c:pt idx="24">
                  <c:v>0.21120261460524234</c:v>
                </c:pt>
                <c:pt idx="25">
                  <c:v>0.1557582757814189</c:v>
                </c:pt>
                <c:pt idx="26">
                  <c:v>0.14428139264281981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CV!$F$31:$F$57</c15:f>
                <c15:dlblRangeCache>
                  <c:ptCount val="27"/>
                  <c:pt idx="0">
                    <c:v>RJ</c:v>
                  </c:pt>
                  <c:pt idx="1">
                    <c:v>MT</c:v>
                  </c:pt>
                  <c:pt idx="2">
                    <c:v>AM</c:v>
                  </c:pt>
                  <c:pt idx="3">
                    <c:v>DF</c:v>
                  </c:pt>
                  <c:pt idx="4">
                    <c:v>CE</c:v>
                  </c:pt>
                  <c:pt idx="5">
                    <c:v>SP</c:v>
                  </c:pt>
                  <c:pt idx="6">
                    <c:v>PR</c:v>
                  </c:pt>
                  <c:pt idx="7">
                    <c:v>GO</c:v>
                  </c:pt>
                  <c:pt idx="8">
                    <c:v>PE</c:v>
                  </c:pt>
                  <c:pt idx="9">
                    <c:v>MG</c:v>
                  </c:pt>
                  <c:pt idx="10">
                    <c:v>RR</c:v>
                  </c:pt>
                  <c:pt idx="11">
                    <c:v>TO</c:v>
                  </c:pt>
                  <c:pt idx="12">
                    <c:v>BA</c:v>
                  </c:pt>
                  <c:pt idx="13">
                    <c:v>SC</c:v>
                  </c:pt>
                  <c:pt idx="14">
                    <c:v>AP</c:v>
                  </c:pt>
                  <c:pt idx="15">
                    <c:v>MA</c:v>
                  </c:pt>
                  <c:pt idx="16">
                    <c:v>AC</c:v>
                  </c:pt>
                  <c:pt idx="17">
                    <c:v>MS</c:v>
                  </c:pt>
                  <c:pt idx="18">
                    <c:v>PI</c:v>
                  </c:pt>
                  <c:pt idx="19">
                    <c:v>ES</c:v>
                  </c:pt>
                  <c:pt idx="20">
                    <c:v>AL</c:v>
                  </c:pt>
                  <c:pt idx="21">
                    <c:v>PA</c:v>
                  </c:pt>
                  <c:pt idx="22">
                    <c:v>SE</c:v>
                  </c:pt>
                  <c:pt idx="23">
                    <c:v>RS</c:v>
                  </c:pt>
                  <c:pt idx="24">
                    <c:v>RO</c:v>
                  </c:pt>
                  <c:pt idx="25">
                    <c:v>RN</c:v>
                  </c:pt>
                  <c:pt idx="26">
                    <c:v>PB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D33-477C-AE4E-1C8169ED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160384"/>
        <c:axId val="1387153184"/>
      </c:scatterChart>
      <c:scatterChart>
        <c:scatterStyle val="lineMarker"/>
        <c:varyColors val="0"/>
        <c:ser>
          <c:idx val="1"/>
          <c:order val="1"/>
          <c:tx>
            <c:v>Diag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bg1">
                    <a:lumMod val="7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6-4EB3-9F84-F2929E540A41}"/>
              </c:ext>
            </c:extLst>
          </c:dPt>
          <c:xVal>
            <c:numRef>
              <c:f>CV!$N$23:$N$24</c:f>
              <c:numCache>
                <c:formatCode>0.000</c:formatCode>
                <c:ptCount val="2"/>
                <c:pt idx="0">
                  <c:v>0</c:v>
                </c:pt>
                <c:pt idx="1">
                  <c:v>0.4</c:v>
                </c:pt>
              </c:numCache>
            </c:numRef>
          </c:xVal>
          <c:yVal>
            <c:numRef>
              <c:f>CV!$O$23:$O$24</c:f>
              <c:numCache>
                <c:formatCode>General</c:formatCode>
                <c:ptCount val="2"/>
                <c:pt idx="0">
                  <c:v>0</c:v>
                </c:pt>
                <c:pt idx="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C6-4EB3-9F84-F2929E54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219008"/>
        <c:axId val="1416222848"/>
      </c:scatterChart>
      <c:valAx>
        <c:axId val="138716038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Actual</a:t>
                </a:r>
                <a:r>
                  <a:rPr lang="pt-BR" baseline="0"/>
                  <a:t> sales [m³ / person]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87153184"/>
        <c:crosses val="autoZero"/>
        <c:crossBetween val="midCat"/>
      </c:valAx>
      <c:valAx>
        <c:axId val="1387153184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Predicted sales [m³ / person]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87160384"/>
        <c:crosses val="autoZero"/>
        <c:crossBetween val="midCat"/>
      </c:valAx>
      <c:valAx>
        <c:axId val="14162228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16219008"/>
        <c:crosses val="max"/>
        <c:crossBetween val="midCat"/>
      </c:valAx>
      <c:valAx>
        <c:axId val="1416219008"/>
        <c:scaling>
          <c:orientation val="minMax"/>
        </c:scaling>
        <c:delete val="1"/>
        <c:axPos val="t"/>
        <c:numFmt formatCode="0.000" sourceLinked="1"/>
        <c:majorTickMark val="out"/>
        <c:minorTickMark val="none"/>
        <c:tickLblPos val="nextTo"/>
        <c:crossAx val="141622284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ADE9DF-164A-415B-B32C-CB84A3203C22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BE618C-968E-47FE-B006-99BD4C2A255E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237FB1-10BD-4D77-ACFB-1D5B915ED725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A40DFD-7F21-47F8-B916-EC7485D68725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48DDC6-377A-485D-AABD-468F598CF07C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A7D9EC-9855-463C-9ECD-EC312F10CF1E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B22EE0-CC16-4397-946E-03F391329884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247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ED9E3-395D-DCAE-EB90-B4ED5727EE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BFAE3-C826-8A09-2499-08F498A076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DD721-00BC-EE4D-95D3-472A382686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298B9-BFD7-43F7-4A94-1F269AA6B8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F024B-D01C-1488-283E-4798FCF0D4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F6218-4F4E-C411-6132-61EC623658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02F18-B534-BA36-DC93-519E39AC69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093.468192592591" createdVersion="8" refreshedVersion="8" minRefreshableVersion="3" recordCount="486" xr:uid="{BDE8822C-4CC5-4FE9-872A-AFB963540B1E}">
  <cacheSource type="worksheet">
    <worksheetSource ref="A1:AB487" sheet="dataset"/>
  </cacheSource>
  <cacheFields count="28">
    <cacheField name="i" numFmtId="1">
      <sharedItems containsSemiMixedTypes="0" containsString="0" containsNumber="1" containsInteger="1" minValue="11" maxValue="53" count="27">
        <n v="11"/>
        <n v="12"/>
        <n v="13"/>
        <n v="14"/>
        <n v="15"/>
        <n v="16"/>
        <n v="17"/>
        <n v="21"/>
        <n v="22"/>
        <n v="23"/>
        <n v="24"/>
        <n v="25"/>
        <n v="26"/>
        <n v="27"/>
        <n v="28"/>
        <n v="29"/>
        <n v="31"/>
        <n v="32"/>
        <n v="33"/>
        <n v="35"/>
        <n v="41"/>
        <n v="42"/>
        <n v="43"/>
        <n v="50"/>
        <n v="51"/>
        <n v="52"/>
        <n v="53"/>
      </sharedItems>
    </cacheField>
    <cacheField name="t" numFmtId="1">
      <sharedItems containsSemiMixedTypes="0" containsString="0" containsNumber="1" containsInteger="1" minValue="2006" maxValue="2023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ln_Sg_pc" numFmtId="1">
      <sharedItems containsSemiMixedTypes="0" containsString="0" containsNumber="1" minValue="-3.005073666255865" maxValue="-0.86068777455664414"/>
    </cacheField>
    <cacheField name="ln_Pg" numFmtId="1">
      <sharedItems containsSemiMixedTypes="0" containsString="0" containsNumber="1" minValue="0.50675735959003665" maxValue="1.081805170351728"/>
    </cacheField>
    <cacheField name="ln_l1_Pg" numFmtId="1">
      <sharedItems containsSemiMixedTypes="0" containsString="0" containsNumber="1" minValue="0.50675735959003665" maxValue="1.081805170351728"/>
    </cacheField>
    <cacheField name="ln_l2_Pg" numFmtId="1">
      <sharedItems containsSemiMixedTypes="0" containsString="0" containsNumber="1" minValue="0.50675735959003665" maxValue="1.081805170351728"/>
    </cacheField>
    <cacheField name="ln_Pe" numFmtId="1">
      <sharedItems containsSemiMixedTypes="0" containsString="0" containsNumber="1" minValue="0.13802129789737461" maxValue="0.89531221348895718"/>
    </cacheField>
    <cacheField name="ln_l1_Pe" numFmtId="1">
      <sharedItems containsSemiMixedTypes="0" containsString="0" containsNumber="1" minValue="0.13802129789737461" maxValue="0.89531221348895718"/>
    </cacheField>
    <cacheField name="ln_l2_Pe" numFmtId="1">
      <sharedItems containsSemiMixedTypes="0" containsString="0" containsNumber="1" minValue="6.6068599969704711E-2" maxValue="0.89531221348895718"/>
    </cacheField>
    <cacheField name="ln_Mi_e" numFmtId="1">
      <sharedItems containsSemiMixedTypes="0" containsString="0" containsNumber="1" minValue="-11.51292546497023" maxValue="2.3604553240936168"/>
    </cacheField>
    <cacheField name="ln_W_adj_Mi_e" numFmtId="1">
      <sharedItems containsSemiMixedTypes="0" containsString="0" containsNumber="1" minValue="0.1210771896579252" maxValue="2.658156590148268"/>
    </cacheField>
    <cacheField name="ln_Mi_c" numFmtId="1">
      <sharedItems containsSemiMixedTypes="0" containsString="0" containsNumber="1" minValue="-2.9883568839150541" maxValue="-0.51737696039870651"/>
    </cacheField>
    <cacheField name="ln_gdp_pc" numFmtId="1">
      <sharedItems containsSemiMixedTypes="0" containsString="0" containsNumber="1" minValue="1.732619982246111" maxValue="4.012268502708225"/>
    </cacheField>
    <cacheField name="ln_l1_gdp_pc" numFmtId="1">
      <sharedItems containsSemiMixedTypes="0" containsString="0" containsNumber="1" minValue="1.624263083542117" maxValue="4.0116721558895927"/>
    </cacheField>
    <cacheField name="ln_stations" numFmtId="1">
      <sharedItems containsSemiMixedTypes="0" containsString="0" containsNumber="1" minValue="-11.51292546497023" maxValue="8.4658998970286863"/>
    </cacheField>
    <cacheField name="d_ln_gdp" numFmtId="1">
      <sharedItems containsSemiMixedTypes="0" containsString="0" containsNumber="1" minValue="-0.18956328928470612" maxValue="0.21244113147258759"/>
    </cacheField>
    <cacheField name="ipi_red" numFmtId="1">
      <sharedItems containsSemiMixedTypes="0" containsString="0" containsNumber="1" containsInteger="1" minValue="0" maxValue="1"/>
    </cacheField>
    <cacheField name="y2020" numFmtId="1">
      <sharedItems containsSemiMixedTypes="0" containsString="0" containsNumber="1" containsInteger="1" minValue="0" maxValue="1"/>
    </cacheField>
    <cacheField name="d_CW" numFmtId="1">
      <sharedItems containsSemiMixedTypes="0" containsString="0" containsNumber="1" containsInteger="1" minValue="0" maxValue="1"/>
    </cacheField>
    <cacheField name="d_SO" numFmtId="1">
      <sharedItems containsSemiMixedTypes="0" containsString="0" containsNumber="1" containsInteger="1" minValue="0" maxValue="1"/>
    </cacheField>
    <cacheField name="d_SE" numFmtId="1">
      <sharedItems containsSemiMixedTypes="0" containsString="0" containsNumber="1" containsInteger="1" minValue="0" maxValue="1"/>
    </cacheField>
    <cacheField name="d_NE" numFmtId="1">
      <sharedItems containsSemiMixedTypes="0" containsString="0" containsNumber="1" containsInteger="1" minValue="0" maxValue="1"/>
    </cacheField>
    <cacheField name="d_NO" numFmtId="1">
      <sharedItems containsSemiMixedTypes="0" containsString="0" containsNumber="1" containsInteger="1" minValue="0" maxValue="1"/>
    </cacheField>
    <cacheField name="pred" numFmtId="1">
      <sharedItems containsSemiMixedTypes="0" containsString="0" containsNumber="1" minValue="-3.1047773361206055" maxValue="-0.9716218113899231"/>
    </cacheField>
    <cacheField name="y" numFmtId="0">
      <sharedItems containsSemiMixedTypes="0" containsString="0" containsNumber="1" minValue="4.9535105128305383E-2" maxValue="0.42287114226624528"/>
    </cacheField>
    <cacheField name="y_hat" numFmtId="0">
      <sharedItems containsSemiMixedTypes="0" containsString="0" containsNumber="1" minValue="4.4834500471725706E-2" maxValue="0.37846873519085494"/>
    </cacheField>
    <cacheField name="eps" numFmtId="0">
      <sharedItems containsSemiMixedTypes="0" containsString="0" containsNumber="1" minValue="-7.8591998238722663E-2" maxValue="8.7576421822647466E-2"/>
    </cacheField>
    <cacheField name="eps2" numFmtId="0">
      <sharedItems containsSemiMixedTypes="0" containsString="0" containsNumber="1" minValue="2.7994793464593206E-12" maxValue="7.6696296592582832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094.441972222223" createdVersion="8" refreshedVersion="8" minRefreshableVersion="3" recordCount="486" xr:uid="{D8A40305-E6D0-4AD4-B906-18BB6FF704DF}">
  <cacheSource type="worksheet">
    <worksheetSource ref="A1:H487" sheet="Pivot - real values"/>
  </cacheSource>
  <cacheFields count="8">
    <cacheField name="i" numFmtId="1">
      <sharedItems containsSemiMixedTypes="0" containsString="0" containsNumber="1" containsInteger="1" minValue="11" maxValue="53"/>
    </cacheField>
    <cacheField name="t" numFmtId="1">
      <sharedItems containsSemiMixedTypes="0" containsString="0" containsNumber="1" containsInteger="1" minValue="2006" maxValue="2023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S" numFmtId="0">
      <sharedItems containsSemiMixedTypes="0" containsString="0" containsNumber="1" minValue="4.9535105128305383E-2" maxValue="0.42287114226624528"/>
    </cacheField>
    <cacheField name="Pg" numFmtId="0">
      <sharedItems containsSemiMixedTypes="0" containsString="0" containsNumber="1" minValue="1.6598999999999999" maxValue="2.9499999999999984"/>
    </cacheField>
    <cacheField name="Pe" numFmtId="0">
      <sharedItems containsSemiMixedTypes="0" containsString="0" containsNumber="1" minValue="1.1479999999999999" maxValue="2.4481000000000002"/>
    </cacheField>
    <cacheField name="GDP" numFmtId="0">
      <sharedItems containsSemiMixedTypes="0" containsString="0" containsNumber="1" minValue="5655.45169803317" maxValue="55272.113391825442"/>
    </cacheField>
    <cacheField name="Mc" numFmtId="0">
      <sharedItems containsSemiMixedTypes="0" containsString="0" containsNumber="1" minValue="5.0370132740715626E-2" maxValue="0.59608204595152148"/>
    </cacheField>
    <cacheField name="Me" numFmtId="0">
      <sharedItems containsSemiMixedTypes="0" containsString="0" containsNumber="1" minValue="9.9999999999999805E-6" maxValue="10.5957748658292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108.051890509261" createdVersion="8" refreshedVersion="8" minRefreshableVersion="3" recordCount="486" xr:uid="{80BBEE05-7251-4773-9273-0EFA01BA309E}">
  <cacheSource type="worksheet">
    <worksheetSource ref="A1:AI487" sheet="dataset"/>
  </cacheSource>
  <cacheFields count="35">
    <cacheField name="i" numFmtId="1">
      <sharedItems containsSemiMixedTypes="0" containsString="0" containsNumber="1" containsInteger="1" minValue="11" maxValue="53"/>
    </cacheField>
    <cacheField name="t" numFmtId="1">
      <sharedItems containsSemiMixedTypes="0" containsString="0" containsNumber="1" containsInteger="1" minValue="2006" maxValue="2023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ln_Sg_pc" numFmtId="1">
      <sharedItems containsSemiMixedTypes="0" containsString="0" containsNumber="1" minValue="-3.005073666255865" maxValue="-0.86068777455664414"/>
    </cacheField>
    <cacheField name="ln_Pg" numFmtId="1">
      <sharedItems containsSemiMixedTypes="0" containsString="0" containsNumber="1" minValue="0.50675735959003665" maxValue="1.081805170351728"/>
    </cacheField>
    <cacheField name="ln_l1_Pg" numFmtId="1">
      <sharedItems containsSemiMixedTypes="0" containsString="0" containsNumber="1" minValue="0.50675735959003665" maxValue="1.081805170351728"/>
    </cacheField>
    <cacheField name="ln_l2_Pg" numFmtId="1">
      <sharedItems containsSemiMixedTypes="0" containsString="0" containsNumber="1" minValue="0.50675735959003665" maxValue="1.081805170351728"/>
    </cacheField>
    <cacheField name="ln_Pe" numFmtId="1">
      <sharedItems containsSemiMixedTypes="0" containsString="0" containsNumber="1" minValue="0.13802129789737461" maxValue="0.89531221348895718"/>
    </cacheField>
    <cacheField name="ln_l1_Pe" numFmtId="1">
      <sharedItems containsSemiMixedTypes="0" containsString="0" containsNumber="1" minValue="0.13802129789737461" maxValue="0.89531221348895718"/>
    </cacheField>
    <cacheField name="ln_l2_Pe" numFmtId="1">
      <sharedItems containsSemiMixedTypes="0" containsString="0" containsNumber="1" minValue="6.6068599969704711E-2" maxValue="0.89531221348895718"/>
    </cacheField>
    <cacheField name="ln_Mi_e" numFmtId="1">
      <sharedItems containsSemiMixedTypes="0" containsString="0" containsNumber="1" minValue="-11.51292546497023" maxValue="2.3604553240936168"/>
    </cacheField>
    <cacheField name="ln_W_adj_Mi_e" numFmtId="1">
      <sharedItems containsSemiMixedTypes="0" containsString="0" containsNumber="1" minValue="0.1210771896579252" maxValue="2.658156590148268"/>
    </cacheField>
    <cacheField name="ln_Mi_c" numFmtId="1">
      <sharedItems containsSemiMixedTypes="0" containsString="0" containsNumber="1" minValue="-2.9883568839150541" maxValue="-0.51737696039870651"/>
    </cacheField>
    <cacheField name="ln_gdp_pc" numFmtId="1">
      <sharedItems containsSemiMixedTypes="0" containsString="0" containsNumber="1" minValue="1.732619982246111" maxValue="4.012268502708225"/>
    </cacheField>
    <cacheField name="ln_l1_gdp_pc" numFmtId="1">
      <sharedItems containsSemiMixedTypes="0" containsString="0" containsNumber="1" minValue="1.624263083542117" maxValue="4.0116721558895927"/>
    </cacheField>
    <cacheField name="ln_stations" numFmtId="1">
      <sharedItems containsSemiMixedTypes="0" containsString="0" containsNumber="1" minValue="-11.51292546497023" maxValue="8.4658998970286863"/>
    </cacheField>
    <cacheField name="d_ln_gdp" numFmtId="1">
      <sharedItems containsSemiMixedTypes="0" containsString="0" containsNumber="1" minValue="-0.18956328928470612" maxValue="0.21244113147258759"/>
    </cacheField>
    <cacheField name="ipi_red" numFmtId="1">
      <sharedItems containsSemiMixedTypes="0" containsString="0" containsNumber="1" containsInteger="1" minValue="0" maxValue="1"/>
    </cacheField>
    <cacheField name="y2020" numFmtId="1">
      <sharedItems containsSemiMixedTypes="0" containsString="0" containsNumber="1" containsInteger="1" minValue="0" maxValue="1"/>
    </cacheField>
    <cacheField name="d_CW" numFmtId="1">
      <sharedItems containsSemiMixedTypes="0" containsString="0" containsNumber="1" containsInteger="1" minValue="0" maxValue="1"/>
    </cacheField>
    <cacheField name="d_SO" numFmtId="1">
      <sharedItems containsSemiMixedTypes="0" containsString="0" containsNumber="1" containsInteger="1" minValue="0" maxValue="1"/>
    </cacheField>
    <cacheField name="d_SE" numFmtId="1">
      <sharedItems containsSemiMixedTypes="0" containsString="0" containsNumber="1" containsInteger="1" minValue="0" maxValue="1"/>
    </cacheField>
    <cacheField name="d_NE" numFmtId="1">
      <sharedItems containsSemiMixedTypes="0" containsString="0" containsNumber="1" containsInteger="1" minValue="0" maxValue="1"/>
    </cacheField>
    <cacheField name="d_NO" numFmtId="1">
      <sharedItems containsSemiMixedTypes="0" containsString="0" containsNumber="1" containsInteger="1" minValue="0" maxValue="1"/>
    </cacheField>
    <cacheField name="pred" numFmtId="1">
      <sharedItems containsSemiMixedTypes="0" containsString="0" containsNumber="1" minValue="-3.1047773361206055" maxValue="-0.9716218113899231"/>
    </cacheField>
    <cacheField name="y" numFmtId="0">
      <sharedItems containsSemiMixedTypes="0" containsString="0" containsNumber="1" minValue="4.9535105128305383E-2" maxValue="0.42287114226624528"/>
    </cacheField>
    <cacheField name="y_hat" numFmtId="0">
      <sharedItems containsSemiMixedTypes="0" containsString="0" containsNumber="1" minValue="4.4834500471725706E-2" maxValue="0.37846873519085494"/>
    </cacheField>
    <cacheField name="eps" numFmtId="0">
      <sharedItems containsSemiMixedTypes="0" containsString="0" containsNumber="1" minValue="-7.8591998238722663E-2" maxValue="8.7576421822647466E-2"/>
    </cacheField>
    <cacheField name="eps2" numFmtId="0">
      <sharedItems containsSemiMixedTypes="0" containsString="0" containsNumber="1" minValue="2.7994793464593206E-12" maxValue="7.6696296592582832E-3"/>
    </cacheField>
    <cacheField name="State" numFmtId="0">
      <sharedItems count="27">
        <s v="RO"/>
        <s v="AC"/>
        <s v="AM"/>
        <s v="RR"/>
        <s v="PA"/>
        <s v="AP"/>
        <s v="TO"/>
        <s v="MA"/>
        <s v="PI"/>
        <s v="CE"/>
        <s v="RN"/>
        <s v="PB"/>
        <s v="PE"/>
        <s v="AL"/>
        <s v="SE"/>
        <s v="BA"/>
        <s v="MG"/>
        <s v="ES"/>
        <s v="RJ"/>
        <s v="SP"/>
        <s v="PR"/>
        <s v="SC"/>
        <s v="RS"/>
        <s v="MS"/>
        <s v="MT"/>
        <s v="GO"/>
        <s v="DF"/>
      </sharedItems>
    </cacheField>
    <cacheField name="Deviation" numFmtId="0">
      <sharedItems containsSemiMixedTypes="0" containsString="0" containsNumber="1" minValue="2.5197596999999999E-2" maxValue="8.5534595000000005E-2"/>
    </cacheField>
    <cacheField name="Rho" numFmtId="0">
      <sharedItems containsSemiMixedTypes="0" containsString="0" containsNumber="1" minValue="0.22441960999999999" maxValue="0.99124586999999997"/>
    </cacheField>
    <cacheField name="Rho*(ln(y) -ln( y_hat))" numFmtId="0">
      <sharedItems containsSemiMixedTypes="0" containsString="0" containsNumber="1" minValue="-0.54957154004557462" maxValue="0.26996698829509597"/>
    </cacheField>
    <cacheField name="Pred+" numFmtId="0">
      <sharedItems containsSemiMixedTypes="0" containsString="0" containsNumber="1" minValue="4.7874163379323376E-2" maxValue="0.41198066989179666"/>
    </cacheField>
    <cacheField name="Pred-" numFmtId="0">
      <sharedItems containsSemiMixedTypes="0" containsString="0" containsNumber="1" minValue="4.1987834160614051E-2" maxValue="0.34768277733658209"/>
    </cacheField>
    <cacheField name="Upper" numFmtId="0">
      <sharedItems containsSemiMixedTypes="0" containsString="0" containsNumber="1" minValue="5.0061479893418886E-3" maxValue="0.20816575946763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n v="-2.156698978863159"/>
    <n v="1.004301609196868"/>
    <n v="0.9748237560598092"/>
    <n v="0.96172288327198963"/>
    <n v="0.76080582903376015"/>
    <n v="0.62422573509352353"/>
    <n v="0.56246885691782911"/>
    <n v="-11.51292546497023"/>
    <n v="2.166250221499268"/>
    <n v="-1.951167744570985"/>
    <n v="2.4209187515967989"/>
    <n v="2.44399024352396"/>
    <n v="-11.51292546497023"/>
    <n v="-2.3071492090821266E-2"/>
    <n v="0"/>
    <n v="0"/>
    <n v="0"/>
    <n v="0"/>
    <n v="0"/>
    <n v="0"/>
    <n v="1"/>
    <n v="-2.2191131114959717"/>
    <n v="0.11570644072613127"/>
    <n v="0.10870547572203758"/>
    <n v="7.0009650040936955E-3"/>
    <n v="4.9013510988544636E-5"/>
  </r>
  <r>
    <x v="0"/>
    <x v="1"/>
    <n v="-2.073636426371209"/>
    <n v="0.94219236939680806"/>
    <n v="1.004301609196868"/>
    <n v="0.9748237560598092"/>
    <n v="0.59823192276365766"/>
    <n v="0.76080582903376015"/>
    <n v="0.62422573509352353"/>
    <n v="-11.51292546497023"/>
    <n v="2.166250221499268"/>
    <n v="-1.7991499751284841"/>
    <n v="2.4815371529483081"/>
    <n v="2.443198932139675"/>
    <n v="-11.51292546497023"/>
    <n v="3.8338221609592438E-2"/>
    <n v="0"/>
    <n v="0"/>
    <n v="0"/>
    <n v="0"/>
    <n v="0"/>
    <n v="0"/>
    <n v="1"/>
    <n v="-2.0994787216186523"/>
    <n v="0.12572774970533199"/>
    <n v="0.12252027878219166"/>
    <n v="3.207470923140332E-3"/>
    <n v="1.0287869722790694E-5"/>
  </r>
  <r>
    <x v="0"/>
    <x v="2"/>
    <n v="-1.9560619150649721"/>
    <n v="0.8960063885714481"/>
    <n v="0.94219236939680806"/>
    <n v="1.004301609196868"/>
    <n v="0.51962677971905946"/>
    <n v="0.59823192276365766"/>
    <n v="0.76080582903376015"/>
    <n v="-11.51292546497023"/>
    <n v="2.166250221499268"/>
    <n v="-1.620763450703399"/>
    <n v="2.600161838464861"/>
    <n v="2.504325073967602"/>
    <n v="-11.51292546497023"/>
    <n v="9.5836766064167023E-2"/>
    <n v="0"/>
    <n v="0"/>
    <n v="0"/>
    <n v="0"/>
    <n v="0"/>
    <n v="0"/>
    <n v="1"/>
    <n v="-1.9737296104431152"/>
    <n v="0.14141422703397571"/>
    <n v="0.13893770518508089"/>
    <n v="2.4765218488948249E-3"/>
    <n v="6.133160468053442E-6"/>
  </r>
  <r>
    <x v="0"/>
    <x v="3"/>
    <n v="-1.862154149729599"/>
    <n v="0.84264419170585647"/>
    <n v="0.8960063885714481"/>
    <n v="0.94219236939680806"/>
    <n v="0.47741360742074851"/>
    <n v="0.51962677971905946"/>
    <n v="0.59823192276365766"/>
    <n v="-7.3158356310234538"/>
    <n v="2.166250221499268"/>
    <n v="-1.4770532591901959"/>
    <n v="2.654680199807578"/>
    <n v="2.5932473660788871"/>
    <n v="-11.51292546497023"/>
    <n v="6.1432834714651108E-2"/>
    <n v="0"/>
    <n v="0"/>
    <n v="0"/>
    <n v="0"/>
    <n v="0"/>
    <n v="0"/>
    <n v="1"/>
    <n v="-1.8739248514175415"/>
    <n v="0.15533764914277812"/>
    <n v="0.1535199348868318"/>
    <n v="1.8177142559463177E-3"/>
    <n v="3.3040851162704755E-6"/>
  </r>
  <r>
    <x v="0"/>
    <x v="4"/>
    <n v="-1.6831605423581379"/>
    <n v="0.81828091131671099"/>
    <n v="0.84264419170585647"/>
    <n v="0.8960063885714481"/>
    <n v="0.52212158350784221"/>
    <n v="0.47741360742074851"/>
    <n v="0.51962677971905946"/>
    <n v="-7.3396623629610591"/>
    <n v="2.166250221499268"/>
    <n v="-1.3626010461637901"/>
    <n v="2.74230132052055"/>
    <n v="2.6308534678699922"/>
    <n v="-11.51292546497023"/>
    <n v="0.11144785583019257"/>
    <n v="0"/>
    <n v="0"/>
    <n v="0"/>
    <n v="0"/>
    <n v="0"/>
    <n v="0"/>
    <n v="1"/>
    <n v="-1.7428951263427734"/>
    <n v="0.18578586306122863"/>
    <n v="0.17501298175675276"/>
    <n v="1.0772881304475873E-2"/>
    <n v="1.1605497160032579E-4"/>
  </r>
  <r>
    <x v="0"/>
    <x v="5"/>
    <n v="-1.5784624378334899"/>
    <n v="0.82162834220848546"/>
    <n v="0.81828091131671099"/>
    <n v="0.84264419170585647"/>
    <n v="0.59933088435566051"/>
    <n v="0.52212158350784221"/>
    <n v="0.47741360742074851"/>
    <n v="-5.2834923926543116"/>
    <n v="2.166250221499268"/>
    <n v="-1.26108028612349"/>
    <n v="2.7818139114313758"/>
    <n v="2.7190297491474351"/>
    <n v="-11.51292546497023"/>
    <n v="6.2784165143966675E-2"/>
    <n v="0"/>
    <n v="0"/>
    <n v="0"/>
    <n v="0"/>
    <n v="0"/>
    <n v="0"/>
    <n v="1"/>
    <n v="-1.6322517395019531"/>
    <n v="0.20629204132055792"/>
    <n v="0.19548888810650897"/>
    <n v="1.0803153214048955E-2"/>
    <n v="1.1670811936621626E-4"/>
  </r>
  <r>
    <x v="0"/>
    <x v="6"/>
    <n v="-1.4705848809465669"/>
    <n v="0.76150651807328873"/>
    <n v="0.82162834220848546"/>
    <n v="0.81828091131671099"/>
    <n v="0.55933003282560567"/>
    <n v="0.59933088435566051"/>
    <n v="0.52212158350784221"/>
    <n v="-4.8865895636413521"/>
    <n v="2.166250221499268"/>
    <n v="-1.171167583067046"/>
    <n v="2.7848658127694148"/>
    <n v="2.7732516323361791"/>
    <n v="-11.51292546497023"/>
    <n v="1.1614180169999599E-2"/>
    <n v="0"/>
    <n v="0"/>
    <n v="0"/>
    <n v="0"/>
    <n v="0"/>
    <n v="0"/>
    <n v="1"/>
    <n v="-1.5097337961196899"/>
    <n v="0.22979104547075463"/>
    <n v="0.220968792880743"/>
    <n v="8.8222525900116255E-3"/>
    <n v="7.783214076196683E-5"/>
  </r>
  <r>
    <x v="0"/>
    <x v="7"/>
    <n v="-1.518725602596074"/>
    <n v="0.74069848241816771"/>
    <n v="0.76150651807328873"/>
    <n v="0.82162834220848546"/>
    <n v="0.51837703991882511"/>
    <n v="0.55933003282560567"/>
    <n v="0.59933088435566051"/>
    <n v="-4.2359679594205364"/>
    <n v="2.166250221499268"/>
    <n v="-1.1782679664096829"/>
    <n v="2.6621035497832368"/>
    <n v="2.7015182419100219"/>
    <n v="-11.51292546497023"/>
    <n v="-3.9414692670106888E-2"/>
    <n v="0"/>
    <n v="0"/>
    <n v="0"/>
    <n v="0"/>
    <n v="0"/>
    <n v="0"/>
    <n v="1"/>
    <n v="-1.5056478977203369"/>
    <n v="0.21899079049238118"/>
    <n v="0.22187349592159966"/>
    <n v="-2.8827054292184795E-3"/>
    <n v="8.3099905916456978E-6"/>
  </r>
  <r>
    <x v="0"/>
    <x v="8"/>
    <n v="-1.4578474207869181"/>
    <n v="0.72328833747193211"/>
    <n v="0.74069848241816771"/>
    <n v="0.76150651807328873"/>
    <n v="0.52715162636476365"/>
    <n v="0.51837703991882511"/>
    <n v="0.55933003282560567"/>
    <n v="-3.554508280400535"/>
    <n v="2.166250221499268"/>
    <n v="-1.1213792527941719"/>
    <n v="2.6642506113954019"/>
    <n v="2.650416048243291"/>
    <n v="-11.51292546497023"/>
    <n v="1.3834563083946705E-2"/>
    <n v="0"/>
    <n v="0"/>
    <n v="0"/>
    <n v="0"/>
    <n v="0"/>
    <n v="0"/>
    <n v="1"/>
    <n v="-1.4344882965087891"/>
    <n v="0.23273672013821892"/>
    <n v="0.23823723965720087"/>
    <n v="-5.50051951898195E-3"/>
    <n v="3.0255714978701424E-5"/>
  </r>
  <r>
    <x v="0"/>
    <x v="9"/>
    <n v="-1.4449811096822041"/>
    <n v="0.73692480290583307"/>
    <n v="0.72328833747193211"/>
    <n v="0.74069848241816771"/>
    <n v="0.47759970586736361"/>
    <n v="0.52715162636476365"/>
    <n v="0.51837703991882511"/>
    <n v="-3.1339141993029989"/>
    <n v="2.166250221499268"/>
    <n v="-1.0788235672370079"/>
    <n v="2.651900785014115"/>
    <n v="2.6530622760673999"/>
    <n v="-11.51292546497023"/>
    <n v="-1.1614910326898098E-3"/>
    <n v="1"/>
    <n v="0"/>
    <n v="0"/>
    <n v="0"/>
    <n v="0"/>
    <n v="0"/>
    <n v="1"/>
    <n v="-1.4744012355804443"/>
    <n v="0.23575052991623138"/>
    <n v="0.22891575262585562"/>
    <n v="6.8347772903757653E-3"/>
    <n v="4.6714180609036285E-5"/>
  </r>
  <r>
    <x v="0"/>
    <x v="10"/>
    <n v="-1.4210112424014689"/>
    <n v="0.75358354936377603"/>
    <n v="0.73692480290583307"/>
    <n v="0.72328833747193211"/>
    <n v="0.61858525923304053"/>
    <n v="0.47759970586736361"/>
    <n v="0.52715162636476365"/>
    <n v="-2.761061811848581"/>
    <n v="2.166250221499268"/>
    <n v="-1.049732047488368"/>
    <n v="2.6395015854418169"/>
    <n v="2.6411707756098739"/>
    <n v="-11.51292546497023"/>
    <n v="-1.6691901255398989E-3"/>
    <n v="1"/>
    <n v="0"/>
    <n v="0"/>
    <n v="0"/>
    <n v="0"/>
    <n v="0"/>
    <n v="1"/>
    <n v="-1.414219856262207"/>
    <n v="0.24146970898220138"/>
    <n v="0.2431152042892617"/>
    <n v="-1.6454953070603184E-3"/>
    <n v="2.7076548055575317E-6"/>
  </r>
  <r>
    <x v="0"/>
    <x v="11"/>
    <n v="-1.4207559397857561"/>
    <n v="0.74241342186286341"/>
    <n v="0.75358354936377603"/>
    <n v="0.73692480290583307"/>
    <n v="0.60704448150653356"/>
    <n v="0.61858525923304053"/>
    <n v="0.47759970586736361"/>
    <n v="-2.082651938392698"/>
    <n v="2.166250221499268"/>
    <n v="-1.0245113969466151"/>
    <n v="2.690978395396356"/>
    <n v="2.6291988754056201"/>
    <n v="-11.51292546497023"/>
    <n v="6.1779521405696869E-2"/>
    <n v="1"/>
    <n v="0"/>
    <n v="0"/>
    <n v="0"/>
    <n v="0"/>
    <n v="0"/>
    <n v="1"/>
    <n v="-1.3754632472991943"/>
    <n v="0.24153136470061815"/>
    <n v="0.25272249567011523"/>
    <n v="-1.1191130969497087E-2"/>
    <n v="1.2524141237643682E-4"/>
  </r>
  <r>
    <x v="0"/>
    <x v="12"/>
    <n v="-1.4131135997679001"/>
    <n v="0.83373486886959214"/>
    <n v="0.74241342186286341"/>
    <n v="0.75358354936377603"/>
    <n v="0.64825441166920861"/>
    <n v="0.60704448150653356"/>
    <n v="0.61858525923304053"/>
    <n v="-1.602401349382677"/>
    <n v="2.166250221499268"/>
    <n v="-0.95533951972360787"/>
    <n v="2.705694458109142"/>
    <n v="2.7180324734770229"/>
    <n v="3.2580965380214821"/>
    <n v="-1.2338015250861645E-2"/>
    <n v="1"/>
    <n v="0"/>
    <n v="0"/>
    <n v="0"/>
    <n v="0"/>
    <n v="0"/>
    <n v="1"/>
    <n v="-1.3953008651733398"/>
    <n v="0.24338430088035376"/>
    <n v="0.24775848325356289"/>
    <n v="-4.3741823732091345E-3"/>
    <n v="1.9133471434093496E-5"/>
  </r>
  <r>
    <x v="0"/>
    <x v="13"/>
    <n v="-1.3958817226731339"/>
    <n v="0.7959744903594157"/>
    <n v="0.83373486886959214"/>
    <n v="0.74241342186286341"/>
    <n v="0.61939299197128328"/>
    <n v="0.64825441166920861"/>
    <n v="0.60704448150653356"/>
    <n v="-0.87886461343413891"/>
    <n v="2.166250221499268"/>
    <n v="-0.92594627856998246"/>
    <n v="2.700549530427923"/>
    <n v="2.6945842825909812"/>
    <n v="5.393627546352362"/>
    <n v="5.9652477502822876E-3"/>
    <n v="1"/>
    <n v="0"/>
    <n v="0"/>
    <n v="0"/>
    <n v="0"/>
    <n v="0"/>
    <n v="1"/>
    <n v="-1.360716700553894"/>
    <n v="0.24761461266862669"/>
    <n v="0.25647689393495215"/>
    <n v="-8.8622812663254613E-3"/>
    <n v="7.8540029243463218E-5"/>
  </r>
  <r>
    <x v="0"/>
    <x v="14"/>
    <n v="-1.4296095899018759"/>
    <n v="0.72251178918984926"/>
    <n v="0.7959744903594157"/>
    <n v="0.83373486886959214"/>
    <n v="0.54563276527139615"/>
    <n v="0.61939299197128328"/>
    <n v="0.64825441166920861"/>
    <n v="-0.22604791296123961"/>
    <n v="2.166250221499268"/>
    <n v="-0.90454783102081882"/>
    <n v="2.718476319415351"/>
    <n v="2.6897846276731232"/>
    <n v="5.9914645471079817"/>
    <n v="2.8691692277789116E-2"/>
    <n v="1"/>
    <n v="1"/>
    <n v="0"/>
    <n v="0"/>
    <n v="0"/>
    <n v="0"/>
    <n v="1"/>
    <n v="-1.4244683980941772"/>
    <n v="0.23940236910368162"/>
    <n v="0.24063635195568933"/>
    <n v="-1.233982852007709E-3"/>
    <n v="1.5227136790490794E-6"/>
  </r>
  <r>
    <x v="0"/>
    <x v="15"/>
    <n v="-1.4174909402989659"/>
    <n v="0.91776963775355425"/>
    <n v="0.72251178918984926"/>
    <n v="0.7959744903594157"/>
    <n v="0.75902854967345812"/>
    <n v="0.54563276527139615"/>
    <n v="0.61939299197128328"/>
    <n v="0.31564239935359079"/>
    <n v="2.166250221499268"/>
    <n v="-0.88493854765177082"/>
    <n v="2.7052698750374469"/>
    <n v="2.708055757190762"/>
    <n v="6.6846117276679271"/>
    <n v="-2.7858822140842676E-3"/>
    <n v="1"/>
    <n v="0"/>
    <n v="0"/>
    <n v="0"/>
    <n v="0"/>
    <n v="0"/>
    <n v="1"/>
    <n v="-1.4084359407424927"/>
    <n v="0.24232125327360329"/>
    <n v="0.24452543649294112"/>
    <n v="-2.2041832193378241E-3"/>
    <n v="4.8584236644104546E-6"/>
  </r>
  <r>
    <x v="0"/>
    <x v="16"/>
    <n v="-1.370120701773238"/>
    <n v="0.91948562277067425"/>
    <n v="0.91776963775355425"/>
    <n v="0.72251178918984926"/>
    <n v="0.79443943204181766"/>
    <n v="0.75902854967345812"/>
    <n v="0.54563276527139615"/>
    <n v="0.83526807990957463"/>
    <n v="2.166250221499268"/>
    <n v="-0.85720866088653058"/>
    <n v="2.761330092439426"/>
    <n v="2.7052698750374469"/>
    <n v="8.0551577318196781"/>
    <n v="5.6060217320919037E-2"/>
    <n v="1"/>
    <n v="0"/>
    <n v="0"/>
    <n v="0"/>
    <n v="0"/>
    <n v="0"/>
    <n v="1"/>
    <n v="-1.3569667339324951"/>
    <n v="0.25407629024314743"/>
    <n v="0.25744047930367181"/>
    <n v="-3.3641890605243807E-3"/>
    <n v="1.1317768034951916E-5"/>
  </r>
  <r>
    <x v="0"/>
    <x v="17"/>
    <n v="-1.3339252000932049"/>
    <n v="0.84822600096002576"/>
    <n v="0.91948562277067425"/>
    <n v="0.91776963775355425"/>
    <n v="0.62919515406742821"/>
    <n v="0.79443943204181766"/>
    <n v="0.75902854967345812"/>
    <n v="1.4276902077177129"/>
    <n v="2.166250221499268"/>
    <n v="-0.83111700997942339"/>
    <n v="2.8461047606429259"/>
    <n v="2.761330092439426"/>
    <n v="8.4658998970286863"/>
    <n v="8.4774665534496307E-2"/>
    <n v="1"/>
    <n v="0"/>
    <n v="0"/>
    <n v="0"/>
    <n v="0"/>
    <n v="0"/>
    <n v="1"/>
    <n v="-1.3673110008239746"/>
    <n v="0.26344116989243532"/>
    <n v="0.25479117246936545"/>
    <n v="8.6499974230698773E-3"/>
    <n v="7.4822455419115515E-5"/>
  </r>
  <r>
    <x v="1"/>
    <x v="0"/>
    <n v="-2.540522743776382"/>
    <n v="1.0784095813505901"/>
    <n v="1.0092344775168931"/>
    <n v="0.99047013004840656"/>
    <n v="0.81536481328419441"/>
    <n v="0.69873155885384597"/>
    <n v="0.70146251216365918"/>
    <n v="-11.51292546497023"/>
    <n v="1.89659895370424"/>
    <n v="-2.4595923370301058"/>
    <n v="2.2133343213516978"/>
    <n v="2.1982281424695489"/>
    <n v="-11.51292546497023"/>
    <n v="1.5106178820133209E-2"/>
    <n v="0"/>
    <n v="0"/>
    <n v="0"/>
    <n v="0"/>
    <n v="0"/>
    <n v="0"/>
    <n v="1"/>
    <n v="-2.5540752410888672"/>
    <n v="7.8825183644699176E-2"/>
    <n v="7.7764111881859416E-2"/>
    <n v="1.0610717628397603E-3"/>
    <n v="1.1258732858958765E-6"/>
  </r>
  <r>
    <x v="1"/>
    <x v="1"/>
    <n v="-2.4329042894116562"/>
    <n v="1.027939435373064"/>
    <n v="1.0784095813505901"/>
    <n v="1.0092344775168931"/>
    <n v="0.68390459919301272"/>
    <n v="0.81536481328419441"/>
    <n v="0.69873155885384597"/>
    <n v="-11.51292546497023"/>
    <n v="1.89659895370424"/>
    <n v="-2.3000771337360129"/>
    <n v="2.313442845502276"/>
    <n v="2.218134274509667"/>
    <n v="-11.51292546497023"/>
    <n v="9.5308572053909302E-2"/>
    <n v="0"/>
    <n v="0"/>
    <n v="0"/>
    <n v="0"/>
    <n v="0"/>
    <n v="0"/>
    <n v="1"/>
    <n v="-2.4477603435516357"/>
    <n v="8.7781519073290279E-2"/>
    <n v="8.6487071075438002E-2"/>
    <n v="1.2944479978522772E-3"/>
    <n v="1.675595619143769E-6"/>
  </r>
  <r>
    <x v="1"/>
    <x v="2"/>
    <n v="-2.27425156337357"/>
    <n v="0.98760623729075003"/>
    <n v="1.027939435373064"/>
    <n v="1.0784095813505901"/>
    <n v="0.64095874881435921"/>
    <n v="0.68390459919301272"/>
    <n v="0.81536481328419441"/>
    <n v="-11.51292546497023"/>
    <n v="1.89659895370424"/>
    <n v="-2.1314025549806082"/>
    <n v="2.3949085330761819"/>
    <n v="2.3182674198025608"/>
    <n v="-11.51292546497023"/>
    <n v="7.6641112565994263E-2"/>
    <n v="0"/>
    <n v="0"/>
    <n v="0"/>
    <n v="0"/>
    <n v="0"/>
    <n v="0"/>
    <n v="1"/>
    <n v="-2.3374414443969727"/>
    <n v="0.10287387420505091"/>
    <n v="9.6574413408401005E-2"/>
    <n v="6.2994607966499055E-3"/>
    <n v="3.9683206328529063E-5"/>
  </r>
  <r>
    <x v="1"/>
    <x v="3"/>
    <n v="-2.2112330407058809"/>
    <n v="0.94542225838040261"/>
    <n v="0.98760623729075003"/>
    <n v="1.027939435373064"/>
    <n v="0.60355064674818915"/>
    <n v="0.64095874881435921"/>
    <n v="0.68390459919301272"/>
    <n v="-11.51292546497023"/>
    <n v="1.89659895370424"/>
    <n v="-1.97417015913311"/>
    <n v="2.4528339580987599"/>
    <n v="2.3787807862614101"/>
    <n v="-11.51292546497023"/>
    <n v="7.4053168296813965E-2"/>
    <n v="0"/>
    <n v="0"/>
    <n v="0"/>
    <n v="0"/>
    <n v="0"/>
    <n v="0"/>
    <n v="1"/>
    <n v="-2.2124011516571045"/>
    <n v="0.10956546651001542"/>
    <n v="0.10943755660973103"/>
    <n v="1.279099002843842E-4"/>
    <n v="1.6360942590761109E-8"/>
  </r>
  <r>
    <x v="1"/>
    <x v="4"/>
    <n v="-2.0238197630288082"/>
    <n v="0.89469930563067901"/>
    <n v="0.94542225838040261"/>
    <n v="0.98760623729075003"/>
    <n v="0.67904825618044362"/>
    <n v="0.60355064674818915"/>
    <n v="0.64095874881435921"/>
    <n v="-6.5775261137723211"/>
    <n v="1.89659895370424"/>
    <n v="-1.851129937016835"/>
    <n v="2.451574835691376"/>
    <n v="2.4136386773470888"/>
    <n v="-11.51292546497023"/>
    <n v="3.793615847826004E-2"/>
    <n v="0"/>
    <n v="0"/>
    <n v="0"/>
    <n v="0"/>
    <n v="0"/>
    <n v="0"/>
    <n v="1"/>
    <n v="-2.0603728294372559"/>
    <n v="0.13214971916873389"/>
    <n v="0.127406460160013"/>
    <n v="4.7432590087208848E-3"/>
    <n v="2.2498506023811832E-5"/>
  </r>
  <r>
    <x v="1"/>
    <x v="5"/>
    <n v="-1.9428928643946779"/>
    <n v="0.87108413903607584"/>
    <n v="0.89469930563067901"/>
    <n v="0.94542225838040261"/>
    <n v="0.64872496300719862"/>
    <n v="0.67904825618044362"/>
    <n v="0.60355064674818915"/>
    <n v="-5.0058049802243119"/>
    <n v="1.89659895370424"/>
    <n v="-1.7662719913196829"/>
    <n v="2.4041960497971822"/>
    <n v="2.413858056805267"/>
    <n v="-11.51292546497023"/>
    <n v="-9.6620069816708565E-3"/>
    <n v="0"/>
    <n v="0"/>
    <n v="0"/>
    <n v="0"/>
    <n v="0"/>
    <n v="0"/>
    <n v="1"/>
    <n v="-1.972894549369812"/>
    <n v="0.14328883446366894"/>
    <n v="0.1390537751102883"/>
    <n v="4.2350593533806435E-3"/>
    <n v="1.7935727726656876E-5"/>
  </r>
  <r>
    <x v="1"/>
    <x v="6"/>
    <n v="-1.853506372455425"/>
    <n v="0.82070451397482058"/>
    <n v="0.87108413903607584"/>
    <n v="0.89469930563067901"/>
    <n v="0.60393338001511543"/>
    <n v="0.64872496300719862"/>
    <n v="0.67904825618044362"/>
    <n v="-4.552278246026316"/>
    <n v="1.89659895370424"/>
    <n v="-1.681677032607656"/>
    <n v="2.435977906762917"/>
    <n v="2.3877191547494352"/>
    <n v="-11.51292546497023"/>
    <n v="4.8258751630783081E-2"/>
    <n v="0"/>
    <n v="0"/>
    <n v="0"/>
    <n v="0"/>
    <n v="0"/>
    <n v="0"/>
    <n v="1"/>
    <n v="-1.8573474884033203"/>
    <n v="0.15668679970373728"/>
    <n v="0.15608610195199391"/>
    <n v="6.0069775174337314E-4"/>
    <n v="3.6083778894954317E-7"/>
  </r>
  <r>
    <x v="1"/>
    <x v="7"/>
    <n v="-1.823798812909148"/>
    <n v="0.80092477273337637"/>
    <n v="0.82070451397482058"/>
    <n v="0.87108413903607584"/>
    <n v="0.59305056402166012"/>
    <n v="0.60393338001511543"/>
    <n v="0.64872496300719862"/>
    <n v="-3.6590167181892319"/>
    <n v="1.89659895370424"/>
    <n v="-1.6211200885215431"/>
    <n v="2.464379744574213"/>
    <n v="2.4129487027258469"/>
    <n v="-11.51292546497023"/>
    <n v="5.1431041210889816E-2"/>
    <n v="0"/>
    <n v="0"/>
    <n v="0"/>
    <n v="0"/>
    <n v="0"/>
    <n v="0"/>
    <n v="1"/>
    <n v="-1.8011714220046997"/>
    <n v="0.16141141303577897"/>
    <n v="0.16510536683630556"/>
    <n v="-3.6939538005265893E-3"/>
    <n v="1.3645294680424833E-5"/>
  </r>
  <r>
    <x v="1"/>
    <x v="8"/>
    <n v="-1.7438080667107489"/>
    <n v="0.78686518443369713"/>
    <n v="0.80092477273337637"/>
    <n v="0.82070451397482058"/>
    <n v="0.60748035380285359"/>
    <n v="0.59305056402166012"/>
    <n v="0.60393338001511543"/>
    <n v="-2.8879711514722008"/>
    <n v="1.89659895370424"/>
    <n v="-1.55917951479725"/>
    <n v="2.5309753553273722"/>
    <n v="2.4469679509269722"/>
    <n v="-11.51292546497023"/>
    <n v="8.4007404744625092E-2"/>
    <n v="0"/>
    <n v="0"/>
    <n v="0"/>
    <n v="0"/>
    <n v="0"/>
    <n v="0"/>
    <n v="1"/>
    <n v="-1.7280294895172119"/>
    <n v="0.17485327825176775"/>
    <n v="0.17763409517418902"/>
    <n v="-2.7808169224212698E-3"/>
    <n v="7.7329427560245019E-6"/>
  </r>
  <r>
    <x v="1"/>
    <x v="9"/>
    <n v="-1.745503791543106"/>
    <n v="0.80424122806553211"/>
    <n v="0.78686518443369713"/>
    <n v="0.80092477273337637"/>
    <n v="0.57717500430752455"/>
    <n v="0.60748035380285359"/>
    <n v="0.59305056402166012"/>
    <n v="-2.545858637871083"/>
    <n v="1.89659895370424"/>
    <n v="-1.50904858212068"/>
    <n v="2.4533261407057392"/>
    <n v="2.514142776455218"/>
    <n v="-11.51292546497023"/>
    <n v="-6.0816634446382523E-2"/>
    <n v="1"/>
    <n v="0"/>
    <n v="0"/>
    <n v="0"/>
    <n v="0"/>
    <n v="0"/>
    <n v="1"/>
    <n v="-1.766331672668457"/>
    <n v="0.17455702645756813"/>
    <n v="0.17095897344004671"/>
    <n v="3.5980530175214187E-3"/>
    <n v="1.2945985516894987E-5"/>
  </r>
  <r>
    <x v="1"/>
    <x v="10"/>
    <n v="-1.7866062373763869"/>
    <n v="0.80629727849260113"/>
    <n v="0.80424122806553211"/>
    <n v="0.78686518443369713"/>
    <n v="0.60671745256155762"/>
    <n v="0.57717500430752455"/>
    <n v="0.60748035380285359"/>
    <n v="-2.2509086162663912"/>
    <n v="1.89659895370424"/>
    <n v="-1.479321084465824"/>
    <n v="2.368745845321349"/>
    <n v="2.4370635924484572"/>
    <n v="-11.51292546497023"/>
    <n v="-6.8317748606204987E-2"/>
    <n v="1"/>
    <n v="0"/>
    <n v="0"/>
    <n v="0"/>
    <n v="0"/>
    <n v="0"/>
    <n v="1"/>
    <n v="-1.739788293838501"/>
    <n v="0.16752775543139531"/>
    <n v="0.17555756330092204"/>
    <n v="-8.0298078695267283E-3"/>
    <n v="6.4477814421513369E-5"/>
  </r>
  <r>
    <x v="1"/>
    <x v="11"/>
    <n v="-1.803964079196309"/>
    <n v="0.84346194121881335"/>
    <n v="0.80629727849260113"/>
    <n v="0.80424122806553211"/>
    <n v="0.6634093622959889"/>
    <n v="0.60671745256155762"/>
    <n v="0.57717500430752455"/>
    <n v="-1.6395621942722589"/>
    <n v="1.89659895370424"/>
    <n v="-1.449845687397157"/>
    <n v="2.353997619072592"/>
    <n v="2.353035198584525"/>
    <n v="-11.51292546497023"/>
    <n v="9.6242048311978579E-4"/>
    <n v="1"/>
    <n v="0"/>
    <n v="0"/>
    <n v="0"/>
    <n v="0"/>
    <n v="0"/>
    <n v="1"/>
    <n v="-1.730992317199707"/>
    <n v="0.16464492737027464"/>
    <n v="0.17710857485715675"/>
    <n v="-1.2463647486882112E-2"/>
    <n v="1.5534250867726279E-4"/>
  </r>
  <r>
    <x v="1"/>
    <x v="12"/>
    <n v="-1.8707615171010761"/>
    <n v="0.93730830709662494"/>
    <n v="0.84346194121881335"/>
    <n v="0.80629727849260113"/>
    <n v="0.70051993488935849"/>
    <n v="0.6634093622959889"/>
    <n v="0.60671745256155762"/>
    <n v="-1.2704798017012739"/>
    <n v="1.89659895370424"/>
    <n v="-1.447486001868977"/>
    <n v="2.3348805785508659"/>
    <n v="2.3073161513348381"/>
    <n v="3.2580965380214821"/>
    <n v="2.7564426884055138E-2"/>
    <n v="1"/>
    <n v="0"/>
    <n v="0"/>
    <n v="0"/>
    <n v="0"/>
    <n v="0"/>
    <n v="1"/>
    <n v="-1.7969324588775635"/>
    <n v="0.15400633868843214"/>
    <n v="0.16580672786997905"/>
    <n v="-1.1800389181546911E-2"/>
    <n v="1.3924918483596937E-4"/>
  </r>
  <r>
    <x v="1"/>
    <x v="13"/>
    <n v="-1.8548545271126911"/>
    <n v="0.86865390235854689"/>
    <n v="0.93730830709662494"/>
    <n v="0.84346194121881335"/>
    <n v="0.6634093622959889"/>
    <n v="0.70051993488935849"/>
    <n v="0.6634093622959889"/>
    <n v="-0.58160918310328213"/>
    <n v="1.89659895370424"/>
    <n v="-1.413985790649066"/>
    <n v="2.29834380834231"/>
    <n v="2.3204102483993698"/>
    <n v="5.393627546352362"/>
    <n v="-2.2066440433263779E-2"/>
    <n v="1"/>
    <n v="0"/>
    <n v="0"/>
    <n v="0"/>
    <n v="0"/>
    <n v="0"/>
    <n v="1"/>
    <n v="-1.7460775375366211"/>
    <n v="0.15647570399179073"/>
    <n v="0.17445690378823495"/>
    <n v="-1.7981199796444219E-2"/>
    <n v="3.2332354611964563E-4"/>
  </r>
  <r>
    <x v="1"/>
    <x v="14"/>
    <n v="-1.88050971510182"/>
    <n v="0.81823679139876693"/>
    <n v="0.86865390235854689"/>
    <n v="0.93730830709662494"/>
    <n v="0.61917766035977084"/>
    <n v="0.6634093622959889"/>
    <n v="0.70051993488935849"/>
    <n v="2.7054758258881369E-2"/>
    <n v="1.89659895370424"/>
    <n v="-1.3876704234500099"/>
    <n v="2.274248317061752"/>
    <n v="2.2842308013914758"/>
    <n v="5.9914645471079817"/>
    <n v="-9.9824843928217888E-3"/>
    <n v="1"/>
    <n v="1"/>
    <n v="0"/>
    <n v="0"/>
    <n v="0"/>
    <n v="0"/>
    <n v="1"/>
    <n v="-1.813714861869812"/>
    <n v="0.15251234809440223"/>
    <n v="0.1630473121228494"/>
    <n v="-1.0534964028447169E-2"/>
    <n v="1.1098546708067581E-4"/>
  </r>
  <r>
    <x v="1"/>
    <x v="15"/>
    <n v="-1.878643824790587"/>
    <n v="0.99332584434100879"/>
    <n v="0.81823679139876693"/>
    <n v="0.86865390235854689"/>
    <n v="0.81730982318036782"/>
    <n v="0.61917766035977084"/>
    <n v="0.6634093622959889"/>
    <n v="0.70261181834886477"/>
    <n v="1.89659895370424"/>
    <n v="-1.364484611240979"/>
    <n v="2.3980824642529059"/>
    <n v="2.2604739548329111"/>
    <n v="6.6846117276679271"/>
    <n v="0.13760851323604584"/>
    <n v="1"/>
    <n v="0"/>
    <n v="0"/>
    <n v="0"/>
    <n v="0"/>
    <n v="0"/>
    <n v="1"/>
    <n v="-1.7549253702163696"/>
    <n v="0.1527971850616843"/>
    <n v="0.17292014680332121"/>
    <n v="-2.0122961741636913E-2"/>
    <n v="4.0493358925538294E-4"/>
  </r>
  <r>
    <x v="1"/>
    <x v="16"/>
    <n v="-1.803714186016224"/>
    <n v="0.96667961740728414"/>
    <n v="0.99332584434100879"/>
    <n v="0.81823679139876693"/>
    <n v="0.77785590848689956"/>
    <n v="0.81730982318036782"/>
    <n v="0.61917766035977084"/>
    <n v="1.185974748438114"/>
    <n v="1.89659895370424"/>
    <n v="-1.3314857129553219"/>
    <n v="2.418150875718347"/>
    <n v="2.3980824642529059"/>
    <n v="8.0551577318196781"/>
    <n v="2.0068410784006119E-2"/>
    <n v="1"/>
    <n v="0"/>
    <n v="0"/>
    <n v="0"/>
    <n v="0"/>
    <n v="0"/>
    <n v="1"/>
    <n v="-1.7257306575775146"/>
    <n v="0.16468607615594638"/>
    <n v="0.17804291583070733"/>
    <n v="-1.3356839674760951E-2"/>
    <n v="1.7840516609726823E-4"/>
  </r>
  <r>
    <x v="1"/>
    <x v="17"/>
    <n v="-1.763170302088207"/>
    <n v="0.88232021230300173"/>
    <n v="0.96667961740728414"/>
    <n v="0.99332584434100879"/>
    <n v="0.58070610121419586"/>
    <n v="0.77785590848689956"/>
    <n v="0.81730982318036782"/>
    <n v="1.748137451419546"/>
    <n v="1.89659895370424"/>
    <n v="-1.300184285120431"/>
    <n v="2.4726140688728968"/>
    <n v="2.418150875718347"/>
    <n v="8.4658998970286863"/>
    <n v="5.4463192820549011E-2"/>
    <n v="1"/>
    <n v="0"/>
    <n v="0"/>
    <n v="0"/>
    <n v="0"/>
    <n v="0"/>
    <n v="1"/>
    <n v="-1.7381545305252075"/>
    <n v="0.17150029331463176"/>
    <n v="0.17584461723245548"/>
    <n v="-4.344323917823717E-3"/>
    <n v="1.8873150302975209E-5"/>
  </r>
  <r>
    <x v="2"/>
    <x v="0"/>
    <n v="-2.2996931070588582"/>
    <n v="0.94000725849147115"/>
    <n v="0.9748237560598092"/>
    <n v="0.83768033129224362"/>
    <n v="0.71783979315031676"/>
    <n v="0.63525320214104264"/>
    <n v="0.52449181452980531"/>
    <n v="-11.51292546497023"/>
    <n v="2.4442681395872339"/>
    <n v="-2.6013661987380088"/>
    <n v="2.787953787326388"/>
    <n v="2.6920901613696402"/>
    <n v="-11.51292546497023"/>
    <n v="9.5863625407218933E-2"/>
    <n v="0"/>
    <n v="0"/>
    <n v="0"/>
    <n v="0"/>
    <n v="0"/>
    <n v="0"/>
    <n v="1"/>
    <n v="-2.5868535041809082"/>
    <n v="0.10028961717606556"/>
    <n v="7.5256462083160697E-2"/>
    <n v="2.5033155092904866E-2"/>
    <n v="6.2665885390542878E-4"/>
  </r>
  <r>
    <x v="2"/>
    <x v="1"/>
    <n v="-2.2393959335322"/>
    <n v="0.86056658310179346"/>
    <n v="0.94000725849147115"/>
    <n v="0.9748237560598092"/>
    <n v="0.52732869586500486"/>
    <n v="0.71783979315031676"/>
    <n v="0.63525320214104264"/>
    <n v="-11.51292546497023"/>
    <n v="2.4442681395872339"/>
    <n v="-2.4906512169756301"/>
    <n v="2.806108713008526"/>
    <n v="2.7834234781778342"/>
    <n v="-11.51292546497023"/>
    <n v="2.2685235366225243E-2"/>
    <n v="0"/>
    <n v="0"/>
    <n v="0"/>
    <n v="0"/>
    <n v="0"/>
    <n v="0"/>
    <n v="1"/>
    <n v="-2.5332489013671875"/>
    <n v="0.10652283181902907"/>
    <n v="7.9400635945878401E-2"/>
    <n v="2.7122195873150665E-2"/>
    <n v="7.356135089815509E-4"/>
  </r>
  <r>
    <x v="2"/>
    <x v="2"/>
    <n v="-2.1516233254611739"/>
    <n v="0.79104491883640526"/>
    <n v="0.86056658310179346"/>
    <n v="0.94000725849147115"/>
    <n v="0.47567501648296739"/>
    <n v="0.52732869586500486"/>
    <n v="0.71783979315031676"/>
    <n v="-11.51292546497023"/>
    <n v="2.4442681395872339"/>
    <n v="-2.3800620263891141"/>
    <n v="2.8187584767341138"/>
    <n v="2.8015988350361951"/>
    <n v="-11.51292546497023"/>
    <n v="1.7159640789031982E-2"/>
    <n v="0"/>
    <n v="0"/>
    <n v="0"/>
    <n v="0"/>
    <n v="0"/>
    <n v="0"/>
    <n v="1"/>
    <n v="-2.4130890369415283"/>
    <n v="0.11629521947002977"/>
    <n v="8.953827988397868E-2"/>
    <n v="2.675693958605109E-2"/>
    <n v="7.1593381601158792E-4"/>
  </r>
  <r>
    <x v="2"/>
    <x v="3"/>
    <n v="-2.129867287589434"/>
    <n v="0.80074519115796339"/>
    <n v="0.79104491883640526"/>
    <n v="0.86056658310179346"/>
    <n v="0.45018350179642908"/>
    <n v="0.47567501648296739"/>
    <n v="0.52732869586500486"/>
    <n v="-8.129578512186745"/>
    <n v="2.4442681395872339"/>
    <n v="-2.2873741230265301"/>
    <n v="2.7822075302180531"/>
    <n v="2.8032335417972489"/>
    <n v="-11.51292546497023"/>
    <n v="-2.1026011556386948E-2"/>
    <n v="0"/>
    <n v="0"/>
    <n v="0"/>
    <n v="0"/>
    <n v="0"/>
    <n v="0"/>
    <n v="1"/>
    <n v="-2.3881988525390625"/>
    <n v="0.11885306608270414"/>
    <n v="9.179487116864489E-2"/>
    <n v="2.7058194914059253E-2"/>
    <n v="7.3214591200722204E-4"/>
  </r>
  <r>
    <x v="2"/>
    <x v="4"/>
    <n v="-2.00078354198634"/>
    <n v="0.75879446179580023"/>
    <n v="0.80074519115796339"/>
    <n v="0.79104491883640526"/>
    <n v="0.50748003351489412"/>
    <n v="0.45018350179642908"/>
    <n v="0.47567501648296739"/>
    <n v="-7.4575740900194392"/>
    <n v="2.4442681395872339"/>
    <n v="-2.1949797606311301"/>
    <n v="2.865891463940804"/>
    <n v="2.7610647718254149"/>
    <n v="-11.51292546497023"/>
    <n v="0.10482668876647949"/>
    <n v="0"/>
    <n v="0"/>
    <n v="0"/>
    <n v="0"/>
    <n v="0"/>
    <n v="0"/>
    <n v="1"/>
    <n v="-2.2414588928222656"/>
    <n v="0.13522928389285485"/>
    <n v="0.10630330606772276"/>
    <n v="2.8925977825132093E-2"/>
    <n v="8.3671219314003357E-4"/>
  </r>
  <r>
    <x v="2"/>
    <x v="5"/>
    <n v="-1.9149948690867109"/>
    <n v="0.75888810352262204"/>
    <n v="0.75879446179580023"/>
    <n v="0.80074519115796339"/>
    <n v="0.56502967777950286"/>
    <n v="0.50748003351489412"/>
    <n v="0.45018350179642908"/>
    <n v="-5.974201675234224"/>
    <n v="2.4442681395872339"/>
    <n v="-2.1132146873506201"/>
    <n v="2.9153544314711932"/>
    <n v="2.8451864819496779"/>
    <n v="-11.51292546497023"/>
    <n v="7.0167951285839081E-2"/>
    <n v="0"/>
    <n v="0"/>
    <n v="0"/>
    <n v="0"/>
    <n v="0"/>
    <n v="0"/>
    <n v="1"/>
    <n v="-2.1575527191162109"/>
    <n v="0.14734258858626828"/>
    <n v="0.11560769963576521"/>
    <n v="3.1734888950503068E-2"/>
    <n v="1.0071031767007617E-3"/>
  </r>
  <r>
    <x v="2"/>
    <x v="6"/>
    <n v="-1.8416043500428281"/>
    <n v="0.74093684439579388"/>
    <n v="0.75888810352262204"/>
    <n v="0.75879446179580023"/>
    <n v="0.52555658836598484"/>
    <n v="0.56502967777950286"/>
    <n v="0.50748003351489412"/>
    <n v="-5.6212324596463992"/>
    <n v="2.4442681395872339"/>
    <n v="-2.039432947274388"/>
    <n v="2.8452638329088011"/>
    <n v="2.9005988669337039"/>
    <n v="-11.51292546497023"/>
    <n v="-5.5335033684968948E-2"/>
    <n v="0"/>
    <n v="0"/>
    <n v="0"/>
    <n v="0"/>
    <n v="0"/>
    <n v="0"/>
    <n v="1"/>
    <n v="-2.0904643535614014"/>
    <n v="0.1585628316464702"/>
    <n v="0.12362971458834635"/>
    <n v="3.4933117058123853E-2"/>
    <n v="1.2203226673965838E-3"/>
  </r>
  <r>
    <x v="2"/>
    <x v="7"/>
    <n v="-1.8634470711147311"/>
    <n v="0.7175470673834804"/>
    <n v="0.74093684439579388"/>
    <n v="0.75888810352262204"/>
    <n v="0.51018541887856739"/>
    <n v="0.52555658836598484"/>
    <n v="0.56502967777950286"/>
    <n v="-4.8436412682355856"/>
    <n v="2.4442681395872339"/>
    <n v="-2.0111046236770722"/>
    <n v="2.8536702634377278"/>
    <n v="2.78660700011898"/>
    <n v="-11.51292546497023"/>
    <n v="6.7063264548778534E-2"/>
    <n v="0"/>
    <n v="0"/>
    <n v="0"/>
    <n v="0"/>
    <n v="0"/>
    <n v="0"/>
    <n v="1"/>
    <n v="-2.0415413379669189"/>
    <n v="0.15513693955310523"/>
    <n v="0.12982844706631558"/>
    <n v="2.5308492486789652E-2"/>
    <n v="6.405197919538883E-4"/>
  </r>
  <r>
    <x v="2"/>
    <x v="8"/>
    <n v="-1.820465575274167"/>
    <n v="0.71069235977569423"/>
    <n v="0.7175470673834804"/>
    <n v="0.74093684439579388"/>
    <n v="0.49231536100689388"/>
    <n v="0.51018541887856739"/>
    <n v="0.52555658836598484"/>
    <n v="-4.2015334915193838"/>
    <n v="2.4442681395872339"/>
    <n v="-1.950555716804877"/>
    <n v="2.8036262076416598"/>
    <n v="2.8365324112696699"/>
    <n v="-11.51292546497023"/>
    <n v="-3.2906204462051392E-2"/>
    <n v="0"/>
    <n v="0"/>
    <n v="0"/>
    <n v="0"/>
    <n v="0"/>
    <n v="0"/>
    <n v="1"/>
    <n v="-2.013779878616333"/>
    <n v="0.16195033330812081"/>
    <n v="0.13348316971813623"/>
    <n v="2.8467163589984579E-2"/>
    <n v="8.1037940285894365E-4"/>
  </r>
  <r>
    <x v="2"/>
    <x v="9"/>
    <n v="-1.85331490022868"/>
    <n v="0.74246101711286649"/>
    <n v="0.71069235977569423"/>
    <n v="0.7175470673834804"/>
    <n v="0.4848306634889048"/>
    <n v="0.49231536100689388"/>
    <n v="0.51018541887856739"/>
    <n v="-3.8717943307937941"/>
    <n v="2.4442681395872339"/>
    <n v="-1.915266532969788"/>
    <n v="2.712993278238522"/>
    <n v="2.787089131649414"/>
    <n v="-11.51292546497023"/>
    <n v="-7.4095852673053741E-2"/>
    <n v="1"/>
    <n v="0"/>
    <n v="0"/>
    <n v="0"/>
    <n v="0"/>
    <n v="0"/>
    <n v="1"/>
    <n v="-2.0622899532318115"/>
    <n v="0.15671680374655689"/>
    <n v="0.1271624401866473"/>
    <n v="2.9554363559909591E-2"/>
    <n v="8.7346040543131195E-4"/>
  </r>
  <r>
    <x v="2"/>
    <x v="10"/>
    <n v="-1.8421449569286059"/>
    <n v="0.71417454775202094"/>
    <n v="0.74246101711286649"/>
    <n v="0.71069235977569423"/>
    <n v="0.5886196512060109"/>
    <n v="0.4848306634889048"/>
    <n v="0.49231536100689388"/>
    <n v="-3.5582678548913709"/>
    <n v="2.4442681395872339"/>
    <n v="-1.898090134548438"/>
    <n v="2.647271572969601"/>
    <n v="2.6970405530106989"/>
    <n v="-11.51292546497023"/>
    <n v="-4.9768980592489243E-2"/>
    <n v="1"/>
    <n v="0"/>
    <n v="0"/>
    <n v="0"/>
    <n v="0"/>
    <n v="0"/>
    <n v="1"/>
    <n v="-1.9824014902114868"/>
    <n v="0.15847713465413288"/>
    <n v="0.13773806320383247"/>
    <n v="2.0739071450300406E-2"/>
    <n v="4.3010908462066537E-4"/>
  </r>
  <r>
    <x v="2"/>
    <x v="11"/>
    <n v="-1.8414703029534769"/>
    <n v="0.70631016708622618"/>
    <n v="0.71417454775202094"/>
    <n v="0.74246101711286649"/>
    <n v="0.55652530301698111"/>
    <n v="0.5886196512060109"/>
    <n v="0.4848306634889048"/>
    <n v="-2.9391899763047791"/>
    <n v="2.4442681395872339"/>
    <n v="-1.8769940266480141"/>
    <n v="2.6419495295814581"/>
    <n v="2.631909871823026"/>
    <n v="-11.51292546497023"/>
    <n v="1.0039657354354858E-2"/>
    <n v="1"/>
    <n v="0"/>
    <n v="0"/>
    <n v="0"/>
    <n v="0"/>
    <n v="0"/>
    <n v="1"/>
    <n v="-1.9569659233093262"/>
    <n v="0.15858408795717313"/>
    <n v="0.14128644517349798"/>
    <n v="1.7297642783675155E-2"/>
    <n v="2.9920844587162914E-4"/>
  </r>
  <r>
    <x v="2"/>
    <x v="12"/>
    <n v="-1.893715057180644"/>
    <n v="0.83594797919161656"/>
    <n v="0.70631016708622618"/>
    <n v="0.71417454775202094"/>
    <n v="0.59033896057826329"/>
    <n v="0.55652530301698111"/>
    <n v="0.5886196512060109"/>
    <n v="-2.4850563934778158"/>
    <n v="2.4442681395872339"/>
    <n v="-1.8369834954172419"/>
    <n v="2.6649035890130319"/>
    <n v="2.6377755229258768"/>
    <n v="3.2580965380214821"/>
    <n v="2.7128066867589951E-2"/>
    <n v="1"/>
    <n v="0"/>
    <n v="0"/>
    <n v="0"/>
    <n v="0"/>
    <n v="0"/>
    <n v="1"/>
    <n v="-2.0239858627319336"/>
    <n v="0.15051160965845559"/>
    <n v="0.13212777096245759"/>
    <n v="1.8383838695997995E-2"/>
    <n v="3.3796552520047325E-4"/>
  </r>
  <r>
    <x v="2"/>
    <x v="13"/>
    <n v="-1.856070637772256"/>
    <n v="0.72952732465269587"/>
    <n v="0.83594797919161656"/>
    <n v="0.70631016708622618"/>
    <n v="0.50162341300119118"/>
    <n v="0.59033896057826329"/>
    <n v="0.55652530301698111"/>
    <n v="-1.740634359736184"/>
    <n v="2.4442681395872339"/>
    <n v="-1.801472811152566"/>
    <n v="2.6855146875716001"/>
    <n v="2.6493447628313511"/>
    <n v="5.393627546352362"/>
    <n v="3.6169923841953278E-2"/>
    <n v="1"/>
    <n v="0"/>
    <n v="0"/>
    <n v="0"/>
    <n v="0"/>
    <n v="0"/>
    <n v="1"/>
    <n v="-1.9586844444274902"/>
    <n v="0.15628552788123903"/>
    <n v="0.14104384994597283"/>
    <n v="1.5241677935266207E-2"/>
    <n v="2.3230874628238075E-4"/>
  </r>
  <r>
    <x v="2"/>
    <x v="14"/>
    <n v="-1.9054095945747089"/>
    <n v="0.69708939979256901"/>
    <n v="0.72952732465269587"/>
    <n v="0.83594797919161656"/>
    <n v="0.4633565865239419"/>
    <n v="0.50162341300119118"/>
    <n v="0.59033896057826329"/>
    <n v="-1.117738767835011"/>
    <n v="2.4442681395872339"/>
    <n v="-1.772662210141901"/>
    <n v="2.6776327697878859"/>
    <n v="2.670400738513004"/>
    <n v="5.9914645471079817"/>
    <n v="7.2320313192903996E-3"/>
    <n v="1"/>
    <n v="1"/>
    <n v="0"/>
    <n v="0"/>
    <n v="0"/>
    <n v="0"/>
    <n v="1"/>
    <n v="-2.0581178665161133"/>
    <n v="0.14876169815724163"/>
    <n v="0.12769408116906728"/>
    <n v="2.1067616988174359E-2"/>
    <n v="4.4384448556041283E-4"/>
  </r>
  <r>
    <x v="2"/>
    <x v="15"/>
    <n v="-1.9488072066913751"/>
    <n v="0.87950225842631924"/>
    <n v="0.69708939979256901"/>
    <n v="0.72952732465269587"/>
    <n v="0.64699852453396511"/>
    <n v="0.4633565865239419"/>
    <n v="0.50162341300119118"/>
    <n v="-0.57906484735342401"/>
    <n v="2.4442681395872339"/>
    <n v="-1.7476804575463141"/>
    <n v="2.66576729161737"/>
    <n v="2.662939620854389"/>
    <n v="6.6846117276679271"/>
    <n v="2.8276706580072641E-3"/>
    <n v="1"/>
    <n v="0"/>
    <n v="0"/>
    <n v="0"/>
    <n v="0"/>
    <n v="0"/>
    <n v="1"/>
    <n v="-2.0251173973083496"/>
    <n v="0.14244387639798167"/>
    <n v="0.13197834837546366"/>
    <n v="1.0465528022518017E-2"/>
    <n v="1.0952727679010987E-4"/>
  </r>
  <r>
    <x v="2"/>
    <x v="16"/>
    <n v="-1.8916762122875559"/>
    <n v="0.91788945323785209"/>
    <n v="0.87950225842631924"/>
    <n v="0.69708939979256901"/>
    <n v="0.6722809878785605"/>
    <n v="0.64699852453396511"/>
    <n v="0.4633565865239419"/>
    <n v="-9.9392275493521157E-2"/>
    <n v="2.4442681395872339"/>
    <n v="-1.698044026119633"/>
    <n v="2.6820230415454902"/>
    <n v="2.66576729161737"/>
    <n v="8.0551577318196781"/>
    <n v="1.6255749389529228E-2"/>
    <n v="1"/>
    <n v="0"/>
    <n v="0"/>
    <n v="0"/>
    <n v="0"/>
    <n v="0"/>
    <n v="1"/>
    <n v="-2.0154194831848145"/>
    <n v="0.15081879252786007"/>
    <n v="0.13326448942684321"/>
    <n v="1.7554303101016855E-2"/>
    <n v="3.0815355736236999E-4"/>
  </r>
  <r>
    <x v="2"/>
    <x v="17"/>
    <n v="-1.9308834614620309"/>
    <n v="0.87592696568459394"/>
    <n v="0.91788945323785209"/>
    <n v="0.87950225842631924"/>
    <n v="0.55002710596512761"/>
    <n v="0.6722809878785605"/>
    <n v="0.64699852453396511"/>
    <n v="0.46648573499141283"/>
    <n v="2.4442681395872339"/>
    <n v="-1.6486901483693741"/>
    <n v="2.7403429286794632"/>
    <n v="2.6820230415454902"/>
    <n v="8.4658998970286863"/>
    <n v="5.8319885283708572E-2"/>
    <n v="1"/>
    <n v="0"/>
    <n v="0"/>
    <n v="0"/>
    <n v="0"/>
    <n v="0"/>
    <n v="1"/>
    <n v="-2.027827262878418"/>
    <n v="0.14502002227168886"/>
    <n v="0.13162118893879957"/>
    <n v="1.3398833332889298E-2"/>
    <n v="1.7952873468254533E-4"/>
  </r>
  <r>
    <x v="3"/>
    <x v="0"/>
    <n v="-2.1214280261521119"/>
    <n v="1.050821624831761"/>
    <n v="0.97093042083247871"/>
    <n v="0.82342955082286751"/>
    <n v="0.80200158547202738"/>
    <n v="0.74388782226312944"/>
    <n v="0.56866047543694154"/>
    <n v="-11.51292546497023"/>
    <n v="0.96965976941242327"/>
    <n v="-2.0658096230737839"/>
    <n v="2.5416151197443391"/>
    <n v="2.4326114046976972"/>
    <n v="-11.51292546497023"/>
    <n v="0.10900371521711349"/>
    <n v="0"/>
    <n v="0"/>
    <n v="0"/>
    <n v="0"/>
    <n v="0"/>
    <n v="0"/>
    <n v="1"/>
    <n v="-2.1175780296325684"/>
    <n v="0.11986034253639577"/>
    <n v="0.12032269389244891"/>
    <n v="-4.6235135605314504E-4"/>
    <n v="2.1376877644418209E-7"/>
  </r>
  <r>
    <x v="3"/>
    <x v="1"/>
    <n v="-2.0488611487842991"/>
    <n v="0.92715153920690085"/>
    <n v="1.050821624831761"/>
    <n v="0.97093042083247871"/>
    <n v="0.67904825618044362"/>
    <n v="0.80200158547202738"/>
    <n v="0.74388782226312944"/>
    <n v="-11.51292546497023"/>
    <n v="0.96965976941242327"/>
    <n v="-1.9236342315961601"/>
    <n v="2.5678029528627571"/>
    <n v="2.5299808907507249"/>
    <n v="-11.51292546497023"/>
    <n v="3.7822060286998749E-2"/>
    <n v="0"/>
    <n v="0"/>
    <n v="0"/>
    <n v="0"/>
    <n v="0"/>
    <n v="0"/>
    <n v="1"/>
    <n v="-1.989555835723877"/>
    <n v="0.12888159700439134"/>
    <n v="0.13675615415597966"/>
    <n v="-7.8745571515883295E-3"/>
    <n v="6.2008650333630907E-5"/>
  </r>
  <r>
    <x v="3"/>
    <x v="2"/>
    <n v="-1.8916961888322019"/>
    <n v="0.8885906012318765"/>
    <n v="0.92715153920690085"/>
    <n v="1.050821624831761"/>
    <n v="0.6598488951584307"/>
    <n v="0.67904825618044362"/>
    <n v="0.80200158547202738"/>
    <n v="-11.51292546497023"/>
    <n v="0.96965976941242327"/>
    <n v="-1.786369245775409"/>
    <n v="2.613589893895834"/>
    <n v="2.5563049465615411"/>
    <n v="-11.51292546497023"/>
    <n v="5.7284947484731674E-2"/>
    <n v="0"/>
    <n v="0"/>
    <n v="0"/>
    <n v="0"/>
    <n v="0"/>
    <n v="0"/>
    <n v="1"/>
    <n v="-1.8828446865081787"/>
    <n v="0.15081577971961052"/>
    <n v="0.15215665155471741"/>
    <n v="-1.3408718351068938E-3"/>
    <n v="1.7979372781829289E-6"/>
  </r>
  <r>
    <x v="3"/>
    <x v="3"/>
    <n v="-1.731314898936454"/>
    <n v="0.85010819341370714"/>
    <n v="0.8885906012318765"/>
    <n v="0.92715153920690085"/>
    <n v="0.6269539578251464"/>
    <n v="0.6598488951584307"/>
    <n v="0.67904825618044362"/>
    <n v="-6.0438174049598743"/>
    <n v="0.96965976941242327"/>
    <n v="-1.6727758863447291"/>
    <n v="2.680348433775428"/>
    <n v="2.59269452008478"/>
    <n v="-11.51292546497023"/>
    <n v="8.7653912603855133E-2"/>
    <n v="0"/>
    <n v="0"/>
    <n v="0"/>
    <n v="0"/>
    <n v="0"/>
    <n v="0"/>
    <n v="1"/>
    <n v="-1.7765681743621826"/>
    <n v="0.17705145207936435"/>
    <n v="0.16921787818463815"/>
    <n v="7.8335738947261924E-3"/>
    <n v="6.1364879964135688E-5"/>
  </r>
  <r>
    <x v="3"/>
    <x v="4"/>
    <n v="-1.6370132101979851"/>
    <n v="0.83971201764178083"/>
    <n v="0.85010819341370714"/>
    <n v="0.8885906012318765"/>
    <n v="0.63668264357881876"/>
    <n v="0.6269539578251464"/>
    <n v="0.6598488951584307"/>
    <n v="-6.0886638504851271"/>
    <n v="0.96965976941242327"/>
    <n v="-1.5818013322830919"/>
    <n v="2.712075371742944"/>
    <n v="2.6355019882501809"/>
    <n v="-11.51292546497023"/>
    <n v="7.6573386788368225E-2"/>
    <n v="0"/>
    <n v="0"/>
    <n v="0"/>
    <n v="0"/>
    <n v="0"/>
    <n v="0"/>
    <n v="1"/>
    <n v="-1.6919289827346802"/>
    <n v="0.19456028600464564"/>
    <n v="0.18416393209257598"/>
    <n v="1.0396353912069667E-2"/>
    <n v="1.0808417466500627E-4"/>
  </r>
  <r>
    <x v="3"/>
    <x v="5"/>
    <n v="-1.6511480036138131"/>
    <n v="0.78024188741087908"/>
    <n v="0.83971201764178083"/>
    <n v="0.85010819341370714"/>
    <n v="0.63254755843101573"/>
    <n v="0.63668264357881876"/>
    <n v="0.6269539578251464"/>
    <n v="-4.1856749717641"/>
    <n v="0.96965976941242327"/>
    <n v="-1.524027786338819"/>
    <n v="2.6846472020599572"/>
    <n v="2.6691541014086368"/>
    <n v="-11.51292546497023"/>
    <n v="1.5493100509047508E-2"/>
    <n v="0"/>
    <n v="0"/>
    <n v="0"/>
    <n v="0"/>
    <n v="0"/>
    <n v="0"/>
    <n v="1"/>
    <n v="-1.5986220836639404"/>
    <n v="0.19182956113567948"/>
    <n v="0.20217490625881537"/>
    <n v="-1.0345345123135896E-2"/>
    <n v="1.0702616571679168E-4"/>
  </r>
  <r>
    <x v="3"/>
    <x v="6"/>
    <n v="-1.552265536560707"/>
    <n v="0.73400117456821146"/>
    <n v="0.78024188741087908"/>
    <n v="0.83971201764178083"/>
    <n v="0.61971590247406239"/>
    <n v="0.63254755843101573"/>
    <n v="0.63668264357881876"/>
    <n v="-3.849134322558645"/>
    <n v="0.96965976941242327"/>
    <n v="-1.457586424516502"/>
    <n v="2.6424033786447718"/>
    <n v="2.6645129073266771"/>
    <n v="-11.51292546497023"/>
    <n v="-2.2109529003500938E-2"/>
    <n v="0"/>
    <n v="0"/>
    <n v="0"/>
    <n v="0"/>
    <n v="0"/>
    <n v="0"/>
    <n v="1"/>
    <n v="-1.5040528774261475"/>
    <n v="0.21176766256889953"/>
    <n v="0.22222767103349519"/>
    <n v="-1.046000846459566E-2"/>
    <n v="1.0941177707941286E-4"/>
  </r>
  <r>
    <x v="3"/>
    <x v="7"/>
    <n v="-1.5003883410751231"/>
    <n v="0.72420970601176304"/>
    <n v="0.73400117456821146"/>
    <n v="0.78024188741087908"/>
    <n v="0.61550991083279283"/>
    <n v="0.61971590247406239"/>
    <n v="0.63254755843101573"/>
    <n v="-2.932366397932173"/>
    <n v="0.96965976941242327"/>
    <n v="-1.4167828025081901"/>
    <n v="2.687003829487947"/>
    <n v="2.603659858243808"/>
    <n v="-11.51292546497023"/>
    <n v="8.3343967795372009E-2"/>
    <n v="0"/>
    <n v="0"/>
    <n v="0"/>
    <n v="0"/>
    <n v="0"/>
    <n v="0"/>
    <n v="1"/>
    <n v="-1.4370948076248169"/>
    <n v="0.22304352636496247"/>
    <n v="0.23761708022112291"/>
    <n v="-1.4573553856160437E-2"/>
    <n v="2.1238847199840874E-4"/>
  </r>
  <r>
    <x v="3"/>
    <x v="8"/>
    <n v="-1.397781435692395"/>
    <n v="0.69154589919297138"/>
    <n v="0.72420970601176304"/>
    <n v="0.73400117456821146"/>
    <n v="0.57537664482543749"/>
    <n v="0.61550991083279283"/>
    <n v="0.61971590247406239"/>
    <n v="-2.2964382397407608"/>
    <n v="0.96965976941242327"/>
    <n v="-1.360431158802089"/>
    <n v="2.6717135384811321"/>
    <n v="2.669005520272695"/>
    <n v="-11.51292546497023"/>
    <n v="2.7080182917416096E-3"/>
    <n v="0"/>
    <n v="0"/>
    <n v="0"/>
    <n v="0"/>
    <n v="0"/>
    <n v="0"/>
    <n v="1"/>
    <n v="-1.3825035095214844"/>
    <n v="0.24714466249174949"/>
    <n v="0.25094951149109468"/>
    <n v="-3.8048489993451895E-3"/>
    <n v="1.447687590781809E-5"/>
  </r>
  <r>
    <x v="3"/>
    <x v="9"/>
    <n v="-1.406478382367957"/>
    <n v="0.72851432439723662"/>
    <n v="0.69154589919297138"/>
    <n v="0.72420970601176304"/>
    <n v="0.57391309263624701"/>
    <n v="0.57537664482543749"/>
    <n v="0.61550991083279283"/>
    <n v="-1.895141054409754"/>
    <n v="0.96965976941242327"/>
    <n v="-1.315803727531329"/>
    <n v="2.6312853746276921"/>
    <n v="2.6543003889539531"/>
    <n v="-11.51292546497023"/>
    <n v="-2.3015014827251434E-2"/>
    <n v="1"/>
    <n v="0"/>
    <n v="0"/>
    <n v="0"/>
    <n v="0"/>
    <n v="0"/>
    <n v="1"/>
    <n v="-1.4277093410491943"/>
    <n v="0.24500457812978951"/>
    <n v="0.23985772568929251"/>
    <n v="5.1468524404970073E-3"/>
    <n v="2.6490090044249999E-5"/>
  </r>
  <r>
    <x v="3"/>
    <x v="10"/>
    <n v="-1.3755681813668039"/>
    <n v="0.75358354936377603"/>
    <n v="0.72851432439723662"/>
    <n v="0.69154589919297138"/>
    <n v="0.70066882195879143"/>
    <n v="0.57391309263624701"/>
    <n v="0.57537664482543749"/>
    <n v="-1.542188325737653"/>
    <n v="0.96965976941242327"/>
    <n v="-1.28585620413132"/>
    <n v="2.6090838390708408"/>
    <n v="2.614491077793708"/>
    <n v="-11.51292546497023"/>
    <n v="-5.407238844782114E-3"/>
    <n v="1"/>
    <n v="0"/>
    <n v="0"/>
    <n v="0"/>
    <n v="0"/>
    <n v="0"/>
    <n v="1"/>
    <n v="-1.3776055574417114"/>
    <n v="0.25269597786200315"/>
    <n v="0.25218166522451818"/>
    <n v="5.1431263748497047E-4"/>
    <n v="2.6451748907674668E-7"/>
  </r>
  <r>
    <x v="3"/>
    <x v="11"/>
    <n v="-1.3358158736813781"/>
    <n v="0.69309717930990367"/>
    <n v="0.75358354936377603"/>
    <n v="0.72851432439723662"/>
    <n v="0.6661356313130955"/>
    <n v="0.70066882195879143"/>
    <n v="0.57391309263624701"/>
    <n v="-0.87898788351104096"/>
    <n v="0.96965976941242327"/>
    <n v="-1.262937275707122"/>
    <n v="2.651307984761778"/>
    <n v="2.5928672935494101"/>
    <n v="-11.51292546497023"/>
    <n v="5.8440692722797394E-2"/>
    <n v="1"/>
    <n v="0"/>
    <n v="0"/>
    <n v="0"/>
    <n v="0"/>
    <n v="0"/>
    <n v="1"/>
    <n v="-1.3066034317016602"/>
    <n v="0.26294355918842177"/>
    <n v="0.27073807681142348"/>
    <n v="-7.7945176230017066E-3"/>
    <n v="6.0754504975284171E-5"/>
  </r>
  <r>
    <x v="3"/>
    <x v="12"/>
    <n v="-1.4085563991275289"/>
    <n v="0.78115805788265869"/>
    <n v="0.69309717930990367"/>
    <n v="0.75358354936377603"/>
    <n v="0.6562757057840406"/>
    <n v="0.6661356313130955"/>
    <n v="0.70066882195879143"/>
    <n v="-0.58565216278882493"/>
    <n v="0.96965976941242327"/>
    <n v="-1.324389958640908"/>
    <n v="2.608562867960984"/>
    <n v="2.5530999358944371"/>
    <n v="3.2580965380214821"/>
    <n v="5.5462930351495743E-2"/>
    <n v="1"/>
    <n v="0"/>
    <n v="0"/>
    <n v="0"/>
    <n v="0"/>
    <n v="0"/>
    <n v="1"/>
    <n v="-1.4244557619094849"/>
    <n v="0.24449598312774889"/>
    <n v="0.240639392700288"/>
    <n v="3.8565904274608931E-3"/>
    <n v="1.4873289725182994E-5"/>
  </r>
  <r>
    <x v="3"/>
    <x v="13"/>
    <n v="-1.3716381828919499"/>
    <n v="0.70309751141311339"/>
    <n v="0.78115805788265869"/>
    <n v="0.69309717930990367"/>
    <n v="0.62202704805681974"/>
    <n v="0.6562757057840406"/>
    <n v="0.6661356313130955"/>
    <n v="8.1198499646209024E-2"/>
    <n v="0.96965976941242327"/>
    <n v="-1.3347112254365761"/>
    <n v="2.5844992376152001"/>
    <n v="2.5591706350414238"/>
    <n v="5.393627546352362"/>
    <n v="2.5328602641820908E-2"/>
    <n v="1"/>
    <n v="0"/>
    <n v="0"/>
    <n v="0"/>
    <n v="0"/>
    <n v="0"/>
    <n v="1"/>
    <n v="-1.380499005317688"/>
    <n v="0.25369102665902882"/>
    <n v="0.25145304534107732"/>
    <n v="2.2379813179514985E-3"/>
    <n v="5.0085603794999258E-6"/>
  </r>
  <r>
    <x v="3"/>
    <x v="14"/>
    <n v="-1.394184195864542"/>
    <n v="0.62924845470971358"/>
    <n v="0.70309751141311339"/>
    <n v="0.78115805788265869"/>
    <n v="0.55382764031053344"/>
    <n v="0.62202704805681974"/>
    <n v="0.6562757057840406"/>
    <n v="0.69681451263670058"/>
    <n v="0.96965976941242327"/>
    <n v="-1.3391835643458849"/>
    <n v="2.5950645419388749"/>
    <n v="2.543392088769163"/>
    <n v="5.9914645471079817"/>
    <n v="5.1672454923391342E-2"/>
    <n v="1"/>
    <n v="1"/>
    <n v="0"/>
    <n v="0"/>
    <n v="0"/>
    <n v="0"/>
    <n v="1"/>
    <n v="-1.4574438333511353"/>
    <n v="0.24803530207658339"/>
    <n v="0.23283066871126865"/>
    <n v="1.5204633365314746E-2"/>
    <n v="2.3118087577364243E-4"/>
  </r>
  <r>
    <x v="3"/>
    <x v="15"/>
    <n v="-1.3579953094350481"/>
    <n v="0.85437277405916545"/>
    <n v="0.62924845470971358"/>
    <n v="0.70309751141311339"/>
    <n v="0.74293684506246094"/>
    <n v="0.55382764031053344"/>
    <n v="0.62202704805681974"/>
    <n v="1.1994999048513719"/>
    <n v="0.96965976941242327"/>
    <n v="-1.3385504162023421"/>
    <n v="2.5663181660538141"/>
    <n v="2.56151968691375"/>
    <n v="6.6846117276679271"/>
    <n v="4.7984789125621319E-3"/>
    <n v="1"/>
    <n v="0"/>
    <n v="0"/>
    <n v="0"/>
    <n v="0"/>
    <n v="0"/>
    <n v="1"/>
    <n v="-1.4830880165100098"/>
    <n v="0.25717581846845394"/>
    <n v="0.22693582368640913"/>
    <n v="3.023999478204481E-2"/>
    <n v="9.1445728441809729E-4"/>
  </r>
  <r>
    <x v="3"/>
    <x v="16"/>
    <n v="-1.256103145630141"/>
    <n v="0.91625073107413368"/>
    <n v="0.85437277405916545"/>
    <n v="0.62924845470971358"/>
    <n v="0.82850814849039722"/>
    <n v="0.74293684506246094"/>
    <n v="0.55382764031053344"/>
    <n v="1.728170888937373"/>
    <n v="0.96965976941242327"/>
    <n v="-1.302099310445449"/>
    <n v="2.6316037050358618"/>
    <n v="2.5663181660538141"/>
    <n v="8.0551577318196781"/>
    <n v="6.5285541117191315E-2"/>
    <n v="1"/>
    <n v="0"/>
    <n v="0"/>
    <n v="0"/>
    <n v="0"/>
    <n v="0"/>
    <n v="1"/>
    <n v="-1.4720734357833862"/>
    <n v="0.28476154144317628"/>
    <n v="0.22944924335726963"/>
    <n v="5.5312298085906653E-2"/>
    <n v="3.0594503195441928E-3"/>
  </r>
  <r>
    <x v="3"/>
    <x v="17"/>
    <n v="-1.270274722254032"/>
    <n v="0.81801616260581456"/>
    <n v="0.91625073107413368"/>
    <n v="0.85437277405916545"/>
    <n v="0.64752200253366976"/>
    <n v="0.82850814849039722"/>
    <n v="0.74293684506246094"/>
    <n v="2.3604553240936168"/>
    <n v="0.96965976941242327"/>
    <n v="-1.2773671272837059"/>
    <n v="2.7560989929225941"/>
    <n v="2.6316037050358618"/>
    <n v="8.4658998970286863"/>
    <n v="0.12449529021978378"/>
    <n v="1"/>
    <n v="0"/>
    <n v="0"/>
    <n v="0"/>
    <n v="0"/>
    <n v="0"/>
    <n v="1"/>
    <n v="-1.4759992361068726"/>
    <n v="0.28075448167877753"/>
    <n v="0.2285502372573093"/>
    <n v="5.2204244421468232E-2"/>
    <n v="2.7252831356163972E-3"/>
  </r>
  <r>
    <x v="4"/>
    <x v="0"/>
    <n v="-2.791819724517338"/>
    <n v="0.97832612279360776"/>
    <n v="0.93106111077760501"/>
    <n v="0.94067110059953318"/>
    <n v="0.84156718567821853"/>
    <n v="0.73400117456821146"/>
    <n v="0.7437927652288373"/>
    <n v="-11.51292546497023"/>
    <n v="2.658156590148268"/>
    <n v="-2.8864098341244109"/>
    <n v="2.164708222438771"/>
    <n v="2.1038497784591632"/>
    <n v="-11.51292546497023"/>
    <n v="6.0858443379402161E-2"/>
    <n v="0"/>
    <n v="0"/>
    <n v="0"/>
    <n v="0"/>
    <n v="0"/>
    <n v="0"/>
    <n v="1"/>
    <n v="-2.7555599212646484"/>
    <n v="6.1309545859518297E-2"/>
    <n v="6.3573413595264916E-2"/>
    <n v="-2.2638677357466191E-3"/>
    <n v="5.1250971249545244E-6"/>
  </r>
  <r>
    <x v="4"/>
    <x v="1"/>
    <n v="-2.6827612243448291"/>
    <n v="0.92334578634783215"/>
    <n v="0.97832612279360776"/>
    <n v="0.93106111077760501"/>
    <n v="0.71250853403856518"/>
    <n v="0.84156718567821853"/>
    <n v="0.73400117456821146"/>
    <n v="-11.51292546497023"/>
    <n v="2.658156590148268"/>
    <n v="-2.761647926588747"/>
    <n v="2.2075982400187821"/>
    <n v="2.149978130984072"/>
    <n v="-11.51292546497023"/>
    <n v="5.7620108127593994E-2"/>
    <n v="0"/>
    <n v="0"/>
    <n v="0"/>
    <n v="0"/>
    <n v="0"/>
    <n v="0"/>
    <n v="1"/>
    <n v="-2.6647601127624512"/>
    <n v="6.8374097038544066E-2"/>
    <n v="6.9616051532661705E-2"/>
    <n v="-1.2419544941176391E-3"/>
    <n v="1.542450965459001E-6"/>
  </r>
  <r>
    <x v="4"/>
    <x v="2"/>
    <n v="-2.572277832481626"/>
    <n v="0.91063476701799762"/>
    <n v="0.92334578634783215"/>
    <n v="0.97832612279360776"/>
    <n v="0.66449047131014083"/>
    <n v="0.71250853403856518"/>
    <n v="0.84156718567821853"/>
    <n v="-11.51292546497023"/>
    <n v="2.658156590148268"/>
    <n v="-2.6214783804307662"/>
    <n v="2.2708117660566969"/>
    <n v="2.1930821148220612"/>
    <n v="-11.51292546497023"/>
    <n v="7.7729649841785431E-2"/>
    <n v="0"/>
    <n v="0"/>
    <n v="0"/>
    <n v="0"/>
    <n v="0"/>
    <n v="0"/>
    <n v="1"/>
    <n v="-2.5921483039855957"/>
    <n v="7.6361408675010067E-2"/>
    <n v="7.4859047226929765E-2"/>
    <n v="1.5023614480803027E-3"/>
    <n v="2.2570899206779442E-6"/>
  </r>
  <r>
    <x v="4"/>
    <x v="3"/>
    <n v="-2.5411629062929411"/>
    <n v="0.87208802919442241"/>
    <n v="0.91063476701799762"/>
    <n v="0.92334578634783215"/>
    <n v="0.5987815545242241"/>
    <n v="0.66449047131014083"/>
    <n v="0.71250853403856518"/>
    <n v="-11.51292546497023"/>
    <n v="2.658156590148268"/>
    <n v="-2.4867244716184009"/>
    <n v="2.196928113362755"/>
    <n v="2.255962494629093"/>
    <n v="-11.51292546497023"/>
    <n v="-5.9034381061792374E-2"/>
    <n v="0"/>
    <n v="0"/>
    <n v="0"/>
    <n v="0"/>
    <n v="0"/>
    <n v="0"/>
    <n v="1"/>
    <n v="-2.5168836116790771"/>
    <n v="7.8774738864920271E-2"/>
    <n v="8.0710741241362488E-2"/>
    <n v="-1.9360023764422168E-3"/>
    <n v="3.7481052015899113E-6"/>
  </r>
  <r>
    <x v="4"/>
    <x v="4"/>
    <n v="-2.415976061203883"/>
    <n v="0.81828091131671099"/>
    <n v="0.87208802919442241"/>
    <n v="0.91063476701799762"/>
    <n v="0.55555039254549876"/>
    <n v="0.5987815545242241"/>
    <n v="0.66449047131014083"/>
    <n v="-8.9306008074694034"/>
    <n v="2.658156590148268"/>
    <n v="-2.3643504076358099"/>
    <n v="2.3921868492462859"/>
    <n v="2.1797457154757458"/>
    <n v="-11.51292546497023"/>
    <n v="0.21244113147258759"/>
    <n v="0"/>
    <n v="0"/>
    <n v="0"/>
    <n v="0"/>
    <n v="0"/>
    <n v="0"/>
    <n v="1"/>
    <n v="-2.391937255859375"/>
    <n v="8.928015348542015E-2"/>
    <n v="9.1452345565824142E-2"/>
    <n v="-2.1721920804039924E-3"/>
    <n v="4.7184184341698243E-6"/>
  </r>
  <r>
    <x v="4"/>
    <x v="5"/>
    <n v="-2.3029320827237609"/>
    <n v="0.77320527273052442"/>
    <n v="0.81828091131671099"/>
    <n v="0.87208802919442241"/>
    <n v="0.58661931715011228"/>
    <n v="0.55555039254549876"/>
    <n v="0.5987815545242241"/>
    <n v="-7.155733611642173"/>
    <n v="2.658156590148268"/>
    <n v="-2.244777471879833"/>
    <n v="2.472549286109806"/>
    <n v="2.3752945758448392"/>
    <n v="-11.51292546497023"/>
    <n v="9.7254708409309387E-2"/>
    <n v="0"/>
    <n v="0"/>
    <n v="0"/>
    <n v="0"/>
    <n v="0"/>
    <n v="0"/>
    <n v="1"/>
    <n v="-2.2672727108001709"/>
    <n v="9.9965307046425853E-2"/>
    <n v="0.103594326849079"/>
    <n v="-3.6290198026531495E-3"/>
    <n v="1.3169784728048705E-5"/>
  </r>
  <r>
    <x v="4"/>
    <x v="6"/>
    <n v="-2.1460947892716802"/>
    <n v="0.7234823803560182"/>
    <n v="0.77320527273052442"/>
    <n v="0.81828091131671099"/>
    <n v="0.52986325264312839"/>
    <n v="0.58661931715011228"/>
    <n v="0.55555039254549876"/>
    <n v="-6.7617711801891964"/>
    <n v="2.658156590148268"/>
    <n v="-2.1238520324279468"/>
    <n v="2.466003040936068"/>
    <n v="2.4610466094545189"/>
    <n v="-11.51292546497023"/>
    <n v="4.9564316868782043E-3"/>
    <n v="0"/>
    <n v="0"/>
    <n v="0"/>
    <n v="0"/>
    <n v="0"/>
    <n v="0"/>
    <n v="1"/>
    <n v="-2.1491923332214355"/>
    <n v="0.11693994234425953"/>
    <n v="0.11657827616099077"/>
    <n v="3.6166618326875788E-4"/>
    <n v="1.3080242812019077E-7"/>
  </r>
  <r>
    <x v="4"/>
    <x v="7"/>
    <n v="-2.0794751396877462"/>
    <n v="0.71417454775202094"/>
    <n v="0.7234823803560182"/>
    <n v="0.77320527273052442"/>
    <n v="0.55048854682236659"/>
    <n v="0.52986325264312839"/>
    <n v="0.58661931715011228"/>
    <n v="-5.9388739203204928"/>
    <n v="2.658156590148268"/>
    <n v="-2.0273691443881439"/>
    <n v="2.4933019337384188"/>
    <n v="2.4416024404175549"/>
    <n v="-11.51292546497023"/>
    <n v="5.1699493080377579E-2"/>
    <n v="0"/>
    <n v="0"/>
    <n v="0"/>
    <n v="0"/>
    <n v="0"/>
    <n v="0"/>
    <n v="1"/>
    <n v="-2.0472640991210938"/>
    <n v="0.12499580031956206"/>
    <n v="0.12908759176362739"/>
    <n v="-4.0917914440653236E-3"/>
    <n v="1.6742757221726186E-5"/>
  </r>
  <r>
    <x v="4"/>
    <x v="8"/>
    <n v="-1.9944988859265049"/>
    <n v="0.69798545720019456"/>
    <n v="0.71417454775202094"/>
    <n v="0.7234823803560182"/>
    <n v="0.54968088553466399"/>
    <n v="0.55048854682236659"/>
    <n v="0.52986325264312839"/>
    <n v="-5.3075154343242641"/>
    <n v="2.658156590148268"/>
    <n v="-1.937401166075847"/>
    <n v="2.4321034362056979"/>
    <n v="2.4803034033441338"/>
    <n v="-11.51292546497023"/>
    <n v="-4.8199966549873352E-2"/>
    <n v="0"/>
    <n v="0"/>
    <n v="0"/>
    <n v="0"/>
    <n v="0"/>
    <n v="0"/>
    <n v="1"/>
    <n v="-1.9713820219039917"/>
    <n v="0.13608182960354839"/>
    <n v="0.13926425690398833"/>
    <n v="-3.1824273004399384E-3"/>
    <n v="1.0127843522585434E-5"/>
  </r>
  <r>
    <x v="4"/>
    <x v="9"/>
    <n v="-1.977138365634671"/>
    <n v="0.72290013870929315"/>
    <n v="0.69798545720019456"/>
    <n v="0.71417454775202094"/>
    <n v="0.53719487878605887"/>
    <n v="0.54968088553466399"/>
    <n v="0.55048854682236659"/>
    <n v="-4.914505256077792"/>
    <n v="2.658156590148268"/>
    <n v="-1.8675500656126871"/>
    <n v="2.3961545716299142"/>
    <n v="2.419648506343997"/>
    <n v="-11.51292546497023"/>
    <n v="-2.34939344227314E-2"/>
    <n v="1"/>
    <n v="0"/>
    <n v="0"/>
    <n v="0"/>
    <n v="0"/>
    <n v="0"/>
    <n v="1"/>
    <n v="-1.9800344705581665"/>
    <n v="0.13846490684593599"/>
    <n v="0.13806447806924441"/>
    <n v="4.0042877669158039E-4"/>
    <n v="1.6034320520271555E-7"/>
  </r>
  <r>
    <x v="4"/>
    <x v="10"/>
    <n v="-1.969222467654441"/>
    <n v="0.77904960956064861"/>
    <n v="0.72290013870929315"/>
    <n v="0.69798545720019456"/>
    <n v="0.66186289052017888"/>
    <n v="0.53719487878605887"/>
    <n v="0.54968088553466399"/>
    <n v="-4.5780678606058327"/>
    <n v="2.658156590148268"/>
    <n v="-1.8200658920119981"/>
    <n v="2.359967969315607"/>
    <n v="2.384285272833663"/>
    <n v="-11.51292546497023"/>
    <n v="-2.4317303672432899E-2"/>
    <n v="1"/>
    <n v="0"/>
    <n v="0"/>
    <n v="0"/>
    <n v="0"/>
    <n v="0"/>
    <n v="1"/>
    <n v="-1.951033353805542"/>
    <n v="0.13956533059727363"/>
    <n v="0.14212712806860717"/>
    <n v="-2.5617974713335323E-3"/>
    <n v="6.5628062841308806E-6"/>
  </r>
  <r>
    <x v="4"/>
    <x v="11"/>
    <n v="-1.980966370515546"/>
    <n v="0.75996435359726244"/>
    <n v="0.77904960956064861"/>
    <n v="0.72290013870929315"/>
    <n v="0.64961317853621692"/>
    <n v="0.66186289052017888"/>
    <n v="0.53719487878605887"/>
    <n v="-3.8787146204293661"/>
    <n v="2.658156590148268"/>
    <n v="-1.78349431897405"/>
    <n v="2.429515831059414"/>
    <n v="2.348680871484607"/>
    <n v="-11.51292546497023"/>
    <n v="8.0834962427616119E-2"/>
    <n v="1"/>
    <n v="0"/>
    <n v="0"/>
    <n v="0"/>
    <n v="0"/>
    <n v="0"/>
    <n v="1"/>
    <n v="-1.9021395444869995"/>
    <n v="0.13793587571958507"/>
    <n v="0.1492489526003723"/>
    <n v="-1.1313076880787226E-2"/>
    <n v="1.2798570851060243E-4"/>
  </r>
  <r>
    <x v="4"/>
    <x v="12"/>
    <n v="-2.0136574169095001"/>
    <n v="0.83373486886959214"/>
    <n v="0.75996435359726244"/>
    <n v="0.77904960956064861"/>
    <n v="0.63747589568948049"/>
    <n v="0.64961317853621692"/>
    <n v="0.66186289052017888"/>
    <n v="-3.4772540333013628"/>
    <n v="2.658156590148268"/>
    <n v="-1.7534362500636049"/>
    <n v="2.4068090466206389"/>
    <n v="2.412113980507431"/>
    <n v="3.2580965380214821"/>
    <n v="-5.3049339912831783E-3"/>
    <n v="1"/>
    <n v="0"/>
    <n v="0"/>
    <n v="0"/>
    <n v="0"/>
    <n v="0"/>
    <n v="1"/>
    <n v="-1.9690959453582764"/>
    <n v="0.1334995172958891"/>
    <n v="0.1395829898404862"/>
    <n v="-6.0834725445970961E-3"/>
    <n v="3.7008638200866668E-5"/>
  </r>
  <r>
    <x v="4"/>
    <x v="13"/>
    <n v="-1.989495320601522"/>
    <n v="0.80258437525832049"/>
    <n v="0.83373486886959214"/>
    <n v="0.75996435359726244"/>
    <n v="0.6141039732194925"/>
    <n v="0.63747589568948049"/>
    <n v="0.64961317853621692"/>
    <n v="-2.7020082997897301"/>
    <n v="2.658156590148268"/>
    <n v="-1.7152019280639921"/>
    <n v="2.4553175654782078"/>
    <n v="2.3963665458019352"/>
    <n v="5.393627546352362"/>
    <n v="5.8951020240783691E-2"/>
    <n v="1"/>
    <n v="0"/>
    <n v="0"/>
    <n v="0"/>
    <n v="0"/>
    <n v="0"/>
    <n v="1"/>
    <n v="-1.9325789213180542"/>
    <n v="0.13676443022179224"/>
    <n v="0.14477435496398597"/>
    <n v="-8.0099247421937247E-3"/>
    <n v="6.4158894375607203E-5"/>
  </r>
  <r>
    <x v="4"/>
    <x v="14"/>
    <n v="-1.9726510838674469"/>
    <n v="0.72251178918984926"/>
    <n v="0.80258437525832049"/>
    <n v="0.83373486886959214"/>
    <n v="0.59094832823969778"/>
    <n v="0.6141039732194925"/>
    <n v="0.63747589568948049"/>
    <n v="-1.9471472867106581"/>
    <n v="2.658156590148268"/>
    <n v="-1.6794511083473891"/>
    <n v="2.5735186755350341"/>
    <n v="2.4451541864662971"/>
    <n v="5.9914645471079817"/>
    <n v="0.12836448848247528"/>
    <n v="1"/>
    <n v="1"/>
    <n v="0"/>
    <n v="0"/>
    <n v="0"/>
    <n v="0"/>
    <n v="1"/>
    <n v="-1.9553360939025879"/>
    <n v="0.13908763402907337"/>
    <n v="0.14151690573129716"/>
    <n v="-2.4292717022237897E-3"/>
    <n v="5.9013610032252693E-6"/>
  </r>
  <r>
    <x v="4"/>
    <x v="15"/>
    <n v="-1.9530323459470831"/>
    <n v="0.91432880856061438"/>
    <n v="0.72251178918984926"/>
    <n v="0.80258437525832049"/>
    <n v="0.80209126754912441"/>
    <n v="0.59094832823969778"/>
    <n v="0.6141039732194925"/>
    <n v="-1.327568907024141"/>
    <n v="2.658156590148268"/>
    <n v="-1.6435472986523569"/>
    <n v="2.637780974935688"/>
    <n v="2.563628550518342"/>
    <n v="6.6846117276679271"/>
    <n v="7.4152424931526184E-2"/>
    <n v="1"/>
    <n v="0"/>
    <n v="0"/>
    <n v="0"/>
    <n v="0"/>
    <n v="0"/>
    <n v="1"/>
    <n v="-1.9189867973327637"/>
    <n v="0.14184330083521651"/>
    <n v="0.14675557997269914"/>
    <n v="-4.912279137482628E-3"/>
    <n v="2.4130486324547071E-5"/>
  </r>
  <r>
    <x v="4"/>
    <x v="16"/>
    <n v="-1.908586636941215"/>
    <n v="0.91464938560202946"/>
    <n v="0.91432880856061438"/>
    <n v="0.72251178918984926"/>
    <n v="0.79443943204181766"/>
    <n v="0.80209126754912441"/>
    <n v="0.59094832823969778"/>
    <n v="-1.0537338753800061"/>
    <n v="2.658156590148268"/>
    <n v="-1.5993037542301021"/>
    <n v="2.448217692813218"/>
    <n v="2.637780974935688"/>
    <n v="8.0551577318196781"/>
    <n v="-0.18956328928470612"/>
    <n v="1"/>
    <n v="0"/>
    <n v="0"/>
    <n v="0"/>
    <n v="0"/>
    <n v="0"/>
    <n v="1"/>
    <n v="-1.8971569538116455"/>
    <n v="0.1482898259156416"/>
    <n v="0.14999445476363671"/>
    <n v="-1.7046288479951044E-3"/>
    <n v="2.9057595094171169E-6"/>
  </r>
  <r>
    <x v="4"/>
    <x v="17"/>
    <n v="-1.847081082694251"/>
    <n v="0.75832612158491663"/>
    <n v="0.91464938560202946"/>
    <n v="0.91432880856061438"/>
    <n v="0.56326625970542532"/>
    <n v="0.79443943204181766"/>
    <n v="0.80209126754912441"/>
    <n v="-0.52137701541721804"/>
    <n v="2.658156590148268"/>
    <n v="-1.548441725126622"/>
    <n v="2.4729604138669519"/>
    <n v="2.448217692813218"/>
    <n v="8.4658998970286863"/>
    <n v="2.4742720648646355E-2"/>
    <n v="1"/>
    <n v="0"/>
    <n v="0"/>
    <n v="0"/>
    <n v="0"/>
    <n v="0"/>
    <n v="1"/>
    <n v="-1.8249585628509521"/>
    <n v="0.15769679908817513"/>
    <n v="0.16122432466773598"/>
    <n v="-3.5275255795608473E-3"/>
    <n v="1.2443436714456093E-5"/>
  </r>
  <r>
    <x v="5"/>
    <x v="0"/>
    <n v="-2.253877144019103"/>
    <n v="0.94778939893352609"/>
    <n v="0.93106111077760501"/>
    <n v="0.91916659261961942"/>
    <n v="0.78390154382840938"/>
    <n v="0.73400117456821146"/>
    <n v="0.71221424327717098"/>
    <n v="-11.51292546497023"/>
    <n v="0.40282887289318459"/>
    <n v="-2.549210999081668"/>
    <n v="2.4470563670874861"/>
    <n v="2.308626042536269"/>
    <n v="-11.51292546497023"/>
    <n v="0.13843032717704773"/>
    <n v="0"/>
    <n v="0"/>
    <n v="0"/>
    <n v="0"/>
    <n v="0"/>
    <n v="0"/>
    <n v="1"/>
    <n v="-2.285679817199707"/>
    <n v="0.10499136775943416"/>
    <n v="0.10170489786056545"/>
    <n v="3.2864698988687019E-3"/>
    <n v="1.0800884396170055E-5"/>
  </r>
  <r>
    <x v="5"/>
    <x v="1"/>
    <n v="-2.139332813232802"/>
    <n v="0.84835444486232792"/>
    <n v="0.94778939893352609"/>
    <n v="0.93106111077760501"/>
    <n v="0.64950872353011579"/>
    <n v="0.78390154382840938"/>
    <n v="0.73400117456821146"/>
    <n v="-11.51292546497023"/>
    <n v="0.40282887289318459"/>
    <n v="-2.398758219080602"/>
    <n v="2.5164897477429151"/>
    <n v="2.4491292773411559"/>
    <n v="-11.51292546497023"/>
    <n v="6.7360468208789825E-2"/>
    <n v="0"/>
    <n v="0"/>
    <n v="0"/>
    <n v="0"/>
    <n v="0"/>
    <n v="0"/>
    <n v="1"/>
    <n v="-2.1503252983093262"/>
    <n v="0.11773336696829627"/>
    <n v="0.11644627183635969"/>
    <n v="1.2870951319365748E-3"/>
    <n v="1.6566138786548288E-6"/>
  </r>
  <r>
    <x v="5"/>
    <x v="2"/>
    <n v="-2.0057206848228928"/>
    <n v="0.85840734942560504"/>
    <n v="0.84835444486232792"/>
    <n v="0.94778939893352609"/>
    <n v="0.6598488951584307"/>
    <n v="0.64950872353011579"/>
    <n v="0.78390154382840938"/>
    <n v="-11.51292546497023"/>
    <n v="0.40282887289318459"/>
    <n v="-2.2470832121638229"/>
    <n v="2.57937795119713"/>
    <n v="2.5185653329997022"/>
    <n v="-11.51292546497023"/>
    <n v="6.0812618583440781E-2"/>
    <n v="0"/>
    <n v="0"/>
    <n v="0"/>
    <n v="0"/>
    <n v="0"/>
    <n v="0"/>
    <n v="1"/>
    <n v="-2.0598061084747314"/>
    <n v="0.13456328302612999"/>
    <n v="0.12747868453534744"/>
    <n v="7.084598490782551E-3"/>
    <n v="5.0191535775598401E-5"/>
  </r>
  <r>
    <x v="5"/>
    <x v="3"/>
    <n v="-1.9859295162137669"/>
    <n v="0.85377682648491271"/>
    <n v="0.85840734942560504"/>
    <n v="0.84835444486232792"/>
    <n v="0.55995858631620055"/>
    <n v="0.6598488951584307"/>
    <n v="0.64950872353011579"/>
    <n v="-11.51292546497023"/>
    <n v="0.40282887289318459"/>
    <n v="-2.1205439204507179"/>
    <n v="2.561962092626465"/>
    <n v="2.5576909081762151"/>
    <n v="-11.51292546497023"/>
    <n v="4.2711845599114895E-3"/>
    <n v="0"/>
    <n v="0"/>
    <n v="0"/>
    <n v="0"/>
    <n v="0"/>
    <n v="0"/>
    <n v="1"/>
    <n v="-2.0111427307128906"/>
    <n v="0.1372529759387433"/>
    <n v="0.1338356491452164"/>
    <n v="3.4173267935269092E-3"/>
    <n v="1.1678122413756907E-5"/>
  </r>
  <r>
    <x v="5"/>
    <x v="4"/>
    <n v="-1.886218851799045"/>
    <n v="0.84672626848824584"/>
    <n v="0.85377682648491271"/>
    <n v="0.85840734942560504"/>
    <n v="0.57874592024996996"/>
    <n v="0.55995858631620055"/>
    <n v="0.6598488951584307"/>
    <n v="-6.4853357535740814"/>
    <n v="0.40282887289318459"/>
    <n v="-2.013719817614553"/>
    <n v="2.5311522364316139"/>
    <n v="2.516949080697501"/>
    <n v="-11.51292546497023"/>
    <n v="1.4203155413269997E-2"/>
    <n v="0"/>
    <n v="0"/>
    <n v="0"/>
    <n v="0"/>
    <n v="0"/>
    <n v="0"/>
    <n v="1"/>
    <n v="-1.9620680809020996"/>
    <n v="0.15164411503999473"/>
    <n v="0.14056741532611314"/>
    <n v="1.1076699713881588E-2"/>
    <n v="1.2269327655150446E-4"/>
  </r>
  <r>
    <x v="5"/>
    <x v="5"/>
    <n v="-1.8323425651355261"/>
    <n v="0.76607231057450187"/>
    <n v="0.84672626848824584"/>
    <n v="0.85377682648491271"/>
    <n v="0.56064383074685153"/>
    <n v="0.57874592024996996"/>
    <n v="0.55995858631620055"/>
    <n v="-4.7366501007701718"/>
    <n v="0.40282887289318459"/>
    <n v="-1.9358485464253019"/>
    <n v="2.5411299922494281"/>
    <n v="2.488078420007426"/>
    <n v="-11.51292546497023"/>
    <n v="5.3051572293043137E-2"/>
    <n v="0"/>
    <n v="0"/>
    <n v="0"/>
    <n v="0"/>
    <n v="0"/>
    <n v="0"/>
    <n v="1"/>
    <n v="-1.8493673801422119"/>
    <n v="0.16003822834421283"/>
    <n v="0.1573366691378327"/>
    <n v="2.7015592063801275E-3"/>
    <n v="7.2984221455772238E-6"/>
  </r>
  <r>
    <x v="5"/>
    <x v="6"/>
    <n v="-1.697172032400051"/>
    <n v="0.67666204430008292"/>
    <n v="0.76607231057450187"/>
    <n v="0.84672626848824584"/>
    <n v="0.50386142996435779"/>
    <n v="0.56064383074685153"/>
    <n v="0.57874592024996996"/>
    <n v="-4.2464961022431877"/>
    <n v="0.40282887289318459"/>
    <n v="-1.8797725681329061"/>
    <n v="2.6120553067830841"/>
    <n v="2.5204583670104239"/>
    <n v="-11.51292546497023"/>
    <n v="9.1596938669681549E-2"/>
    <n v="0"/>
    <n v="0"/>
    <n v="0"/>
    <n v="0"/>
    <n v="0"/>
    <n v="0"/>
    <n v="1"/>
    <n v="-1.729944109916687"/>
    <n v="0.18320087832557019"/>
    <n v="0.17729431868721807"/>
    <n v="5.9065596383521268E-3"/>
    <n v="3.4887446761410405E-5"/>
  </r>
  <r>
    <x v="5"/>
    <x v="7"/>
    <n v="-1.673337722549276"/>
    <n v="0.66957144403123958"/>
    <n v="0.67666204430008292"/>
    <n v="0.76607231057450187"/>
    <n v="0.50603416302985993"/>
    <n v="0.50386142996435779"/>
    <n v="0.56064383074685153"/>
    <n v="-3.421811226673213"/>
    <n v="0.40282887289318459"/>
    <n v="-1.857649659108747"/>
    <n v="2.625774611983184"/>
    <n v="2.561271444999154"/>
    <n v="-11.51292546497023"/>
    <n v="6.4503170549869537E-2"/>
    <n v="0"/>
    <n v="0"/>
    <n v="0"/>
    <n v="0"/>
    <n v="0"/>
    <n v="0"/>
    <n v="1"/>
    <n v="-1.6836001873016357"/>
    <n v="0.18761979657032152"/>
    <n v="0.18570420119838826"/>
    <n v="1.9155953719332541E-3"/>
    <n v="3.6695056289721023E-6"/>
  </r>
  <r>
    <x v="5"/>
    <x v="8"/>
    <n v="-1.5816291422594899"/>
    <n v="0.64532155107734079"/>
    <n v="0.66957144403123958"/>
    <n v="0.67666204430008292"/>
    <n v="0.58978466756479209"/>
    <n v="0.50603416302985993"/>
    <n v="0.50386142996435779"/>
    <n v="-2.7926470713120639"/>
    <n v="0.40282887289318459"/>
    <n v="-1.807593059522477"/>
    <n v="2.5774979851936082"/>
    <n v="2.6043512012031829"/>
    <n v="-11.51292546497023"/>
    <n v="-2.685321681201458E-2"/>
    <n v="0"/>
    <n v="0"/>
    <n v="0"/>
    <n v="0"/>
    <n v="0"/>
    <n v="0"/>
    <n v="1"/>
    <n v="-1.5782771110534668"/>
    <n v="0.20563980865933701"/>
    <n v="0.20633027630319395"/>
    <n v="-6.9046764385694015E-4"/>
    <n v="4.7674556721335436E-7"/>
  </r>
  <r>
    <x v="5"/>
    <x v="9"/>
    <n v="-1.606719350519505"/>
    <n v="0.66474770603824729"/>
    <n v="0.64532155107734079"/>
    <n v="0.66957144403123958"/>
    <n v="0.50609444939008918"/>
    <n v="0.58978466756479209"/>
    <n v="0.50603416302985993"/>
    <n v="-2.437375580685293"/>
    <n v="0.40282887289318459"/>
    <n v="-1.7745875972242799"/>
    <n v="2.517606577909357"/>
    <n v="2.5567182529185071"/>
    <n v="-11.51292546497023"/>
    <n v="-3.9111673831939697E-2"/>
    <n v="1"/>
    <n v="0"/>
    <n v="0"/>
    <n v="0"/>
    <n v="0"/>
    <n v="0"/>
    <n v="1"/>
    <n v="-1.6275787353515625"/>
    <n v="0.20054445211098773"/>
    <n v="0.19640454626290263"/>
    <n v="4.1399058480851014E-3"/>
    <n v="1.7138820431009223E-5"/>
  </r>
  <r>
    <x v="5"/>
    <x v="10"/>
    <n v="-1.6413975343736871"/>
    <n v="0.6924969692183589"/>
    <n v="0.66474770603824729"/>
    <n v="0.64532155107734079"/>
    <n v="0.69524497864209145"/>
    <n v="0.50609444939008918"/>
    <n v="0.58978466756479209"/>
    <n v="-2.1189371249906608"/>
    <n v="0.40282887289318459"/>
    <n v="-1.7664090653759601"/>
    <n v="2.453624418700683"/>
    <n v="2.4974428707249521"/>
    <n v="-11.51292546497023"/>
    <n v="-4.3818451464176178E-2"/>
    <n v="1"/>
    <n v="0"/>
    <n v="0"/>
    <n v="0"/>
    <n v="0"/>
    <n v="0"/>
    <n v="1"/>
    <n v="-1.5651253461837769"/>
    <n v="0.19370913785720215"/>
    <n v="0.20906180643125005"/>
    <n v="-1.5352668574047906E-2"/>
    <n v="2.3570443234455818E-4"/>
  </r>
  <r>
    <x v="5"/>
    <x v="11"/>
    <n v="-1.640089231748751"/>
    <n v="0.67701779863006162"/>
    <n v="0.6924969692183589"/>
    <n v="0.66474770603824729"/>
    <n v="0.68778281806079467"/>
    <n v="0.69524497864209145"/>
    <n v="0.50609444939008918"/>
    <n v="-1.4832631345614169"/>
    <n v="0.40282887289318459"/>
    <n v="-1.7503629032432411"/>
    <n v="2.4745106219275401"/>
    <n v="2.4340961601341049"/>
    <n v="-11.51292546497023"/>
    <n v="4.0414460003376007E-2"/>
    <n v="1"/>
    <n v="0"/>
    <n v="0"/>
    <n v="0"/>
    <n v="0"/>
    <n v="0"/>
    <n v="1"/>
    <n v="-1.5237890481948853"/>
    <n v="0.19396273388473664"/>
    <n v="0.21788474510152486"/>
    <n v="-2.3922011216788219E-2"/>
    <n v="5.7226262065614142E-4"/>
  </r>
  <r>
    <x v="5"/>
    <x v="12"/>
    <n v="-1.6581562884260019"/>
    <n v="0.73553594705173186"/>
    <n v="0.67701779863006162"/>
    <n v="0.6924969692183589"/>
    <n v="0.6773226302129739"/>
    <n v="0.68778281806079467"/>
    <n v="0.69524497864209145"/>
    <n v="-1.082461206997537"/>
    <n v="0.40282887289318459"/>
    <n v="-1.7459804863662149"/>
    <n v="2.4729213320469849"/>
    <n v="2.4354549114234989"/>
    <n v="3.2580965380214821"/>
    <n v="3.7466421723365784E-2"/>
    <n v="1"/>
    <n v="0"/>
    <n v="0"/>
    <n v="0"/>
    <n v="0"/>
    <n v="0"/>
    <n v="1"/>
    <n v="-1.5648822784423828"/>
    <n v="0.19048986490559303"/>
    <n v="0.20911262878873865"/>
    <n v="-1.8622763883145627E-2"/>
    <n v="3.4680733464739316E-4"/>
  </r>
  <r>
    <x v="5"/>
    <x v="13"/>
    <n v="-1.603972938715956"/>
    <n v="0.6634093622959889"/>
    <n v="0.73553594705173186"/>
    <n v="0.67701779863006162"/>
    <n v="0.60070289016866529"/>
    <n v="0.6773226302129739"/>
    <n v="0.68778281806079467"/>
    <n v="-0.38409368144506473"/>
    <n v="0.40282887289318459"/>
    <n v="-1.713594278535002"/>
    <n v="2.45307765398797"/>
    <n v="2.4535358662373121"/>
    <n v="5.393627546352362"/>
    <n v="-4.5821224921382964E-4"/>
    <n v="1"/>
    <n v="0"/>
    <n v="0"/>
    <n v="0"/>
    <n v="0"/>
    <n v="0"/>
    <n v="1"/>
    <n v="-1.5231668949127197"/>
    <n v="0.20109598678539628"/>
    <n v="0.218020344988407"/>
    <n v="-1.692435820301072E-2"/>
    <n v="2.8643390058381623E-4"/>
  </r>
  <r>
    <x v="5"/>
    <x v="14"/>
    <n v="-1.603693240766175"/>
    <n v="0.50675735959003665"/>
    <n v="0.6634093622959889"/>
    <n v="0.73553594705173186"/>
    <n v="0.57784855619648245"/>
    <n v="0.60070289016866529"/>
    <n v="0.6773226302129739"/>
    <n v="0.21548701610898499"/>
    <n v="0.40282887289318459"/>
    <n v="-1.688855747449572"/>
    <n v="2.4256603698466122"/>
    <n v="2.4342871012128651"/>
    <n v="5.9914645471079817"/>
    <n v="-8.6267311125993729E-3"/>
    <n v="1"/>
    <n v="1"/>
    <n v="0"/>
    <n v="0"/>
    <n v="0"/>
    <n v="0"/>
    <n v="1"/>
    <n v="-1.4816429615020752"/>
    <n v="0.20115224078730712"/>
    <n v="0.22726399549095483"/>
    <n v="-2.611175470364771E-2"/>
    <n v="6.8182373370346834E-4"/>
  </r>
  <r>
    <x v="5"/>
    <x v="15"/>
    <n v="-1.528306146515986"/>
    <n v="0.76504914984902317"/>
    <n v="0.50675735959003665"/>
    <n v="0.6634093622959889"/>
    <n v="0.81920698022067795"/>
    <n v="0.57784855619648245"/>
    <n v="0.60070289016866529"/>
    <n v="0.70660096568781861"/>
    <n v="0.40282887289318459"/>
    <n v="-1.675913481839175"/>
    <n v="2.3693990305980459"/>
    <n v="2.4074465427846561"/>
    <n v="6.6846117276679271"/>
    <n v="-3.8047511130571365E-2"/>
    <n v="1"/>
    <n v="0"/>
    <n v="0"/>
    <n v="0"/>
    <n v="0"/>
    <n v="0"/>
    <n v="1"/>
    <n v="-1.4892810583114624"/>
    <n v="0.21690275782149993"/>
    <n v="0.22553474359591133"/>
    <n v="-8.6319857744114048E-3"/>
    <n v="7.4511178409640853E-5"/>
  </r>
  <r>
    <x v="5"/>
    <x v="16"/>
    <n v="-1.4997510253728921"/>
    <n v="0.79624513856351264"/>
    <n v="0.76504914984902317"/>
    <n v="0.50675735959003665"/>
    <n v="0.85462807148204811"/>
    <n v="0.81920698022067795"/>
    <n v="0.57784855619648245"/>
    <n v="1.24896447296841"/>
    <n v="0.40282887289318459"/>
    <n v="-1.6517963590735101"/>
    <n v="2.4483353558842298"/>
    <n v="2.3693990305980459"/>
    <n v="8.0551577318196781"/>
    <n v="7.8936323523521423E-2"/>
    <n v="1"/>
    <n v="0"/>
    <n v="0"/>
    <n v="0"/>
    <n v="0"/>
    <n v="0"/>
    <n v="1"/>
    <n v="-1.4371792078018188"/>
    <n v="0.22318572081316021"/>
    <n v="0.2375970261437893"/>
    <n v="-1.4411305330629093E-2"/>
    <n v="2.0768572133261852E-4"/>
  </r>
  <r>
    <x v="5"/>
    <x v="17"/>
    <n v="-1.4824782413667701"/>
    <n v="0.70255280863404101"/>
    <n v="0.79624513856351264"/>
    <n v="0.76504914984902317"/>
    <n v="0.72338536362055528"/>
    <n v="0.85462807148204811"/>
    <n v="0.81920698022067795"/>
    <n v="1.877485982623855"/>
    <n v="0.40282887289318459"/>
    <n v="-1.6311483237791999"/>
    <n v="2.5690980120587579"/>
    <n v="2.4483353558842298"/>
    <n v="8.4658998970286863"/>
    <n v="0.1207626536488533"/>
    <n v="1"/>
    <n v="0"/>
    <n v="0"/>
    <n v="0"/>
    <n v="0"/>
    <n v="0"/>
    <n v="1"/>
    <n v="-1.433708667755127"/>
    <n v="0.22707424570966919"/>
    <n v="0.23842304868104799"/>
    <n v="-1.1348802971378802E-2"/>
    <n v="1.2879532888317632E-4"/>
  </r>
  <r>
    <x v="6"/>
    <x v="0"/>
    <n v="-2.302468246616844"/>
    <n v="1.0116009116784801"/>
    <n v="0.94720783450887658"/>
    <n v="0.8792532337715917"/>
    <n v="0.70309751141311339"/>
    <n v="0.51950782414882457"/>
    <n v="0.40832767372164103"/>
    <n v="-11.51292546497023"/>
    <n v="1.221842963958693"/>
    <n v="-2.1105228304649279"/>
    <n v="2.1691989286444682"/>
    <n v="2.1187108704670079"/>
    <n v="-11.51292546497023"/>
    <n v="5.0488058477640152E-2"/>
    <n v="0"/>
    <n v="0"/>
    <n v="0"/>
    <n v="0"/>
    <n v="0"/>
    <n v="0"/>
    <n v="1"/>
    <n v="-2.2646322250366211"/>
    <n v="0.10001168532040056"/>
    <n v="0.10386822765075213"/>
    <n v="-3.85654233035157E-3"/>
    <n v="1.4872918745793518E-5"/>
  </r>
  <r>
    <x v="6"/>
    <x v="1"/>
    <n v="-2.11853423260757"/>
    <n v="0.96065205557290867"/>
    <n v="1.0116009116784801"/>
    <n v="0.94720783450887658"/>
    <n v="0.51024545550092504"/>
    <n v="0.70309751141311339"/>
    <n v="0.51950782414882457"/>
    <n v="-11.51292546497023"/>
    <n v="1.221842963958693"/>
    <n v="-1.9746220161420369"/>
    <n v="2.2899529957657978"/>
    <n v="2.1888773255111871"/>
    <n v="-11.51292546497023"/>
    <n v="0.1010756716132164"/>
    <n v="0"/>
    <n v="0"/>
    <n v="0"/>
    <n v="0"/>
    <n v="0"/>
    <n v="0"/>
    <n v="1"/>
    <n v="-2.1895275115966797"/>
    <n v="0.1202076959640315"/>
    <n v="0.11196964047759919"/>
    <n v="8.2380554864323052E-3"/>
    <n v="6.7865558197537402E-5"/>
  </r>
  <r>
    <x v="6"/>
    <x v="2"/>
    <n v="-1.995429635360918"/>
    <n v="0.90700777827523826"/>
    <n v="0.96065205557290867"/>
    <n v="1.0116009116784801"/>
    <n v="0.4529210492644597"/>
    <n v="0.51024545550092504"/>
    <n v="0.70309751141311339"/>
    <n v="-11.51292546497023"/>
    <n v="1.221842963958693"/>
    <n v="-1.841829783458155"/>
    <n v="2.398755838764338"/>
    <n v="2.3100264184129382"/>
    <n v="-11.51292546497023"/>
    <n v="8.8729418814182281E-2"/>
    <n v="0"/>
    <n v="0"/>
    <n v="0"/>
    <n v="0"/>
    <n v="0"/>
    <n v="0"/>
    <n v="1"/>
    <n v="-2.0961284637451172"/>
    <n v="0.13595523044279897"/>
    <n v="0.12293144167713035"/>
    <n v="1.302378876566862E-2"/>
    <n v="1.6961907381275615E-4"/>
  </r>
  <r>
    <x v="6"/>
    <x v="3"/>
    <n v="-1.9843049276434861"/>
    <n v="0.86478688900703937"/>
    <n v="0.90700777827523826"/>
    <n v="0.96065205557290867"/>
    <n v="0.40499833251872053"/>
    <n v="0.4529210492644597"/>
    <n v="0.51024545550092504"/>
    <n v="-11.51292546497023"/>
    <n v="1.221842963958693"/>
    <n v="-1.742575435337741"/>
    <n v="2.4412936220622892"/>
    <n v="2.3897857393889552"/>
    <n v="-11.51292546497023"/>
    <n v="5.150788277387619E-2"/>
    <n v="0"/>
    <n v="0"/>
    <n v="0"/>
    <n v="0"/>
    <n v="0"/>
    <n v="0"/>
    <n v="1"/>
    <n v="-2.0267164707183838"/>
    <n v="0.13747613677788259"/>
    <n v="0.13176747395465027"/>
    <n v="5.7086628232323189E-3"/>
    <n v="3.2588831229354791E-5"/>
  </r>
  <r>
    <x v="6"/>
    <x v="4"/>
    <n v="-1.824144273938767"/>
    <n v="0.83616468739487027"/>
    <n v="0.86478688900703937"/>
    <n v="0.90700777827523826"/>
    <n v="0.43599431314298731"/>
    <n v="0.40499833251872053"/>
    <n v="0.4529210492644597"/>
    <n v="-7.2052431173826657"/>
    <n v="1.221842963958693"/>
    <n v="-1.6607651362205169"/>
    <n v="2.5000871118570078"/>
    <n v="2.4000366619273419"/>
    <n v="-11.51292546497023"/>
    <n v="0.10005044937133789"/>
    <n v="0"/>
    <n v="0"/>
    <n v="0"/>
    <n v="0"/>
    <n v="0"/>
    <n v="0"/>
    <n v="1"/>
    <n v="-1.9331927299499512"/>
    <n v="0.16135566131341755"/>
    <n v="0.14468551848232056"/>
    <n v="1.6670142831096996E-2"/>
    <n v="2.7789366200917456E-4"/>
  </r>
  <r>
    <x v="6"/>
    <x v="5"/>
    <n v="-1.7247077077691031"/>
    <n v="0.80459910585408823"/>
    <n v="0.83616468739487027"/>
    <n v="0.86478688900703937"/>
    <n v="0.48316661577201642"/>
    <n v="0.43599431314298731"/>
    <n v="0.40499833251872053"/>
    <n v="-5.4531049863431234"/>
    <n v="1.221842963958693"/>
    <n v="-1.5932247588185009"/>
    <n v="2.4923787573361502"/>
    <n v="2.460465773668489"/>
    <n v="-11.51292546497023"/>
    <n v="3.191298246383667E-2"/>
    <n v="0"/>
    <n v="0"/>
    <n v="0"/>
    <n v="0"/>
    <n v="0"/>
    <n v="0"/>
    <n v="1"/>
    <n v="-1.831160306930542"/>
    <n v="0.17822513798351336"/>
    <n v="0.16022754674234727"/>
    <n v="1.7997591241166094E-2"/>
    <n v="3.2391329048409853E-4"/>
  </r>
  <r>
    <x v="6"/>
    <x v="6"/>
    <n v="-1.5657446252089551"/>
    <n v="0.74782474185064107"/>
    <n v="0.80459910585408823"/>
    <n v="0.83616468739487027"/>
    <n v="0.45444573032978619"/>
    <n v="0.48316661577201642"/>
    <n v="0.43599431314298731"/>
    <n v="-5.0595623095713167"/>
    <n v="1.221842963958693"/>
    <n v="-1.5064707603457781"/>
    <n v="2.5240087087748391"/>
    <n v="2.4804563259997732"/>
    <n v="-11.51292546497023"/>
    <n v="4.3552383780479431E-2"/>
    <n v="0"/>
    <n v="0"/>
    <n v="0"/>
    <n v="0"/>
    <n v="0"/>
    <n v="0"/>
    <n v="1"/>
    <n v="-1.7019973993301392"/>
    <n v="0.20893237891956928"/>
    <n v="0.18231899627912312"/>
    <n v="2.6613382640446159E-2"/>
    <n v="7.0827213556680097E-4"/>
  </r>
  <r>
    <x v="6"/>
    <x v="7"/>
    <n v="-1.5546741198978691"/>
    <n v="0.73414515959401738"/>
    <n v="0.74782474185064107"/>
    <n v="0.80459910585408823"/>
    <n v="0.43320996841672321"/>
    <n v="0.45444573032978619"/>
    <n v="0.48316661577201642"/>
    <n v="-4.2075136027519253"/>
    <n v="1.221842963958693"/>
    <n v="-1.4613651130510541"/>
    <n v="2.550040241402205"/>
    <n v="2.4822395395721339"/>
    <n v="-11.51292546497023"/>
    <n v="6.7800700664520264E-2"/>
    <n v="0"/>
    <n v="0"/>
    <n v="0"/>
    <n v="0"/>
    <n v="0"/>
    <n v="0"/>
    <n v="1"/>
    <n v="-1.6463825702667236"/>
    <n v="0.21125821627370164"/>
    <n v="0.19274589375016246"/>
    <n v="1.8512322523539182E-2"/>
    <n v="3.4270608521553609E-4"/>
  </r>
  <r>
    <x v="6"/>
    <x v="8"/>
    <n v="-1.4522185817100099"/>
    <n v="0.69798545720019456"/>
    <n v="0.73414515959401738"/>
    <n v="0.74782474185064107"/>
    <n v="0.41031997083434663"/>
    <n v="0.43320996841672321"/>
    <n v="0.45444573032978619"/>
    <n v="-3.5044757311156589"/>
    <n v="1.221842963958693"/>
    <n v="-1.396360352554918"/>
    <n v="2.5577241399757078"/>
    <n v="2.5374580766264669"/>
    <n v="-11.51292546497023"/>
    <n v="2.0266063511371613E-2"/>
    <n v="0"/>
    <n v="0"/>
    <n v="0"/>
    <n v="0"/>
    <n v="0"/>
    <n v="0"/>
    <n v="1"/>
    <n v="-1.5731102228164673"/>
    <n v="0.23405045160600713"/>
    <n v="0.20739912070265232"/>
    <n v="2.6651330903354808E-2"/>
    <n v="7.1029343892011507E-4"/>
  </r>
  <r>
    <x v="6"/>
    <x v="9"/>
    <n v="-1.470524415473089"/>
    <n v="0.71720544565301625"/>
    <n v="0.69798545720019456"/>
    <n v="0.73414515959401738"/>
    <n v="0.4295071025884023"/>
    <n v="0.41031997083434663"/>
    <n v="0.43320996841672321"/>
    <n v="-3.060574005760694"/>
    <n v="1.221842963958693"/>
    <n v="-1.3427466483832651"/>
    <n v="2.5722097934308761"/>
    <n v="2.5456084780596759"/>
    <n v="-11.51292546497023"/>
    <n v="2.6601314544677734E-2"/>
    <n v="1"/>
    <n v="0"/>
    <n v="0"/>
    <n v="0"/>
    <n v="0"/>
    <n v="0"/>
    <n v="1"/>
    <n v="-1.5795097351074219"/>
    <n v="0.22980494031519494"/>
    <n v="0.20607610532237727"/>
    <n v="2.3728834992817666E-2"/>
    <n v="5.6305761011636818E-4"/>
  </r>
  <r>
    <x v="6"/>
    <x v="10"/>
    <n v="-1.438978308135985"/>
    <n v="0.74843996630865406"/>
    <n v="0.71720544565301625"/>
    <n v="0.69798545720019456"/>
    <n v="0.57334961710434951"/>
    <n v="0.4295071025884023"/>
    <n v="0.41031997083434663"/>
    <n v="-2.6809575997302382"/>
    <n v="1.221842963958693"/>
    <n v="-1.313431115730904"/>
    <n v="2.5704131665247072"/>
    <n v="2.560545726345123"/>
    <n v="-11.51292546497023"/>
    <n v="9.867439977824688E-3"/>
    <n v="1"/>
    <n v="0"/>
    <n v="0"/>
    <n v="0"/>
    <n v="0"/>
    <n v="0"/>
    <n v="1"/>
    <n v="-1.5206571817398071"/>
    <n v="0.23716994954667683"/>
    <n v="0.21856820071298871"/>
    <n v="1.860174883368812E-2"/>
    <n v="3.4602505967161733E-4"/>
  </r>
  <r>
    <x v="6"/>
    <x v="11"/>
    <n v="-1.407715696413816"/>
    <n v="0.724500488217941"/>
    <n v="0.74843996630865406"/>
    <n v="0.71720544565301625"/>
    <n v="0.58950740580018557"/>
    <n v="0.57334961710434951"/>
    <n v="0.4295071025884023"/>
    <n v="-2.0182591945820141"/>
    <n v="1.221842963958693"/>
    <n v="-1.2870098313439291"/>
    <n v="2.5999991389301131"/>
    <n v="2.559195753040874"/>
    <n v="-11.51292546497023"/>
    <n v="4.0803384035825729E-2"/>
    <n v="1"/>
    <n v="0"/>
    <n v="0"/>
    <n v="0"/>
    <n v="0"/>
    <n v="0"/>
    <n v="1"/>
    <n v="-1.4531508684158325"/>
    <n v="0.24470161799103857"/>
    <n v="0.23383235116335166"/>
    <n v="1.0869266827686908E-2"/>
    <n v="1.1814096137145501E-4"/>
  </r>
  <r>
    <x v="6"/>
    <x v="12"/>
    <n v="-1.4943806311362959"/>
    <n v="0.86873780201460749"/>
    <n v="0.724500488217941"/>
    <n v="0.74843996630865406"/>
    <n v="0.63206933105135488"/>
    <n v="0.58950740580018557"/>
    <n v="0.57334961710434951"/>
    <n v="-1.5873266978714839"/>
    <n v="1.221842963958693"/>
    <n v="-1.2511554948762029"/>
    <n v="2.5974685645963511"/>
    <n v="2.5967564216500461"/>
    <n v="3.2580965380214821"/>
    <n v="7.12142966222018E-4"/>
    <n v="1"/>
    <n v="0"/>
    <n v="0"/>
    <n v="0"/>
    <n v="0"/>
    <n v="0"/>
    <n v="1"/>
    <n v="-1.5395253896713257"/>
    <n v="0.22438754035579317"/>
    <n v="0.21448287306101174"/>
    <n v="9.9046672947814274E-3"/>
    <n v="9.810243422031284E-5"/>
  </r>
  <r>
    <x v="6"/>
    <x v="13"/>
    <n v="-1.4596560471649751"/>
    <n v="0.80919537892261229"/>
    <n v="0.86873780201460749"/>
    <n v="0.724500488217941"/>
    <n v="0.59260835518133248"/>
    <n v="0.63206933105135488"/>
    <n v="0.58950740580018557"/>
    <n v="-0.81386930112935651"/>
    <n v="1.221842963958693"/>
    <n v="-1.222852066708241"/>
    <n v="2.6432611633831229"/>
    <n v="2.5861919333581311"/>
    <n v="5.393627546352362"/>
    <n v="5.7069230824708939E-2"/>
    <n v="1"/>
    <n v="0"/>
    <n v="0"/>
    <n v="0"/>
    <n v="0"/>
    <n v="0"/>
    <n v="1"/>
    <n v="-1.4873954057693481"/>
    <n v="0.23231616679361106"/>
    <n v="0.22596042497596383"/>
    <n v="6.3557418176472258E-3"/>
    <n v="4.0395454052589664E-5"/>
  </r>
  <r>
    <x v="6"/>
    <x v="14"/>
    <n v="-1.5052165785067599"/>
    <n v="0.76057215687473445"/>
    <n v="0.80919537892261229"/>
    <n v="0.86873780201460749"/>
    <n v="0.52915658045071412"/>
    <n v="0.59260835518133248"/>
    <n v="0.63206933105135488"/>
    <n v="-0.14907923907206291"/>
    <n v="1.221842963958693"/>
    <n v="-1.195705225362957"/>
    <n v="2.673105898450244"/>
    <n v="2.63227061737877"/>
    <n v="5.9914645471079817"/>
    <n v="4.083527997136116E-2"/>
    <n v="1"/>
    <n v="1"/>
    <n v="0"/>
    <n v="0"/>
    <n v="0"/>
    <n v="0"/>
    <n v="1"/>
    <n v="-1.5853731632232666"/>
    <n v="0.22196921486459981"/>
    <n v="0.20487132840551284"/>
    <n v="1.7097886459086969E-2"/>
    <n v="2.9233772136782956E-4"/>
  </r>
  <r>
    <x v="6"/>
    <x v="15"/>
    <n v="-1.472059130755873"/>
    <n v="0.94468380637537297"/>
    <n v="0.76057215687473445"/>
    <n v="0.80919537892261229"/>
    <n v="0.75902854967345812"/>
    <n v="0.52915658045071412"/>
    <n v="0.59260835518133248"/>
    <n v="0.44249546405242501"/>
    <n v="1.221842963958693"/>
    <n v="-1.168648539218301"/>
    <n v="2.7105608839877759"/>
    <n v="2.662400929370047"/>
    <n v="6.6846117276679271"/>
    <n v="4.8159953206777573E-2"/>
    <n v="1"/>
    <n v="0"/>
    <n v="0"/>
    <n v="0"/>
    <n v="0"/>
    <n v="0"/>
    <n v="1"/>
    <n v="-1.5397322177886963"/>
    <n v="0.2294525256584854"/>
    <n v="0.21443851655941226"/>
    <n v="1.5014009099073133E-2"/>
    <n v="2.2542046922705084E-4"/>
  </r>
  <r>
    <x v="6"/>
    <x v="16"/>
    <n v="-1.4005988251003509"/>
    <n v="0.94491706066247805"/>
    <n v="0.94468380637537297"/>
    <n v="0.76057215687473445"/>
    <n v="0.75155758810636775"/>
    <n v="0.75902854967345812"/>
    <n v="0.52915658045071412"/>
    <n v="0.94077266061330322"/>
    <n v="1.221842963958693"/>
    <n v="-1.132133701084872"/>
    <n v="2.745375215049402"/>
    <n v="2.7105608839877759"/>
    <n v="8.0551577318196781"/>
    <n v="3.481433168053627E-2"/>
    <n v="1"/>
    <n v="0"/>
    <n v="0"/>
    <n v="0"/>
    <n v="0"/>
    <n v="0"/>
    <n v="1"/>
    <n v="-1.5087339878082275"/>
    <n v="0.24644933969489149"/>
    <n v="0.22118982979529847"/>
    <n v="2.5259509899593025E-2"/>
    <n v="6.3804284036763801E-4"/>
  </r>
  <r>
    <x v="6"/>
    <x v="17"/>
    <n v="-1.3222695926871251"/>
    <n v="0.79908253096861415"/>
    <n v="0.94491706066247805"/>
    <n v="0.94468380637537297"/>
    <n v="0.538829820175588"/>
    <n v="0.75155758810636775"/>
    <n v="0.75902854967345812"/>
    <n v="1.498096223740661"/>
    <n v="1.221842963958693"/>
    <n v="-1.0940140857053751"/>
    <n v="2.794865533481202"/>
    <n v="2.745375215049402"/>
    <n v="8.4658998970286863"/>
    <n v="4.9490317702293396E-2"/>
    <n v="1"/>
    <n v="0"/>
    <n v="0"/>
    <n v="0"/>
    <n v="0"/>
    <n v="0"/>
    <n v="1"/>
    <n v="-1.4622253179550171"/>
    <n v="0.26652970113160479"/>
    <n v="0.23172004977315933"/>
    <n v="3.4809651358445465E-2"/>
    <n v="1.2117118276965242E-3"/>
  </r>
  <r>
    <x v="7"/>
    <x v="0"/>
    <n v="-3.005073666255865"/>
    <n v="1.004301609196868"/>
    <n v="0.88533655655224996"/>
    <n v="0.83768033129224362"/>
    <n v="0.72754860727727766"/>
    <n v="0.62972803269029043"/>
    <n v="0.59305056402166012"/>
    <n v="-11.51292546497023"/>
    <n v="1.9117730239483881"/>
    <n v="-2.9883568839150541"/>
    <n v="1.86745654039763"/>
    <n v="1.7645335624207239"/>
    <n v="-11.51292546497023"/>
    <n v="0.10292297601699829"/>
    <n v="0"/>
    <n v="0"/>
    <n v="0"/>
    <n v="0"/>
    <n v="0"/>
    <n v="1"/>
    <n v="0"/>
    <n v="-3.1047773361206055"/>
    <n v="4.9535105128305383E-2"/>
    <n v="4.4834500471725706E-2"/>
    <n v="4.7006046565796766E-3"/>
    <n v="2.2095684137458538E-5"/>
  </r>
  <r>
    <x v="7"/>
    <x v="1"/>
    <n v="-2.9476599042238991"/>
    <n v="0.96065205557290867"/>
    <n v="1.004301609196868"/>
    <n v="0.88533655655224996"/>
    <n v="0.58232734545470155"/>
    <n v="0.72754860727727766"/>
    <n v="0.62972803269029043"/>
    <n v="-11.51292546497023"/>
    <n v="1.9117730239483881"/>
    <n v="-2.8345867363429988"/>
    <n v="1.829081620106173"/>
    <n v="1.857721618177999"/>
    <n v="-11.51292546497023"/>
    <n v="-2.8639998286962509E-2"/>
    <n v="0"/>
    <n v="0"/>
    <n v="0"/>
    <n v="0"/>
    <n v="0"/>
    <n v="1"/>
    <n v="0"/>
    <n v="-3.0536923408508301"/>
    <n v="5.2462329292471792E-2"/>
    <n v="4.718438153412146E-2"/>
    <n v="5.277947758350332E-3"/>
    <n v="2.7856732539875295E-5"/>
  </r>
  <r>
    <x v="7"/>
    <x v="2"/>
    <n v="-2.8313528680447839"/>
    <n v="0.87359197734103988"/>
    <n v="0.96065205557290867"/>
    <n v="1.004301609196868"/>
    <n v="0.48679928916313631"/>
    <n v="0.58232734545470155"/>
    <n v="0.72754860727727766"/>
    <n v="-11.51292546497023"/>
    <n v="1.9117730239483881"/>
    <n v="-2.681932127359647"/>
    <n v="1.945834833156987"/>
    <n v="1.81944071224341"/>
    <n v="-11.51292546497023"/>
    <n v="0.126394122838974"/>
    <n v="0"/>
    <n v="0"/>
    <n v="0"/>
    <n v="0"/>
    <n v="0"/>
    <n v="1"/>
    <n v="0"/>
    <n v="-2.9362850189208984"/>
    <n v="5.8933071045336807E-2"/>
    <n v="5.3062489174703104E-2"/>
    <n v="5.8705818706337037E-3"/>
    <n v="3.4463731499813114E-5"/>
  </r>
  <r>
    <x v="7"/>
    <x v="3"/>
    <n v="-2.786799355345857"/>
    <n v="0.81235142803842186"/>
    <n v="0.87359197734103988"/>
    <n v="0.96065205557290867"/>
    <n v="0.43346930451776172"/>
    <n v="0.48679928916313631"/>
    <n v="0.58232734545470155"/>
    <n v="-11.51292546497023"/>
    <n v="1.9117730239483881"/>
    <n v="-2.5194505085653351"/>
    <n v="1.9431627463908681"/>
    <n v="1.936112894388776"/>
    <n v="-11.51292546497023"/>
    <n v="7.0498520508408546E-3"/>
    <n v="0"/>
    <n v="0"/>
    <n v="0"/>
    <n v="0"/>
    <n v="0"/>
    <n v="1"/>
    <n v="0"/>
    <n v="-2.8130433559417725"/>
    <n v="6.1618116334214795E-2"/>
    <n v="6.002204569821077E-2"/>
    <n v="1.5960706360040253E-3"/>
    <n v="2.5474414751142937E-6"/>
  </r>
  <r>
    <x v="7"/>
    <x v="4"/>
    <n v="-2.5223313753588679"/>
    <n v="0.74720913865847582"/>
    <n v="0.81235142803842186"/>
    <n v="0.87359197734103988"/>
    <n v="0.44654306986601078"/>
    <n v="0.43346930451776172"/>
    <n v="0.48679928916313631"/>
    <n v="-11.51292546497023"/>
    <n v="1.9117730239483881"/>
    <n v="-2.357243868179896"/>
    <n v="1.9625560030249369"/>
    <n v="1.921518828866686"/>
    <n v="-11.51292546497023"/>
    <n v="4.1037175804376602E-2"/>
    <n v="0"/>
    <n v="0"/>
    <n v="0"/>
    <n v="0"/>
    <n v="0"/>
    <n v="1"/>
    <n v="0"/>
    <n v="-2.61635422706604"/>
    <n v="8.0272243696639406E-2"/>
    <n v="7.3068769958227975E-2"/>
    <n v="7.2034737384114311E-3"/>
    <n v="5.1890033899983162E-5"/>
  </r>
  <r>
    <x v="7"/>
    <x v="5"/>
    <n v="-2.3577793505236322"/>
    <n v="0.71098709868827636"/>
    <n v="0.74720913865847582"/>
    <n v="0.81235142803842186"/>
    <n v="0.52034021613457626"/>
    <n v="0.44654306986601078"/>
    <n v="0.43346930451776172"/>
    <n v="-7.7031221981193232"/>
    <n v="1.9117730239483881"/>
    <n v="-2.2084365600939542"/>
    <n v="1.98011437004853"/>
    <n v="1.941370787801832"/>
    <n v="-11.51292546497023"/>
    <n v="3.8743581622838974E-2"/>
    <n v="0"/>
    <n v="0"/>
    <n v="0"/>
    <n v="0"/>
    <n v="0"/>
    <n v="1"/>
    <n v="0"/>
    <n v="-2.4355599880218506"/>
    <n v="9.4630130394397174E-2"/>
    <n v="8.7548707091145372E-2"/>
    <n v="7.081423303251802E-3"/>
    <n v="5.0146555999837666E-5"/>
  </r>
  <r>
    <x v="7"/>
    <x v="6"/>
    <n v="-2.190907054860967"/>
    <n v="0.65044842602683006"/>
    <n v="0.71098709868827636"/>
    <n v="0.74720913865847582"/>
    <n v="0.46360822215687519"/>
    <n v="0.52034021613457626"/>
    <n v="0.44654306986601078"/>
    <n v="-7.2025590319598756"/>
    <n v="1.9117730239483881"/>
    <n v="-2.0839929282431999"/>
    <n v="2.0418972720225601"/>
    <n v="1.969851912441885"/>
    <n v="-11.51292546497023"/>
    <n v="7.2045356035232544E-2"/>
    <n v="0"/>
    <n v="0"/>
    <n v="0"/>
    <n v="0"/>
    <n v="0"/>
    <n v="1"/>
    <n v="0"/>
    <n v="-2.2737891674041748"/>
    <n v="0.11181528001222457"/>
    <n v="0.10292145366926789"/>
    <n v="8.8938263429566844E-3"/>
    <n v="7.9100147018670267E-5"/>
  </r>
  <r>
    <x v="7"/>
    <x v="7"/>
    <n v="-2.135224945684894"/>
    <n v="0.65902146583056942"/>
    <n v="0.65044842602683006"/>
    <n v="0.71098709868827636"/>
    <n v="0.47666886711449652"/>
    <n v="0.46360822215687519"/>
    <n v="0.52034021613457626"/>
    <n v="-6.1847821219213737"/>
    <n v="1.9117730239483881"/>
    <n v="-1.9804072502349901"/>
    <n v="2.0702218116349851"/>
    <n v="2.030054764879913"/>
    <n v="-11.51292546497023"/>
    <n v="4.0167048573493958E-2"/>
    <n v="0"/>
    <n v="0"/>
    <n v="0"/>
    <n v="0"/>
    <n v="0"/>
    <n v="1"/>
    <n v="0"/>
    <n v="-2.1914551258087158"/>
    <n v="0.11821799475766515"/>
    <n v="0.11175401409630338"/>
    <n v="6.4639806613617651E-3"/>
    <n v="4.1783045990458881E-5"/>
  </r>
  <r>
    <x v="7"/>
    <x v="8"/>
    <n v="-2.044258364194691"/>
    <n v="0.6553933909480294"/>
    <n v="0.65902146583056942"/>
    <n v="0.65044842602683006"/>
    <n v="0.49231536100689388"/>
    <n v="0.47666886711449652"/>
    <n v="0.46360822215687519"/>
    <n v="-5.464837144038321"/>
    <n v="1.9117730239483881"/>
    <n v="-1.891020291388652"/>
    <n v="2.1131293082677032"/>
    <n v="2.0619282891468131"/>
    <n v="-11.51292546497023"/>
    <n v="5.1201019436120987E-2"/>
    <n v="0"/>
    <n v="0"/>
    <n v="0"/>
    <n v="0"/>
    <n v="0"/>
    <n v="1"/>
    <n v="0"/>
    <n v="-2.1114985942840576"/>
    <n v="0.12947617854863699"/>
    <n v="0.1210564159790873"/>
    <n v="8.4197625695496964E-3"/>
    <n v="7.0892401727590102E-5"/>
  </r>
  <r>
    <x v="7"/>
    <x v="9"/>
    <n v="-2.0487350496512291"/>
    <n v="0.65570488508407532"/>
    <n v="0.6553933909480294"/>
    <n v="0.65902146583056942"/>
    <n v="0.46304195291218431"/>
    <n v="0.49231536100689388"/>
    <n v="0.47666886711449652"/>
    <n v="-5.1022215211707733"/>
    <n v="1.9117730239483881"/>
    <n v="-1.8198934792654149"/>
    <n v="2.05347612818084"/>
    <n v="2.1053711428383539"/>
    <n v="-11.51292546497023"/>
    <n v="-5.1895014941692352E-2"/>
    <n v="1"/>
    <n v="0"/>
    <n v="0"/>
    <n v="0"/>
    <n v="0"/>
    <n v="1"/>
    <n v="0"/>
    <n v="-2.1215579509735107"/>
    <n v="0.12889784988675793"/>
    <n v="0.11984477071440393"/>
    <n v="9.0530791723539977E-3"/>
    <n v="8.1958242500909751E-5"/>
  </r>
  <r>
    <x v="7"/>
    <x v="10"/>
    <n v="-2.0136726042920658"/>
    <n v="0.67309752275424151"/>
    <n v="0.65570488508407532"/>
    <n v="0.6553933909480294"/>
    <n v="0.56713033997645834"/>
    <n v="0.46304195291218431"/>
    <n v="0.49231536100689388"/>
    <n v="-4.7039427630394961"/>
    <n v="1.9117730239483881"/>
    <n v="-1.7743265505814669"/>
    <n v="2.0518692545532669"/>
    <n v="2.04628977820395"/>
    <n v="-11.51292546497023"/>
    <n v="5.5794762447476387E-3"/>
    <n v="1"/>
    <n v="0"/>
    <n v="0"/>
    <n v="0"/>
    <n v="0"/>
    <n v="1"/>
    <n v="0"/>
    <n v="-2.0589790344238281"/>
    <n v="0.13349748980304377"/>
    <n v="0.12758416246038459"/>
    <n v="5.9133273426591748E-3"/>
    <n v="3.4967440261440618E-5"/>
  </r>
  <r>
    <x v="7"/>
    <x v="11"/>
    <n v="-1.9919801311725109"/>
    <n v="0.64684142768343389"/>
    <n v="0.67309752275424151"/>
    <n v="0.65570488508407532"/>
    <n v="0.55652530301698111"/>
    <n v="0.56713033997645834"/>
    <n v="0.46304195291218431"/>
    <n v="-4.0745746486765393"/>
    <n v="1.9117730239483881"/>
    <n v="-1.7337510635998139"/>
    <n v="2.0576167726293"/>
    <n v="2.0452486021962279"/>
    <n v="-11.51292546497023"/>
    <n v="1.2368170544505119E-2"/>
    <n v="1"/>
    <n v="0"/>
    <n v="0"/>
    <n v="0"/>
    <n v="0"/>
    <n v="1"/>
    <n v="0"/>
    <n v="-2.0003714561462402"/>
    <n v="0.13642501838154156"/>
    <n v="0.13528502144945409"/>
    <n v="1.139996932087467E-3"/>
    <n v="1.2995930051688369E-6"/>
  </r>
  <r>
    <x v="7"/>
    <x v="12"/>
    <n v="-2.0092145665183549"/>
    <n v="0.75738878262140996"/>
    <n v="0.64684142768343389"/>
    <n v="0.67309752275424151"/>
    <n v="0.59597526880767171"/>
    <n v="0.55652530301698111"/>
    <n v="0.56713033997645834"/>
    <n v="-3.5959705986656392"/>
    <n v="1.9117730239483881"/>
    <n v="-1.694604976055627"/>
    <n v="2.1007802679097818"/>
    <n v="2.052654126846841"/>
    <n v="3.2580965380214821"/>
    <n v="4.8126142472028732E-2"/>
    <n v="1"/>
    <n v="0"/>
    <n v="0"/>
    <n v="0"/>
    <n v="0"/>
    <n v="1"/>
    <n v="0"/>
    <n v="-2.0511739253997803"/>
    <n v="0.13409395520006584"/>
    <n v="0.12858386708478312"/>
    <n v="5.5100881152827241E-3"/>
    <n v="3.0361071038179922E-5"/>
  </r>
  <r>
    <x v="7"/>
    <x v="13"/>
    <n v="-2.0085411139061842"/>
    <n v="0.76216005184689939"/>
    <n v="0.75738878262140996"/>
    <n v="0.64684142768343389"/>
    <n v="0.58439202072290786"/>
    <n v="0.59597526880767171"/>
    <n v="0.55652530301698111"/>
    <n v="-2.9163133160424231"/>
    <n v="1.9117730239483881"/>
    <n v="-1.6580637480208309"/>
    <n v="2.045129995645639"/>
    <n v="2.095092750257237"/>
    <n v="5.393627546352362"/>
    <n v="-4.9962755292654037E-2"/>
    <n v="1"/>
    <n v="0"/>
    <n v="0"/>
    <n v="0"/>
    <n v="0"/>
    <n v="1"/>
    <n v="0"/>
    <n v="-2.0571084022521973"/>
    <n v="0.13418429153967934"/>
    <n v="0.12782304886390888"/>
    <n v="6.3612426757704565E-3"/>
    <n v="4.0465408380043276E-5"/>
  </r>
  <r>
    <x v="7"/>
    <x v="14"/>
    <n v="-2.0383230366867711"/>
    <n v="0.67818581541978507"/>
    <n v="0.76216005184689939"/>
    <n v="0.75738878262140996"/>
    <n v="0.53192153206072357"/>
    <n v="0.58439202072290786"/>
    <n v="0.59597526880767171"/>
    <n v="-2.2498308020460218"/>
    <n v="1.9117730239483881"/>
    <n v="-1.624555692732911"/>
    <n v="2.0706915026668651"/>
    <n v="2.039574292292329"/>
    <n v="5.9914645471079817"/>
    <n v="3.1117210164666176E-2"/>
    <n v="1"/>
    <n v="1"/>
    <n v="0"/>
    <n v="0"/>
    <n v="0"/>
    <n v="1"/>
    <n v="0"/>
    <n v="-2.098198413848877"/>
    <n v="0.13024694719223764"/>
    <n v="0.12267724290682457"/>
    <n v="7.5697042854130786E-3"/>
    <n v="5.7300422968601126E-5"/>
  </r>
  <r>
    <x v="7"/>
    <x v="15"/>
    <n v="-2.0070508998401348"/>
    <n v="0.87771620989437926"/>
    <n v="0.67818581541978507"/>
    <n v="0.76216005184689939"/>
    <n v="0.73476885525076474"/>
    <n v="0.53192153206072357"/>
    <n v="0.58439202072290786"/>
    <n v="-1.662292095590983"/>
    <n v="1.9117730239483881"/>
    <n v="-1.5916949111130609"/>
    <n v="2.0987281041157519"/>
    <n v="2.0652717558173901"/>
    <n v="6.6846117276679271"/>
    <n v="3.345634788274765E-2"/>
    <n v="1"/>
    <n v="0"/>
    <n v="0"/>
    <n v="0"/>
    <n v="0"/>
    <n v="1"/>
    <n v="0"/>
    <n v="-2.0837917327880859"/>
    <n v="0.13438440392648834"/>
    <n v="0.12445740715842216"/>
    <n v="9.9269967680661875E-3"/>
    <n v="9.8545264833196537E-5"/>
  </r>
  <r>
    <x v="7"/>
    <x v="16"/>
    <n v="-1.96379964741039"/>
    <n v="0.8950262365694307"/>
    <n v="0.87771620989437926"/>
    <n v="0.67818581541978507"/>
    <n v="0.75155758810636775"/>
    <n v="0.73476885525076474"/>
    <n v="0.53192153206072357"/>
    <n v="-1.1691607852262771"/>
    <n v="1.9117730239483881"/>
    <n v="-1.553505106231033"/>
    <n v="2.1285004102261289"/>
    <n v="2.0987281041157519"/>
    <n v="8.0551577318196781"/>
    <n v="2.9772305861115456E-2"/>
    <n v="1"/>
    <n v="0"/>
    <n v="0"/>
    <n v="0"/>
    <n v="0"/>
    <n v="1"/>
    <n v="0"/>
    <n v="-2.0520899295806885"/>
    <n v="0.14032422410922443"/>
    <n v="0.12846613765349363"/>
    <n v="1.1858086455730804E-2"/>
    <n v="1.4061421439158633E-4"/>
  </r>
  <r>
    <x v="7"/>
    <x v="17"/>
    <n v="-1.8928906138512589"/>
    <n v="0.71397869013987836"/>
    <n v="0.8950262365694307"/>
    <n v="0.87771620989437926"/>
    <n v="0.538829820175588"/>
    <n v="0.75155758810636775"/>
    <n v="0.73476885525076474"/>
    <n v="-0.64634611206753934"/>
    <n v="1.9117730239483881"/>
    <n v="-1.512016901871964"/>
    <n v="2.1435270983319512"/>
    <n v="2.1285004102261289"/>
    <n v="8.4658998970286863"/>
    <n v="1.5026687644422054E-2"/>
    <n v="1"/>
    <n v="0"/>
    <n v="0"/>
    <n v="0"/>
    <n v="0"/>
    <n v="1"/>
    <n v="0"/>
    <n v="-1.9788413047790527"/>
    <n v="0.15063574911697622"/>
    <n v="0.13822931019625925"/>
    <n v="1.2406438920716967E-2"/>
    <n v="1.5391972669348078E-4"/>
  </r>
  <r>
    <x v="8"/>
    <x v="0"/>
    <n v="-2.7417032668890182"/>
    <n v="0.9242589015233319"/>
    <n v="0.91880756199842939"/>
    <n v="0.86558673749944925"/>
    <n v="0.75141608868392118"/>
    <n v="0.6832483483806977"/>
    <n v="0.58700858449827797"/>
    <n v="-11.51292546497023"/>
    <n v="1.090797042355631"/>
    <n v="-2.4851958602947479"/>
    <n v="1.7796680853385549"/>
    <n v="1.624263083542117"/>
    <n v="-11.51292546497023"/>
    <n v="0.15540499985218048"/>
    <n v="0"/>
    <n v="0"/>
    <n v="0"/>
    <n v="0"/>
    <n v="0"/>
    <n v="1"/>
    <n v="0"/>
    <n v="-2.5972445011138916"/>
    <n v="6.4460459969238715E-2"/>
    <n v="7.4478521206790674E-2"/>
    <n v="-1.0018061237551959E-2"/>
    <n v="1.0036155095934109E-4"/>
  </r>
  <r>
    <x v="8"/>
    <x v="1"/>
    <n v="-2.6679518417291561"/>
    <n v="0.89637369803379618"/>
    <n v="0.9242589015233319"/>
    <n v="0.91880756199842939"/>
    <n v="0.60867802393349535"/>
    <n v="0.75141608868392118"/>
    <n v="0.6832483483806977"/>
    <n v="-11.51292546497023"/>
    <n v="1.090797042355631"/>
    <n v="-2.364682292812764"/>
    <n v="1.732619982246111"/>
    <n v="1.767296839428945"/>
    <n v="-11.51292546497023"/>
    <n v="-3.467685729265213E-2"/>
    <n v="0"/>
    <n v="0"/>
    <n v="0"/>
    <n v="0"/>
    <n v="0"/>
    <n v="1"/>
    <n v="0"/>
    <n v="-2.5649220943450928"/>
    <n v="6.9394210181497801E-2"/>
    <n v="7.6925174114468156E-2"/>
    <n v="-7.5309639329703554E-3"/>
    <n v="5.6715417759700322E-5"/>
  </r>
  <r>
    <x v="8"/>
    <x v="2"/>
    <n v="-2.5370566115124791"/>
    <n v="0.8545429795827455"/>
    <n v="0.89637369803379618"/>
    <n v="0.9242589015233319"/>
    <n v="0.54615415681928514"/>
    <n v="0.60867802393349535"/>
    <n v="0.75141608868392118"/>
    <n v="-11.51292546497023"/>
    <n v="1.090797042355631"/>
    <n v="-2.2254787055347012"/>
    <n v="1.8014473158845341"/>
    <n v="1.7204002370384639"/>
    <n v="-11.51292546497023"/>
    <n v="8.1047080457210541E-2"/>
    <n v="0"/>
    <n v="0"/>
    <n v="0"/>
    <n v="0"/>
    <n v="0"/>
    <n v="1"/>
    <n v="0"/>
    <n v="-2.4615867137908936"/>
    <n v="7.9098876210240573E-2"/>
    <n v="8.5299497643644209E-2"/>
    <n v="-6.2006214334036358E-3"/>
    <n v="3.8447706160384561E-5"/>
  </r>
  <r>
    <x v="8"/>
    <x v="3"/>
    <n v="-2.4214216906929669"/>
    <n v="0.80074519115796339"/>
    <n v="0.8545429795827455"/>
    <n v="0.89637369803379618"/>
    <n v="0.49341493350619681"/>
    <n v="0.54615415681928514"/>
    <n v="0.60867802393349535"/>
    <n v="-11.51292546497023"/>
    <n v="1.090797042355631"/>
    <n v="-2.0901934209052611"/>
    <n v="1.8765724808055899"/>
    <n v="1.790757458948911"/>
    <n v="-11.51292546497023"/>
    <n v="8.5815019905567169E-2"/>
    <n v="0"/>
    <n v="0"/>
    <n v="0"/>
    <n v="0"/>
    <n v="0"/>
    <n v="1"/>
    <n v="0"/>
    <n v="-2.358004093170166"/>
    <n v="8.8795288245252846E-2"/>
    <n v="9.460886535812027E-2"/>
    <n v="-5.8135771128674241E-3"/>
    <n v="3.3797678847255937E-5"/>
  </r>
  <r>
    <x v="8"/>
    <x v="4"/>
    <n v="-2.2082007102813228"/>
    <n v="0.7236763855947681"/>
    <n v="0.80074519115796339"/>
    <n v="0.8545429795827455"/>
    <n v="0.49255981495909817"/>
    <n v="0.49341493350619681"/>
    <n v="0.54615415681928514"/>
    <n v="-11.51292546497023"/>
    <n v="1.090797042355631"/>
    <n v="-1.931148313878714"/>
    <n v="1.95807987253376"/>
    <n v="1.8773673090886771"/>
    <n v="-11.51292546497023"/>
    <n v="8.0712564289569855E-2"/>
    <n v="0"/>
    <n v="0"/>
    <n v="0"/>
    <n v="0"/>
    <n v="0"/>
    <n v="1"/>
    <n v="0"/>
    <n v="-2.1726603507995605"/>
    <n v="0.10989820944589365"/>
    <n v="0.11387426808245663"/>
    <n v="-3.9760586365629735E-3"/>
    <n v="1.5809042281387014E-5"/>
  </r>
  <r>
    <x v="8"/>
    <x v="5"/>
    <n v="-2.127864435876516"/>
    <n v="0.71476189053235328"/>
    <n v="0.7236763855947681"/>
    <n v="0.80074519115796339"/>
    <n v="0.56064383074685153"/>
    <n v="0.49255981495909817"/>
    <n v="0.49341493350619681"/>
    <n v="-6.6657881709257252"/>
    <n v="1.090797042355631"/>
    <n v="-1.7876086576556209"/>
    <n v="2.0316048036389418"/>
    <n v="1.9588750146332901"/>
    <n v="-11.51292546497023"/>
    <n v="7.2729788720607758E-2"/>
    <n v="0"/>
    <n v="0"/>
    <n v="0"/>
    <n v="0"/>
    <n v="0"/>
    <n v="1"/>
    <n v="0"/>
    <n v="-2.0319442749023438"/>
    <n v="0.11909134969340784"/>
    <n v="0.13108041686772531"/>
    <n v="-1.1989067174317469E-2"/>
    <n v="1.4373773171029667E-4"/>
  </r>
  <r>
    <x v="8"/>
    <x v="6"/>
    <n v="-1.9384638846484969"/>
    <n v="0.62748803175367107"/>
    <n v="0.71476189053235328"/>
    <n v="0.7236763855947681"/>
    <n v="0.50386142996435779"/>
    <n v="0.56064383074685153"/>
    <n v="0.49255981495909817"/>
    <n v="-6.4491260749965029"/>
    <n v="1.090797042355631"/>
    <n v="-1.669451473269018"/>
    <n v="2.047573872737356"/>
    <n v="2.025123348253953"/>
    <n v="-11.51292546497023"/>
    <n v="2.2450525313615799E-2"/>
    <n v="0"/>
    <n v="0"/>
    <n v="0"/>
    <n v="0"/>
    <n v="0"/>
    <n v="1"/>
    <n v="0"/>
    <n v="-1.8601638078689575"/>
    <n v="0.14392486525341461"/>
    <n v="0.15564713205463093"/>
    <n v="-1.1722266801216324E-2"/>
    <n v="1.3741153895889839E-4"/>
  </r>
  <r>
    <x v="8"/>
    <x v="7"/>
    <n v="-1.851334602865897"/>
    <n v="0.62288564751927877"/>
    <n v="0.62748803175367107"/>
    <n v="0.71476189053235328"/>
    <n v="0.5019261405789579"/>
    <n v="0.50386142996435779"/>
    <n v="0.56064383074685153"/>
    <n v="-5.5009963238221262"/>
    <n v="1.090797042355631"/>
    <n v="-1.5648872687125539"/>
    <n v="2.056199324434782"/>
    <n v="2.0401921788843018"/>
    <n v="-11.51292546497023"/>
    <n v="1.6007145866751671E-2"/>
    <n v="0"/>
    <n v="0"/>
    <n v="0"/>
    <n v="0"/>
    <n v="0"/>
    <n v="1"/>
    <n v="0"/>
    <n v="-1.7722241878509521"/>
    <n v="0.1570274571112184"/>
    <n v="0.16995455726849201"/>
    <n v="-1.2927100157273608E-2"/>
    <n v="1.6710991847618332E-4"/>
  </r>
  <r>
    <x v="8"/>
    <x v="8"/>
    <n v="-1.7250043316309409"/>
    <n v="0.60042863955673875"/>
    <n v="0.62288564751927877"/>
    <n v="0.62748803175367107"/>
    <n v="0.49621947137662858"/>
    <n v="0.5019261405789579"/>
    <n v="0.50386142996435779"/>
    <n v="-4.6680567183432871"/>
    <n v="1.090797042355631"/>
    <n v="-1.4703241790521"/>
    <n v="2.1645396151373499"/>
    <n v="2.052890905712994"/>
    <n v="-11.51292546497023"/>
    <n v="0.11164870858192444"/>
    <n v="0"/>
    <n v="0"/>
    <n v="0"/>
    <n v="0"/>
    <n v="0"/>
    <n v="1"/>
    <n v="0"/>
    <n v="-1.663596510887146"/>
    <n v="0.17817227999466606"/>
    <n v="0.18945637143006272"/>
    <n v="-1.1284091435396659E-2"/>
    <n v="1.2733071952239223E-4"/>
  </r>
  <r>
    <x v="8"/>
    <x v="9"/>
    <n v="-1.709276608751034"/>
    <n v="0.64048452797663935"/>
    <n v="0.60042863955673875"/>
    <n v="0.62288564751927877"/>
    <n v="0.46304195291218431"/>
    <n v="0.49621947137662858"/>
    <n v="0.5019261405789579"/>
    <n v="-4.2655015574558997"/>
    <n v="1.090797042355631"/>
    <n v="-1.3976885176837111"/>
    <n v="2.1258028532792732"/>
    <n v="2.1616296679165679"/>
    <n v="-11.51292546497023"/>
    <n v="-3.582681342959404E-2"/>
    <n v="1"/>
    <n v="0"/>
    <n v="0"/>
    <n v="0"/>
    <n v="0"/>
    <n v="1"/>
    <n v="0"/>
    <n v="-1.716910719871521"/>
    <n v="0.18099667668322506"/>
    <n v="0.17962018875697564"/>
    <n v="1.3764879262494201E-3"/>
    <n v="1.8947190111104288E-6"/>
  </r>
  <r>
    <x v="8"/>
    <x v="10"/>
    <n v="-1.684419044627796"/>
    <n v="0.69524497864209145"/>
    <n v="0.64048452797663935"/>
    <n v="0.60042863955673875"/>
    <n v="0.52591126118403153"/>
    <n v="0.46304195291218431"/>
    <n v="0.49621947137662858"/>
    <n v="-3.8850503713206179"/>
    <n v="1.090797042355631"/>
    <n v="-1.3445155182719659"/>
    <n v="2.1016394077339058"/>
    <n v="2.1232617871584529"/>
    <n v="-11.51292546497023"/>
    <n v="-2.1622380241751671E-2"/>
    <n v="1"/>
    <n v="0"/>
    <n v="0"/>
    <n v="0"/>
    <n v="0"/>
    <n v="1"/>
    <n v="0"/>
    <n v="-1.7152915000915527"/>
    <n v="0.18555219819561794"/>
    <n v="0.17991126891727119"/>
    <n v="5.6409292783467513E-3"/>
    <n v="3.1820083123309604E-5"/>
  </r>
  <r>
    <x v="8"/>
    <x v="11"/>
    <n v="-1.667094603337729"/>
    <n v="0.6634093622959889"/>
    <n v="0.69524497864209145"/>
    <n v="0.64048452797663935"/>
    <n v="0.49035757512612699"/>
    <n v="0.52591126118403153"/>
    <n v="0.46304195291218431"/>
    <n v="-3.1941039439846679"/>
    <n v="1.090797042355631"/>
    <n v="-1.29862280126731"/>
    <n v="2.1544456128443699"/>
    <n v="2.0994386545099091"/>
    <n v="-11.51292546497023"/>
    <n v="5.5006958544254303E-2"/>
    <n v="1"/>
    <n v="0"/>
    <n v="0"/>
    <n v="0"/>
    <n v="0"/>
    <n v="1"/>
    <n v="0"/>
    <n v="-1.6804401874542236"/>
    <n v="0.1887947933327471"/>
    <n v="0.1862919546070908"/>
    <n v="2.5028387256562923E-3"/>
    <n v="6.2642016866448128E-6"/>
  </r>
  <r>
    <x v="8"/>
    <x v="12"/>
    <n v="-1.7671186474372851"/>
    <n v="0.81801616260581456"/>
    <n v="0.6634093622959889"/>
    <n v="0.69524497864209145"/>
    <n v="0.55566513723868272"/>
    <n v="0.49035757512612699"/>
    <n v="0.52591126118403153"/>
    <n v="-2.7248953716540978"/>
    <n v="1.090797042355631"/>
    <n v="-1.2680772242681011"/>
    <n v="2.2013351426972991"/>
    <n v="2.1404800927394581"/>
    <n v="3.2580965380214821"/>
    <n v="6.0855049639940262E-2"/>
    <n v="1"/>
    <n v="0"/>
    <n v="0"/>
    <n v="0"/>
    <n v="0"/>
    <n v="1"/>
    <n v="0"/>
    <n v="-1.7932174205780029"/>
    <n v="0.17082448596750946"/>
    <n v="0.16642385182413347"/>
    <n v="4.4006341433759921E-3"/>
    <n v="1.9365580863846553E-5"/>
  </r>
  <r>
    <x v="8"/>
    <x v="13"/>
    <n v="-1.764018016116248"/>
    <n v="0.80258437525832049"/>
    <n v="0.81801616260581456"/>
    <n v="0.6634093622959889"/>
    <n v="0.52514264436078373"/>
    <n v="0.55566513723868272"/>
    <n v="0.49035757512612699"/>
    <n v="-1.986508739685457"/>
    <n v="1.090797042355631"/>
    <n v="-1.22934168582551"/>
    <n v="2.2038845100015569"/>
    <n v="2.1986749019455369"/>
    <n v="5.393627546352362"/>
    <n v="5.2096080034971237E-3"/>
    <n v="1"/>
    <n v="0"/>
    <n v="0"/>
    <n v="0"/>
    <n v="0"/>
    <n v="1"/>
    <n v="0"/>
    <n v="-1.7878562211990356"/>
    <n v="0.1713549717144579"/>
    <n v="0.16731847927041804"/>
    <n v="4.0364924440398631E-3"/>
    <n v="1.6293271250790907E-5"/>
  </r>
  <r>
    <x v="8"/>
    <x v="14"/>
    <n v="-1.8427194394348461"/>
    <n v="0.72479118589440672"/>
    <n v="0.80258437525832049"/>
    <n v="0.81801616260581456"/>
    <n v="0.47803380094099979"/>
    <n v="0.52514264436078373"/>
    <n v="0.55566513723868272"/>
    <n v="-1.3426119005236929"/>
    <n v="1.090797042355631"/>
    <n v="-1.202562850060513"/>
    <n v="2.2048166968771068"/>
    <n v="2.2013663183077949"/>
    <n v="5.9914645471079817"/>
    <n v="3.450378542765975E-3"/>
    <n v="1"/>
    <n v="1"/>
    <n v="0"/>
    <n v="0"/>
    <n v="0"/>
    <n v="1"/>
    <n v="0"/>
    <n v="-1.8551267385482788"/>
    <n v="0.1583861184587442"/>
    <n v="0.15643311531259826"/>
    <n v="1.9530031461459374E-3"/>
    <n v="3.8142212888559297E-6"/>
  </r>
  <r>
    <x v="8"/>
    <x v="15"/>
    <n v="-1.814326231350831"/>
    <n v="0.95789322172866853"/>
    <n v="0.72479118589440672"/>
    <n v="0.80258437525832049"/>
    <n v="0.74088917654536646"/>
    <n v="0.47803380094099979"/>
    <n v="0.52514264436078373"/>
    <n v="-0.77723845825946336"/>
    <n v="1.090797042355631"/>
    <n v="-1.1732130300297841"/>
    <n v="2.2067905766247828"/>
    <n v="2.2024395009996378"/>
    <n v="6.6846117276679271"/>
    <n v="4.3510757386684418E-3"/>
    <n v="1"/>
    <n v="0"/>
    <n v="0"/>
    <n v="0"/>
    <n v="0"/>
    <n v="1"/>
    <n v="0"/>
    <n v="-1.8456289768218994"/>
    <n v="0.16294766043735884"/>
    <n v="0.15792595787732661"/>
    <n v="5.0217025600322318E-3"/>
    <n v="2.521749660143427E-5"/>
  </r>
  <r>
    <x v="8"/>
    <x v="16"/>
    <n v="-1.784177638624346"/>
    <n v="0.9681998366115846"/>
    <n v="0.95789322172866853"/>
    <n v="0.72479118589440672"/>
    <n v="0.71074148896089639"/>
    <n v="0.74088917654536646"/>
    <n v="0.47803380094099979"/>
    <n v="-0.26720680039464911"/>
    <n v="1.090797042355631"/>
    <n v="-1.1438969346607319"/>
    <n v="2.2534517562846741"/>
    <n v="2.2067905766247828"/>
    <n v="8.0551577318196781"/>
    <n v="4.6661179512739182E-2"/>
    <n v="1"/>
    <n v="0"/>
    <n v="0"/>
    <n v="0"/>
    <n v="0"/>
    <n v="1"/>
    <n v="0"/>
    <n v="-1.8259328603744507"/>
    <n v="0.16793510757640703"/>
    <n v="0.16106732070419066"/>
    <n v="6.8677868722163693E-3"/>
    <n v="4.7166496522187503E-5"/>
  </r>
  <r>
    <x v="8"/>
    <x v="17"/>
    <n v="-1.665849576435277"/>
    <n v="0.7437927652288373"/>
    <n v="0.9681998366115846"/>
    <n v="0.95789322172866853"/>
    <n v="0.49743638664697459"/>
    <n v="0.71074148896089639"/>
    <n v="0.74088917654536646"/>
    <n v="0.29546796007280218"/>
    <n v="1.090797042355631"/>
    <n v="-1.1046766252508049"/>
    <n v="2.3083760538358988"/>
    <n v="2.2534517562846741"/>
    <n v="8.4658998970286863"/>
    <n v="5.4924298077821732E-2"/>
    <n v="1"/>
    <n v="0"/>
    <n v="0"/>
    <n v="0"/>
    <n v="0"/>
    <n v="1"/>
    <n v="0"/>
    <n v="-1.7186822891235352"/>
    <n v="0.18902999431488243"/>
    <n v="0.17930226085233317"/>
    <n v="9.7277334625492651E-3"/>
    <n v="9.4628798318400714E-5"/>
  </r>
  <r>
    <x v="9"/>
    <x v="0"/>
    <n v="-2.7400225207029112"/>
    <n v="0.99325177301028345"/>
    <n v="0.92290878417573041"/>
    <n v="0.88826155915265215"/>
    <n v="0.65232518603969014"/>
    <n v="0.54371866706801619"/>
    <n v="0.47828177068996119"/>
    <n v="-11.51292546497023"/>
    <n v="0.94240070955773636"/>
    <n v="-2.275966422923585"/>
    <n v="2.031247207311957"/>
    <n v="1.9723560596672469"/>
    <n v="-11.51292546497023"/>
    <n v="5.8891147375106812E-2"/>
    <n v="0"/>
    <n v="0"/>
    <n v="0"/>
    <n v="0"/>
    <n v="0"/>
    <n v="1"/>
    <n v="0"/>
    <n v="-2.6172523498535156"/>
    <n v="6.4568892739943567E-2"/>
    <n v="7.3003174691586778E-2"/>
    <n v="-8.4342819516432105E-3"/>
    <n v="7.1137112039814404E-5"/>
  </r>
  <r>
    <x v="9"/>
    <x v="1"/>
    <n v="-2.713468700183479"/>
    <n v="0.91573057501559185"/>
    <n v="0.99325177301028345"/>
    <n v="0.92290878417573041"/>
    <n v="0.50446544061330811"/>
    <n v="0.65232518603969014"/>
    <n v="0.54371866706801619"/>
    <n v="-11.51292546497023"/>
    <n v="0.94240070955773636"/>
    <n v="-2.176155426655149"/>
    <n v="2.0435463985610518"/>
    <n v="2.0171424760238659"/>
    <n v="-11.51292546497023"/>
    <n v="2.6403922587633133E-2"/>
    <n v="0"/>
    <n v="0"/>
    <n v="0"/>
    <n v="0"/>
    <n v="0"/>
    <n v="1"/>
    <n v="0"/>
    <n v="-2.5394856929779053"/>
    <n v="6.6306410300407653E-2"/>
    <n v="7.8906971766226269E-2"/>
    <n v="-1.2600561465818616E-2"/>
    <n v="1.58774149253873E-4"/>
  </r>
  <r>
    <x v="9"/>
    <x v="2"/>
    <n v="-2.6194848246392071"/>
    <n v="0.8429455456483399"/>
    <n v="0.91573057501559185"/>
    <n v="0.99325177301028345"/>
    <n v="0.49786195737413202"/>
    <n v="0.50446544061330811"/>
    <n v="0.65232518603969014"/>
    <n v="-11.51292546497023"/>
    <n v="0.94240070955773636"/>
    <n v="-2.0768434254588288"/>
    <n v="2.1184752833322422"/>
    <n v="2.0296377285285612"/>
    <n v="-11.51292546497023"/>
    <n v="8.8837556540966034E-2"/>
    <n v="0"/>
    <n v="0"/>
    <n v="0"/>
    <n v="0"/>
    <n v="0"/>
    <n v="1"/>
    <n v="0"/>
    <n v="-2.4174468517303467"/>
    <n v="7.2840378731364397E-2"/>
    <n v="8.9148937600666792E-2"/>
    <n v="-1.6308558869302395E-2"/>
    <n v="2.6596909239350183E-4"/>
  </r>
  <r>
    <x v="9"/>
    <x v="3"/>
    <n v="-2.5522791844167401"/>
    <n v="0.78900266620346671"/>
    <n v="0.8429455456483399"/>
    <n v="0.91573057501559185"/>
    <n v="0.44462171664268602"/>
    <n v="0.49786195737413202"/>
    <n v="0.50446544061330811"/>
    <n v="-11.51292546497023"/>
    <n v="0.94240070955773636"/>
    <n v="-1.96366765203261"/>
    <n v="2.142870807876518"/>
    <n v="2.1070292151570942"/>
    <n v="-11.51292546497023"/>
    <n v="3.5841591656208038E-2"/>
    <n v="0"/>
    <n v="0"/>
    <n v="0"/>
    <n v="0"/>
    <n v="0"/>
    <n v="1"/>
    <n v="0"/>
    <n v="-2.3028264045715332"/>
    <n v="7.7903906135478596E-2"/>
    <n v="9.9975871753580942E-2"/>
    <n v="-2.2071965618102346E-2"/>
    <n v="4.8717166624669209E-4"/>
  </r>
  <r>
    <x v="9"/>
    <x v="4"/>
    <n v="-2.3428914998236441"/>
    <n v="0.766397642299538"/>
    <n v="0.78900266620346671"/>
    <n v="0.8429455456483399"/>
    <n v="0.44654306986601078"/>
    <n v="0.44462171664268602"/>
    <n v="0.49786195737413202"/>
    <n v="-9.0523970759305676"/>
    <n v="0.94240070955773636"/>
    <n v="-1.822121436694923"/>
    <n v="2.2290539697095291"/>
    <n v="2.1439040037276569"/>
    <n v="-11.51292546497023"/>
    <n v="8.5149966180324554E-2"/>
    <n v="0"/>
    <n v="0"/>
    <n v="0"/>
    <n v="0"/>
    <n v="0"/>
    <n v="1"/>
    <n v="0"/>
    <n v="-2.1674211025238037"/>
    <n v="9.6049509180368281E-2"/>
    <n v="0.11447244928675727"/>
    <n v="-1.8422940106388994E-2"/>
    <n v="3.3940472216359609E-4"/>
  </r>
  <r>
    <x v="9"/>
    <x v="5"/>
    <n v="-2.2019487102344648"/>
    <n v="0.73706836761787342"/>
    <n v="0.766397642299538"/>
    <n v="0.78900266620346671"/>
    <n v="0.49255981495909817"/>
    <n v="0.44654306986601078"/>
    <n v="0.44462171664268602"/>
    <n v="-7.441924899047299"/>
    <n v="0.94240070955773636"/>
    <n v="-1.6897625030897661"/>
    <n v="2.272910098304564"/>
    <n v="2.2300882341585"/>
    <n v="-11.51292546497023"/>
    <n v="4.2821865528821945E-2"/>
    <n v="0"/>
    <n v="0"/>
    <n v="0"/>
    <n v="0"/>
    <n v="0"/>
    <n v="1"/>
    <n v="0"/>
    <n v="-2.0259048938751221"/>
    <n v="0.11058744536295065"/>
    <n v="0.13187445679173149"/>
    <n v="-2.1287011428780839E-2"/>
    <n v="4.5313685556904604E-4"/>
  </r>
  <r>
    <x v="9"/>
    <x v="6"/>
    <n v="-2.0384463184817809"/>
    <n v="0.67666204430008292"/>
    <n v="0.73706836761787342"/>
    <n v="0.766397642299538"/>
    <n v="0.44980092192821608"/>
    <n v="0.49255981495909817"/>
    <n v="0.44654306986601078"/>
    <n v="-7.1143053453331477"/>
    <n v="0.94240070955773636"/>
    <n v="-1.5917296205276319"/>
    <n v="2.2656392122203219"/>
    <n v="2.2640574153974211"/>
    <n v="-11.51292546497023"/>
    <n v="1.5817967941984534E-3"/>
    <n v="0"/>
    <n v="0"/>
    <n v="0"/>
    <n v="0"/>
    <n v="0"/>
    <n v="1"/>
    <n v="0"/>
    <n v="-1.9040180444717407"/>
    <n v="0.13023089110452521"/>
    <n v="0.14896885161240814"/>
    <n v="-1.8737960507882928E-2"/>
    <n v="3.5111116399498023E-4"/>
  </r>
  <r>
    <x v="9"/>
    <x v="7"/>
    <n v="-1.9764717302603569"/>
    <n v="0.6660842610102562"/>
    <n v="0.67666204430008292"/>
    <n v="0.73706836761787342"/>
    <n v="0.46812686923287539"/>
    <n v="0.44980092192821608"/>
    <n v="0.49255981495909817"/>
    <n v="-6.2468561426310938"/>
    <n v="0.94240070955773636"/>
    <n v="-1.5165408069304569"/>
    <n v="2.290664946370319"/>
    <n v="2.2457852199213981"/>
    <n v="-11.51292546497023"/>
    <n v="4.4879727065563202E-2"/>
    <n v="0"/>
    <n v="0"/>
    <n v="0"/>
    <n v="0"/>
    <n v="0"/>
    <n v="1"/>
    <n v="0"/>
    <n v="-1.8144582509994507"/>
    <n v="0.13855724322486931"/>
    <n v="0.16292614956444471"/>
    <n v="-2.4368906339575391E-2"/>
    <n v="5.9384359618699771E-4"/>
  </r>
  <r>
    <x v="9"/>
    <x v="8"/>
    <n v="-1.8804784092060529"/>
    <n v="0.6553933909480294"/>
    <n v="0.6660842610102562"/>
    <n v="0.67666204430008292"/>
    <n v="0.46033200954900449"/>
    <n v="0.46812686923287539"/>
    <n v="0.44980092192821608"/>
    <n v="-5.4764399171390501"/>
    <n v="0.94240070955773636"/>
    <n v="-1.440590910345094"/>
    <n v="2.3528668534425492"/>
    <n v="2.2833766032743652"/>
    <n v="-11.51292546497023"/>
    <n v="6.9490246474742889E-2"/>
    <n v="0"/>
    <n v="0"/>
    <n v="0"/>
    <n v="0"/>
    <n v="0"/>
    <n v="1"/>
    <n v="0"/>
    <n v="-1.7390984296798706"/>
    <n v="0.15251712270481119"/>
    <n v="0.17567871595625231"/>
    <n v="-2.3161593251441126E-2"/>
    <n v="5.3645940194520312E-4"/>
  </r>
  <r>
    <x v="9"/>
    <x v="9"/>
    <n v="-1.900325340922125"/>
    <n v="0.69713920182948275"/>
    <n v="0.6553933909480294"/>
    <n v="0.6660842610102562"/>
    <n v="0.44455760791426069"/>
    <n v="0.46033200954900449"/>
    <n v="0.46812686923287539"/>
    <n v="-5.0869742562594968"/>
    <n v="0.94240070955773636"/>
    <n v="-1.3804406487253209"/>
    <n v="2.308634800602293"/>
    <n v="2.345917241733849"/>
    <n v="-11.51292546497023"/>
    <n v="-3.7282440811395645E-2"/>
    <n v="1"/>
    <n v="0"/>
    <n v="0"/>
    <n v="0"/>
    <n v="0"/>
    <n v="1"/>
    <n v="0"/>
    <n v="-1.7881240844726563"/>
    <n v="0.14951996634495138"/>
    <n v="0.16727366679689931"/>
    <n v="-1.7753700451947935E-2"/>
    <n v="3.151938797374963E-4"/>
  </r>
  <r>
    <x v="9"/>
    <x v="10"/>
    <n v="-1.876780802351339"/>
    <n v="0.76127300960754574"/>
    <n v="0.69713920182948275"/>
    <n v="0.6553933909480294"/>
    <n v="0.56713033997645834"/>
    <n v="0.44455760791426069"/>
    <n v="0.46033200954900449"/>
    <n v="-4.7314863869233648"/>
    <n v="0.94240070955773636"/>
    <n v="-1.34328618401536"/>
    <n v="2.282031132172003"/>
    <n v="2.3020080027038801"/>
    <n v="-11.51292546497023"/>
    <n v="-1.9976871088147163E-2"/>
    <n v="1"/>
    <n v="0"/>
    <n v="0"/>
    <n v="0"/>
    <n v="0"/>
    <n v="1"/>
    <n v="0"/>
    <n v="-1.779757022857666"/>
    <n v="0.15308211497911053"/>
    <n v="0.16867912746213087"/>
    <n v="-1.5597012483020339E-2"/>
    <n v="2.4326679839549228E-4"/>
  </r>
  <r>
    <x v="9"/>
    <x v="11"/>
    <n v="-1.8762247898236599"/>
    <n v="0.73730759634559995"/>
    <n v="0.76127300960754574"/>
    <n v="0.69713920182948275"/>
    <n v="0.55348273343197063"/>
    <n v="0.56713033997645834"/>
    <n v="0.44455760791426069"/>
    <n v="-4.0768126881465969"/>
    <n v="0.94240070955773636"/>
    <n v="-1.3129630208470151"/>
    <n v="2.306030019327109"/>
    <n v="2.275714762023346"/>
    <n v="-11.51292546497023"/>
    <n v="3.0315257608890533E-2"/>
    <n v="1"/>
    <n v="0"/>
    <n v="0"/>
    <n v="0"/>
    <n v="0"/>
    <n v="1"/>
    <n v="0"/>
    <n v="-1.7439790964126587"/>
    <n v="0.15316725421985136"/>
    <n v="0.17482337570489515"/>
    <n v="-2.1656121485043783E-2"/>
    <n v="4.6898759777497495E-4"/>
  </r>
  <r>
    <x v="9"/>
    <x v="12"/>
    <n v="-1.9205895670859261"/>
    <n v="0.83594797919161656"/>
    <n v="0.73730759634559995"/>
    <n v="0.76127300960754574"/>
    <n v="0.61003727383693873"/>
    <n v="0.55348273343197063"/>
    <n v="0.56713033997645834"/>
    <n v="-3.6410794980560079"/>
    <n v="0.94240070955773636"/>
    <n v="-1.2814082160523841"/>
    <n v="2.3085327992865792"/>
    <n v="2.299930457138661"/>
    <n v="3.2580965380214821"/>
    <n v="8.6023425683379173E-3"/>
    <n v="1"/>
    <n v="0"/>
    <n v="0"/>
    <n v="0"/>
    <n v="0"/>
    <n v="1"/>
    <n v="0"/>
    <n v="-1.7989150285720825"/>
    <n v="0.14652055296541316"/>
    <n v="0.16547833011943686"/>
    <n v="-1.8957777154023692E-2"/>
    <n v="3.5939731462162261E-4"/>
  </r>
  <r>
    <x v="9"/>
    <x v="13"/>
    <n v="-1.885905559529534"/>
    <n v="0.79818264339382605"/>
    <n v="0.83594797919161656"/>
    <n v="0.73730759634559995"/>
    <n v="0.59801198544490664"/>
    <n v="0.61003727383693873"/>
    <n v="0.55348273343197063"/>
    <n v="-2.908948471981462"/>
    <n v="0.94240070955773636"/>
    <n v="-1.2479508548670499"/>
    <n v="2.308993984237167"/>
    <n v="2.302334422007946"/>
    <n v="5.393627546352362"/>
    <n v="6.6595622338354588E-3"/>
    <n v="1"/>
    <n v="0"/>
    <n v="0"/>
    <n v="0"/>
    <n v="0"/>
    <n v="1"/>
    <n v="0"/>
    <n v="-1.7508558034896851"/>
    <n v="0.15169163141182093"/>
    <n v="0.17362529072105895"/>
    <n v="-2.1933659309238018E-2"/>
    <n v="4.8108541069372357E-4"/>
  </r>
  <r>
    <x v="9"/>
    <x v="14"/>
    <n v="-1.972287231124215"/>
    <n v="0.72706539876340592"/>
    <n v="0.79818264339382605"/>
    <n v="0.83594797919161656"/>
    <n v="0.53467885978815022"/>
    <n v="0.59801198544490664"/>
    <n v="0.61003727383693873"/>
    <n v="-2.3165166256601419"/>
    <n v="0.94240070955773636"/>
    <n v="-1.2230636868595159"/>
    <n v="2.2604783764800769"/>
    <n v="2.3029866015401592"/>
    <n v="5.9914645471079817"/>
    <n v="-4.250822588801384E-2"/>
    <n v="1"/>
    <n v="1"/>
    <n v="0"/>
    <n v="0"/>
    <n v="0"/>
    <n v="1"/>
    <n v="0"/>
    <n v="-1.8138076066970825"/>
    <n v="0.13913825065420501"/>
    <n v="0.16303219102926209"/>
    <n v="-2.3893940375057071E-2"/>
    <n v="5.7092038664678245E-4"/>
  </r>
  <r>
    <x v="9"/>
    <x v="15"/>
    <n v="-1.941188736177095"/>
    <n v="0.91776963775355425"/>
    <n v="0.72706539876340592"/>
    <n v="0.79818264339382605"/>
    <n v="0.75902854967345812"/>
    <n v="0.53467885978815022"/>
    <n v="0.59801198544490664"/>
    <n v="-1.7301286688154971"/>
    <n v="0.94240070955773636"/>
    <n v="-1.199099363373487"/>
    <n v="2.2869410639737482"/>
    <n v="2.2546743749546869"/>
    <n v="6.6846117276679271"/>
    <n v="3.2266687601804733E-2"/>
    <n v="1"/>
    <n v="0"/>
    <n v="0"/>
    <n v="0"/>
    <n v="0"/>
    <n v="1"/>
    <n v="0"/>
    <n v="-1.7707105875015259"/>
    <n v="0.14353322518716344"/>
    <n v="0.17021199532577799"/>
    <n v="-2.6678770138614555E-2"/>
    <n v="7.1175677610903166E-4"/>
  </r>
  <r>
    <x v="9"/>
    <x v="16"/>
    <n v="-1.865273851998017"/>
    <n v="0.92271008367633833"/>
    <n v="0.91776963775355425"/>
    <n v="0.72706539876340592"/>
    <n v="0.75724810596646897"/>
    <n v="0.75902854967345812"/>
    <n v="0.53467885978815022"/>
    <n v="-1.2570011084986299"/>
    <n v="0.94240070955773636"/>
    <n v="-1.1721363853870821"/>
    <n v="2.2964373068991701"/>
    <n v="2.2869410639737482"/>
    <n v="8.0551577318196781"/>
    <n v="9.4962427392601967E-3"/>
    <n v="1"/>
    <n v="0"/>
    <n v="0"/>
    <n v="0"/>
    <n v="0"/>
    <n v="1"/>
    <n v="0"/>
    <n v="-1.7442765235900879"/>
    <n v="0.15485379705602884"/>
    <n v="0.17477138621363766"/>
    <n v="-1.9917589157608828E-2"/>
    <n v="3.9671035785129676E-4"/>
  </r>
  <r>
    <x v="9"/>
    <x v="17"/>
    <n v="-1.8008710027392021"/>
    <n v="0.79908253096861415"/>
    <n v="0.92271008367633833"/>
    <n v="0.91776963775355425"/>
    <n v="0.56984896421545173"/>
    <n v="0.75724810596646897"/>
    <n v="0.75902854967345812"/>
    <n v="-0.7159780079589585"/>
    <n v="0.94240070955773636"/>
    <n v="-1.1419418669119821"/>
    <n v="2.329789097685202"/>
    <n v="2.2964373068991701"/>
    <n v="8.4658998970286863"/>
    <n v="3.335179015994072E-2"/>
    <n v="1"/>
    <n v="0"/>
    <n v="0"/>
    <n v="0"/>
    <n v="0"/>
    <n v="1"/>
    <n v="0"/>
    <n v="-1.715182900428772"/>
    <n v="0.16515497512060931"/>
    <n v="0.17993080828137104"/>
    <n v="-1.4775833160761725E-2"/>
    <n v="2.1832524559466584E-4"/>
  </r>
  <r>
    <x v="10"/>
    <x v="0"/>
    <n v="-2.4349504883525261"/>
    <n v="0.96317431777300555"/>
    <n v="0.88107797611841054"/>
    <n v="0.82342955082286751"/>
    <n v="0.636576829071551"/>
    <n v="0.53168651443331993"/>
    <n v="0.42983246455645868"/>
    <n v="-11.51292546497023"/>
    <n v="0.60360268067701006"/>
    <n v="-2.1371338032071021"/>
    <n v="2.315615472719339"/>
    <n v="2.2445335580631198"/>
    <n v="-11.51292546497023"/>
    <n v="7.1081914007663727E-2"/>
    <n v="0"/>
    <n v="0"/>
    <n v="0"/>
    <n v="0"/>
    <n v="0"/>
    <n v="1"/>
    <n v="0"/>
    <n v="-2.4472589492797852"/>
    <n v="8.7602084264199451E-2"/>
    <n v="8.6530446070542708E-2"/>
    <n v="1.0716381936567432E-3"/>
    <n v="1.1484084181038875E-6"/>
  </r>
  <r>
    <x v="10"/>
    <x v="1"/>
    <n v="-2.424065218979786"/>
    <n v="0.8924487573885842"/>
    <n v="0.96317431777300555"/>
    <n v="0.88107797611841054"/>
    <n v="0.45717165043035718"/>
    <n v="0.636576829071551"/>
    <n v="0.53168651443331993"/>
    <n v="-11.51292546497023"/>
    <n v="0.60360268067701006"/>
    <n v="-2.008082809411563"/>
    <n v="2.3825274780410539"/>
    <n v="2.3053722953143039"/>
    <n v="-11.51292546497023"/>
    <n v="7.7155180275440216E-2"/>
    <n v="0"/>
    <n v="0"/>
    <n v="0"/>
    <n v="0"/>
    <n v="0"/>
    <n v="1"/>
    <n v="0"/>
    <n v="-2.3722426891326904"/>
    <n v="8.8560865377298487E-2"/>
    <n v="9.3271312981354076E-2"/>
    <n v="-4.7104476040555898E-3"/>
    <n v="2.2188316630553047E-5"/>
  </r>
  <r>
    <x v="10"/>
    <x v="2"/>
    <n v="-2.32403325281124"/>
    <n v="0.85070633066131007"/>
    <n v="0.8924487573885842"/>
    <n v="0.96317431777300555"/>
    <n v="0.49237648009746082"/>
    <n v="0.45717165043035718"/>
    <n v="0.636576829071551"/>
    <n v="-11.51292546497023"/>
    <n v="0.60360268067701006"/>
    <n v="-1.8931114226758019"/>
    <n v="2.3817833481987249"/>
    <n v="2.3723881603646371"/>
    <n v="-11.51292546497023"/>
    <n v="9.395187720656395E-3"/>
    <n v="0"/>
    <n v="0"/>
    <n v="0"/>
    <n v="0"/>
    <n v="0"/>
    <n v="1"/>
    <n v="0"/>
    <n v="-2.2764260768890381"/>
    <n v="9.7878021629932074E-2"/>
    <n v="0.1026504166190257"/>
    <n v="-4.7723949890936257E-3"/>
    <n v="2.2775753931925948E-5"/>
  </r>
  <r>
    <x v="10"/>
    <x v="3"/>
    <n v="-2.2391758099955328"/>
    <n v="0.80848277923984968"/>
    <n v="0.85070633066131007"/>
    <n v="0.8924487573885842"/>
    <n v="0.46115206952241822"/>
    <n v="0.49237648009746082"/>
    <n v="0.45717165043035718"/>
    <n v="-11.51292546497023"/>
    <n v="0.60360268067701006"/>
    <n v="-1.793837456195611"/>
    <n v="2.3695177165425099"/>
    <n v="2.3718200644428848"/>
    <n v="-11.51292546497023"/>
    <n v="-2.3023479152470827E-3"/>
    <n v="0"/>
    <n v="0"/>
    <n v="0"/>
    <n v="0"/>
    <n v="0"/>
    <n v="1"/>
    <n v="0"/>
    <n v="-2.1732268333435059"/>
    <n v="0.10654628258244267"/>
    <n v="0.11380977856520083"/>
    <n v="-7.2634959827581613E-3"/>
    <n v="5.2758373891543945E-5"/>
  </r>
  <r>
    <x v="10"/>
    <x v="4"/>
    <n v="-2.0605872757379622"/>
    <n v="0.78522486876085318"/>
    <n v="0.80848277923984968"/>
    <n v="0.85070633066131007"/>
    <n v="0.47237581339079121"/>
    <n v="0.46115206952241822"/>
    <n v="0.49237648009746082"/>
    <n v="-8.0608870024461652"/>
    <n v="0.60360268067701006"/>
    <n v="-1.6886326266371581"/>
    <n v="2.4354991821506609"/>
    <n v="2.359825365180205"/>
    <n v="-11.51292546497023"/>
    <n v="7.5673818588256836E-2"/>
    <n v="0"/>
    <n v="0"/>
    <n v="0"/>
    <n v="0"/>
    <n v="0"/>
    <n v="1"/>
    <n v="0"/>
    <n v="-2.0594396591186523"/>
    <n v="0.12737914124527039"/>
    <n v="0.12752540757750072"/>
    <n v="-1.4626633223033259E-4"/>
    <n v="2.1393839944114028E-8"/>
  </r>
  <r>
    <x v="10"/>
    <x v="5"/>
    <n v="-1.887333588368725"/>
    <n v="0.73706836761787342"/>
    <n v="0.78522486876085318"/>
    <n v="0.80848277923984968"/>
    <n v="0.53397558366469022"/>
    <n v="0.47237581339079121"/>
    <n v="0.46115206952241822"/>
    <n v="-6.2787268439663473"/>
    <n v="0.60360268067701006"/>
    <n v="-1.598679576902704"/>
    <n v="2.4707618300385872"/>
    <n v="2.4258998714023359"/>
    <n v="-11.51292546497023"/>
    <n v="4.4861957430839539E-2"/>
    <n v="0"/>
    <n v="0"/>
    <n v="0"/>
    <n v="0"/>
    <n v="0"/>
    <n v="1"/>
    <n v="0"/>
    <n v="-1.9182623624801636"/>
    <n v="0.15147516598372382"/>
    <n v="0.14686193334803957"/>
    <n v="4.6132326356842501E-3"/>
    <n v="2.1281915350942252E-5"/>
  </r>
  <r>
    <x v="10"/>
    <x v="6"/>
    <n v="-1.7483490252738081"/>
    <n v="0.67294447324242579"/>
    <n v="0.73706836761787342"/>
    <n v="0.78522486876085318"/>
    <n v="0.48168513401957352"/>
    <n v="0.53397558366469022"/>
    <n v="0.47237581339079121"/>
    <n v="-5.8824547884624812"/>
    <n v="0.60360268067701006"/>
    <n v="-1.51478770487112"/>
    <n v="2.509297514626756"/>
    <n v="2.4615687774342709"/>
    <n v="-11.51292546497023"/>
    <n v="4.7728735953569412E-2"/>
    <n v="0"/>
    <n v="0"/>
    <n v="0"/>
    <n v="0"/>
    <n v="0"/>
    <n v="1"/>
    <n v="0"/>
    <n v="-1.7938796281814575"/>
    <n v="0.1740610767988828"/>
    <n v="0.16631368116600906"/>
    <n v="7.7473956328737437E-3"/>
    <n v="6.0022139092271157E-5"/>
  </r>
  <r>
    <x v="10"/>
    <x v="7"/>
    <n v="-1.7176212697949069"/>
    <n v="0.68006194101128981"/>
    <n v="0.67294447324242579"/>
    <n v="0.73706836761787342"/>
    <n v="0.50603416302985993"/>
    <n v="0.48168513401957352"/>
    <n v="0.53397558366469022"/>
    <n v="-5.079319673559997"/>
    <n v="0.60360268067701006"/>
    <n v="-1.475912521678826"/>
    <n v="2.497149251437806"/>
    <n v="2.4651347691420278"/>
    <n v="-11.51292546497023"/>
    <n v="3.2014481723308563E-2"/>
    <n v="0"/>
    <n v="0"/>
    <n v="0"/>
    <n v="0"/>
    <n v="0"/>
    <n v="1"/>
    <n v="0"/>
    <n v="-1.7418699264526367"/>
    <n v="0.17949260497830577"/>
    <n v="0.17519249705022877"/>
    <n v="4.3001079280770016E-3"/>
    <n v="1.8490928193110684E-5"/>
  </r>
  <r>
    <x v="10"/>
    <x v="8"/>
    <n v="-1.6534556585645781"/>
    <n v="0.66870078765501906"/>
    <n v="0.68006194101128981"/>
    <n v="0.67294447324242579"/>
    <n v="0.52330740126804653"/>
    <n v="0.50603416302985993"/>
    <n v="0.48168513401957352"/>
    <n v="-4.4204584579360944"/>
    <n v="0.60360268067701006"/>
    <n v="-1.413824844881286"/>
    <n v="2.458882208951175"/>
    <n v="2.4869608380808188"/>
    <n v="-11.51292546497023"/>
    <n v="-2.8078628703951836E-2"/>
    <n v="0"/>
    <n v="0"/>
    <n v="0"/>
    <n v="0"/>
    <n v="0"/>
    <n v="1"/>
    <n v="0"/>
    <n v="-1.6744083166122437"/>
    <n v="0.19138739507878794"/>
    <n v="0.1874190394139032"/>
    <n v="3.9683556648847373E-3"/>
    <n v="1.5747846683022785E-5"/>
  </r>
  <r>
    <x v="10"/>
    <x v="9"/>
    <n v="-1.674943828750509"/>
    <n v="0.67365850397608285"/>
    <n v="0.66870078765501906"/>
    <n v="0.68006194101128981"/>
    <n v="0.45203057725548518"/>
    <n v="0.52330740126804653"/>
    <n v="0.50603416302985993"/>
    <n v="-4.0167244329673659"/>
    <n v="0.60360268067701006"/>
    <n v="-1.3656918586521201"/>
    <n v="2.4341584669458749"/>
    <n v="2.4490539155791202"/>
    <n v="-11.51292546497023"/>
    <n v="-1.4895448461174965E-2"/>
    <n v="1"/>
    <n v="0"/>
    <n v="0"/>
    <n v="0"/>
    <n v="0"/>
    <n v="1"/>
    <n v="0"/>
    <n v="-1.707797646522522"/>
    <n v="0.18731870111194221"/>
    <n v="0.18126456197881319"/>
    <n v="6.0541391331290217E-3"/>
    <n v="3.6652600643284222E-5"/>
  </r>
  <r>
    <x v="10"/>
    <x v="10"/>
    <n v="-1.6737951702802141"/>
    <n v="0.74060312171624065"/>
    <n v="0.67365850397608285"/>
    <n v="0.66870078765501906"/>
    <n v="0.55778554262926883"/>
    <n v="0.45203057725548518"/>
    <n v="0.52330740126804653"/>
    <n v="-3.676012367980952"/>
    <n v="0.60360268067701006"/>
    <n v="-1.3317652697381079"/>
    <n v="2.3882586401077348"/>
    <n v="2.4246681024991741"/>
    <n v="-11.51292546497023"/>
    <n v="-3.6409463733434677E-2"/>
    <n v="1"/>
    <n v="0"/>
    <n v="0"/>
    <n v="0"/>
    <n v="0"/>
    <n v="1"/>
    <n v="0"/>
    <n v="-1.7154290676116943"/>
    <n v="0.18753398994762011"/>
    <n v="0.17988652067247707"/>
    <n v="7.6474692751430373E-3"/>
    <n v="5.8483786314256771E-5"/>
  </r>
  <r>
    <x v="10"/>
    <x v="11"/>
    <n v="-1.6687327971979049"/>
    <n v="0.71935084605658173"/>
    <n v="0.74060312171624065"/>
    <n v="0.67365850397608285"/>
    <n v="0.53807107265618603"/>
    <n v="0.55778554262926883"/>
    <n v="0.45203057725548518"/>
    <n v="-3.0208535490691468"/>
    <n v="0.60360268067701006"/>
    <n v="-1.298643706120147"/>
    <n v="2.4177344275341879"/>
    <n v="2.3790907169950879"/>
    <n v="-11.51292546497023"/>
    <n v="3.8643710315227509E-2"/>
    <n v="1"/>
    <n v="0"/>
    <n v="0"/>
    <n v="0"/>
    <n v="0"/>
    <n v="1"/>
    <n v="0"/>
    <n v="-1.6810705661773682"/>
    <n v="0.18848576405551978"/>
    <n v="0.18617455712893727"/>
    <n v="2.3112069265825153E-3"/>
    <n v="5.3416774574829959E-6"/>
  </r>
  <r>
    <x v="10"/>
    <x v="12"/>
    <n v="-1.744181599365112"/>
    <n v="0.81801616260581456"/>
    <n v="0.71935084605658173"/>
    <n v="0.74060312171624065"/>
    <n v="0.57605140868369809"/>
    <n v="0.53807107265618603"/>
    <n v="0.55778554262926883"/>
    <n v="-2.5672543911367551"/>
    <n v="0.60360268067701006"/>
    <n v="-1.2524127864998951"/>
    <n v="2.422378828415336"/>
    <n v="2.4257484835689902"/>
    <n v="3.2580965380214821"/>
    <n v="-3.3696552272886038E-3"/>
    <n v="1"/>
    <n v="0"/>
    <n v="0"/>
    <n v="0"/>
    <n v="0"/>
    <n v="1"/>
    <n v="0"/>
    <n v="-1.7419494390487671"/>
    <n v="0.17478797703944515"/>
    <n v="0.17517856759375672"/>
    <n v="-3.9059055431156509E-4"/>
    <n v="1.5256098111741568E-7"/>
  </r>
  <r>
    <x v="10"/>
    <x v="13"/>
    <n v="-1.7319081974415671"/>
    <n v="0.79154350241613858"/>
    <n v="0.81801616260581456"/>
    <n v="0.71935084605658173"/>
    <n v="0.57340597894739664"/>
    <n v="0.57605140868369809"/>
    <n v="0.53807107265618603"/>
    <n v="-1.8238802548908231"/>
    <n v="0.60360268067701006"/>
    <n v="-1.223270775918895"/>
    <n v="2.4362066432551361"/>
    <n v="2.4144075448583329"/>
    <n v="5.393627546352362"/>
    <n v="2.1799098700284958E-2"/>
    <n v="1"/>
    <n v="0"/>
    <n v="0"/>
    <n v="0"/>
    <n v="0"/>
    <n v="1"/>
    <n v="0"/>
    <n v="-1.7062360048294067"/>
    <n v="0.17694643887268721"/>
    <n v="0.18154785341857288"/>
    <n v="-4.6014145458856681E-3"/>
    <n v="2.117301582308821E-5"/>
  </r>
  <r>
    <x v="10"/>
    <x v="14"/>
    <n v="-1.81103430428288"/>
    <n v="0.74507527342030444"/>
    <n v="0.79154350241613858"/>
    <n v="0.81801616260581456"/>
    <n v="0.52915658045071412"/>
    <n v="0.57340597894739664"/>
    <n v="0.57605140868369809"/>
    <n v="-1.2525267312583299"/>
    <n v="0.60360268067701006"/>
    <n v="-1.2030013353163891"/>
    <n v="2.3690953343502521"/>
    <n v="2.4284486352555081"/>
    <n v="5.9914645471079817"/>
    <n v="-5.93532994389534E-2"/>
    <n v="1"/>
    <n v="1"/>
    <n v="0"/>
    <n v="0"/>
    <n v="0"/>
    <n v="1"/>
    <n v="0"/>
    <n v="-1.794303297996521"/>
    <n v="0.16348495613532465"/>
    <n v="0.16624323400368879"/>
    <n v="-2.758277868364134E-3"/>
    <n v="7.6080967991073911E-6"/>
  </r>
  <r>
    <x v="10"/>
    <x v="15"/>
    <n v="-1.788809764201982"/>
    <n v="0.95624194737638279"/>
    <n v="0.74507527342030444"/>
    <n v="0.79154350241613858"/>
    <n v="0.78472312404715483"/>
    <n v="0.52915658045071412"/>
    <n v="0.57340597894739664"/>
    <n v="-0.71096996834871751"/>
    <n v="0.60360268067701006"/>
    <n v="-1.179439725978024"/>
    <n v="2.3524061814011019"/>
    <n v="2.3615582320765669"/>
    <n v="6.6846117276679271"/>
    <n v="-9.1520510613918304E-3"/>
    <n v="1"/>
    <n v="0"/>
    <n v="0"/>
    <n v="0"/>
    <n v="0"/>
    <n v="1"/>
    <n v="0"/>
    <n v="-1.76324462890625"/>
    <n v="0.16715900994775756"/>
    <n v="0.17148754671724911"/>
    <n v="-4.3285367694915478E-3"/>
    <n v="1.8736230564840323E-5"/>
  </r>
  <r>
    <x v="10"/>
    <x v="16"/>
    <n v="-1.752015770360724"/>
    <n v="0.95896700615459141"/>
    <n v="0.95624194737638279"/>
    <n v="0.74507527342030444"/>
    <n v="0.75912216948347822"/>
    <n v="0.78472312404715483"/>
    <n v="0.52915658045071412"/>
    <n v="-0.1727360987302094"/>
    <n v="0.60360268067701006"/>
    <n v="-1.1500920847820439"/>
    <n v="2.4272900357337601"/>
    <n v="2.3524061814011019"/>
    <n v="8.0551577318196781"/>
    <n v="7.4883855879306793E-2"/>
    <n v="1"/>
    <n v="0"/>
    <n v="0"/>
    <n v="0"/>
    <n v="0"/>
    <n v="1"/>
    <n v="0"/>
    <n v="-1.7362431287765503"/>
    <n v="0.17342400789911983"/>
    <n v="0.1761810483664264"/>
    <n v="-2.7570404673065707E-3"/>
    <n v="7.6012721383660342E-6"/>
  </r>
  <r>
    <x v="10"/>
    <x v="17"/>
    <n v="-1.667685180494805"/>
    <n v="0.79389708366008849"/>
    <n v="0.95896700615459141"/>
    <n v="0.95624194737638279"/>
    <n v="0.56326625970542532"/>
    <n v="0.75912216948347822"/>
    <n v="0.78472312404715483"/>
    <n v="0.36587091806376609"/>
    <n v="0.60360268067701006"/>
    <n v="-1.1176948748155009"/>
    <n v="2.4580347094703971"/>
    <n v="2.4272900357337601"/>
    <n v="8.4658998970286863"/>
    <n v="3.0744673684239388E-2"/>
    <n v="1"/>
    <n v="0"/>
    <n v="0"/>
    <n v="0"/>
    <n v="0"/>
    <n v="1"/>
    <n v="0"/>
    <n v="-1.6814143657684326"/>
    <n v="0.18868332835800358"/>
    <n v="0.18611056139381385"/>
    <n v="2.5727669641897322E-3"/>
    <n v="6.6191298520260507E-6"/>
  </r>
  <r>
    <x v="11"/>
    <x v="0"/>
    <n v="-2.5567321498197288"/>
    <n v="0.95165787571144633"/>
    <n v="0.88107797611841054"/>
    <n v="0.80897274606553571"/>
    <n v="0.636576829071551"/>
    <n v="0.52561570923862611"/>
    <n v="0.42271546151469203"/>
    <n v="-11.51292546497023"/>
    <n v="0.66290777834686254"/>
    <n v="-2.3834282850965671"/>
    <n v="2.0474207723978028"/>
    <n v="1.941654197132562"/>
    <n v="-11.51292546497023"/>
    <n v="0.10576657205820084"/>
    <n v="0"/>
    <n v="0"/>
    <n v="0"/>
    <n v="0"/>
    <n v="0"/>
    <n v="1"/>
    <n v="0"/>
    <n v="-2.5992724895477295"/>
    <n v="7.7557773965939047E-2"/>
    <n v="7.4327632679022246E-2"/>
    <n v="3.2301412869168017E-3"/>
    <n v="1.0433812733444533E-5"/>
  </r>
  <r>
    <x v="11"/>
    <x v="1"/>
    <n v="-2.5042752606476011"/>
    <n v="0.88459364513090055"/>
    <n v="0.95165787571144633"/>
    <n v="0.88107797611841054"/>
    <n v="0.50446544061330811"/>
    <n v="0.636576829071551"/>
    <n v="0.52561570923862611"/>
    <n v="-11.51292546497023"/>
    <n v="0.66290777834686254"/>
    <n v="-2.270006468399421"/>
    <n v="2.06346333805116"/>
    <n v="2.0310793250721"/>
    <n v="-11.51292546497023"/>
    <n v="3.2384011894464493E-2"/>
    <n v="0"/>
    <n v="0"/>
    <n v="0"/>
    <n v="0"/>
    <n v="0"/>
    <n v="1"/>
    <n v="0"/>
    <n v="-2.5257129669189453"/>
    <n v="8.1734812960403594E-2"/>
    <n v="8.0001254200976077E-2"/>
    <n v="1.733558759427517E-3"/>
    <n v="3.0052259723878719E-6"/>
  </r>
  <r>
    <x v="11"/>
    <x v="2"/>
    <n v="-2.394683198451248"/>
    <n v="0.79511695414366257"/>
    <n v="0.88459364513090055"/>
    <n v="0.95165787571144633"/>
    <n v="0.46436274935564981"/>
    <n v="0.50446544061330811"/>
    <n v="0.636576829071551"/>
    <n v="-11.51292546497023"/>
    <n v="0.66290777834686254"/>
    <n v="-2.1509158248815639"/>
    <n v="2.123414253380127"/>
    <n v="2.047384912778214"/>
    <n v="-11.51292546497023"/>
    <n v="7.602933794260025E-2"/>
    <n v="0"/>
    <n v="0"/>
    <n v="0"/>
    <n v="0"/>
    <n v="0"/>
    <n v="1"/>
    <n v="0"/>
    <n v="-2.3900094032287598"/>
    <n v="9.1201567144159459E-2"/>
    <n v="9.1628822266677137E-2"/>
    <n v="-4.2725512251767794E-4"/>
    <n v="1.8254693971759598E-7"/>
  </r>
  <r>
    <x v="11"/>
    <x v="3"/>
    <n v="-2.3512659415167949"/>
    <n v="0.74060312171624065"/>
    <n v="0.79511695414366257"/>
    <n v="0.88459364513090055"/>
    <n v="0.38158216764483233"/>
    <n v="0.46436274935564981"/>
    <n v="0.50446544061330811"/>
    <n v="-11.51292546497023"/>
    <n v="0.66290777834686254"/>
    <n v="-2.0323858331525919"/>
    <n v="2.1626525165686892"/>
    <n v="2.1161269785712711"/>
    <n v="-11.51292546497023"/>
    <n v="4.6525537967681885E-2"/>
    <n v="0"/>
    <n v="0"/>
    <n v="0"/>
    <n v="0"/>
    <n v="0"/>
    <n v="1"/>
    <n v="0"/>
    <n v="-2.2864522933959961"/>
    <n v="9.524850682112912E-2"/>
    <n v="0.10162636358475673"/>
    <n v="-6.3778567636276068E-3"/>
    <n v="4.0677056897350408E-5"/>
  </r>
  <r>
    <x v="11"/>
    <x v="4"/>
    <n v="-2.1399677883229629"/>
    <n v="0.6954944236282935"/>
    <n v="0.74060312171624065"/>
    <n v="0.79511695414366257"/>
    <n v="0.41462304589292998"/>
    <n v="0.38158216764483233"/>
    <n v="0.46436274935564981"/>
    <n v="-8.2376501734829866"/>
    <n v="0.66290777834686254"/>
    <n v="-1.900139721059356"/>
    <n v="2.1823217220252009"/>
    <n v="2.1598265227134981"/>
    <n v="-11.51292546497023"/>
    <n v="2.2495198994874954E-2"/>
    <n v="0"/>
    <n v="0"/>
    <n v="0"/>
    <n v="0"/>
    <n v="0"/>
    <n v="1"/>
    <n v="0"/>
    <n v="-2.1363918781280518"/>
    <n v="0.11765863294262399"/>
    <n v="0.11808012280349092"/>
    <n v="-4.2148986086693041E-4"/>
    <n v="1.7765370281362437E-7"/>
  </r>
  <r>
    <x v="11"/>
    <x v="5"/>
    <n v="-2.0027505400651182"/>
    <n v="0.67645869927370994"/>
    <n v="0.6954944236282935"/>
    <n v="0.74060312171624065"/>
    <n v="0.47840573250987939"/>
    <n v="0.41462304589292998"/>
    <n v="0.38158216764483233"/>
    <n v="-6.8541738424771443"/>
    <n v="0.66290777834686254"/>
    <n v="-1.7739440801117641"/>
    <n v="2.2012436684120029"/>
    <n v="2.1795036919110808"/>
    <n v="-11.51292546497023"/>
    <n v="2.1739976480603218E-2"/>
    <n v="0"/>
    <n v="0"/>
    <n v="0"/>
    <n v="0"/>
    <n v="0"/>
    <n v="1"/>
    <n v="0"/>
    <n v="-1.989683985710144"/>
    <n v="0.1349635495863572"/>
    <n v="0.13673862997958811"/>
    <n v="-1.7750803932309045E-3"/>
    <n v="3.1509104024327826E-6"/>
  </r>
  <r>
    <x v="11"/>
    <x v="6"/>
    <n v="-1.869420099610005"/>
    <n v="0.63520022060509562"/>
    <n v="0.67645869927370994"/>
    <n v="0.6954944236282935"/>
    <n v="0.45444573032978619"/>
    <n v="0.47840573250987939"/>
    <n v="0.41462304589292998"/>
    <n v="-6.3008306167255776"/>
    <n v="0.66290777834686254"/>
    <n v="-1.679318968441075"/>
    <n v="2.2539034837379779"/>
    <n v="2.1949711062281301"/>
    <n v="-11.51292546497023"/>
    <n v="5.8932378888130188E-2"/>
    <n v="0"/>
    <n v="0"/>
    <n v="0"/>
    <n v="0"/>
    <n v="0"/>
    <n v="1"/>
    <n v="0"/>
    <n v="-1.8603119850158691"/>
    <n v="0.1542130641064319"/>
    <n v="0.15562407041532425"/>
    <n v="-1.4110063088923486E-3"/>
    <n v="1.9909388037340096E-6"/>
  </r>
  <r>
    <x v="11"/>
    <x v="7"/>
    <n v="-1.8343803932772089"/>
    <n v="0.64474444133177788"/>
    <n v="0.63520022060509562"/>
    <n v="0.67645869927370994"/>
    <n v="0.43760956143473151"/>
    <n v="0.45444573032978619"/>
    <n v="0.47840573250987939"/>
    <n v="-5.4998339825276146"/>
    <n v="0.66290777834686254"/>
    <n v="-1.620454268991969"/>
    <n v="2.2434386199640328"/>
    <n v="2.2282215447514639"/>
    <n v="-11.51292546497023"/>
    <n v="1.5217075124382973E-2"/>
    <n v="0"/>
    <n v="0"/>
    <n v="0"/>
    <n v="0"/>
    <n v="0"/>
    <n v="1"/>
    <n v="0"/>
    <n v="-1.8269968032836914"/>
    <n v="0.15971243001199928"/>
    <n v="0.16089604540014626"/>
    <n v="-1.1836153881469857E-3"/>
    <n v="1.4009453870583398E-6"/>
  </r>
  <r>
    <x v="11"/>
    <x v="8"/>
    <n v="-1.7486504936429701"/>
    <n v="0.61096050957199821"/>
    <n v="0.64474444133177788"/>
    <n v="0.63520022060509562"/>
    <n v="0.38872578410386638"/>
    <n v="0.43760956143473151"/>
    <n v="0.45444573032978619"/>
    <n v="-4.7535610324662514"/>
    <n v="0.66290777834686254"/>
    <n v="-1.553078029137535"/>
    <n v="2.292681756046643"/>
    <n v="2.235939767649016"/>
    <n v="-11.51292546497023"/>
    <n v="5.6741990149021149E-2"/>
    <n v="0"/>
    <n v="0"/>
    <n v="0"/>
    <n v="0"/>
    <n v="0"/>
    <n v="1"/>
    <n v="0"/>
    <n v="-1.7653533220291138"/>
    <n v="0.17400861079874277"/>
    <n v="0.17112631310610016"/>
    <n v="2.8822976926426158E-3"/>
    <n v="8.3076399890129469E-6"/>
  </r>
  <r>
    <x v="11"/>
    <x v="9"/>
    <n v="-1.7912111832058371"/>
    <n v="0.61880071843128848"/>
    <n v="0.61096050957199821"/>
    <n v="0.64474444133177788"/>
    <n v="0.3342554957513682"/>
    <n v="0.38872578410386638"/>
    <n v="0.43760956143473151"/>
    <n v="-4.316783966311764"/>
    <n v="0.66290777834686254"/>
    <n v="-1.4964916988102199"/>
    <n v="2.2713808548730379"/>
    <n v="2.2855274332651661"/>
    <n v="-11.51292546497023"/>
    <n v="-1.4146578498184681E-2"/>
    <n v="1"/>
    <n v="0"/>
    <n v="0"/>
    <n v="0"/>
    <n v="0"/>
    <n v="1"/>
    <n v="0"/>
    <n v="-1.8120498657226563"/>
    <n v="0.16675807272641224"/>
    <n v="0.16331901139569194"/>
    <n v="3.4390613307203055E-3"/>
    <n v="1.1827142836455719E-5"/>
  </r>
  <r>
    <x v="11"/>
    <x v="10"/>
    <n v="-1.7505820678848021"/>
    <n v="0.69524497864209145"/>
    <n v="0.61880071843128848"/>
    <n v="0.61096050957199821"/>
    <n v="0.50301520167401359"/>
    <n v="0.3342554957513682"/>
    <n v="0.38872578410386638"/>
    <n v="-3.9631700391201239"/>
    <n v="0.66290777834686254"/>
    <n v="-1.4557608068263881"/>
    <n v="2.238063056147455"/>
    <n v="2.2645533553304689"/>
    <n v="-11.51292546497023"/>
    <n v="-2.649029903113842E-2"/>
    <n v="1"/>
    <n v="0"/>
    <n v="0"/>
    <n v="0"/>
    <n v="0"/>
    <n v="1"/>
    <n v="0"/>
    <n v="-1.7949267625808716"/>
    <n v="0.17367282465060513"/>
    <n v="0.16613961953823073"/>
    <n v="7.5332051123744026E-3"/>
    <n v="5.6749179265103834E-5"/>
  </r>
  <r>
    <x v="11"/>
    <x v="11"/>
    <n v="-1.730906748678263"/>
    <n v="0.6634093622959889"/>
    <n v="0.69524497864209145"/>
    <n v="0.61880071843128848"/>
    <n v="0.46731251143424452"/>
    <n v="0.50301520167401359"/>
    <n v="0.3342554957513682"/>
    <n v="-3.3236850713637218"/>
    <n v="0.66290777834686254"/>
    <n v="-1.419417244995647"/>
    <n v="2.2496934649603402"/>
    <n v="2.231547621769614"/>
    <n v="-11.51292546497023"/>
    <n v="1.8145842477679253E-2"/>
    <n v="1"/>
    <n v="0"/>
    <n v="0"/>
    <n v="0"/>
    <n v="0"/>
    <n v="1"/>
    <n v="0"/>
    <n v="-1.7465355396270752"/>
    <n v="0.17712373042445284"/>
    <n v="0.17437702045636869"/>
    <n v="2.7467099680841545E-3"/>
    <n v="7.5444156487728567E-6"/>
  </r>
  <r>
    <x v="11"/>
    <x v="12"/>
    <n v="-1.8351671753535841"/>
    <n v="0.77408179805594457"/>
    <n v="0.6634093622959889"/>
    <n v="0.69524497864209145"/>
    <n v="0.4856308851314346"/>
    <n v="0.46731251143424452"/>
    <n v="0.50301520167401359"/>
    <n v="-2.8860014847296882"/>
    <n v="0.66290777834686254"/>
    <n v="-1.368520546302926"/>
    <n v="2.2441739376064671"/>
    <n v="2.2569390225548291"/>
    <n v="3.2580965380214821"/>
    <n v="-1.2765085324645042E-2"/>
    <n v="1"/>
    <n v="0"/>
    <n v="0"/>
    <n v="0"/>
    <n v="0"/>
    <n v="1"/>
    <n v="0"/>
    <n v="-1.818757176399231"/>
    <n v="0.15958682055480591"/>
    <n v="0.16222724554626769"/>
    <n v="-2.6404249914617761E-3"/>
    <n v="6.9718441355359207E-6"/>
  </r>
  <r>
    <x v="11"/>
    <x v="13"/>
    <n v="-1.816851935449769"/>
    <n v="0.7412704557416735"/>
    <n v="0.77408179805594457"/>
    <n v="0.6634093622959889"/>
    <n v="0.4775376768998158"/>
    <n v="0.4856308851314346"/>
    <n v="0.46731251143424452"/>
    <n v="-2.1437130586240052"/>
    <n v="0.66290777834686254"/>
    <n v="-1.329750878232308"/>
    <n v="2.2520006708502098"/>
    <n v="2.2387760411558508"/>
    <n v="5.393627546352362"/>
    <n v="1.3224629685282707E-2"/>
    <n v="1"/>
    <n v="0"/>
    <n v="0"/>
    <n v="0"/>
    <n v="0"/>
    <n v="1"/>
    <n v="0"/>
    <n v="-1.7779452800750732"/>
    <n v="0.16253662216251494"/>
    <n v="0.1689850076583346"/>
    <n v="-6.448385495819664E-3"/>
    <n v="4.1581675502697412E-5"/>
  </r>
  <r>
    <x v="11"/>
    <x v="14"/>
    <n v="-1.8714313104864531"/>
    <n v="0.64909079436302541"/>
    <n v="0.7412704557416735"/>
    <n v="0.77408179805594457"/>
    <n v="0.38328766316346141"/>
    <n v="0.4775376768998158"/>
    <n v="0.4856308851314346"/>
    <n v="-1.5376292798834841"/>
    <n v="0.66290777834686254"/>
    <n v="-1.2965751946622699"/>
    <n v="2.2173898707255222"/>
    <n v="2.2467508289467988"/>
    <n v="5.9914645471079817"/>
    <n v="-2.9360957443714142E-2"/>
    <n v="1"/>
    <n v="1"/>
    <n v="0"/>
    <n v="0"/>
    <n v="0"/>
    <n v="1"/>
    <n v="0"/>
    <n v="-1.8375890254974365"/>
    <n v="0.15390322079916766"/>
    <n v="0.1592007928298215"/>
    <n v="-5.297572030653841E-3"/>
    <n v="2.8064269419965861E-5"/>
  </r>
  <r>
    <x v="11"/>
    <x v="15"/>
    <n v="-1.8120219515211859"/>
    <n v="0.8723806407546667"/>
    <n v="0.64909079436302541"/>
    <n v="0.7412704557416735"/>
    <n v="0.68001128116680476"/>
    <n v="0.38328766316346141"/>
    <n v="0.4775376768998158"/>
    <n v="-1.007767047451207"/>
    <n v="0.66290777834686254"/>
    <n v="-1.2641710395091319"/>
    <n v="2.1868725588788012"/>
    <n v="2.2122960119621169"/>
    <n v="6.6846117276679271"/>
    <n v="-2.5423452258110046E-2"/>
    <n v="1"/>
    <n v="0"/>
    <n v="0"/>
    <n v="0"/>
    <n v="0"/>
    <n v="1"/>
    <n v="0"/>
    <n v="-1.7979391813278198"/>
    <n v="0.16332357037910988"/>
    <n v="0.16563989050817832"/>
    <n v="-2.3163201290684332E-3"/>
    <n v="5.365338940327603E-6"/>
  </r>
  <r>
    <x v="11"/>
    <x v="16"/>
    <n v="-1.7595164175781499"/>
    <n v="0.88508898073089048"/>
    <n v="0.8723806407546667"/>
    <n v="0.64909079436302541"/>
    <n v="0.63662973772477349"/>
    <n v="0.68001128116680476"/>
    <n v="0.38328766316346141"/>
    <n v="-0.52111797512606772"/>
    <n v="0.66290777834686243"/>
    <n v="-1.234433158724195"/>
    <n v="2.210215857827595"/>
    <n v="2.1868725588788012"/>
    <n v="8.0551577318196781"/>
    <n v="2.3343298584222794E-2"/>
    <n v="1"/>
    <n v="0"/>
    <n v="0"/>
    <n v="0"/>
    <n v="0"/>
    <n v="1"/>
    <n v="0"/>
    <n v="-1.7795575857162476"/>
    <n v="0.17212808181472219"/>
    <n v="0.16871277169997267"/>
    <n v="3.4153101147495202E-3"/>
    <n v="1.1664343179910381E-5"/>
  </r>
  <r>
    <x v="11"/>
    <x v="17"/>
    <n v="-1.675578578080767"/>
    <n v="0.72899683345364252"/>
    <n v="0.88508898073089048"/>
    <n v="0.8723806407546667"/>
    <n v="0.44192560511093881"/>
    <n v="0.63662973772477349"/>
    <n v="0.68001128116680476"/>
    <n v="5.5360231684286013E-2"/>
    <n v="0.66290777834686243"/>
    <n v="-1.196518951281881"/>
    <n v="2.2787973141068578"/>
    <n v="2.210215857827595"/>
    <n v="8.4658998970286863"/>
    <n v="6.8581454455852509E-2"/>
    <n v="1"/>
    <n v="0"/>
    <n v="0"/>
    <n v="0"/>
    <n v="0"/>
    <n v="1"/>
    <n v="0"/>
    <n v="-1.7236460447311401"/>
    <n v="0.18719983841986457"/>
    <n v="0.17841445350180854"/>
    <n v="8.7853849180560273E-3"/>
    <n v="7.7182988158406305E-5"/>
  </r>
  <r>
    <x v="12"/>
    <x v="0"/>
    <n v="-2.5903450348282231"/>
    <n v="0.97077891715822484"/>
    <n v="0.89379969403862336"/>
    <n v="0.82820241155281016"/>
    <n v="0.61518563909023349"/>
    <n v="0.48833458593045898"/>
    <n v="0.37891577287462791"/>
    <n v="-11.51292546497023"/>
    <n v="0.77993525432492927"/>
    <n v="-2.2336802376436262"/>
    <n v="2.1737491575544028"/>
    <n v="2.1399959864850908"/>
    <n v="-11.51292546497023"/>
    <n v="3.3753171563148499E-2"/>
    <n v="0"/>
    <n v="0"/>
    <n v="0"/>
    <n v="0"/>
    <n v="0"/>
    <n v="1"/>
    <n v="0"/>
    <n v="-2.5702526569366455"/>
    <n v="7.4994160023700893E-2"/>
    <n v="7.6516210630097947E-2"/>
    <n v="-1.5220506063970546E-3"/>
    <n v="2.3166380484336414E-6"/>
  </r>
  <r>
    <x v="12"/>
    <x v="1"/>
    <n v="-2.6287785958699339"/>
    <n v="0.91188102338545496"/>
    <n v="0.97077891715822484"/>
    <n v="0.89379969403862336"/>
    <n v="0.43877092681463697"/>
    <n v="0.61518563909023349"/>
    <n v="0.48833458593045898"/>
    <n v="-11.51292546497023"/>
    <n v="0.77993525432492927"/>
    <n v="-2.1466279541391269"/>
    <n v="2.2162173841391639"/>
    <n v="2.160222056866488"/>
    <n v="-11.51292546497023"/>
    <n v="5.5995326489210129E-2"/>
    <n v="0"/>
    <n v="0"/>
    <n v="0"/>
    <n v="0"/>
    <n v="0"/>
    <n v="1"/>
    <n v="0"/>
    <n v="-2.5279278755187988"/>
    <n v="7.2166552956465194E-2"/>
    <n v="7.9824254826126623E-2"/>
    <n v="-7.6577018696614291E-3"/>
    <n v="5.8640397924616144E-5"/>
  </r>
  <r>
    <x v="12"/>
    <x v="2"/>
    <n v="-2.5574184730470502"/>
    <n v="0.8545429795827455"/>
    <n v="0.91188102338545496"/>
    <n v="0.97077891715822484"/>
    <n v="0.4296372600791496"/>
    <n v="0.43877092681463697"/>
    <n v="0.61518563909023349"/>
    <n v="-11.51292546497023"/>
    <n v="0.77993525432492927"/>
    <n v="-2.0506173040819982"/>
    <n v="2.2386026334478739"/>
    <n v="2.202870940890401"/>
    <n v="-11.51292546497023"/>
    <n v="3.5731691867113113E-2"/>
    <n v="0"/>
    <n v="0"/>
    <n v="0"/>
    <n v="0"/>
    <n v="0"/>
    <n v="1"/>
    <n v="0"/>
    <n v="-2.441558837890625"/>
    <n v="7.750456252641906E-2"/>
    <n v="8.7025087668507833E-2"/>
    <n v="-9.5205251420887732E-3"/>
    <n v="9.0640398981144455E-5"/>
  </r>
  <r>
    <x v="12"/>
    <x v="3"/>
    <n v="-2.5307005302531782"/>
    <n v="0.80074519115796339"/>
    <n v="0.8545429795827455"/>
    <n v="0.91188102338545496"/>
    <n v="0.37562426609714311"/>
    <n v="0.4296372600791496"/>
    <n v="0.43877092681463697"/>
    <n v="-11.51292546497023"/>
    <n v="0.77993525432492927"/>
    <n v="-1.94468018103902"/>
    <n v="2.2839908173468459"/>
    <n v="2.229932031879803"/>
    <n v="-11.51292546497023"/>
    <n v="5.4058786481618881E-2"/>
    <n v="0"/>
    <n v="0"/>
    <n v="0"/>
    <n v="0"/>
    <n v="0"/>
    <n v="1"/>
    <n v="0"/>
    <n v="-2.3384950160980225"/>
    <n v="7.9603236273724606E-2"/>
    <n v="9.6472718920012843E-2"/>
    <n v="-1.6869482646288236E-2"/>
    <n v="2.8457944475341994E-4"/>
  </r>
  <r>
    <x v="12"/>
    <x v="4"/>
    <n v="-2.285560171446392"/>
    <n v="0.76257995527528211"/>
    <n v="0.80074519115796339"/>
    <n v="0.8545429795827455"/>
    <n v="0.42002525943949409"/>
    <n v="0.37562426609714311"/>
    <n v="0.4296372600791496"/>
    <n v="-9.0867684756508957"/>
    <n v="0.77993525432492927"/>
    <n v="-1.822801359947529"/>
    <n v="2.3976521594538101"/>
    <n v="2.280894118092859"/>
    <n v="-11.51292546497023"/>
    <n v="0.11675804108381271"/>
    <n v="0"/>
    <n v="0"/>
    <n v="0"/>
    <n v="0"/>
    <n v="0"/>
    <n v="1"/>
    <n v="0"/>
    <n v="-2.1852269172668457"/>
    <n v="0.10171706714767305"/>
    <n v="0.1124522134099893"/>
    <n v="-1.0735146262316253E-2"/>
    <n v="1.1524336527332262E-4"/>
  </r>
  <r>
    <x v="12"/>
    <x v="5"/>
    <n v="-2.0805677645541389"/>
    <n v="0.7185224868911736"/>
    <n v="0.76257995527528211"/>
    <n v="0.80074519115796339"/>
    <n v="0.48316661577201642"/>
    <n v="0.42002525943949409"/>
    <n v="0.37562426609714311"/>
    <n v="-7.2980961457272429"/>
    <n v="0.77993525432492927"/>
    <n v="-1.70989039242969"/>
    <n v="2.4399410439007672"/>
    <n v="2.39456502014942"/>
    <n v="-11.51292546497023"/>
    <n v="4.5376025140285492E-2"/>
    <n v="0"/>
    <n v="0"/>
    <n v="0"/>
    <n v="0"/>
    <n v="0"/>
    <n v="1"/>
    <n v="0"/>
    <n v="-2.0267400741577148"/>
    <n v="0.12485930138458325"/>
    <n v="0.131764363825778"/>
    <n v="-6.9050624411947509E-3"/>
    <n v="4.7679887316798415E-5"/>
  </r>
  <r>
    <x v="12"/>
    <x v="6"/>
    <n v="-1.934713985007412"/>
    <n v="0.68031520174456706"/>
    <n v="0.7185224868911736"/>
    <n v="0.76257995527528211"/>
    <n v="0.4405104498509651"/>
    <n v="0.48316661577201642"/>
    <n v="0.42002525943949409"/>
    <n v="-6.90006220749002"/>
    <n v="0.77993525432492927"/>
    <n v="-1.6203292439081409"/>
    <n v="2.5060722262164208"/>
    <n v="2.4325098740297491"/>
    <n v="-11.51292546497023"/>
    <n v="7.3562353849411011E-2"/>
    <n v="0"/>
    <n v="0"/>
    <n v="0"/>
    <n v="0"/>
    <n v="0"/>
    <n v="1"/>
    <n v="0"/>
    <n v="-1.9083118438720703"/>
    <n v="0.14446558223756534"/>
    <n v="0.1483305805313144"/>
    <n v="-3.8649982937490612E-3"/>
    <n v="1.4938211810683154E-5"/>
  </r>
  <r>
    <x v="12"/>
    <x v="7"/>
    <n v="-1.8984148666435801"/>
    <n v="0.66253332194210901"/>
    <n v="0.68031520174456706"/>
    <n v="0.7185224868911736"/>
    <n v="0.44205415633877998"/>
    <n v="0.4405104498509651"/>
    <n v="0.48316661577201642"/>
    <n v="-6.0833652415634818"/>
    <n v="0.77993525432492927"/>
    <n v="-1.569575443327718"/>
    <n v="2.5009884916538612"/>
    <n v="2.475471331755736"/>
    <n v="-11.51292546497023"/>
    <n v="2.5517160072922707E-2"/>
    <n v="0"/>
    <n v="0"/>
    <n v="0"/>
    <n v="0"/>
    <n v="0"/>
    <n v="1"/>
    <n v="0"/>
    <n v="-1.8418581485748291"/>
    <n v="0.14980589343599143"/>
    <n v="0.15852259373894531"/>
    <n v="-8.7167003029538781E-3"/>
    <n v="7.5980864171516235E-5"/>
  </r>
  <r>
    <x v="12"/>
    <x v="8"/>
    <n v="-1.824005337354704"/>
    <n v="0.63514723626195657"/>
    <n v="0.66253332194210901"/>
    <n v="0.68031520174456706"/>
    <n v="0.43145768838241799"/>
    <n v="0.44205415633877998"/>
    <n v="0.4405104498509651"/>
    <n v="-5.3741717447402957"/>
    <n v="0.77993525432492927"/>
    <n v="-1.510841257086355"/>
    <n v="2.5124836951737342"/>
    <n v="2.493504310506899"/>
    <n v="-11.51292546497023"/>
    <n v="1.8979385495185852E-2"/>
    <n v="0"/>
    <n v="0"/>
    <n v="0"/>
    <n v="0"/>
    <n v="0"/>
    <n v="1"/>
    <n v="0"/>
    <n v="-1.7743328809738159"/>
    <n v="0.16137808107524615"/>
    <n v="0.16959655285576025"/>
    <n v="-8.2184717805141028E-3"/>
    <n v="6.7543278407106641E-5"/>
  </r>
  <r>
    <x v="12"/>
    <x v="9"/>
    <n v="-1.9144271128298549"/>
    <n v="0.67661121191984575"/>
    <n v="0.63514723626195657"/>
    <n v="0.66253332194210901"/>
    <n v="0.37101168003878521"/>
    <n v="0.43145768838241799"/>
    <n v="0.44205415633877998"/>
    <n v="-4.9994805059003449"/>
    <n v="0.77993525432492927"/>
    <n v="-1.471134558582889"/>
    <n v="2.44397363079668"/>
    <n v="2.5052403233157161"/>
    <n v="-11.51292546497023"/>
    <n v="-6.1266694217920303E-2"/>
    <n v="1"/>
    <n v="0"/>
    <n v="0"/>
    <n v="0"/>
    <n v="0"/>
    <n v="1"/>
    <n v="0"/>
    <n v="-1.8516548871994019"/>
    <n v="0.14742626701506745"/>
    <n v="0.15697717173001535"/>
    <n v="-9.5509047149479054E-3"/>
    <n v="9.1219780874014127E-5"/>
  </r>
  <r>
    <x v="12"/>
    <x v="10"/>
    <n v="-1.8763673993929531"/>
    <n v="0.7061127629499685"/>
    <n v="0.67661121191984575"/>
    <n v="0.63514723626195657"/>
    <n v="0.48291985451228192"/>
    <n v="0.37101168003878521"/>
    <n v="0.43145768838241799"/>
    <n v="-4.6387044321201172"/>
    <n v="0.77993525432492927"/>
    <n v="-1.447700929104593"/>
    <n v="2.4231484139469588"/>
    <n v="2.4370249244515949"/>
    <n v="-11.51292546497023"/>
    <n v="-1.3876510784029961E-2"/>
    <n v="1"/>
    <n v="0"/>
    <n v="0"/>
    <n v="0"/>
    <n v="0"/>
    <n v="1"/>
    <n v="0"/>
    <n v="-1.8235706090927124"/>
    <n v="0.15314541266114193"/>
    <n v="0.16144825193947934"/>
    <n v="-8.302839278337415E-3"/>
    <n v="6.893714008190256E-5"/>
  </r>
  <r>
    <x v="12"/>
    <x v="11"/>
    <n v="-1.8463595529795001"/>
    <n v="0.66885448799090075"/>
    <n v="0.7061127629499685"/>
    <n v="0.67661121191984575"/>
    <n v="0.45387424731585202"/>
    <n v="0.48291985451228192"/>
    <n v="0.37101168003878521"/>
    <n v="-3.968843199446316"/>
    <n v="0.77993525432492927"/>
    <n v="-1.4235809967904469"/>
    <n v="2.46222844916471"/>
    <n v="2.416483347296853"/>
    <n v="-11.51292546497023"/>
    <n v="4.5745100826025009E-2"/>
    <n v="1"/>
    <n v="0"/>
    <n v="0"/>
    <n v="0"/>
    <n v="0"/>
    <n v="1"/>
    <n v="0"/>
    <n v="-1.7864711284637451"/>
    <n v="0.15781062307339405"/>
    <n v="0.16755039145339867"/>
    <n v="-9.7397683800046209E-3"/>
    <n v="9.4863088096137837E-5"/>
  </r>
  <r>
    <x v="12"/>
    <x v="12"/>
    <n v="-1.98000640652259"/>
    <n v="0.79050072581585518"/>
    <n v="0.66885448799090075"/>
    <n v="0.7061127629499685"/>
    <n v="0.50126001889628968"/>
    <n v="0.45387424731585202"/>
    <n v="0.48291985451228192"/>
    <n v="-3.5528548299186249"/>
    <n v="0.77993525432492927"/>
    <n v="-1.3924857911114339"/>
    <n v="2.441623988283482"/>
    <n v="2.4598005582371569"/>
    <n v="3.2580965380214821"/>
    <n v="-1.8176570534706116E-2"/>
    <n v="1"/>
    <n v="0"/>
    <n v="0"/>
    <n v="0"/>
    <n v="0"/>
    <n v="1"/>
    <n v="0"/>
    <n v="-1.8639422655105591"/>
    <n v="0.13806835277003843"/>
    <n v="0.15506013562805873"/>
    <n v="-1.6991782858020305E-2"/>
    <n v="2.8872068469411267E-4"/>
  </r>
  <r>
    <x v="12"/>
    <x v="13"/>
    <n v="-1.9440290434043119"/>
    <n v="0.75292438459580613"/>
    <n v="0.79050072581585518"/>
    <n v="0.66885448799090075"/>
    <n v="0.50458619897597168"/>
    <n v="0.50126001889628968"/>
    <n v="0.45387424731585202"/>
    <n v="-2.8089289176522461"/>
    <n v="0.77993525432492927"/>
    <n v="-1.361739138051314"/>
    <n v="2.4537585962841439"/>
    <n v="2.4352443061499658"/>
    <n v="5.393627546352362"/>
    <n v="1.8514290452003479E-2"/>
    <n v="1"/>
    <n v="0"/>
    <n v="0"/>
    <n v="0"/>
    <n v="0"/>
    <n v="1"/>
    <n v="0"/>
    <n v="-1.8113584518432617"/>
    <n v="0.1431261251485941"/>
    <n v="0.16343197147352265"/>
    <n v="-2.0305846324928545E-2"/>
    <n v="4.123273949716141E-4"/>
  </r>
  <r>
    <x v="12"/>
    <x v="14"/>
    <n v="-2.0220584994331561"/>
    <n v="0.69708939979256901"/>
    <n v="0.75292438459580613"/>
    <n v="0.79050072581585518"/>
    <n v="0.4633565865239419"/>
    <n v="0.50458619897597168"/>
    <n v="0.50126001889628968"/>
    <n v="-2.2604974465947518"/>
    <n v="0.77993525432492927"/>
    <n v="-1.3408826344356339"/>
    <n v="2.3615853912594869"/>
    <n v="2.4475469400755929"/>
    <n v="5.9914645471079817"/>
    <n v="-8.596155047416687E-2"/>
    <n v="1"/>
    <n v="1"/>
    <n v="0"/>
    <n v="0"/>
    <n v="0"/>
    <n v="1"/>
    <n v="0"/>
    <n v="-1.8931639194488525"/>
    <n v="0.13238267474615042"/>
    <n v="0.1505945851489725"/>
    <n v="-1.8211910402822079E-2"/>
    <n v="3.3167368052041904E-4"/>
  </r>
  <r>
    <x v="12"/>
    <x v="15"/>
    <n v="-1.993919182597867"/>
    <n v="0.89881898596211529"/>
    <n v="0.69708939979256901"/>
    <n v="0.75292438459580613"/>
    <n v="0.7098567941228926"/>
    <n v="0.4633565865239419"/>
    <n v="0.50458619897597168"/>
    <n v="-1.6968508162460541"/>
    <n v="0.77993525432492927"/>
    <n v="-1.316936669827935"/>
    <n v="2.3659318077915592"/>
    <n v="2.3555545034959131"/>
    <n v="6.6846117276679271"/>
    <n v="1.0377304628491402E-2"/>
    <n v="1"/>
    <n v="0"/>
    <n v="0"/>
    <n v="0"/>
    <n v="0"/>
    <n v="1"/>
    <n v="0"/>
    <n v="-1.8452234268188477"/>
    <n v="0.13616073956310998"/>
    <n v="0.15799001773888624"/>
    <n v="-2.1829278175776262E-2"/>
    <n v="4.7651738567542181E-4"/>
  </r>
  <r>
    <x v="12"/>
    <x v="16"/>
    <n v="-1.9661456224685481"/>
    <n v="0.90490617300751686"/>
    <n v="0.89881898596211529"/>
    <n v="0.69708939979256901"/>
    <n v="0.67849029121631166"/>
    <n v="0.7098567941228926"/>
    <n v="0.4633565865239419"/>
    <n v="-1.2086134218540261"/>
    <n v="0.77993525432492927"/>
    <n v="-1.290538163663894"/>
    <n v="2.391042028589438"/>
    <n v="2.3659318077915592"/>
    <n v="8.0551577318196781"/>
    <n v="2.5110220536589622E-2"/>
    <n v="1"/>
    <n v="0"/>
    <n v="0"/>
    <n v="0"/>
    <n v="0"/>
    <n v="1"/>
    <n v="0"/>
    <n v="-1.8295209407806396"/>
    <n v="0.13999541282175224"/>
    <n v="0.16049043378394098"/>
    <n v="-2.0495020962188748E-2"/>
    <n v="4.2004588424055618E-4"/>
  </r>
  <r>
    <x v="12"/>
    <x v="17"/>
    <n v="-1.8882860952337699"/>
    <n v="0.74007847524437753"/>
    <n v="0.90490617300751686"/>
    <n v="0.89881898596211529"/>
    <n v="0.47604782623004671"/>
    <n v="0.67849029121631166"/>
    <n v="0.7098567941228926"/>
    <n v="-0.65549647857021687"/>
    <n v="0.77993525432492927"/>
    <n v="-1.2581451381638631"/>
    <n v="2.4362811612601512"/>
    <n v="2.391042028589438"/>
    <n v="8.4658998970286863"/>
    <n v="4.5239131897687912E-2"/>
    <n v="1"/>
    <n v="0"/>
    <n v="0"/>
    <n v="0"/>
    <n v="0"/>
    <n v="1"/>
    <n v="0"/>
    <n v="-1.7715681791305542"/>
    <n v="0.15133095354081474"/>
    <n v="0.17006608551788394"/>
    <n v="-1.8735131977069192E-2"/>
    <n v="3.5100517019820058E-4"/>
  </r>
  <r>
    <x v="13"/>
    <x v="0"/>
    <n v="-2.893807405044873"/>
    <n v="1.0296194171811579"/>
    <n v="0.97093042083247871"/>
    <n v="0.87016302023036873"/>
    <n v="0.66782937257565544"/>
    <n v="0.54371866706801619"/>
    <n v="0.37891577287462791"/>
    <n v="-11.51292546497023"/>
    <n v="0.83755816851655263"/>
    <n v="-2.6698411578857231"/>
    <n v="2.0388695587168271"/>
    <n v="1.9880358888256391"/>
    <n v="-11.51292546497023"/>
    <n v="5.0833668559789658E-2"/>
    <n v="0"/>
    <n v="0"/>
    <n v="0"/>
    <n v="0"/>
    <n v="0"/>
    <n v="1"/>
    <n v="0"/>
    <n v="-2.9155046939849854"/>
    <n v="5.5365013774104625E-2"/>
    <n v="5.4176681486705437E-2"/>
    <n v="1.1883322873991881E-3"/>
    <n v="1.4121336252753864E-6"/>
  </r>
  <r>
    <x v="13"/>
    <x v="1"/>
    <n v="-2.9388830404534758"/>
    <n v="0.98600334428545533"/>
    <n v="1.0296194171811579"/>
    <n v="0.97093042083247871"/>
    <n v="0.52732869586500486"/>
    <n v="0.66782937257565544"/>
    <n v="0.54371866706801619"/>
    <n v="-11.51292546497023"/>
    <n v="0.83755816851655263"/>
    <n v="-2.576804968778645"/>
    <n v="2.0969943318717892"/>
    <n v="2.026343168322208"/>
    <n v="-11.51292546497023"/>
    <n v="7.0651166141033173E-2"/>
    <n v="0"/>
    <n v="0"/>
    <n v="0"/>
    <n v="0"/>
    <n v="0"/>
    <n v="1"/>
    <n v="0"/>
    <n v="-2.8680763244628906"/>
    <n v="5.2924810608635603E-2"/>
    <n v="5.6808101893161475E-2"/>
    <n v="-3.8832912845258721E-3"/>
    <n v="1.5079951200474598E-5"/>
  </r>
  <r>
    <x v="13"/>
    <x v="2"/>
    <n v="-2.898338237181119"/>
    <n v="0.91428872920348203"/>
    <n v="0.98600334428545533"/>
    <n v="1.0296194171811579"/>
    <n v="0.48679928916313631"/>
    <n v="0.52732869586500486"/>
    <n v="0.66782937257565544"/>
    <n v="-11.51292546497023"/>
    <n v="0.83755816851655263"/>
    <n v="-2.4762575176998389"/>
    <n v="2.1140985810061821"/>
    <n v="2.0846229127046909"/>
    <n v="-11.51292546497023"/>
    <n v="2.947566844522953E-2"/>
    <n v="0"/>
    <n v="0"/>
    <n v="0"/>
    <n v="0"/>
    <n v="0"/>
    <n v="1"/>
    <n v="0"/>
    <n v="-2.7717149257659912"/>
    <n v="5.5114731611863491E-2"/>
    <n v="6.2554636146571668E-2"/>
    <n v="-7.4399045347081777E-3"/>
    <n v="5.5352179485571304E-5"/>
  </r>
  <r>
    <x v="13"/>
    <x v="3"/>
    <n v="-2.8674743324473879"/>
    <n v="0.84638315645880335"/>
    <n v="0.91428872920348203"/>
    <n v="0.98600334428545533"/>
    <n v="0.42781351177192622"/>
    <n v="0.48679928916313631"/>
    <n v="0.52732869586500486"/>
    <n v="-11.51292546497023"/>
    <n v="0.83755816851655263"/>
    <n v="-2.3629823640902869"/>
    <n v="2.117158154833088"/>
    <n v="2.1050121059029281"/>
    <n v="-11.51292546497023"/>
    <n v="1.2146049179136753E-2"/>
    <n v="0"/>
    <n v="0"/>
    <n v="0"/>
    <n v="0"/>
    <n v="0"/>
    <n v="1"/>
    <n v="0"/>
    <n v="-2.6584494113922119"/>
    <n v="5.6842310212451487E-2"/>
    <n v="7.0056766793037253E-2"/>
    <n v="-1.3214456580585766E-2"/>
    <n v="1.7462186272018646E-4"/>
  </r>
  <r>
    <x v="13"/>
    <x v="4"/>
    <n v="-2.552481695903928"/>
    <n v="0.80370417112458914"/>
    <n v="0.84638315645880335"/>
    <n v="0.91428872920348203"/>
    <n v="0.47237581339079121"/>
    <n v="0.42781351177192622"/>
    <n v="0.48679928916313631"/>
    <n v="-8.0550770936479079"/>
    <n v="0.83755816851655263"/>
    <n v="-2.233167938684173"/>
    <n v="2.1534302850945268"/>
    <n v="2.119175963097788"/>
    <n v="-11.51292546497023"/>
    <n v="3.4254323691129684E-2"/>
    <n v="0"/>
    <n v="0"/>
    <n v="0"/>
    <n v="0"/>
    <n v="0"/>
    <n v="1"/>
    <n v="0"/>
    <n v="-2.5015242099761963"/>
    <n v="7.7888131296936267E-2"/>
    <n v="8.1959979152267062E-2"/>
    <n v="-4.0718478553307957E-3"/>
    <n v="1.6579944956962002E-5"/>
  </r>
  <r>
    <x v="13"/>
    <x v="5"/>
    <n v="-2.3390053546446499"/>
    <n v="0.77320527273052442"/>
    <n v="0.80370417112458914"/>
    <n v="0.84638315645880335"/>
    <n v="0.55181400444330142"/>
    <n v="0.47237581339079121"/>
    <n v="0.42781351177192622"/>
    <n v="-6.6667608444795556"/>
    <n v="0.83755816851655263"/>
    <n v="-2.1089469761102739"/>
    <n v="2.2297628798534999"/>
    <n v="2.1554521731430301"/>
    <n v="-11.51292546497023"/>
    <n v="7.4310705065727234E-2"/>
    <n v="0"/>
    <n v="0"/>
    <n v="0"/>
    <n v="0"/>
    <n v="0"/>
    <n v="1"/>
    <n v="0"/>
    <n v="-2.3240859508514404"/>
    <n v="9.6423497733652649E-2"/>
    <n v="9.7872863785918807E-2"/>
    <n v="-1.4493660522661572E-3"/>
    <n v="2.1006619534615851E-6"/>
  </r>
  <r>
    <x v="13"/>
    <x v="6"/>
    <n v="-2.16336344541019"/>
    <n v="0.69494556250132467"/>
    <n v="0.77320527273052442"/>
    <n v="0.80370417112458914"/>
    <n v="0.49944106489935253"/>
    <n v="0.55181400444330142"/>
    <n v="0.47237581339079121"/>
    <n v="-6.1141473055257016"/>
    <n v="0.83755816851655263"/>
    <n v="-1.997829271382167"/>
    <n v="2.236666080771669"/>
    <n v="2.2227606308718921"/>
    <n v="-11.51292546497023"/>
    <n v="1.3905449770390987E-2"/>
    <n v="0"/>
    <n v="0"/>
    <n v="0"/>
    <n v="0"/>
    <n v="0"/>
    <n v="1"/>
    <n v="0"/>
    <n v="-2.1638550758361816"/>
    <n v="0.11493788288128909"/>
    <n v="0.11488138980896007"/>
    <n v="5.6493072329022453E-5"/>
    <n v="3.1914672211721625E-9"/>
  </r>
  <r>
    <x v="13"/>
    <x v="7"/>
    <n v="-2.1092024062409052"/>
    <n v="0.68355128688649835"/>
    <n v="0.69494556250132467"/>
    <n v="0.77320527273052442"/>
    <n v="0.51018541887856739"/>
    <n v="0.49944106489935253"/>
    <n v="0.55181400444330142"/>
    <n v="-5.3293723184168256"/>
    <n v="0.83755816851655263"/>
    <n v="-1.9389473345789749"/>
    <n v="2.1956150157495049"/>
    <n v="2.194762494696052"/>
    <n v="-11.51292546497023"/>
    <n v="8.5252104327082634E-4"/>
    <n v="0"/>
    <n v="0"/>
    <n v="0"/>
    <n v="0"/>
    <n v="0"/>
    <n v="1"/>
    <n v="0"/>
    <n v="-2.0862669944763184"/>
    <n v="0.12133470365214694"/>
    <n v="0.12414972346259448"/>
    <n v="-2.8150198104475443E-3"/>
    <n v="7.9243365332121292E-6"/>
  </r>
  <r>
    <x v="13"/>
    <x v="8"/>
    <n v="-2.0178092740909261"/>
    <n v="0.65876275369811454"/>
    <n v="0.68355128688649835"/>
    <n v="0.69494556250132467"/>
    <n v="0.48833458593045898"/>
    <n v="0.51018541887856739"/>
    <n v="0.49944106489935253"/>
    <n v="-4.6425051077308606"/>
    <n v="0.83755816851655263"/>
    <n v="-1.856258132411662"/>
    <n v="2.2082315199032889"/>
    <n v="2.189335045875517"/>
    <n v="-11.51292546497023"/>
    <n v="1.8896473571658134E-2"/>
    <n v="0"/>
    <n v="0"/>
    <n v="0"/>
    <n v="0"/>
    <n v="0"/>
    <n v="1"/>
    <n v="0"/>
    <n v="-1.9963494539260864"/>
    <n v="0.1329463954023957"/>
    <n v="0.1358302337937381"/>
    <n v="-2.8838383913424026E-3"/>
    <n v="8.3165238673803358E-6"/>
  </r>
  <r>
    <x v="13"/>
    <x v="9"/>
    <n v="-2.0598646371223368"/>
    <n v="0.67661121191984575"/>
    <n v="0.65876275369811454"/>
    <n v="0.68355128688649835"/>
    <n v="0.4295071025884023"/>
    <n v="0.48833458593045898"/>
    <n v="0.51018541887856739"/>
    <n v="-4.1627613703805331"/>
    <n v="0.83755816851655263"/>
    <n v="-1.794602835233692"/>
    <n v="2.2531619595182182"/>
    <n v="2.202467441471915"/>
    <n v="-11.51292546497023"/>
    <n v="5.069451779127121E-2"/>
    <n v="1"/>
    <n v="0"/>
    <n v="0"/>
    <n v="0"/>
    <n v="0"/>
    <n v="1"/>
    <n v="0"/>
    <n v="-2.0272789001464844"/>
    <n v="0.12747122359868446"/>
    <n v="0.13169338488652085"/>
    <n v="-4.2221612878363957E-3"/>
    <n v="1.7826645940504289E-5"/>
  </r>
  <r>
    <x v="13"/>
    <x v="10"/>
    <n v="-2.001373485507532"/>
    <n v="0.72750029693160778"/>
    <n v="0.67661121191984575"/>
    <n v="0.65876275369811454"/>
    <n v="0.56713033997645834"/>
    <n v="0.4295071025884023"/>
    <n v="0.48833458593045898"/>
    <n v="-3.8018994608322281"/>
    <n v="0.8375581685165524"/>
    <n v="-1.7494814545672011"/>
    <n v="2.2346080184088182"/>
    <n v="2.2477794741116419"/>
    <n v="-11.51292546497023"/>
    <n v="-1.3171455822885036E-2"/>
    <n v="1"/>
    <n v="0"/>
    <n v="0"/>
    <n v="0"/>
    <n v="0"/>
    <n v="1"/>
    <n v="0"/>
    <n v="-2.0031101703643799"/>
    <n v="0.13514952978047087"/>
    <n v="0.13491502133126851"/>
    <n v="2.3450844920236413E-4"/>
    <n v="5.49942127472978E-8"/>
  </r>
  <r>
    <x v="13"/>
    <x v="11"/>
    <n v="-2.0026459718285721"/>
    <n v="0.724500488217941"/>
    <n v="0.72750029693160778"/>
    <n v="0.67661121191984575"/>
    <n v="0.53807107265618603"/>
    <n v="0.56713033997645834"/>
    <n v="0.4295071025884023"/>
    <n v="-3.1407878037231169"/>
    <n v="0.8375581685165524"/>
    <n v="-1.7048882160364009"/>
    <n v="2.2596821472676689"/>
    <n v="2.2296011673459009"/>
    <n v="-11.51292546497023"/>
    <n v="3.0080979689955711E-2"/>
    <n v="1"/>
    <n v="0"/>
    <n v="0"/>
    <n v="0"/>
    <n v="0"/>
    <n v="1"/>
    <n v="0"/>
    <n v="-1.9796953201293945"/>
    <n v="0.13497766322464172"/>
    <n v="0.13811131063737364"/>
    <n v="-3.1336474127319214E-3"/>
    <n v="9.8197461073214641E-6"/>
  </r>
  <r>
    <x v="13"/>
    <x v="12"/>
    <n v="-2.073760835553375"/>
    <n v="0.84479473016908513"/>
    <n v="0.724500488217941"/>
    <n v="0.72750029693160778"/>
    <n v="0.57605140868369809"/>
    <n v="0.53807107265618603"/>
    <n v="0.56713033997645834"/>
    <n v="-2.6836190814855039"/>
    <n v="0.83755816851655263"/>
    <n v="-1.640373601863762"/>
    <n v="2.2606785209916982"/>
    <n v="2.275507473732215"/>
    <n v="3.2580965380214821"/>
    <n v="-1.4828952960669994E-2"/>
    <n v="1"/>
    <n v="0"/>
    <n v="0"/>
    <n v="0"/>
    <n v="0"/>
    <n v="1"/>
    <n v="0"/>
    <n v="-2.0459256172180176"/>
    <n v="0.12571210899175994"/>
    <n v="0.12926048885311478"/>
    <n v="-3.548379861354839E-3"/>
    <n v="1.2590999640468587E-5"/>
  </r>
  <r>
    <x v="13"/>
    <x v="13"/>
    <n v="-2.032838298703612"/>
    <n v="0.79818264339382605"/>
    <n v="0.84479473016908513"/>
    <n v="0.724500488217941"/>
    <n v="0.55382764031053344"/>
    <n v="0.57605140868369809"/>
    <n v="0.53807107265618603"/>
    <n v="-1.9144557388563139"/>
    <n v="0.83755816851655263"/>
    <n v="-1.5886572799625751"/>
    <n v="2.295256970206228"/>
    <n v="2.2563131646099812"/>
    <n v="5.393627546352362"/>
    <n v="3.8943804800510406E-2"/>
    <n v="1"/>
    <n v="0"/>
    <n v="0"/>
    <n v="0"/>
    <n v="0"/>
    <n v="1"/>
    <n v="0"/>
    <n v="-1.9927734136581421"/>
    <n v="0.13096328022444101"/>
    <n v="0.13631683771844338"/>
    <n v="-5.3535574940023756E-3"/>
    <n v="2.8660577841588997E-5"/>
  </r>
  <r>
    <x v="13"/>
    <x v="14"/>
    <n v="-2.0677555160978001"/>
    <n v="0.72933445132165775"/>
    <n v="0.79818264339382605"/>
    <n v="0.84479473016908513"/>
    <n v="0.4924987070731065"/>
    <n v="0.55382764031053344"/>
    <n v="0.57605140868369809"/>
    <n v="-1.270232976206414"/>
    <n v="0.83755816851655263"/>
    <n v="-1.5508103434110101"/>
    <n v="2.297717739630567"/>
    <n v="2.2910153097630568"/>
    <n v="5.9914645471079817"/>
    <n v="6.7024300806224346E-3"/>
    <n v="1"/>
    <n v="1"/>
    <n v="0"/>
    <n v="0"/>
    <n v="0"/>
    <n v="1"/>
    <n v="0"/>
    <n v="-2.056633472442627"/>
    <n v="0.12646932174225414"/>
    <n v="0.12788377025822331"/>
    <n v="-1.4144485159691689E-3"/>
    <n v="2.0006646043273843E-6"/>
  </r>
  <r>
    <x v="13"/>
    <x v="15"/>
    <n v="-2.0350303845228228"/>
    <n v="0.91776963775355425"/>
    <n v="0.72933445132165775"/>
    <n v="0.79818264339382605"/>
    <n v="0.72445203038835781"/>
    <n v="0.4924987070731065"/>
    <n v="0.55382764031053344"/>
    <n v="-0.64821845767071162"/>
    <n v="0.83755816851655263"/>
    <n v="-1.505719137222969"/>
    <n v="2.358827079517972"/>
    <n v="2.2936063097194519"/>
    <n v="6.6846117276679271"/>
    <n v="6.5220773220062256E-2"/>
    <n v="1"/>
    <n v="0"/>
    <n v="0"/>
    <n v="0"/>
    <n v="0"/>
    <n v="1"/>
    <n v="0"/>
    <n v="-1.9943921566009521"/>
    <n v="0.13067651190024468"/>
    <n v="0.13609635430053374"/>
    <n v="-5.4198424002890599E-3"/>
    <n v="2.937469164397108E-5"/>
  </r>
  <r>
    <x v="13"/>
    <x v="16"/>
    <n v="-1.975073198276198"/>
    <n v="0.9065231843151027"/>
    <n v="0.91776963775355425"/>
    <n v="0.72933445132165775"/>
    <n v="0.67023672897683917"/>
    <n v="0.72445203038835781"/>
    <n v="0.4924987070731065"/>
    <n v="-0.26962636781364357"/>
    <n v="0.83755816851655263"/>
    <n v="-1.4599073422849631"/>
    <n v="2.274000264712583"/>
    <n v="2.358827079517972"/>
    <n v="8.0551577318196781"/>
    <n v="-8.4826812148094177E-2"/>
    <n v="1"/>
    <n v="0"/>
    <n v="0"/>
    <n v="0"/>
    <n v="0"/>
    <n v="1"/>
    <n v="0"/>
    <n v="-1.9745020866394043"/>
    <n v="0.13875115552582773"/>
    <n v="0.1388304205578037"/>
    <n v="-7.9265031975972455E-5"/>
    <n v="6.2829452941519355E-9"/>
  </r>
  <r>
    <x v="13"/>
    <x v="17"/>
    <n v="-1.896478949702052"/>
    <n v="0.76197337148979782"/>
    <n v="0.9065231843151027"/>
    <n v="0.91776963775355425"/>
    <n v="0.4879663296199081"/>
    <n v="0.67023672897683917"/>
    <n v="0.72445203038835781"/>
    <n v="0.35258052097495479"/>
    <n v="0.83755816851655263"/>
    <n v="-1.4096688125484551"/>
    <n v="2.3884407371539851"/>
    <n v="2.274000264712583"/>
    <n v="8.4658998970286863"/>
    <n v="0.11444047093391418"/>
    <n v="1"/>
    <n v="0"/>
    <n v="0"/>
    <n v="0"/>
    <n v="0"/>
    <n v="1"/>
    <n v="0"/>
    <n v="-1.8964900970458984"/>
    <n v="0.15009618610361891"/>
    <n v="0.15009451293914808"/>
    <n v="1.6731644708334326E-6"/>
    <n v="2.7994793464593206E-12"/>
  </r>
  <r>
    <x v="14"/>
    <x v="0"/>
    <n v="-2.4606930434845151"/>
    <n v="0.93609335917033476"/>
    <n v="0.87246422833360116"/>
    <n v="0.80897274606553571"/>
    <n v="0.71783979315031676"/>
    <n v="0.58478215588182025"/>
    <n v="0.4439162944824171"/>
    <n v="-11.51292546497023"/>
    <n v="0.72379967174414939"/>
    <n v="-2.2437468778448921"/>
    <n v="2.40297520420207"/>
    <n v="2.339351784970658"/>
    <n v="-11.51292546497023"/>
    <n v="6.3623420894145966E-2"/>
    <n v="0"/>
    <n v="0"/>
    <n v="0"/>
    <n v="0"/>
    <n v="0"/>
    <n v="1"/>
    <n v="0"/>
    <n v="-2.448681116104126"/>
    <n v="8.5375761344063938E-2"/>
    <n v="8.6407472805821173E-2"/>
    <n v="-1.0317114617572343E-3"/>
    <n v="1.064428540321249E-6"/>
  </r>
  <r>
    <x v="14"/>
    <x v="1"/>
    <n v="-2.4282767174428939"/>
    <n v="0.88062210259469464"/>
    <n v="0.93609335917033476"/>
    <n v="0.87246422833360116"/>
    <n v="0.59823192276365766"/>
    <n v="0.71783979315031676"/>
    <n v="0.58478215588182025"/>
    <n v="-11.51292546497023"/>
    <n v="0.72379967174414939"/>
    <n v="-2.141127947275046"/>
    <n v="2.4448609285518201"/>
    <n v="2.403316136530306"/>
    <n v="-11.51292546497023"/>
    <n v="4.154479131102562E-2"/>
    <n v="0"/>
    <n v="0"/>
    <n v="0"/>
    <n v="0"/>
    <n v="0"/>
    <n v="1"/>
    <n v="0"/>
    <n v="-2.3689761161804199"/>
    <n v="8.8188675717079945E-2"/>
    <n v="9.3576488697567156E-2"/>
    <n v="-5.387812980487211E-3"/>
    <n v="2.9028528712706483E-5"/>
  </r>
  <r>
    <x v="14"/>
    <x v="2"/>
    <n v="-2.31569538527746"/>
    <n v="0.82329786502499036"/>
    <n v="0.88062210259469464"/>
    <n v="0.93609335917033476"/>
    <n v="0.50337795863083334"/>
    <n v="0.59823192276365766"/>
    <n v="0.71783979315031676"/>
    <n v="-11.51292546497023"/>
    <n v="0.72379967174414939"/>
    <n v="-2.0325922953629618"/>
    <n v="2.5228724955326638"/>
    <n v="2.445201977154551"/>
    <n v="-11.51292546497023"/>
    <n v="7.7670522034168243E-2"/>
    <n v="0"/>
    <n v="0"/>
    <n v="0"/>
    <n v="0"/>
    <n v="0"/>
    <n v="1"/>
    <n v="0"/>
    <n v="-2.2923519611358643"/>
    <n v="9.8697527326053053E-2"/>
    <n v="0.10102856694069573"/>
    <n v="-2.3310396146426771E-3"/>
    <n v="5.4337456850334804E-6"/>
  </r>
  <r>
    <x v="14"/>
    <x v="3"/>
    <n v="-2.2632473460036282"/>
    <n v="0.79294726563712226"/>
    <n v="0.82329786502499036"/>
    <n v="0.88062210259469464"/>
    <n v="0.42781351177192622"/>
    <n v="0.50337795863083334"/>
    <n v="0.59823192276365766"/>
    <n v="-11.51292546497023"/>
    <n v="0.72379967174414939"/>
    <n v="-1.9110700273691461"/>
    <n v="2.4555805739085121"/>
    <n v="2.512768039203535"/>
    <n v="-11.51292546497023"/>
    <n v="-5.7187464088201523E-2"/>
    <n v="0"/>
    <n v="0"/>
    <n v="0"/>
    <n v="0"/>
    <n v="0"/>
    <n v="1"/>
    <n v="0"/>
    <n v="-2.2368922233581543"/>
    <n v="0.10401217223132973"/>
    <n v="0.10678986826826534"/>
    <n v="-2.7776960369356035E-3"/>
    <n v="7.7155952736077584E-6"/>
  </r>
  <r>
    <x v="14"/>
    <x v="4"/>
    <n v="-2.0708365835691378"/>
    <n v="0.75879446179580023"/>
    <n v="0.79294726563712226"/>
    <n v="0.82329786502499036"/>
    <n v="0.45691838969707999"/>
    <n v="0.42781351177192622"/>
    <n v="0.50337795863083334"/>
    <n v="-7.6279089783512841"/>
    <n v="0.72379967174414939"/>
    <n v="-1.8006353459649711"/>
    <n v="2.553395634518715"/>
    <n v="2.4383654624337199"/>
    <n v="-11.51292546497023"/>
    <n v="0.11503016948699951"/>
    <n v="0"/>
    <n v="0"/>
    <n v="0"/>
    <n v="0"/>
    <n v="0"/>
    <n v="1"/>
    <n v="0"/>
    <n v="-2.1175906658172607"/>
    <n v="0.12608026089804641"/>
    <n v="0.12032117348227232"/>
    <n v="5.7590874157740918E-3"/>
    <n v="3.3167087862527505E-5"/>
  </r>
  <r>
    <x v="14"/>
    <x v="5"/>
    <n v="-1.9463940161282189"/>
    <n v="0.74074615935922428"/>
    <n v="0.75879446179580023"/>
    <n v="0.79294726563712226"/>
    <n v="0.53397558366469022"/>
    <n v="0.45691838969707999"/>
    <n v="0.42781351177192622"/>
    <n v="-5.8530732691097702"/>
    <n v="0.72379967174414939"/>
    <n v="-1.702760661749307"/>
    <n v="2.5540383090066419"/>
    <n v="2.5364718745321961"/>
    <n v="-11.51292546497023"/>
    <n v="1.7566435039043427E-2"/>
    <n v="0"/>
    <n v="0"/>
    <n v="0"/>
    <n v="0"/>
    <n v="0"/>
    <n v="1"/>
    <n v="0"/>
    <n v="-2.0053169727325439"/>
    <n v="0.14278803571026966"/>
    <n v="0.13461761881767467"/>
    <n v="8.1704168925949838E-3"/>
    <n v="6.6755712198801473E-5"/>
  </r>
  <r>
    <x v="14"/>
    <x v="6"/>
    <n v="-1.8256375204588191"/>
    <n v="0.69129546719647095"/>
    <n v="0.74074615935922428"/>
    <n v="0.75879446179580023"/>
    <n v="0.508262341362826"/>
    <n v="0.53397558366469022"/>
    <n v="0.45691838969707999"/>
    <n v="-5.3522689495535296"/>
    <n v="0.72379967174414939"/>
    <n v="-1.617474890301374"/>
    <n v="2.5886088841378729"/>
    <n v="2.544017004796876"/>
    <n v="-11.51292546497023"/>
    <n v="4.4591877609491348E-2"/>
    <n v="0"/>
    <n v="0"/>
    <n v="0"/>
    <n v="0"/>
    <n v="0"/>
    <n v="1"/>
    <n v="0"/>
    <n v="-1.8773186206817627"/>
    <n v="0.16111489733839218"/>
    <n v="0.1529998067470367"/>
    <n v="8.1150905913554838E-3"/>
    <n v="6.5854695305906299E-5"/>
  </r>
  <r>
    <x v="14"/>
    <x v="7"/>
    <n v="-1.789157529069664"/>
    <n v="0.68006194101128981"/>
    <n v="0.69129546719647095"/>
    <n v="0.74074615935922428"/>
    <n v="0.53051059708238879"/>
    <n v="0.508262341362826"/>
    <n v="0.53397558366469022"/>
    <n v="-4.6031964212135046"/>
    <n v="0.72379967174414939"/>
    <n v="-1.578786139204712"/>
    <n v="2.5497142344349002"/>
    <n v="2.5492240521136251"/>
    <n v="-11.51292546497023"/>
    <n v="4.9018231220543385E-4"/>
    <n v="0"/>
    <n v="0"/>
    <n v="0"/>
    <n v="0"/>
    <n v="0"/>
    <n v="1"/>
    <n v="0"/>
    <n v="-1.8159003257751465"/>
    <n v="0.16710088802374862"/>
    <n v="0.1626913672014057"/>
    <n v="4.4095208223429161E-3"/>
    <n v="1.9443873882675746E-5"/>
  </r>
  <r>
    <x v="14"/>
    <x v="8"/>
    <n v="-1.705889690029134"/>
    <n v="0.63853258728672235"/>
    <n v="0.68006194101128981"/>
    <n v="0.69129546719647095"/>
    <n v="0.47642049704181327"/>
    <n v="0.53051059708238879"/>
    <n v="0.508262341362826"/>
    <n v="-3.94387044886727"/>
    <n v="0.72379967174414939"/>
    <n v="-1.5149088590435631"/>
    <n v="2.522045503632826"/>
    <n v="2.538882544445884"/>
    <n v="-11.51292546497023"/>
    <n v="-1.6837039962410927E-2"/>
    <n v="0"/>
    <n v="0"/>
    <n v="0"/>
    <n v="0"/>
    <n v="0"/>
    <n v="1"/>
    <n v="0"/>
    <n v="-1.743040919303894"/>
    <n v="0.18161073701530112"/>
    <n v="0.17498746795581938"/>
    <n v="6.6232690594817401E-3"/>
    <n v="4.3867693034288132E-5"/>
  </r>
  <r>
    <x v="14"/>
    <x v="9"/>
    <n v="-1.7474812573818881"/>
    <n v="0.67365850397608285"/>
    <n v="0.63853258728672235"/>
    <n v="0.68006194101128981"/>
    <n v="0.43333964487414411"/>
    <n v="0.47642049704181327"/>
    <n v="0.53051059708238879"/>
    <n v="-3.556658363383113"/>
    <n v="0.72379967174414939"/>
    <n v="-1.4676281744427999"/>
    <n v="2.46715852785516"/>
    <n v="2.511574621450873"/>
    <n v="-11.51292546497023"/>
    <n v="-4.4416092336177826E-2"/>
    <n v="1"/>
    <n v="0"/>
    <n v="0"/>
    <n v="0"/>
    <n v="0"/>
    <n v="1"/>
    <n v="0"/>
    <n v="-1.8003939390182495"/>
    <n v="0.17421218696735563"/>
    <n v="0.16523378336435651"/>
    <n v="8.9784036029991188E-3"/>
    <n v="8.0611731258347554E-5"/>
  </r>
  <r>
    <x v="14"/>
    <x v="10"/>
    <n v="-1.7385889625078721"/>
    <n v="0.70066882195879143"/>
    <n v="0.67365850397608285"/>
    <n v="0.63853258728672235"/>
    <n v="0.54197539275820672"/>
    <n v="0.43333964487414411"/>
    <n v="0.47642049704181327"/>
    <n v="-3.248337093668606"/>
    <n v="0.72379967174414939"/>
    <n v="-1.43682327519625"/>
    <n v="2.3873947918417349"/>
    <n v="2.457026066451129"/>
    <n v="-11.51292546497023"/>
    <n v="-6.9631271064281464E-2"/>
    <n v="1"/>
    <n v="0"/>
    <n v="0"/>
    <n v="0"/>
    <n v="0"/>
    <n v="1"/>
    <n v="0"/>
    <n v="-1.7709906101226807"/>
    <n v="0.17576824129802582"/>
    <n v="0.17016433878946041"/>
    <n v="5.6039025085654059E-3"/>
    <n v="3.1403723325505649E-5"/>
  </r>
  <r>
    <x v="14"/>
    <x v="11"/>
    <n v="-1.740456109842007"/>
    <n v="0.67970726819324312"/>
    <n v="0.70066882195879143"/>
    <n v="0.67365850397608285"/>
    <n v="0.5192698705486537"/>
    <n v="0.54197539275820672"/>
    <n v="0.43333964487414411"/>
    <n v="-2.623496262158679"/>
    <n v="0.72379967174414939"/>
    <n v="-1.4074115617086631"/>
    <n v="2.3876248847915611"/>
    <n v="2.3775846494733259"/>
    <n v="-11.51292546497023"/>
    <n v="1.0040235705673695E-2"/>
    <n v="1"/>
    <n v="0"/>
    <n v="0"/>
    <n v="0"/>
    <n v="0"/>
    <n v="1"/>
    <n v="0"/>
    <n v="-1.7370442152023315"/>
    <n v="0.1754403622893245"/>
    <n v="0.17603996863617327"/>
    <n v="-5.9960634684877445E-4"/>
    <n v="3.5952777118133282E-7"/>
  </r>
  <r>
    <x v="14"/>
    <x v="12"/>
    <n v="-1.8173717630980011"/>
    <n v="0.81801616260581456"/>
    <n v="0.67970726819324312"/>
    <n v="0.70066882195879143"/>
    <n v="0.5875088485369484"/>
    <n v="0.5192698705486537"/>
    <n v="0.54197539275820672"/>
    <n v="-2.186010896709349"/>
    <n v="0.72379967174414939"/>
    <n v="-1.365776873222653"/>
    <n v="2.3795529648176008"/>
    <n v="2.3919205941178721"/>
    <n v="3.2580965380214821"/>
    <n v="-1.2367629446089268E-2"/>
    <n v="1"/>
    <n v="0"/>
    <n v="0"/>
    <n v="0"/>
    <n v="0"/>
    <n v="1"/>
    <n v="0"/>
    <n v="-1.8120787143707275"/>
    <n v="0.16245215308904662"/>
    <n v="0.16331429993096885"/>
    <n v="-8.6214684192223445E-4"/>
    <n v="7.4329717703648231E-7"/>
  </r>
  <r>
    <x v="14"/>
    <x v="13"/>
    <n v="-1.7997144227063051"/>
    <n v="0.76899649284338312"/>
    <n v="0.81801616260581456"/>
    <n v="0.67970726819324312"/>
    <n v="0.53672726128864368"/>
    <n v="0.5875088485369484"/>
    <n v="0.5192698705486537"/>
    <n v="-1.4466780057683979"/>
    <n v="0.72379967174414939"/>
    <n v="-1.3360778215868709"/>
    <n v="2.390909843085292"/>
    <n v="2.370644021391632"/>
    <n v="5.393627546352362"/>
    <n v="2.0265821367502213E-2"/>
    <n v="1"/>
    <n v="0"/>
    <n v="0"/>
    <n v="0"/>
    <n v="0"/>
    <n v="1"/>
    <n v="0"/>
    <n v="-1.7774075269699097"/>
    <n v="0.16534610057180238"/>
    <n v="0.16907590430871652"/>
    <n v="-3.7298037369141446E-3"/>
    <n v="1.3911435915898717E-5"/>
  </r>
  <r>
    <x v="14"/>
    <x v="14"/>
    <n v="-1.869611748696973"/>
    <n v="0.731598366934198"/>
    <n v="0.76899649284338312"/>
    <n v="0.81801616260581456"/>
    <n v="0.50675735959003665"/>
    <n v="0.53672726128864368"/>
    <n v="0.5875088485369484"/>
    <n v="-0.86432792504382172"/>
    <n v="0.72379967174414939"/>
    <n v="-1.3133711893383231"/>
    <n v="2.3354626018328828"/>
    <n v="2.3821925506135671"/>
    <n v="5.9914645471079817"/>
    <n v="-4.6729948371648788E-2"/>
    <n v="1"/>
    <n v="1"/>
    <n v="0"/>
    <n v="0"/>
    <n v="0"/>
    <n v="1"/>
    <n v="0"/>
    <n v="-1.8777117729187012"/>
    <n v="0.15418351214539097"/>
    <n v="0.15293966635370268"/>
    <n v="1.2438457916882917E-3"/>
    <n v="1.5471523535006732E-6"/>
  </r>
  <r>
    <x v="14"/>
    <x v="15"/>
    <n v="-1.8545011063658161"/>
    <n v="0.91091631553670016"/>
    <n v="0.731598366934198"/>
    <n v="0.76899649284338312"/>
    <n v="0.73063562497093693"/>
    <n v="0.50675735959003665"/>
    <n v="0.53672726128864368"/>
    <n v="-0.30543162233801641"/>
    <n v="0.72379967174414939"/>
    <n v="-1.2881167267698941"/>
    <n v="2.3372132310973339"/>
    <n v="2.3270233200535411"/>
    <n v="6.6846117276679271"/>
    <n v="1.0189911350607872E-2"/>
    <n v="1"/>
    <n v="0"/>
    <n v="0"/>
    <n v="0"/>
    <n v="0"/>
    <n v="1"/>
    <n v="0"/>
    <n v="-1.8268163204193115"/>
    <n v="0.15653101552550935"/>
    <n v="0.16092508699996422"/>
    <n v="-4.3940714744548637E-3"/>
    <n v="1.930786412261794E-5"/>
  </r>
  <r>
    <x v="14"/>
    <x v="16"/>
    <n v="-1.812582902906464"/>
    <n v="0.89833040649716212"/>
    <n v="0.91091631553670016"/>
    <n v="0.731598366934198"/>
    <n v="0.68868724983785201"/>
    <n v="0.73063562497093693"/>
    <n v="0.50675735959003665"/>
    <n v="0.17654301594946539"/>
    <n v="0.72379967174414939"/>
    <n v="-1.255833566226364"/>
    <n v="2.3559957060864791"/>
    <n v="2.3372132310973339"/>
    <n v="8.0551577318196781"/>
    <n v="1.8782474100589752E-2"/>
    <n v="1"/>
    <n v="0"/>
    <n v="0"/>
    <n v="0"/>
    <n v="0"/>
    <n v="1"/>
    <n v="0"/>
    <n v="-1.7981840372085571"/>
    <n v="0.16323197948747764"/>
    <n v="0.16559933757191778"/>
    <n v="-2.3673580844401354E-3"/>
    <n v="5.6043842999640675E-6"/>
  </r>
  <r>
    <x v="14"/>
    <x v="17"/>
    <n v="-1.719655696902602"/>
    <n v="0.77094120799996546"/>
    <n v="0.89833040649716212"/>
    <n v="0.91091631553670016"/>
    <n v="0.53203902016518811"/>
    <n v="0.68868724983785201"/>
    <n v="0.73063562497093693"/>
    <n v="0.69230268383448001"/>
    <n v="0.72379967174414939"/>
    <n v="-1.2171116995767179"/>
    <n v="2.3639908490931592"/>
    <n v="2.3559957060864791"/>
    <n v="8.4658998970286863"/>
    <n v="7.9951426014304161E-3"/>
    <n v="1"/>
    <n v="0"/>
    <n v="0"/>
    <n v="0"/>
    <n v="0"/>
    <n v="1"/>
    <n v="0"/>
    <n v="-1.7498687505722046"/>
    <n v="0.17912781155574098"/>
    <n v="0.17379675267790504"/>
    <n v="5.3310588778359425E-3"/>
    <n v="2.8420188758953416E-5"/>
  </r>
  <r>
    <x v="15"/>
    <x v="0"/>
    <n v="-2.629085297957777"/>
    <n v="0.97077891715822484"/>
    <n v="0.89379969403862336"/>
    <n v="0.85637086166195941"/>
    <n v="0.62057648772510998"/>
    <n v="0.56741387509418195"/>
    <n v="0.49834810225487802"/>
    <n v="-11.51292546497023"/>
    <n v="1.382848308078898"/>
    <n v="-2.5561013264933559"/>
    <n v="2.220044820524175"/>
    <n v="2.2087085512740452"/>
    <n v="-11.51292546497023"/>
    <n v="1.1336268857121468E-2"/>
    <n v="0"/>
    <n v="0"/>
    <n v="0"/>
    <n v="0"/>
    <n v="0"/>
    <n v="1"/>
    <n v="0"/>
    <n v="-2.8220891952514648"/>
    <n v="7.214442271786968E-2"/>
    <n v="5.9481544248056843E-2"/>
    <n v="1.2662878469812837E-2"/>
    <n v="1.6034849114124949E-4"/>
  </r>
  <r>
    <x v="15"/>
    <x v="1"/>
    <n v="-2.6662463024562171"/>
    <n v="0.91573057501559185"/>
    <n v="0.97077891715822484"/>
    <n v="0.89379969403862336"/>
    <n v="0.48106720160171512"/>
    <n v="0.62057648772510998"/>
    <n v="0.56741387509418195"/>
    <n v="-11.51292546497023"/>
    <n v="1.382848308078898"/>
    <n v="-2.4598937520601778"/>
    <n v="2.274871646071611"/>
    <n v="2.2004386346696978"/>
    <n v="-11.51292546497023"/>
    <n v="7.4433013796806335E-2"/>
    <n v="0"/>
    <n v="0"/>
    <n v="0"/>
    <n v="0"/>
    <n v="0"/>
    <n v="1"/>
    <n v="0"/>
    <n v="-2.7677023410797119"/>
    <n v="6.9512665718848204E-2"/>
    <n v="6.2806146186837122E-2"/>
    <n v="6.7065195320110821E-3"/>
    <n v="4.4977404233246146E-5"/>
  </r>
  <r>
    <x v="15"/>
    <x v="2"/>
    <n v="-2.625445327537109"/>
    <n v="0.86221462167548391"/>
    <n v="0.91573057501559185"/>
    <n v="0.97077891715822484"/>
    <n v="0.4296372600791496"/>
    <n v="0.48106720160171512"/>
    <n v="0.62057648772510998"/>
    <n v="-11.51292546497023"/>
    <n v="1.382848308078898"/>
    <n v="-2.3518702232055779"/>
    <n v="2.2784234404880701"/>
    <n v="2.2556424136612621"/>
    <n v="-11.51292546497023"/>
    <n v="2.2781027480959892E-2"/>
    <n v="0"/>
    <n v="0"/>
    <n v="0"/>
    <n v="0"/>
    <n v="0"/>
    <n v="1"/>
    <n v="0"/>
    <n v="-2.7040789127349854"/>
    <n v="7.2407504797600192E-2"/>
    <n v="6.6931945625457526E-2"/>
    <n v="5.4755591721426661E-3"/>
    <n v="2.9981748247635679E-5"/>
  </r>
  <r>
    <x v="15"/>
    <x v="3"/>
    <n v="-2.6286510813579991"/>
    <n v="0.82763436626869735"/>
    <n v="0.86221462167548391"/>
    <n v="0.91573057501559185"/>
    <n v="0.40499833251872053"/>
    <n v="0.4296372600791496"/>
    <n v="0.48106720160171512"/>
    <n v="-11.51292546497023"/>
    <n v="1.382848308078898"/>
    <n v="-2.232301838313691"/>
    <n v="2.3241325343923962"/>
    <n v="2.2691713952387511"/>
    <n v="-11.51292546497023"/>
    <n v="5.4961137473583221E-2"/>
    <n v="0"/>
    <n v="0"/>
    <n v="0"/>
    <n v="0"/>
    <n v="0"/>
    <n v="1"/>
    <n v="0"/>
    <n v="-2.6009092330932617"/>
    <n v="7.2175755825980695E-2"/>
    <n v="7.4206076910926191E-2"/>
    <n v="-2.0303210849454967E-3"/>
    <n v="4.1222037079742591E-6"/>
  </r>
  <r>
    <x v="15"/>
    <x v="4"/>
    <n v="-2.4232699220657108"/>
    <n v="0.7963804352015974"/>
    <n v="0.82763436626869735"/>
    <n v="0.86221462167548391"/>
    <n v="0.43067791057956828"/>
    <n v="0.40499833251872053"/>
    <n v="0.4296372600791496"/>
    <n v="-9.5727204406975037"/>
    <n v="1.382848308078898"/>
    <n v="-2.089347798874174"/>
    <n v="2.3747080676031711"/>
    <n v="2.342744810353603"/>
    <n v="-11.51292546497023"/>
    <n v="3.1963258981704712E-2"/>
    <n v="0"/>
    <n v="0"/>
    <n v="0"/>
    <n v="0"/>
    <n v="0"/>
    <n v="1"/>
    <n v="0"/>
    <n v="-2.4615674018859863"/>
    <n v="8.8631325574915917E-2"/>
    <n v="8.5301144955337652E-2"/>
    <n v="3.3301806195782657E-3"/>
    <n v="1.1090102959014682E-5"/>
  </r>
  <r>
    <x v="15"/>
    <x v="5"/>
    <n v="-2.1830046985633729"/>
    <n v="0.74806141143733718"/>
    <n v="0.7963804352015974"/>
    <n v="0.82763436626869735"/>
    <n v="0.47840573250987939"/>
    <n v="0.43067791057956828"/>
    <n v="0.40499833251872053"/>
    <n v="-7.9443172550196612"/>
    <n v="1.382848308078898"/>
    <n v="-1.958855689807649"/>
    <n v="2.389706123292918"/>
    <n v="2.393673340847108"/>
    <n v="-11.51292546497023"/>
    <n v="-3.9672176353633404E-3"/>
    <n v="0"/>
    <n v="0"/>
    <n v="0"/>
    <n v="0"/>
    <n v="0"/>
    <n v="1"/>
    <n v="0"/>
    <n v="-2.2967362403869629"/>
    <n v="0.11270238468657003"/>
    <n v="0.10058659905416184"/>
    <n v="1.2115785632408185E-2"/>
    <n v="1.467922614904686E-4"/>
  </r>
  <r>
    <x v="15"/>
    <x v="6"/>
    <n v="-2.0402557814915272"/>
    <n v="0.6840055226426619"/>
    <n v="0.74806141143733718"/>
    <n v="0.7963804352015974"/>
    <n v="0.4263782296883713"/>
    <n v="0.47840573250987939"/>
    <n v="0.43067791057956828"/>
    <n v="-7.4798176430643304"/>
    <n v="1.382848308078898"/>
    <n v="-1.85830010033828"/>
    <n v="2.3993026863329461"/>
    <n v="2.384202106002494"/>
    <n v="-11.51292546497023"/>
    <n v="1.5100580640137196E-2"/>
    <n v="0"/>
    <n v="0"/>
    <n v="0"/>
    <n v="0"/>
    <n v="0"/>
    <n v="1"/>
    <n v="0"/>
    <n v="-2.1578717231750488"/>
    <n v="0.12999545619396377"/>
    <n v="0.11557082619205029"/>
    <n v="1.4424630001913477E-2"/>
    <n v="2.080699506921024E-4"/>
  </r>
  <r>
    <x v="15"/>
    <x v="7"/>
    <n v="-2.0463788297089032"/>
    <n v="0.68697819141441629"/>
    <n v="0.6840055226426619"/>
    <n v="0.74806141143733718"/>
    <n v="0.4287258016827164"/>
    <n v="0.4263782296883713"/>
    <n v="0.47840573250987939"/>
    <n v="-6.674304647002967"/>
    <n v="1.382848308078898"/>
    <n v="-1.828241575759683"/>
    <n v="2.382557656180655"/>
    <n v="2.3398182449075948"/>
    <n v="-11.51292546497023"/>
    <n v="4.2739409953355789E-2"/>
    <n v="0"/>
    <n v="0"/>
    <n v="0"/>
    <n v="0"/>
    <n v="0"/>
    <n v="1"/>
    <n v="0"/>
    <n v="-2.1151494979858398"/>
    <n v="0.12920191965813646"/>
    <n v="0.12061525646733345"/>
    <n v="8.5866631908030067E-3"/>
    <n v="7.3730784752291267E-5"/>
  </r>
  <r>
    <x v="15"/>
    <x v="8"/>
    <n v="-1.953292082765113"/>
    <n v="0.66541620682163427"/>
    <n v="0.68697819141441629"/>
    <n v="0.6840055226426619"/>
    <n v="0.42304304038223289"/>
    <n v="0.4287258016827164"/>
    <n v="0.4263782296883713"/>
    <n v="-5.9866087636928187"/>
    <n v="1.382848308078898"/>
    <n v="-1.7551732524677071"/>
    <n v="2.3906489800003539"/>
    <n v="2.3771063589308312"/>
    <n v="-11.51292546497023"/>
    <n v="1.3542621396481991E-2"/>
    <n v="0"/>
    <n v="0"/>
    <n v="0"/>
    <n v="0"/>
    <n v="0"/>
    <n v="1"/>
    <n v="0"/>
    <n v="-2.0411107540130615"/>
    <n v="0.14180646369178704"/>
    <n v="0.12988436114936616"/>
    <n v="1.1922102542420876E-2"/>
    <n v="1.4213652903199831E-4"/>
  </r>
  <r>
    <x v="15"/>
    <x v="9"/>
    <n v="-2.0032879398494932"/>
    <n v="0.71720544565301625"/>
    <n v="0.66541620682163427"/>
    <n v="0.68697819141441629"/>
    <n v="0.40653120629016198"/>
    <n v="0.42304304038223289"/>
    <n v="0.4287258016827164"/>
    <n v="-5.5349254626655782"/>
    <n v="1.382848308078898"/>
    <n v="-1.701241367198965"/>
    <n v="2.4027409948229188"/>
    <n v="2.3855738785318512"/>
    <n v="-11.51292546497023"/>
    <n v="1.7167115584015846E-2"/>
    <n v="1"/>
    <n v="0"/>
    <n v="0"/>
    <n v="0"/>
    <n v="0"/>
    <n v="1"/>
    <n v="0"/>
    <n v="-2.0975210666656494"/>
    <n v="0.13489103968905766"/>
    <n v="0.12276036614021955"/>
    <n v="1.2130673548838108E-2"/>
    <n v="1.4715324074848055E-4"/>
  </r>
  <r>
    <x v="15"/>
    <x v="10"/>
    <n v="-1.933059323500631"/>
    <n v="0.72750029693160778"/>
    <n v="0.71720544565301625"/>
    <n v="0.66541620682163427"/>
    <n v="0.49968378334714619"/>
    <n v="0.40653120629016198"/>
    <n v="0.42304304038223289"/>
    <n v="-5.1681671805886298"/>
    <n v="1.382848308078898"/>
    <n v="-1.6646193261471509"/>
    <n v="2.374399034037272"/>
    <n v="2.3979357204673888"/>
    <n v="-11.51292546497023"/>
    <n v="-2.3536685854196548E-2"/>
    <n v="1"/>
    <n v="0"/>
    <n v="0"/>
    <n v="0"/>
    <n v="0"/>
    <n v="1"/>
    <n v="0"/>
    <n v="-2.0539631843566895"/>
    <n v="0.144704821751171"/>
    <n v="0.12822571310610148"/>
    <n v="1.6479108645069518E-2"/>
    <n v="2.7156102173600495E-4"/>
  </r>
  <r>
    <x v="15"/>
    <x v="11"/>
    <n v="-1.9193188007571429"/>
    <n v="0.7089220996753075"/>
    <n v="0.72750029693160778"/>
    <n v="0.71720544565301625"/>
    <n v="0.47393339758158343"/>
    <n v="0.49968378334714619"/>
    <n v="0.40653120629016198"/>
    <n v="-4.5386425007829434"/>
    <n v="1.382848308078898"/>
    <n v="-1.631185817633853"/>
    <n v="2.371774908255234"/>
    <n v="2.369965404673338"/>
    <n v="-11.51292546497023"/>
    <n v="1.8095035338774323E-3"/>
    <n v="1"/>
    <n v="0"/>
    <n v="0"/>
    <n v="0"/>
    <n v="0"/>
    <n v="1"/>
    <n v="0"/>
    <n v="-2.0276730060577393"/>
    <n v="0.1467068647048668"/>
    <n v="0.13164149397099381"/>
    <n v="1.5065370733872985E-2"/>
    <n v="2.2696539534903664E-4"/>
  </r>
  <r>
    <x v="15"/>
    <x v="12"/>
    <n v="-1.996961763344304"/>
    <n v="0.83815620246992029"/>
    <n v="0.7089220996753075"/>
    <n v="0.72750029693160778"/>
    <n v="0.55267748778855108"/>
    <n v="0.47393339758158343"/>
    <n v="0.49968378334714619"/>
    <n v="-4.0122476160696179"/>
    <n v="1.382848308078898"/>
    <n v="-1.556783547043304"/>
    <n v="2.426238079922038"/>
    <n v="2.407049240281895"/>
    <n v="3.2580965380214821"/>
    <n v="1.9188839942216873E-2"/>
    <n v="1"/>
    <n v="0"/>
    <n v="0"/>
    <n v="0"/>
    <n v="0"/>
    <n v="1"/>
    <n v="0"/>
    <n v="-2.0615553855895996"/>
    <n v="0.13574708912003863"/>
    <n v="0.12725588391668155"/>
    <n v="8.4912052033570828E-3"/>
    <n v="7.2100565805518395E-5"/>
  </r>
  <r>
    <x v="15"/>
    <x v="13"/>
    <n v="-1.984798248808102"/>
    <n v="0.80482271445053444"/>
    <n v="0.83815620246992029"/>
    <n v="0.7089220996753075"/>
    <n v="0.52514264436078373"/>
    <n v="0.55267748778855108"/>
    <n v="0.47393339758158343"/>
    <n v="-3.2992086291733882"/>
    <n v="1.382848308078898"/>
    <n v="-1.51963451544666"/>
    <n v="2.404954967805796"/>
    <n v="2.4221656058195919"/>
    <n v="5.393627546352362"/>
    <n v="-1.7210638150572777E-2"/>
    <n v="1"/>
    <n v="0"/>
    <n v="0"/>
    <n v="0"/>
    <n v="0"/>
    <n v="1"/>
    <n v="0"/>
    <n v="-2.0312151908874512"/>
    <n v="0.13740833361572297"/>
    <n v="0.13117602035158002"/>
    <n v="6.2323132641429468E-3"/>
    <n v="3.884172862241211E-5"/>
  </r>
  <r>
    <x v="15"/>
    <x v="14"/>
    <n v="-2.009730139541797"/>
    <n v="0.71564225838731621"/>
    <n v="0.80482271445053444"/>
    <n v="0.83815620246992029"/>
    <n v="0.44846073856926022"/>
    <n v="0.52514264436078373"/>
    <n v="0.55267748778855108"/>
    <n v="-2.6836124481892152"/>
    <n v="1.382848308078898"/>
    <n v="-1.488372962634988"/>
    <n v="2.3787451024793471"/>
    <n v="2.4010916840211798"/>
    <n v="5.9914645471079817"/>
    <n v="-2.2346582263708115E-2"/>
    <n v="1"/>
    <n v="1"/>
    <n v="0"/>
    <n v="0"/>
    <n v="0"/>
    <n v="1"/>
    <n v="0"/>
    <n v="-2.0839333534240723"/>
    <n v="0.1340248377932243"/>
    <n v="0.12443978266929231"/>
    <n v="9.5850551239319848E-3"/>
    <n v="9.187328172881479E-5"/>
  </r>
  <r>
    <x v="15"/>
    <x v="15"/>
    <n v="-1.982345753960298"/>
    <n v="0.92115886327101559"/>
    <n v="0.71564225838731621"/>
    <n v="0.80482271445053444"/>
    <n v="0.71402765813930047"/>
    <n v="0.44846073856926022"/>
    <n v="0.52514264436078373"/>
    <n v="-2.1038461798426962"/>
    <n v="1.382848308078898"/>
    <n v="-1.4567183066990961"/>
    <n v="2.396453340283081"/>
    <n v="2.3750915250900881"/>
    <n v="6.6846117276679271"/>
    <n v="2.1361814811825752E-2"/>
    <n v="1"/>
    <n v="0"/>
    <n v="0"/>
    <n v="0"/>
    <n v="0"/>
    <n v="1"/>
    <n v="0"/>
    <n v="-2.0373992919921875"/>
    <n v="0.13774574042106913"/>
    <n v="0.13036731770594451"/>
    <n v="7.3784227151246218E-3"/>
    <n v="5.4441121763066998E-5"/>
  </r>
  <r>
    <x v="15"/>
    <x v="16"/>
    <n v="-1.9422258804690751"/>
    <n v="0.96202862354800878"/>
    <n v="0.92115886327101559"/>
    <n v="0.71564225838731621"/>
    <n v="0.7067541839661623"/>
    <n v="0.71402765813930047"/>
    <n v="0.44846073856926022"/>
    <n v="-1.589961781570379"/>
    <n v="1.382848308078898"/>
    <n v="-1.422763275197988"/>
    <n v="2.44692431473355"/>
    <n v="2.396453340283081"/>
    <n v="8.0551577318196781"/>
    <n v="5.0470974296331406E-2"/>
    <n v="1"/>
    <n v="0"/>
    <n v="0"/>
    <n v="0"/>
    <n v="0"/>
    <n v="1"/>
    <n v="0"/>
    <n v="-2.0305976867675781"/>
    <n v="0.14338443769233872"/>
    <n v="0.13125704709917618"/>
    <n v="1.2127390593162535E-2"/>
    <n v="1.4707360259912712E-4"/>
  </r>
  <r>
    <x v="15"/>
    <x v="17"/>
    <n v="-1.8582235971545269"/>
    <n v="0.80083498597686265"/>
    <n v="0.96202862354800878"/>
    <n v="0.92115886327101559"/>
    <n v="0.52063733114998356"/>
    <n v="0.7067541839661623"/>
    <n v="0.71402765813930047"/>
    <n v="-1.0645828863943529"/>
    <n v="1.382848308078898"/>
    <n v="-1.3833903952551321"/>
    <n v="2.4646368850346452"/>
    <n v="2.44692431473355"/>
    <n v="8.4658998970286863"/>
    <n v="1.771257072687149E-2"/>
    <n v="1"/>
    <n v="0"/>
    <n v="0"/>
    <n v="0"/>
    <n v="0"/>
    <n v="1"/>
    <n v="0"/>
    <n v="-1.9701449871063232"/>
    <n v="0.15594941343787688"/>
    <n v="0.13943663823472002"/>
    <n v="1.651277520315686E-2"/>
    <n v="2.7267174490999208E-4"/>
  </r>
  <r>
    <x v="16"/>
    <x v="0"/>
    <n v="-1.976825740702415"/>
    <n v="0.91228271047661635"/>
    <n v="0.84629736005362011"/>
    <n v="0.80897274606553571"/>
    <n v="0.64710324205853842"/>
    <n v="0.48199395709728798"/>
    <n v="0.38635024424848219"/>
    <n v="-11.51292546497023"/>
    <n v="1.665048632597683"/>
    <n v="-1.6316084705918179"/>
    <n v="2.688340792759726"/>
    <n v="2.632573684932809"/>
    <n v="-11.51292546497023"/>
    <n v="5.5767107754945755E-2"/>
    <n v="0"/>
    <n v="0"/>
    <n v="0"/>
    <n v="0"/>
    <n v="1"/>
    <n v="0"/>
    <n v="0"/>
    <n v="-2.1133871078491211"/>
    <n v="0.13850820119515242"/>
    <n v="0.12082801503239822"/>
    <n v="1.76801861627542E-2"/>
    <n v="3.1258898274964505E-4"/>
  </r>
  <r>
    <x v="16"/>
    <x v="1"/>
    <n v="-1.939408501019503"/>
    <n v="0.85654072746838106"/>
    <n v="0.91228271047661635"/>
    <n v="0.84629736005362011"/>
    <n v="0.48106720160171512"/>
    <n v="0.64710324205853842"/>
    <n v="0.48199395709728798"/>
    <n v="-11.51292546497023"/>
    <n v="1.665048632597683"/>
    <n v="-1.543054838681122"/>
    <n v="2.7388937262800388"/>
    <n v="2.6788704738218438"/>
    <n v="-11.51292546497023"/>
    <n v="6.0023251920938492E-2"/>
    <n v="0"/>
    <n v="0"/>
    <n v="0"/>
    <n v="0"/>
    <n v="1"/>
    <n v="0"/>
    <n v="0"/>
    <n v="-2.0539278984069824"/>
    <n v="0.14378897566137255"/>
    <n v="0.12823023775199302"/>
    <n v="1.5558737909379533E-2"/>
    <n v="2.4207432533276379E-4"/>
  </r>
  <r>
    <x v="16"/>
    <x v="2"/>
    <n v="-1.914953380717666"/>
    <n v="0.79511695414366257"/>
    <n v="0.85654072746838106"/>
    <n v="0.91228271047661635"/>
    <n v="0.38764052319561237"/>
    <n v="0.48106720160171512"/>
    <n v="0.64710324205853842"/>
    <n v="-11.51292546497023"/>
    <n v="1.665048632597683"/>
    <n v="-1.447732346433706"/>
    <n v="2.7930546671945402"/>
    <n v="2.7295122535389189"/>
    <n v="-11.51292546497023"/>
    <n v="6.3542410731315613E-2"/>
    <n v="0"/>
    <n v="0"/>
    <n v="0"/>
    <n v="0"/>
    <n v="1"/>
    <n v="0"/>
    <n v="0"/>
    <n v="-1.9895919561386108"/>
    <n v="0.14734870171677061"/>
    <n v="0.13675121455618489"/>
    <n v="1.0597487160585728E-2"/>
    <n v="1.1230673411877935E-4"/>
  </r>
  <r>
    <x v="16"/>
    <x v="3"/>
    <n v="-1.896107555932413"/>
    <n v="0.74881837793040629"/>
    <n v="0.79511695414366257"/>
    <n v="0.85654072746838106"/>
    <n v="0.35760451175666452"/>
    <n v="0.38764052319561237"/>
    <n v="0.48106720160171512"/>
    <n v="-9.905169387458578"/>
    <n v="1.665048632597683"/>
    <n v="-1.365071522325926"/>
    <n v="2.7444865995273799"/>
    <n v="2.783847588516756"/>
    <n v="-11.51292546497023"/>
    <n v="-3.9360988885164261E-2"/>
    <n v="0"/>
    <n v="0"/>
    <n v="0"/>
    <n v="0"/>
    <n v="1"/>
    <n v="0"/>
    <n v="0"/>
    <n v="-1.9315309524536133"/>
    <n v="0.15015194124489956"/>
    <n v="0.14492615350653829"/>
    <n v="5.2257877383612705E-3"/>
    <n v="2.7308857486407004E-5"/>
  </r>
  <r>
    <x v="16"/>
    <x v="4"/>
    <n v="-1.6874307470552039"/>
    <n v="0.7236763855947681"/>
    <n v="0.74881837793040629"/>
    <n v="0.79511695414366257"/>
    <n v="0.41462304589292998"/>
    <n v="0.35760451175666452"/>
    <n v="0.38764052319561237"/>
    <n v="-9.2043818049227788"/>
    <n v="1.665048632597683"/>
    <n v="-1.2660821794952271"/>
    <n v="2.8713640733960721"/>
    <n v="2.7521270015036121"/>
    <n v="-11.51292546497023"/>
    <n v="0.11923707276582718"/>
    <n v="0"/>
    <n v="0"/>
    <n v="0"/>
    <n v="0"/>
    <n v="1"/>
    <n v="0"/>
    <n v="0"/>
    <n v="-1.792374849319458"/>
    <n v="0.18499421085757325"/>
    <n v="0.16656413486934857"/>
    <n v="1.8430075988224687E-2"/>
    <n v="3.3966770093173614E-4"/>
  </r>
  <r>
    <x v="16"/>
    <x v="5"/>
    <n v="-1.571107417726038"/>
    <n v="0.76248665863855825"/>
    <n v="0.7236763855947681"/>
    <n v="0.74881837793040629"/>
    <n v="0.5019261405789579"/>
    <n v="0.41462304589292998"/>
    <n v="0.35760451175666452"/>
    <n v="-7.6926051806889442"/>
    <n v="1.665048632597683"/>
    <n v="-1.1720532749662791"/>
    <n v="2.9297951104025599"/>
    <n v="2.8790633008533519"/>
    <n v="-11.51292546497023"/>
    <n v="5.0731807947158813E-2"/>
    <n v="0"/>
    <n v="0"/>
    <n v="0"/>
    <n v="0"/>
    <n v="1"/>
    <n v="0"/>
    <n v="0"/>
    <n v="-1.7151821851730347"/>
    <n v="0.20781491695778653"/>
    <n v="0.17993093697796"/>
    <n v="2.7883979979826529E-2"/>
    <n v="7.7751633951536668E-4"/>
  </r>
  <r>
    <x v="16"/>
    <x v="6"/>
    <n v="-1.4934795514968711"/>
    <n v="0.71285176383428073"/>
    <n v="0.76248665863855825"/>
    <n v="0.7236763855947681"/>
    <n v="0.43580030790423729"/>
    <n v="0.5019261405789579"/>
    <n v="0.41462304589292998"/>
    <n v="-7.2571705350392399"/>
    <n v="1.665048632597683"/>
    <n v="-1.1022677043832061"/>
    <n v="2.9471360520100429"/>
    <n v="2.9233970037731618"/>
    <n v="-11.51292546497023"/>
    <n v="2.3739047348499298E-2"/>
    <n v="0"/>
    <n v="0"/>
    <n v="0"/>
    <n v="0"/>
    <n v="1"/>
    <n v="0"/>
    <n v="0"/>
    <n v="-1.6290228366851807"/>
    <n v="0.22458982252223236"/>
    <n v="0.19612112289100531"/>
    <n v="2.8468699631227057E-2"/>
    <n v="8.1046685869302752E-4"/>
  </r>
  <r>
    <x v="16"/>
    <x v="7"/>
    <n v="-1.4869349667615681"/>
    <n v="0.68355128688649835"/>
    <n v="0.71285176383428073"/>
    <n v="0.76248665863855825"/>
    <n v="0.35942116960675757"/>
    <n v="0.43580030790423729"/>
    <n v="0.5019261405789579"/>
    <n v="-6.4362162170172619"/>
    <n v="1.665048632597683"/>
    <n v="-1.0743911160916"/>
    <n v="2.9366529053581152"/>
    <n v="2.9106401381808178"/>
    <n v="-11.51292546497023"/>
    <n v="2.6012767106294632E-2"/>
    <n v="0"/>
    <n v="0"/>
    <n v="0"/>
    <n v="0"/>
    <n v="1"/>
    <n v="0"/>
    <n v="0"/>
    <n v="-1.6214196681976318"/>
    <n v="0.22606448992577993"/>
    <n v="0.19761794792806994"/>
    <n v="2.844654199770999E-2"/>
    <n v="8.0920575162747826E-4"/>
  </r>
  <r>
    <x v="16"/>
    <x v="8"/>
    <n v="-1.425130660492147"/>
    <n v="0.65206473545871535"/>
    <n v="0.68355128688649835"/>
    <n v="0.71285176383428073"/>
    <n v="0.34861252984868768"/>
    <n v="0.35942116960675757"/>
    <n v="0.43580030790423729"/>
    <n v="-5.7806517388186291"/>
    <n v="1.665048632597683"/>
    <n v="-1.0264351275750001"/>
    <n v="2.911310392527914"/>
    <n v="2.929841861663526"/>
    <n v="-11.51292546497023"/>
    <n v="-1.8531469628214836E-2"/>
    <n v="0"/>
    <n v="0"/>
    <n v="0"/>
    <n v="0"/>
    <n v="1"/>
    <n v="0"/>
    <n v="0"/>
    <n v="-1.5732595920562744"/>
    <n v="0.24047704030708439"/>
    <n v="0.2073681439671996"/>
    <n v="3.3108896339884786E-2"/>
    <n v="1.0961990168452361E-3"/>
  </r>
  <r>
    <x v="16"/>
    <x v="9"/>
    <n v="-1.580485424436801"/>
    <n v="0.67365850397608285"/>
    <n v="0.65206473545871535"/>
    <n v="0.68355128688649835"/>
    <n v="0.30032678998485968"/>
    <n v="0.34861252984868768"/>
    <n v="0.35942116960675757"/>
    <n v="-5.4134254298042874"/>
    <n v="1.665048632597683"/>
    <n v="-0.99061680141015673"/>
    <n v="2.8370914305315349"/>
    <n v="2.9048202917486639"/>
    <n v="-11.51292546497023"/>
    <n v="-6.7728862166404724E-2"/>
    <n v="1"/>
    <n v="0"/>
    <n v="0"/>
    <n v="0"/>
    <n v="1"/>
    <n v="0"/>
    <n v="0"/>
    <n v="-1.6317098140716553"/>
    <n v="0.20587513712258126"/>
    <n v="0.19559485721739908"/>
    <n v="1.0280279905182182E-2"/>
    <n v="1.0568415492889258E-4"/>
  </r>
  <r>
    <x v="16"/>
    <x v="10"/>
    <n v="-1.537501426855469"/>
    <n v="0.70877443644564431"/>
    <n v="0.67365850397608285"/>
    <n v="0.65206473545871535"/>
    <n v="0.39467375702994367"/>
    <n v="0.30032678998485968"/>
    <n v="0.34861252984868768"/>
    <n v="-5.0618123912569919"/>
    <n v="1.665048632597683"/>
    <n v="-0.9609825132529638"/>
    <n v="2.800931067191438"/>
    <n v="2.8309548340103299"/>
    <n v="-11.51292546497023"/>
    <n v="-3.0023766681551933E-2"/>
    <n v="1"/>
    <n v="0"/>
    <n v="0"/>
    <n v="0"/>
    <n v="1"/>
    <n v="0"/>
    <n v="0"/>
    <n v="-1.6065216064453125"/>
    <n v="0.21491741802380851"/>
    <n v="0.20058411250917998"/>
    <n v="1.4333305514628525E-2"/>
    <n v="2.0544364697568047E-4"/>
  </r>
  <r>
    <x v="16"/>
    <x v="11"/>
    <n v="-1.5306391406381299"/>
    <n v="0.71676604615857931"/>
    <n v="0.70877443644564431"/>
    <n v="0.67365850397608285"/>
    <n v="0.38028404291090551"/>
    <n v="0.39467375702994367"/>
    <n v="0.30032678998485968"/>
    <n v="-4.4166902227234708"/>
    <n v="1.665048632597683"/>
    <n v="-0.92806234712043212"/>
    <n v="2.8154043395803452"/>
    <n v="2.79513881878828"/>
    <n v="-11.51292546497023"/>
    <n v="2.0265521481633186E-2"/>
    <n v="1"/>
    <n v="0"/>
    <n v="0"/>
    <n v="0"/>
    <n v="1"/>
    <n v="0"/>
    <n v="0"/>
    <n v="-1.5990782976150513"/>
    <n v="0.21639731478949162"/>
    <n v="0.20208269228226625"/>
    <n v="1.4314622507225372E-2"/>
    <n v="2.0490841752436318E-4"/>
  </r>
  <r>
    <x v="16"/>
    <x v="12"/>
    <n v="-1.773131054291377"/>
    <n v="0.87304914583513249"/>
    <n v="0.71676604615857931"/>
    <n v="0.70877443644564431"/>
    <n v="0.45031099589999951"/>
    <n v="0.38028404291090551"/>
    <n v="0.39467375702994367"/>
    <n v="-3.950325063128457"/>
    <n v="1.665048632597683"/>
    <n v="-0.88429864165826255"/>
    <n v="2.839851858776707"/>
    <n v="2.8191459772272398"/>
    <n v="3.2580965380214821"/>
    <n v="2.0705882459878922E-2"/>
    <n v="1"/>
    <n v="0"/>
    <n v="0"/>
    <n v="0"/>
    <n v="1"/>
    <n v="0"/>
    <n v="0"/>
    <n v="-1.6962287425994873"/>
    <n v="0.16980050104887379"/>
    <n v="0.18337377137685498"/>
    <n v="-1.3573270327981196E-2"/>
    <n v="1.8423366739645476E-4"/>
  </r>
  <r>
    <x v="16"/>
    <x v="13"/>
    <n v="-1.858401975125525"/>
    <n v="0.82868281335263771"/>
    <n v="0.87304914583513249"/>
    <n v="0.71676604615857931"/>
    <n v="0.38831894927319383"/>
    <n v="0.45031099589999951"/>
    <n v="0.38028404291090551"/>
    <n v="-3.206845334783671"/>
    <n v="1.665048632597683"/>
    <n v="-0.84793328981547011"/>
    <n v="2.8508349529448558"/>
    <n v="2.833780735630254"/>
    <n v="5.393627546352362"/>
    <n v="1.7054216936230659E-2"/>
    <n v="1"/>
    <n v="0"/>
    <n v="0"/>
    <n v="0"/>
    <n v="1"/>
    <n v="0"/>
    <n v="0"/>
    <n v="-1.6816600561141968"/>
    <n v="0.15592159797883581"/>
    <n v="0.18606484144233998"/>
    <n v="-3.0143243463504166E-2"/>
    <n v="9.0861512650008665E-4"/>
  </r>
  <r>
    <x v="16"/>
    <x v="14"/>
    <n v="-1.8829612093822541"/>
    <n v="0.73835952338149324"/>
    <n v="0.82868281335263771"/>
    <n v="0.87304914583513249"/>
    <n v="0.34074879338847308"/>
    <n v="0.38831894927319383"/>
    <n v="0.45031099589999951"/>
    <n v="-2.5883590649293349"/>
    <n v="1.665048632597683"/>
    <n v="-0.83191594082884701"/>
    <n v="2.828616070877128"/>
    <n v="2.845000233169098"/>
    <n v="5.9914645471079817"/>
    <n v="-1.638416200876236E-2"/>
    <n v="1"/>
    <n v="1"/>
    <n v="0"/>
    <n v="0"/>
    <n v="1"/>
    <n v="0"/>
    <n v="0"/>
    <n v="-1.7471423149108887"/>
    <n v="0.152138922857288"/>
    <n v="0.17427124488453738"/>
    <n v="-2.2132322027249379E-2"/>
    <n v="4.8983967831786807E-4"/>
  </r>
  <r>
    <x v="16"/>
    <x v="15"/>
    <n v="-1.7583049679789671"/>
    <n v="0.94137351224161814"/>
    <n v="0.73835952338149324"/>
    <n v="0.82868281335263771"/>
    <n v="0.63350332763243034"/>
    <n v="0.34074879338847308"/>
    <n v="0.38831894927319383"/>
    <n v="-1.9290036984948411"/>
    <n v="1.665048632597683"/>
    <n v="-0.80830727196723884"/>
    <n v="2.9283190562134078"/>
    <n v="2.8230308486418569"/>
    <n v="6.6846117276679271"/>
    <n v="0.10528820753097534"/>
    <n v="1"/>
    <n v="0"/>
    <n v="0"/>
    <n v="0"/>
    <n v="1"/>
    <n v="0"/>
    <n v="0"/>
    <n v="-1.6791495084762573"/>
    <n v="0.17233673266992403"/>
    <n v="0.18653255295087853"/>
    <n v="-1.4195820280954508E-2"/>
    <n v="2.0152131344915931E-4"/>
  </r>
  <r>
    <x v="16"/>
    <x v="16"/>
    <n v="-1.6094302601847861"/>
    <n v="0.92107924860595225"/>
    <n v="0.94137351224161814"/>
    <n v="0.73835952338149324"/>
    <n v="0.59960543615158113"/>
    <n v="0.63350332763243034"/>
    <n v="0.34074879338847308"/>
    <n v="-1.492004208403821"/>
    <n v="1.665048632597683"/>
    <n v="-0.77348469736340553"/>
    <n v="2.9018312435238851"/>
    <n v="2.9283190562134078"/>
    <n v="8.0551577318196781"/>
    <n v="-2.6487812399864197E-2"/>
    <n v="1"/>
    <n v="0"/>
    <n v="0"/>
    <n v="0"/>
    <n v="1"/>
    <n v="0"/>
    <n v="0"/>
    <n v="-1.629146933555603"/>
    <n v="0.20000153045571856"/>
    <n v="0.19609678638350425"/>
    <n v="3.9047440722143056E-3"/>
    <n v="1.5247026269492759E-5"/>
  </r>
  <r>
    <x v="16"/>
    <x v="17"/>
    <n v="-1.4965861262527229"/>
    <n v="0.72149165356908784"/>
    <n v="0.92107924860595225"/>
    <n v="0.94137351224161814"/>
    <n v="0.35107931758157263"/>
    <n v="0.59960543615158113"/>
    <n v="0.63350332763243034"/>
    <n v="-0.96519406369813177"/>
    <n v="1.665048632597683"/>
    <n v="-0.7452298622928164"/>
    <n v="2.9210104236017731"/>
    <n v="2.9018312435238851"/>
    <n v="8.4658998970286863"/>
    <n v="1.9179180264472961E-2"/>
    <n v="1"/>
    <n v="0"/>
    <n v="0"/>
    <n v="0"/>
    <n v="1"/>
    <n v="0"/>
    <n v="0"/>
    <n v="-1.5467343330383301"/>
    <n v="0.22389320006428198"/>
    <n v="0.21294223802337231"/>
    <n v="1.0950962040909673E-2"/>
    <n v="1.1992356962144455E-4"/>
  </r>
  <r>
    <x v="17"/>
    <x v="0"/>
    <n v="-2.0154650404173702"/>
    <n v="0.96317431777300555"/>
    <n v="0.88957707835573163"/>
    <n v="0.8423858160261829"/>
    <n v="0.67803354274989713"/>
    <n v="0.46919079898870919"/>
    <n v="0.31736222655319152"/>
    <n v="-11.51292546497023"/>
    <n v="0.1210771896579252"/>
    <n v="-1.72030015686339"/>
    <n v="3.0345033139311699"/>
    <n v="2.9716296335152319"/>
    <n v="-11.51292546497023"/>
    <n v="6.2873683869838715E-2"/>
    <n v="0"/>
    <n v="0"/>
    <n v="0"/>
    <n v="0"/>
    <n v="1"/>
    <n v="0"/>
    <n v="0"/>
    <n v="-2.080146312713623"/>
    <n v="0.13325841840379754"/>
    <n v="0.12491193465737307"/>
    <n v="8.3464837464244657E-3"/>
    <n v="6.9663790929327783E-5"/>
  </r>
  <r>
    <x v="17"/>
    <x v="1"/>
    <n v="-1.9854443444285541"/>
    <n v="0.91952549438408449"/>
    <n v="0.96317431777300555"/>
    <n v="0.88957707835573163"/>
    <n v="0.54412499416691684"/>
    <n v="0.67803354274989713"/>
    <n v="0.46919079898870919"/>
    <n v="-11.51292546497023"/>
    <n v="0.1210771896579252"/>
    <n v="-1.601206695277904"/>
    <n v="3.0998896343384841"/>
    <n v="3.0360398755975089"/>
    <n v="-11.51292546497023"/>
    <n v="6.3849762082099915E-2"/>
    <n v="0"/>
    <n v="0"/>
    <n v="0"/>
    <n v="0"/>
    <n v="1"/>
    <n v="0"/>
    <n v="0"/>
    <n v="-1.9861364364624023"/>
    <n v="0.1373195833668211"/>
    <n v="0.13722457845694444"/>
    <n v="9.5004909876655885E-5"/>
    <n v="9.0259329006715062E-9"/>
  </r>
  <r>
    <x v="17"/>
    <x v="2"/>
    <n v="-1.962435383477668"/>
    <n v="0.86600745356438702"/>
    <n v="0.91952549438408449"/>
    <n v="0.96317431777300555"/>
    <n v="0.47000362924573558"/>
    <n v="0.54412499416691684"/>
    <n v="0.67803354274989713"/>
    <n v="-11.51292546497023"/>
    <n v="0.1210771896579252"/>
    <n v="-1.4792777697496631"/>
    <n v="3.1899582055058429"/>
    <n v="3.1014288502095142"/>
    <n v="-11.51292546497023"/>
    <n v="8.8529355823993683E-2"/>
    <n v="0"/>
    <n v="0"/>
    <n v="0"/>
    <n v="0"/>
    <n v="1"/>
    <n v="0"/>
    <n v="0"/>
    <n v="-1.8932827711105347"/>
    <n v="0.14051579403332012"/>
    <n v="0.15057668779587338"/>
    <n v="-1.0060893762553258E-2"/>
    <n v="1.0122158330138305E-4"/>
  </r>
  <r>
    <x v="17"/>
    <x v="3"/>
    <n v="-1.920097925506407"/>
    <n v="0.82382450420156139"/>
    <n v="0.86600745356438702"/>
    <n v="0.91952549438408449"/>
    <n v="0.46662292108625802"/>
    <n v="0.47000362924573558"/>
    <n v="0.54412499416691684"/>
    <n v="-8.1568541141611828"/>
    <n v="0.1210771896579252"/>
    <n v="-1.3854822910721349"/>
    <n v="3.0689971607260609"/>
    <n v="3.1802898549320782"/>
    <n v="-11.51292546497023"/>
    <n v="-0.11129269748926163"/>
    <n v="0"/>
    <n v="0"/>
    <n v="0"/>
    <n v="0"/>
    <n v="1"/>
    <n v="0"/>
    <n v="0"/>
    <n v="-1.8330172300338745"/>
    <n v="0.14659260627225454"/>
    <n v="0.15993029258348376"/>
    <n v="-1.3337686311229224E-2"/>
    <n v="1.7789387613675143E-4"/>
  </r>
  <r>
    <x v="17"/>
    <x v="4"/>
    <n v="-1.706711018642455"/>
    <n v="0.78895723540592111"/>
    <n v="0.82382450420156139"/>
    <n v="0.86600745356438702"/>
    <n v="0.50748003351489412"/>
    <n v="0.46662292108625802"/>
    <n v="0.47000362924573558"/>
    <n v="-7.4722525615834847"/>
    <n v="0.1210771896579252"/>
    <n v="-1.3149918360292321"/>
    <n v="3.1886505585110809"/>
    <n v="3.0604515327438668"/>
    <n v="-11.51292546497023"/>
    <n v="0.1281990259885788"/>
    <n v="0"/>
    <n v="0"/>
    <n v="0"/>
    <n v="0"/>
    <n v="1"/>
    <n v="0"/>
    <n v="0"/>
    <n v="-1.6975280046463013"/>
    <n v="0.18146163615928551"/>
    <n v="0.18313567550328369"/>
    <n v="-1.6740393439981793E-3"/>
    <n v="2.8024077252538545E-6"/>
  </r>
  <r>
    <x v="17"/>
    <x v="5"/>
    <n v="-1.60053839816128"/>
    <n v="0.79077285934438513"/>
    <n v="0.78895723540592111"/>
    <n v="0.82382450420156139"/>
    <n v="0.60355064674818915"/>
    <n v="0.50748003351489412"/>
    <n v="0.46662292108625802"/>
    <n v="-5.5348156310996162"/>
    <n v="0.1210771896579252"/>
    <n v="-1.2476551676735821"/>
    <n v="3.317190439872213"/>
    <n v="3.1801773399395339"/>
    <n v="-11.51292546497023"/>
    <n v="0.13701309263706207"/>
    <n v="0"/>
    <n v="0"/>
    <n v="0"/>
    <n v="0"/>
    <n v="1"/>
    <n v="0"/>
    <n v="0"/>
    <n v="-1.5896147489547729"/>
    <n v="0.20178784653747969"/>
    <n v="0.20400418942437937"/>
    <n v="-2.2163428868996748E-3"/>
    <n v="4.9121757923107853E-6"/>
  </r>
  <r>
    <x v="17"/>
    <x v="6"/>
    <n v="-1.471108373131875"/>
    <n v="0.71998383451350489"/>
    <n v="0.79077285934438513"/>
    <n v="0.78895723540592111"/>
    <n v="0.57986649410097901"/>
    <n v="0.60355064674818915"/>
    <n v="0.50748003351489412"/>
    <n v="-5.1380555517149187"/>
    <n v="0.1210771896579252"/>
    <n v="-1.179704367233158"/>
    <n v="3.329732396070292"/>
    <n v="3.3084854111487361"/>
    <n v="-11.51292546497023"/>
    <n v="2.1246984601020813E-2"/>
    <n v="0"/>
    <n v="0"/>
    <n v="0"/>
    <n v="0"/>
    <n v="1"/>
    <n v="0"/>
    <n v="0"/>
    <n v="-1.4635783433914185"/>
    <n v="0.22967078313513978"/>
    <n v="0.23140673865844355"/>
    <n v="-1.7359555233037727E-3"/>
    <n v="3.0135415788888754E-6"/>
  </r>
  <r>
    <x v="17"/>
    <x v="7"/>
    <n v="-1.494133934603429"/>
    <n v="0.68355128688649835"/>
    <n v="0.71998383451350489"/>
    <n v="0.79077285934438513"/>
    <n v="0.53456168144257443"/>
    <n v="0.57986649410097901"/>
    <n v="0.60355064674818915"/>
    <n v="-4.491862412090355"/>
    <n v="0.1210771896579252"/>
    <n v="-1.1875772680358909"/>
    <n v="3.190504739213627"/>
    <n v="3.2592478577247208"/>
    <n v="-11.51292546497023"/>
    <n v="-6.8743117153644562E-2"/>
    <n v="0"/>
    <n v="0"/>
    <n v="0"/>
    <n v="0"/>
    <n v="1"/>
    <n v="0"/>
    <n v="0"/>
    <n v="-1.4419981241226196"/>
    <n v="0.22444290281259976"/>
    <n v="0.23645482026436188"/>
    <n v="-1.2011917451762111E-2"/>
    <n v="1.4428616086794717E-4"/>
  </r>
  <r>
    <x v="17"/>
    <x v="8"/>
    <n v="-1.4244153753066211"/>
    <n v="0.65876275369811454"/>
    <n v="0.68355128688649835"/>
    <n v="0.71998383451350489"/>
    <n v="0.51950782414882457"/>
    <n v="0.53456168144257443"/>
    <n v="0.57986649410097901"/>
    <n v="-3.810543579081318"/>
    <n v="0.1210771896579252"/>
    <n v="-1.1445370486744579"/>
    <n v="3.1967545587293689"/>
    <n v="3.1786763916627172"/>
    <n v="-11.51292546497023"/>
    <n v="1.8078166991472244E-2"/>
    <n v="0"/>
    <n v="0"/>
    <n v="0"/>
    <n v="0"/>
    <n v="1"/>
    <n v="0"/>
    <n v="0"/>
    <n v="-1.3721628189086914"/>
    <n v="0.24064911150412777"/>
    <n v="0.25355796611654791"/>
    <n v="-1.290885461242014E-2"/>
    <n v="1.6663852740460072E-4"/>
  </r>
  <r>
    <x v="17"/>
    <x v="9"/>
    <n v="-1.455241445631601"/>
    <n v="0.67661121191984575"/>
    <n v="0.65876275369811454"/>
    <n v="0.68355128688649835"/>
    <n v="0.48839594879980602"/>
    <n v="0.51950782414882457"/>
    <n v="0.53456168144257443"/>
    <n v="-3.5314399299331951"/>
    <n v="0.1210771896579252"/>
    <n v="-1.1171376979228"/>
    <n v="3.0447393750450531"/>
    <n v="3.185273375767748"/>
    <n v="-11.51292546497023"/>
    <n v="-0.14053399860858917"/>
    <n v="1"/>
    <n v="0"/>
    <n v="0"/>
    <n v="0"/>
    <n v="1"/>
    <n v="0"/>
    <n v="0"/>
    <n v="-1.4308685064315796"/>
    <n v="0.23334401720547882"/>
    <n v="0.23910117113529733"/>
    <n v="-5.7571539298185148E-3"/>
    <n v="3.3144821371624768E-5"/>
  </r>
  <r>
    <x v="17"/>
    <x v="10"/>
    <n v="-1.4339957442757869"/>
    <n v="0.70066882195879143"/>
    <n v="0.67661121191984575"/>
    <n v="0.65876275369811454"/>
    <n v="0.56092921073223634"/>
    <n v="0.48839594879980602"/>
    <n v="0.51950782414882457"/>
    <n v="-3.3386922842303748"/>
    <n v="0.1210771896579252"/>
    <n v="-1.100672190265807"/>
    <n v="2.858973286589729"/>
    <n v="3.0336592587329538"/>
    <n v="-11.51292546497023"/>
    <n v="-0.17468596994876862"/>
    <n v="1"/>
    <n v="0"/>
    <n v="0"/>
    <n v="0"/>
    <n v="1"/>
    <n v="0"/>
    <n v="0"/>
    <n v="-1.4188328981399536"/>
    <n v="0.23835461284541828"/>
    <n v="0.24199628646238305"/>
    <n v="-3.641673616964769E-3"/>
    <n v="1.3261786732497263E-5"/>
  </r>
  <r>
    <x v="17"/>
    <x v="11"/>
    <n v="-1.4548490777612779"/>
    <n v="0.69574380640721123"/>
    <n v="0.70066882195879143"/>
    <n v="0.67661121191984575"/>
    <n v="0.57464513647894466"/>
    <n v="0.56092921073223634"/>
    <n v="0.48839594879980602"/>
    <n v="-2.7221811997148042"/>
    <n v="0.1210771896579252"/>
    <n v="-1.0829756218864179"/>
    <n v="2.8493892042478808"/>
    <n v="2.848295158337153"/>
    <n v="-11.51292546497023"/>
    <n v="1.0940459324046969E-3"/>
    <n v="1"/>
    <n v="0"/>
    <n v="0"/>
    <n v="0"/>
    <n v="1"/>
    <n v="0"/>
    <n v="0"/>
    <n v="-1.3812669515609741"/>
    <n v="0.23343559186486454"/>
    <n v="0.25126001704670792"/>
    <n v="-1.7824425181843379E-2"/>
    <n v="3.1771013306313236E-4"/>
  </r>
  <r>
    <x v="17"/>
    <x v="12"/>
    <n v="-1.474068202726299"/>
    <n v="0.80892821354565558"/>
    <n v="0.69574380640721123"/>
    <n v="0.70066882195879143"/>
    <n v="0.60163478005383786"/>
    <n v="0.57464513647894466"/>
    <n v="0.56092921073223634"/>
    <n v="-2.1175119716893631"/>
    <n v="0.1210771896579252"/>
    <n v="-1.0407638899801599"/>
    <n v="3.0056482580876702"/>
    <n v="2.860396802928181"/>
    <n v="3.2580965380214821"/>
    <n v="0.14525145292282104"/>
    <n v="1"/>
    <n v="0"/>
    <n v="0"/>
    <n v="0"/>
    <n v="1"/>
    <n v="0"/>
    <n v="0"/>
    <n v="-1.4339783191680908"/>
    <n v="0.22899200178834481"/>
    <n v="0.23835876623640354"/>
    <n v="-9.3667644480587287E-3"/>
    <n v="8.7736276225416945E-5"/>
  </r>
  <r>
    <x v="17"/>
    <x v="13"/>
    <n v="-1.4606561361193731"/>
    <n v="0.78481436908576918"/>
    <n v="0.80892821354565558"/>
    <n v="0.69574380640721123"/>
    <n v="0.56781068924864764"/>
    <n v="0.60163478005383786"/>
    <n v="0.57464513647894466"/>
    <n v="-1.4401362695257149"/>
    <n v="0.1210771896579252"/>
    <n v="-1.019930205089437"/>
    <n v="2.9550679697659179"/>
    <n v="2.994069657951409"/>
    <n v="5.393627546352362"/>
    <n v="-3.9001688361167908E-2"/>
    <n v="1"/>
    <n v="0"/>
    <n v="0"/>
    <n v="0"/>
    <n v="1"/>
    <n v="0"/>
    <n v="0"/>
    <n v="-1.4466843605041504"/>
    <n v="0.23208394610130254"/>
    <n v="0.23534932940192249"/>
    <n v="-3.2653833006199562E-3"/>
    <n v="1.0662728099967679E-5"/>
  </r>
  <r>
    <x v="17"/>
    <x v="14"/>
    <n v="-1.5028086365445701"/>
    <n v="0.68056839835308525"/>
    <n v="0.78481436908576918"/>
    <n v="0.80892821354565558"/>
    <n v="0.52360363612520588"/>
    <n v="0.56781068924864764"/>
    <n v="0.60163478005383786"/>
    <n v="-0.87155225440774209"/>
    <n v="0.1210771896579252"/>
    <n v="-1.002540329386377"/>
    <n v="2.8890963972944359"/>
    <n v="2.9438334896309488"/>
    <n v="5.9914645471079817"/>
    <n v="-5.4737091064453125E-2"/>
    <n v="1"/>
    <n v="1"/>
    <n v="0"/>
    <n v="0"/>
    <n v="1"/>
    <n v="0"/>
    <n v="0"/>
    <n v="-1.4853149652481079"/>
    <n v="0.22250434787743847"/>
    <n v="0.22643101154422918"/>
    <n v="-3.9266636667907029E-3"/>
    <n v="1.5418687552094208E-5"/>
  </r>
  <r>
    <x v="17"/>
    <x v="15"/>
    <n v="-1.3732322435946691"/>
    <n v="0.91605070306954628"/>
    <n v="0.68056839835308525"/>
    <n v="0.78481436908576918"/>
    <n v="0.7530185775973357"/>
    <n v="0.52360363612520588"/>
    <n v="0.56781068924864764"/>
    <n v="-0.1537470462107792"/>
    <n v="0.1210771896579252"/>
    <n v="-0.98375136577726552"/>
    <n v="3.0526313545272359"/>
    <n v="2.8782169571944691"/>
    <n v="6.6846117276679271"/>
    <n v="0.17441439628601074"/>
    <n v="1"/>
    <n v="0"/>
    <n v="0"/>
    <n v="0"/>
    <n v="1"/>
    <n v="0"/>
    <n v="0"/>
    <n v="-1.4696497917175293"/>
    <n v="0.25328694990979683"/>
    <n v="0.23000602109733567"/>
    <n v="2.328092881246116E-2"/>
    <n v="5.4200164637088419E-4"/>
  </r>
  <r>
    <x v="17"/>
    <x v="16"/>
    <n v="-1.408030673586286"/>
    <n v="0.91948562277067425"/>
    <n v="0.91605070306954628"/>
    <n v="0.68056839835308525"/>
    <n v="0.73620667002039231"/>
    <n v="0.7530185775973357"/>
    <n v="0.52360363612520588"/>
    <n v="0.2069221807398918"/>
    <n v="0.1210771896579252"/>
    <n v="-0.95235125574320523"/>
    <n v="2.9498901365852981"/>
    <n v="3.0526313545272359"/>
    <n v="8.0551577318196781"/>
    <n v="-0.10274121910333633"/>
    <n v="1"/>
    <n v="0"/>
    <n v="0"/>
    <n v="0"/>
    <n v="1"/>
    <n v="0"/>
    <n v="0"/>
    <n v="-1.4659150838851929"/>
    <n v="0.24462455470453007"/>
    <n v="0.23086663245147479"/>
    <n v="1.3757922253055277E-2"/>
    <n v="1.8928042472111359E-4"/>
  </r>
  <r>
    <x v="17"/>
    <x v="17"/>
    <n v="-1.409933029471633"/>
    <n v="0.77094120799996546"/>
    <n v="0.91948562277067425"/>
    <n v="0.91605070306954628"/>
    <n v="0.51372142687801625"/>
    <n v="0.73620667002039231"/>
    <n v="0.7530185775973357"/>
    <n v="0.80364040826699634"/>
    <n v="0.1210771896579252"/>
    <n v="-0.91589480276000479"/>
    <n v="3.038862087768913"/>
    <n v="2.9498901365852981"/>
    <n v="8.4658998970286863"/>
    <n v="8.8971950113773346E-2"/>
    <n v="1"/>
    <n v="0"/>
    <n v="0"/>
    <n v="0"/>
    <n v="1"/>
    <n v="0"/>
    <n v="0"/>
    <n v="-1.4229415655136108"/>
    <n v="0.24415963410561697"/>
    <n v="0.24100404400859607"/>
    <n v="3.155590097020905E-3"/>
    <n v="9.9577488604164041E-6"/>
  </r>
  <r>
    <x v="18"/>
    <x v="0"/>
    <n v="-2.237512838161928"/>
    <n v="0.94000725849147115"/>
    <n v="0.88107797611841054"/>
    <n v="0.83768033129224362"/>
    <n v="0.63127177684185776"/>
    <n v="0.47561286801024621"/>
    <n v="0.34089103078292382"/>
    <n v="-11.51292546497023"/>
    <n v="0.82647109558213605"/>
    <n v="-1.70570799043904"/>
    <n v="3.2560988326107489"/>
    <n v="3.2165286519569731"/>
    <n v="-11.51292546497023"/>
    <n v="3.9570178836584091E-2"/>
    <n v="0"/>
    <n v="0"/>
    <n v="0"/>
    <n v="0"/>
    <n v="1"/>
    <n v="0"/>
    <n v="0"/>
    <n v="-2.1361193656921387"/>
    <n v="0.10672361345661004"/>
    <n v="0.11811230549028104"/>
    <n v="-1.1388692033671002E-2"/>
    <n v="1.2970230623780135E-4"/>
  </r>
  <r>
    <x v="18"/>
    <x v="1"/>
    <n v="-2.2630099486957058"/>
    <n v="0.88459364513090055"/>
    <n v="0.94000725849147115"/>
    <n v="0.88107797611841054"/>
    <n v="0.48698364928041982"/>
    <n v="0.63127177684185776"/>
    <n v="0.47561286801024621"/>
    <n v="-11.51292546497023"/>
    <n v="0.82647109558213605"/>
    <n v="-1.646945585204012"/>
    <n v="3.2606676200173892"/>
    <n v="3.2461673473665589"/>
    <n v="-11.51292546497023"/>
    <n v="1.4500272460281849E-2"/>
    <n v="0"/>
    <n v="0"/>
    <n v="0"/>
    <n v="0"/>
    <n v="1"/>
    <n v="0"/>
    <n v="0"/>
    <n v="-2.0864202976226807"/>
    <n v="0.10403686737217262"/>
    <n v="0.12413069237816748"/>
    <n v="-2.0093825005994867E-2"/>
    <n v="4.0376180337154462E-4"/>
  </r>
  <r>
    <x v="18"/>
    <x v="2"/>
    <n v="-2.2843596656263521"/>
    <n v="0.83512405945549484"/>
    <n v="0.88459364513090055"/>
    <n v="0.94000725849147115"/>
    <n v="0.41785470575408717"/>
    <n v="0.48698364928041982"/>
    <n v="0.63127177684185776"/>
    <n v="-11.51292546497023"/>
    <n v="0.82647109558213605"/>
    <n v="-1.584602466258185"/>
    <n v="3.3225279254154221"/>
    <n v="3.2508338000063959"/>
    <n v="-11.51292546497023"/>
    <n v="7.1694128215312958E-2"/>
    <n v="0"/>
    <n v="0"/>
    <n v="0"/>
    <n v="0"/>
    <n v="1"/>
    <n v="0"/>
    <n v="0"/>
    <n v="-2.0342776775360107"/>
    <n v="0.10183925240616361"/>
    <n v="0.13077491005160646"/>
    <n v="-2.8935657645442855E-2"/>
    <n v="8.3727228337427556E-4"/>
  </r>
  <r>
    <x v="18"/>
    <x v="3"/>
    <n v="-2.2804418069396069"/>
    <n v="0.80074519115796339"/>
    <n v="0.83512405945549484"/>
    <n v="0.88459364513090055"/>
    <n v="0.39332504821399572"/>
    <n v="0.41785470575408717"/>
    <n v="0.48698364928041982"/>
    <n v="-9.6809956013844154"/>
    <n v="0.82647109558213605"/>
    <n v="-1.5249243700995121"/>
    <n v="3.2780036200734699"/>
    <n v="3.3138669607552518"/>
    <n v="-11.51292546497023"/>
    <n v="-3.5863339900970459E-2"/>
    <n v="0"/>
    <n v="0"/>
    <n v="0"/>
    <n v="0"/>
    <n v="1"/>
    <n v="0"/>
    <n v="0"/>
    <n v="-1.9966739416122437"/>
    <n v="0.10223902682432799"/>
    <n v="0.13578616570562682"/>
    <n v="-3.354713888129883E-2"/>
    <n v="1.1254105271211517E-3"/>
  </r>
  <r>
    <x v="18"/>
    <x v="4"/>
    <n v="-2.1519550381873729"/>
    <n v="0.77398956840404609"/>
    <n v="0.80074519115796339"/>
    <n v="0.83512405945549484"/>
    <n v="0.42533309274563069"/>
    <n v="0.39332504821399572"/>
    <n v="0.41785470575408717"/>
    <n v="-8.5855714562939589"/>
    <n v="0.82647109558213605"/>
    <n v="-1.4550788418249221"/>
    <n v="3.3325037359465162"/>
    <n v="3.2748154764963191"/>
    <n v="-11.51292546497023"/>
    <n v="5.7688258588314056E-2"/>
    <n v="0"/>
    <n v="0"/>
    <n v="0"/>
    <n v="0"/>
    <n v="1"/>
    <n v="0"/>
    <n v="0"/>
    <n v="-1.8962235450744629"/>
    <n v="0.11625664926320335"/>
    <n v="0.15013452626005153"/>
    <n v="-3.3877876996848175E-2"/>
    <n v="1.1477105498135748E-3"/>
  </r>
  <r>
    <x v="18"/>
    <x v="5"/>
    <n v="-1.9553968459507789"/>
    <n v="0.77670677365887608"/>
    <n v="0.77398956840404609"/>
    <n v="0.80074519115796339"/>
    <n v="0.54290551722940239"/>
    <n v="0.42533309274563069"/>
    <n v="0.39332504821399572"/>
    <n v="-6.9793114934077973"/>
    <n v="0.82647109558213605"/>
    <n v="-1.3877135055700109"/>
    <n v="3.3803102737778499"/>
    <n v="3.329325786398154"/>
    <n v="-11.51292546497023"/>
    <n v="5.0984486937522888E-2"/>
    <n v="0"/>
    <n v="0"/>
    <n v="0"/>
    <n v="0"/>
    <n v="1"/>
    <n v="0"/>
    <n v="0"/>
    <n v="-1.7885845899581909"/>
    <n v="0.14150830855057114"/>
    <n v="0.16719665408950193"/>
    <n v="-2.568834553893079E-2"/>
    <n v="6.598910965275054E-4"/>
  </r>
  <r>
    <x v="18"/>
    <x v="6"/>
    <n v="-1.8824604353078249"/>
    <n v="0.72701706506756059"/>
    <n v="0.77670677365887608"/>
    <n v="0.77398956840404609"/>
    <n v="0.48168513401957352"/>
    <n v="0.54290551722940239"/>
    <n v="0.42533309274563069"/>
    <n v="-6.5592065445550389"/>
    <n v="0.82647109558213605"/>
    <n v="-1.32546433749687"/>
    <n v="3.410883565693982"/>
    <n v="3.3729712078036278"/>
    <n v="-11.51292546497023"/>
    <n v="3.7912357598543167E-2"/>
    <n v="0"/>
    <n v="0"/>
    <n v="0"/>
    <n v="0"/>
    <n v="1"/>
    <n v="0"/>
    <n v="0"/>
    <n v="-1.6938371658325195"/>
    <n v="0.15221512916504559"/>
    <n v="0.18381284866238834"/>
    <n v="-3.1597719497342747E-2"/>
    <n v="9.9841587743275395E-4"/>
  </r>
  <r>
    <x v="18"/>
    <x v="7"/>
    <n v="-1.833439934878303"/>
    <n v="0.72090825134533554"/>
    <n v="0.72701706506756059"/>
    <n v="0.77670677365887608"/>
    <n v="0.45082080982896172"/>
    <n v="0.48168513401957352"/>
    <n v="0.54290551722940239"/>
    <n v="-5.7141714698248407"/>
    <n v="0.82647109558213605"/>
    <n v="-1.2719662823073969"/>
    <n v="3.4187957986930062"/>
    <n v="3.402428809789027"/>
    <n v="-11.51292546497023"/>
    <n v="1.636698842048645E-2"/>
    <n v="0"/>
    <n v="0"/>
    <n v="0"/>
    <n v="0"/>
    <n v="1"/>
    <n v="0"/>
    <n v="0"/>
    <n v="-1.6573200225830078"/>
    <n v="0.15986270356014803"/>
    <n v="0.19064923170026593"/>
    <n v="-3.0786528140117897E-2"/>
    <n v="9.4781031492227109E-4"/>
  </r>
  <r>
    <x v="18"/>
    <x v="8"/>
    <n v="-1.749828565635781"/>
    <n v="0.70116495215352848"/>
    <n v="0.72090825134533554"/>
    <n v="0.72701706506756059"/>
    <n v="0.45622159177194999"/>
    <n v="0.45082080982896172"/>
    <n v="0.48168513401957352"/>
    <n v="-5.0547993852039159"/>
    <n v="0.82647109558213605"/>
    <n v="-1.2217981484674389"/>
    <n v="3.4036344688988498"/>
    <n v="3.413191579720682"/>
    <n v="-11.51292546497023"/>
    <n v="-9.5571111887693405E-3"/>
    <n v="0"/>
    <n v="0"/>
    <n v="0"/>
    <n v="0"/>
    <n v="1"/>
    <n v="0"/>
    <n v="0"/>
    <n v="-1.6051784753799438"/>
    <n v="0.17380373682968991"/>
    <n v="0.20085370426991622"/>
    <n v="-2.7049967440226308E-2"/>
    <n v="7.3170073851730336E-4"/>
  </r>
  <r>
    <x v="18"/>
    <x v="9"/>
    <n v="-1.8007779194908979"/>
    <n v="0.72571117143320785"/>
    <n v="0.70116495215352848"/>
    <n v="0.72090825134533554"/>
    <n v="0.46304195291218431"/>
    <n v="0.45622159177194999"/>
    <n v="0.45082080982896172"/>
    <n v="-4.7101965250097608"/>
    <n v="0.82647109558213605"/>
    <n v="-1.186573062907786"/>
    <n v="3.3073660326615402"/>
    <n v="3.398251373305063"/>
    <n v="-11.51292546497023"/>
    <n v="-9.0885341167449951E-2"/>
    <n v="1"/>
    <n v="0"/>
    <n v="0"/>
    <n v="0"/>
    <n v="1"/>
    <n v="0"/>
    <n v="0"/>
    <n v="-1.6448615789413452"/>
    <n v="0.16517034899768124"/>
    <n v="0.19303928164622056"/>
    <n v="-2.7868932648539319E-2"/>
    <n v="7.7667740696882076E-4"/>
  </r>
  <r>
    <x v="18"/>
    <x v="10"/>
    <n v="-1.823923987083893"/>
    <n v="0.76383860868247833"/>
    <n v="0.72571117143320785"/>
    <n v="0.70116495215352848"/>
    <n v="0.57334961710434951"/>
    <n v="0.46304195291218431"/>
    <n v="0.45622159177194999"/>
    <n v="-4.4310570297258298"/>
    <n v="0.82647109558213583"/>
    <n v="-1.164044452768576"/>
    <n v="3.19542542152741"/>
    <n v="3.3021848031963952"/>
    <n v="-11.51292546497023"/>
    <n v="-0.10675938427448273"/>
    <n v="1"/>
    <n v="0"/>
    <n v="0"/>
    <n v="0"/>
    <n v="1"/>
    <n v="0"/>
    <n v="0"/>
    <n v="-1.6166203022003174"/>
    <n v="0.16139120975984836"/>
    <n v="0.1985686683906451"/>
    <n v="-3.7177458630796745E-2"/>
    <n v="1.3821634302446035E-3"/>
  </r>
  <r>
    <x v="18"/>
    <x v="11"/>
    <n v="-1.8911561148776641"/>
    <n v="0.78211913436220926"/>
    <n v="0.76383860868247833"/>
    <n v="0.72571117143320785"/>
    <n v="0.56565466004466869"/>
    <n v="0.57334961710434951"/>
    <n v="0.46304195291218431"/>
    <n v="-3.794709301107944"/>
    <n v="0.82647109558213583"/>
    <n v="-1.1451991938333961"/>
    <n v="3.201971591587994"/>
    <n v="3.1904510374499342"/>
    <n v="-11.51292546497023"/>
    <n v="1.1520554311573505E-2"/>
    <n v="1"/>
    <n v="0"/>
    <n v="0"/>
    <n v="0"/>
    <n v="1"/>
    <n v="0"/>
    <n v="0"/>
    <n v="-1.6090970039367676"/>
    <n v="0.15089725339309457"/>
    <n v="0.20006819332264769"/>
    <n v="-4.9170939929553126E-2"/>
    <n v="2.417781333555722E-3"/>
  </r>
  <r>
    <x v="18"/>
    <x v="12"/>
    <n v="-2.1486303885364362"/>
    <n v="0.9108358811911913"/>
    <n v="0.78211913436220926"/>
    <n v="0.76383860868247833"/>
    <n v="0.59316108568401837"/>
    <n v="0.56565466004466869"/>
    <n v="0.57334961710434951"/>
    <n v="-3.3303391138897651"/>
    <n v="0.82647109558213605"/>
    <n v="-1.144966067317355"/>
    <n v="3.2541256695778928"/>
    <n v="3.175935994048924"/>
    <n v="3.2580965380214821"/>
    <n v="7.8189678490161896E-2"/>
    <n v="1"/>
    <n v="0"/>
    <n v="0"/>
    <n v="0"/>
    <n v="1"/>
    <n v="0"/>
    <n v="0"/>
    <n v="-1.7197731733322144"/>
    <n v="0.11664380511376478"/>
    <n v="0.17910676949599236"/>
    <n v="-6.2462964382227579E-2"/>
    <n v="3.901621919415431E-3"/>
  </r>
  <r>
    <x v="18"/>
    <x v="13"/>
    <n v="-2.13907748087883"/>
    <n v="0.87070742025218939"/>
    <n v="0.9108358811911913"/>
    <n v="0.78211913436220926"/>
    <n v="0.63254755843101573"/>
    <n v="0.59316108568401837"/>
    <n v="0.56565466004466869"/>
    <n v="-2.6191548710812809"/>
    <n v="0.82647109558213605"/>
    <n v="-1.1202000938310921"/>
    <n v="3.2340371263750378"/>
    <n v="3.2480264032731321"/>
    <n v="5.393627546352362"/>
    <n v="-1.3989277184009552E-2"/>
    <n v="1"/>
    <n v="0"/>
    <n v="0"/>
    <n v="0"/>
    <n v="1"/>
    <n v="0"/>
    <n v="0"/>
    <n v="-1.6847186088562012"/>
    <n v="0.11776343194414252"/>
    <n v="0.18549662171931433"/>
    <n v="-6.7733189775171815E-2"/>
    <n v="4.5877849971194401E-3"/>
  </r>
  <r>
    <x v="18"/>
    <x v="14"/>
    <n v="-2.2366779689925438"/>
    <n v="0.80571664916344143"/>
    <n v="0.87070742025218939"/>
    <n v="0.9108358811911913"/>
    <n v="0.60387871280176308"/>
    <n v="0.63254755843101573"/>
    <n v="0.59316108568401837"/>
    <n v="-2.081643006335685"/>
    <n v="0.82647109558213605"/>
    <n v="-1.1083155054469129"/>
    <n v="3.1314304889748761"/>
    <n v="3.228190000820085"/>
    <n v="5.9914645471079817"/>
    <n v="-9.6759513020515442E-2"/>
    <n v="1"/>
    <n v="1"/>
    <n v="0"/>
    <n v="0"/>
    <n v="1"/>
    <n v="0"/>
    <n v="0"/>
    <n v="-1.7531057596206665"/>
    <n v="0.10681275091501073"/>
    <n v="0.17323508057617507"/>
    <n v="-6.6422329661164334E-2"/>
    <n v="4.4119258776163916E-3"/>
  </r>
  <r>
    <x v="18"/>
    <x v="15"/>
    <n v="-2.2436494113731271"/>
    <n v="0.99017296426485946"/>
    <n v="0.80571664916344143"/>
    <n v="0.87070742025218939"/>
    <n v="0.80972949563980989"/>
    <n v="0.60387871280176308"/>
    <n v="0.63254755843101573"/>
    <n v="-1.41955856591758"/>
    <n v="0.82647109558213605"/>
    <n v="-1.089817092932543"/>
    <n v="3.2337584360799538"/>
    <n v="3.1258513020199721"/>
    <n v="6.6846117276679271"/>
    <n v="0.10790713131427765"/>
    <n v="1"/>
    <n v="0"/>
    <n v="0"/>
    <n v="0"/>
    <n v="1"/>
    <n v="0"/>
    <n v="0"/>
    <n v="-1.6892243623733521"/>
    <n v="0.10607070155901939"/>
    <n v="0.18466269979774205"/>
    <n v="-7.8591998238722663E-2"/>
    <n v="6.1767021871553859E-3"/>
  </r>
  <r>
    <x v="18"/>
    <x v="16"/>
    <n v="-2.1213573857838068"/>
    <n v="0.95273837284520058"/>
    <n v="0.99017296426485946"/>
    <n v="0.80571664916344143"/>
    <n v="0.75912216948347822"/>
    <n v="0.80972949563980989"/>
    <n v="0.60387871280176308"/>
    <n v="-0.84360259996342513"/>
    <n v="0.82647109558213605"/>
    <n v="-1.0708892735523441"/>
    <n v="3.3463959725109111"/>
    <n v="3.2337584360799538"/>
    <n v="8.0551577318196781"/>
    <n v="0.11263753473758698"/>
    <n v="1"/>
    <n v="0"/>
    <n v="0"/>
    <n v="0"/>
    <n v="1"/>
    <n v="0"/>
    <n v="0"/>
    <n v="-1.6451479196548462"/>
    <n v="0.11986880981420001"/>
    <n v="0.19298401455356726"/>
    <n v="-7.3115204739367251E-2"/>
    <n v="5.3458331640795914E-3"/>
  </r>
  <r>
    <x v="18"/>
    <x v="17"/>
    <n v="-1.9706228229045011"/>
    <n v="0.75108584548039126"/>
    <n v="0.95273837284520058"/>
    <n v="0.99017296426485946"/>
    <n v="0.49035757512612699"/>
    <n v="0.75912216948347822"/>
    <n v="0.80972949563980989"/>
    <n v="-0.36954702057257222"/>
    <n v="0.82647109558213605"/>
    <n v="-1.047297432211312"/>
    <n v="3.3127315355148799"/>
    <n v="3.3463959725109111"/>
    <n v="8.4658998970286863"/>
    <n v="-3.3664435148239136E-2"/>
    <n v="1"/>
    <n v="0"/>
    <n v="0"/>
    <n v="0"/>
    <n v="1"/>
    <n v="0"/>
    <n v="0"/>
    <n v="-1.5990728139877319"/>
    <n v="0.13937002633343684"/>
    <n v="0.20208380043147675"/>
    <n v="-6.2713774098039909E-2"/>
    <n v="3.9330174616199814E-3"/>
  </r>
  <r>
    <x v="19"/>
    <x v="0"/>
    <n v="-1.7630864665386961"/>
    <n v="0.89199803930511046"/>
    <n v="0.83290912293510388"/>
    <n v="0.77941661571212117"/>
    <n v="0.35065687161316927"/>
    <n v="0.19647097989837431"/>
    <n v="6.6068599969704711E-2"/>
    <n v="-11.51292546497023"/>
    <n v="1.265354355328006"/>
    <n v="-1.19793178021197"/>
    <n v="3.2978856822071889"/>
    <n v="3.259373679013422"/>
    <n v="-11.51292546497023"/>
    <n v="3.8512002676725388E-2"/>
    <n v="0"/>
    <n v="0"/>
    <n v="0"/>
    <n v="0"/>
    <n v="1"/>
    <n v="0"/>
    <n v="0"/>
    <n v="-1.9912704229354858"/>
    <n v="0.17151467173866619"/>
    <n v="0.13652187470662366"/>
    <n v="3.4992797032042527E-2"/>
    <n v="1.2244958441257243E-3"/>
  </r>
  <r>
    <x v="19"/>
    <x v="1"/>
    <n v="-1.746733925088098"/>
    <n v="0.83599132458942582"/>
    <n v="0.89199803930511046"/>
    <n v="0.83290912293510388"/>
    <n v="0.1954022963324851"/>
    <n v="0.35065687161316927"/>
    <n v="0.19647097989837431"/>
    <n v="-11.51292546497023"/>
    <n v="1.265354355328006"/>
    <n v="-1.1162756448768509"/>
    <n v="3.3624528263573801"/>
    <n v="3.2984228525399839"/>
    <n v="-11.51292546497023"/>
    <n v="6.4029976725578308E-2"/>
    <n v="0"/>
    <n v="0"/>
    <n v="0"/>
    <n v="0"/>
    <n v="1"/>
    <n v="0"/>
    <n v="0"/>
    <n v="-1.9297616481781006"/>
    <n v="0.17434243002200675"/>
    <n v="0.14518279894455535"/>
    <n v="2.9159631077451398E-2"/>
    <n v="8.5028408457306934E-4"/>
  </r>
  <r>
    <x v="19"/>
    <x v="2"/>
    <n v="-1.765048737085086"/>
    <n v="0.77449672625626842"/>
    <n v="0.83599132458942582"/>
    <n v="0.89199803930511046"/>
    <n v="0.13802129789737461"/>
    <n v="0.1954022963324851"/>
    <n v="0.35065687161316927"/>
    <n v="-11.51292546497023"/>
    <n v="1.265354355328006"/>
    <n v="-1.0360122036168831"/>
    <n v="3.386988115588411"/>
    <n v="3.3629902853972329"/>
    <n v="-11.51292546497023"/>
    <n v="2.3997830227017403E-2"/>
    <n v="0"/>
    <n v="0"/>
    <n v="0"/>
    <n v="0"/>
    <n v="1"/>
    <n v="0"/>
    <n v="0"/>
    <n v="-1.860649585723877"/>
    <n v="0.17117844354326939"/>
    <n v="0.15557154048653846"/>
    <n v="1.5606903056730931E-2"/>
    <n v="2.4357542302219727E-4"/>
  </r>
  <r>
    <x v="19"/>
    <x v="3"/>
    <n v="-1.8212686673049381"/>
    <n v="0.73231981563441728"/>
    <n v="0.77449672625626842"/>
    <n v="0.83599132458942582"/>
    <n v="0.142020260020429"/>
    <n v="0.13802129789737461"/>
    <n v="0.1954022963324851"/>
    <n v="-9.9375033735161562"/>
    <n v="1.265354355328006"/>
    <n v="-0.97659553740601257"/>
    <n v="3.385375666510726"/>
    <n v="3.3779487205784622"/>
    <n v="-11.51292546497023"/>
    <n v="7.4269459582865238E-3"/>
    <n v="0"/>
    <n v="0"/>
    <n v="0"/>
    <n v="0"/>
    <n v="1"/>
    <n v="0"/>
    <n v="0"/>
    <n v="-1.789037823677063"/>
    <n v="0.16182032449756767"/>
    <n v="0.1671208920984274"/>
    <n v="-5.3005676008597291E-3"/>
    <n v="2.8096016891283863E-5"/>
  </r>
  <r>
    <x v="19"/>
    <x v="4"/>
    <n v="-1.7189817245146379"/>
    <n v="0.6995764683248491"/>
    <n v="0.73231981563441728"/>
    <n v="0.77449672625626842"/>
    <n v="0.21817120968765191"/>
    <n v="0.142020260020429"/>
    <n v="0.13802129789737461"/>
    <n v="-9.5344896104320913"/>
    <n v="1.265354355328006"/>
    <n v="-0.91249109744974854"/>
    <n v="3.440684568154373"/>
    <n v="3.382924321486628"/>
    <n v="-11.51292546497023"/>
    <n v="5.7760246098041534E-2"/>
    <n v="0"/>
    <n v="0"/>
    <n v="0"/>
    <n v="0"/>
    <n v="1"/>
    <n v="0"/>
    <n v="0"/>
    <n v="-1.6557096242904663"/>
    <n v="0.17924857944718661"/>
    <n v="0.19095650024343361"/>
    <n v="-1.1707920796246996E-2"/>
    <n v="1.3707540937119288E-4"/>
  </r>
  <r>
    <x v="19"/>
    <x v="5"/>
    <n v="-1.4805213850711589"/>
    <n v="0.7072473049387269"/>
    <n v="0.6995764683248491"/>
    <n v="0.73231981563441728"/>
    <n v="0.36241841856579821"/>
    <n v="0.21817120968765191"/>
    <n v="0.142020260020429"/>
    <n v="-7.8023339297130283"/>
    <n v="1.265354355328006"/>
    <n v="-0.85356057190685719"/>
    <n v="3.4623864788456791"/>
    <n v="3.4382391934854799"/>
    <n v="-11.51292546497023"/>
    <n v="2.4147285148501396E-2"/>
    <n v="0"/>
    <n v="0"/>
    <n v="0"/>
    <n v="0"/>
    <n v="1"/>
    <n v="0"/>
    <n v="0"/>
    <n v="-1.5333517789840698"/>
    <n v="0.22751903242686655"/>
    <n v="0.2158111025857522"/>
    <n v="1.1707929841114351E-2"/>
    <n v="1.370756211644559E-4"/>
  </r>
  <r>
    <x v="19"/>
    <x v="6"/>
    <n v="-1.402603731890806"/>
    <n v="0.65044842602683006"/>
    <n v="0.7072473049387269"/>
    <n v="0.6995764683248491"/>
    <n v="0.27299981366563941"/>
    <n v="0.36241841856579821"/>
    <n v="0.21817120968765191"/>
    <n v="-7.4650163682179782"/>
    <n v="1.265354355328006"/>
    <n v="-0.80722742659963931"/>
    <n v="3.4601654748241999"/>
    <n v="3.45486355404898"/>
    <n v="-11.51292546497023"/>
    <n v="5.3019206970930099E-3"/>
    <n v="0"/>
    <n v="0"/>
    <n v="0"/>
    <n v="0"/>
    <n v="1"/>
    <n v="0"/>
    <n v="0"/>
    <n v="-1.4428043365478516"/>
    <n v="0.24595572672957303"/>
    <n v="0.2362642642748834"/>
    <n v="9.6914624546896311E-3"/>
    <n v="9.3924444510658768E-5"/>
  </r>
  <r>
    <x v="19"/>
    <x v="7"/>
    <n v="-1.4273509861010041"/>
    <n v="0.62657993628783215"/>
    <n v="0.65044842602683006"/>
    <n v="0.7072473049387269"/>
    <n v="0.22657764804849201"/>
    <n v="0.27299981366563941"/>
    <n v="0.36241841856579821"/>
    <n v="-6.6769384770713529"/>
    <n v="1.265354355328006"/>
    <n v="-0.79988354835896736"/>
    <n v="3.442086937200926"/>
    <n v="3.4189640110862158"/>
    <n v="-11.51292546497023"/>
    <n v="2.3122925311326981E-2"/>
    <n v="0"/>
    <n v="0"/>
    <n v="0"/>
    <n v="0"/>
    <n v="1"/>
    <n v="0"/>
    <n v="0"/>
    <n v="-1.4238059520721436"/>
    <n v="0.23994369529505175"/>
    <n v="0.24079581336125452"/>
    <n v="-8.521180662027783E-4"/>
    <n v="7.2610519874916245E-7"/>
  </r>
  <r>
    <x v="19"/>
    <x v="8"/>
    <n v="-1.4008463333685071"/>
    <n v="0.61442859584854015"/>
    <n v="0.62657993628783215"/>
    <n v="0.65044842602683006"/>
    <n v="0.2124465417658743"/>
    <n v="0.22657764804849201"/>
    <n v="0.27299981366563941"/>
    <n v="-6.0013990725860262"/>
    <n v="1.265354355328006"/>
    <n v="-0.76685051736193866"/>
    <n v="3.4381250306036359"/>
    <n v="3.433611644689563"/>
    <n v="-11.51292546497023"/>
    <n v="4.5133857056498528E-3"/>
    <n v="0"/>
    <n v="0"/>
    <n v="0"/>
    <n v="0"/>
    <n v="1"/>
    <n v="0"/>
    <n v="0"/>
    <n v="-1.4001086950302124"/>
    <n v="0.24638834899379813"/>
    <n v="0.24657016153383121"/>
    <n v="-1.8181254003307723E-4"/>
    <n v="3.3055799713279312E-8"/>
  </r>
  <r>
    <x v="19"/>
    <x v="9"/>
    <n v="-1.5485504172300191"/>
    <n v="0.61880071843128848"/>
    <n v="0.61442859584854015"/>
    <n v="0.62657993628783215"/>
    <n v="0.20073432980108"/>
    <n v="0.2124465417658743"/>
    <n v="0.22657764804849201"/>
    <n v="-5.6010491282713071"/>
    <n v="1.265354355328006"/>
    <n v="-0.74372905009135759"/>
    <n v="3.400051629814719"/>
    <n v="3.429956429323278"/>
    <n v="-11.51292546497023"/>
    <n v="-2.9904799535870552E-2"/>
    <n v="1"/>
    <n v="0"/>
    <n v="0"/>
    <n v="0"/>
    <n v="1"/>
    <n v="0"/>
    <n v="0"/>
    <n v="-1.4336446523666382"/>
    <n v="0.21255586793765016"/>
    <n v="0.23843831191366965"/>
    <n v="-2.5882443976019492E-2"/>
    <n v="6.6990090617178775E-4"/>
  </r>
  <r>
    <x v="19"/>
    <x v="10"/>
    <n v="-1.4994484294193799"/>
    <n v="0.6505006058384728"/>
    <n v="0.61880071843128848"/>
    <n v="0.61442859584854015"/>
    <n v="0.30601302913650452"/>
    <n v="0.20073432980108"/>
    <n v="0.2124465417658743"/>
    <n v="-5.2535188820657037"/>
    <n v="1.265354355328006"/>
    <n v="-0.7272040533751134"/>
    <n v="3.3639103949803069"/>
    <n v="3.3921271884868189"/>
    <n v="-11.51292546497023"/>
    <n v="-2.821679413318634E-2"/>
    <n v="1"/>
    <n v="0"/>
    <n v="0"/>
    <n v="0"/>
    <n v="1"/>
    <n v="0"/>
    <n v="0"/>
    <n v="-1.4085514545440674"/>
    <n v="0.22325326612811405"/>
    <n v="0.24449719206153234"/>
    <n v="-2.1243925933418284E-2"/>
    <n v="4.513043890645619E-4"/>
  </r>
  <r>
    <x v="19"/>
    <x v="11"/>
    <n v="-1.4600525533671029"/>
    <n v="0.64406197286945388"/>
    <n v="0.6505006058384728"/>
    <n v="0.61880071843128848"/>
    <n v="0.28893129185221278"/>
    <n v="0.30601302913650452"/>
    <n v="0.20073432980108"/>
    <n v="-4.6297489561784877"/>
    <n v="1.265354355328006"/>
    <n v="-0.70813243422289962"/>
    <n v="3.359605553219466"/>
    <n v="3.3562267093129119"/>
    <n v="-11.51292546497023"/>
    <n v="3.3788438886404037E-3"/>
    <n v="1"/>
    <n v="0"/>
    <n v="0"/>
    <n v="0"/>
    <n v="1"/>
    <n v="0"/>
    <n v="0"/>
    <n v="-1.3855422735214233"/>
    <n v="0.23222407025225433"/>
    <n v="0.25018809262181496"/>
    <n v="-1.7964022369560628E-2"/>
    <n v="3.2270609969407463E-4"/>
  </r>
  <r>
    <x v="19"/>
    <x v="12"/>
    <n v="-1.687282034701959"/>
    <n v="0.76458373049779393"/>
    <n v="0.64406197286945388"/>
    <n v="0.6505006058384728"/>
    <n v="0.32880002317267892"/>
    <n v="0.28893129185221278"/>
    <n v="0.30601302913650452"/>
    <n v="-4.2145776456245212"/>
    <n v="1.265354355328006"/>
    <n v="-0.68901549049015742"/>
    <n v="3.347322722778256"/>
    <n v="3.3498062610410102"/>
    <n v="3.2580965380214821"/>
    <n v="-2.4835383519530296E-3"/>
    <n v="1"/>
    <n v="0"/>
    <n v="0"/>
    <n v="0"/>
    <n v="1"/>
    <n v="0"/>
    <n v="0"/>
    <n v="-1.4727981090545654"/>
    <n v="0.18502172382771515"/>
    <n v="0.22928302785675558"/>
    <n v="-4.4261304029040438E-2"/>
    <n v="1.9590630343511513E-3"/>
  </r>
  <r>
    <x v="19"/>
    <x v="13"/>
    <n v="-1.7539985792808619"/>
    <n v="0.7103483878797201"/>
    <n v="0.76458373049779393"/>
    <n v="0.64406197286945388"/>
    <n v="0.28660649422484791"/>
    <n v="0.32880002317267892"/>
    <n v="0.28893129185221278"/>
    <n v="-3.4734102288767632"/>
    <n v="1.265354355328006"/>
    <n v="-0.66727942967695109"/>
    <n v="3.3580967354450082"/>
    <n v="3.3390103771988229"/>
    <n v="5.393627546352362"/>
    <n v="1.9086359068751335E-2"/>
    <n v="1"/>
    <n v="0"/>
    <n v="0"/>
    <n v="0"/>
    <n v="1"/>
    <n v="0"/>
    <n v="0"/>
    <n v="-1.441106915473938"/>
    <n v="0.17308048191503275"/>
    <n v="0.23666564477556382"/>
    <n v="-6.3585162860531064E-2"/>
    <n v="4.0430729360002591E-3"/>
  </r>
  <r>
    <x v="19"/>
    <x v="14"/>
    <n v="-1.86403964962227"/>
    <n v="0.65399046535875138"/>
    <n v="0.7103483878797201"/>
    <n v="0.76458373049779393"/>
    <n v="0.26428549464538492"/>
    <n v="0.28660649422484791"/>
    <n v="0.32880002317267892"/>
    <n v="-2.8937330983977869"/>
    <n v="1.265354355328006"/>
    <n v="-0.65527629986212466"/>
    <n v="3.2997488115508631"/>
    <n v="3.3500652315318309"/>
    <n v="5.9914645471079817"/>
    <n v="-5.0316419452428818E-2"/>
    <n v="1"/>
    <n v="1"/>
    <n v="0"/>
    <n v="0"/>
    <n v="1"/>
    <n v="0"/>
    <n v="0"/>
    <n v="-1.5223480463027954"/>
    <n v="0.15504503596973418"/>
    <n v="0.21819894375753349"/>
    <n v="-6.3153907787799307E-2"/>
    <n v="3.9884160688698576E-3"/>
  </r>
  <r>
    <x v="19"/>
    <x v="15"/>
    <n v="-1.662372354249732"/>
    <n v="0.85070633066131007"/>
    <n v="0.65399046535875138"/>
    <n v="0.7103483878797201"/>
    <n v="0.57030135056109943"/>
    <n v="0.26428549464538492"/>
    <n v="0.28660649422484791"/>
    <n v="-2.3321531559009401"/>
    <n v="1.265354355328006"/>
    <n v="-0.6472323188136947"/>
    <n v="3.3037784711010461"/>
    <n v="3.2920060368555659"/>
    <n v="6.6846117276679271"/>
    <n v="1.177243422716856E-2"/>
    <n v="1"/>
    <n v="0"/>
    <n v="0"/>
    <n v="0"/>
    <n v="1"/>
    <n v="0"/>
    <n v="0"/>
    <n v="-1.4540067911148071"/>
    <n v="0.1896884377184124"/>
    <n v="0.23363229437502298"/>
    <n v="-4.3943856656610575E-2"/>
    <n v="1.9310625378567375E-3"/>
  </r>
  <r>
    <x v="19"/>
    <x v="16"/>
    <n v="-1.539345348544559"/>
    <n v="0.86487111371861958"/>
    <n v="0.85070633066131007"/>
    <n v="0.65399046535875138"/>
    <n v="0.53315446924905385"/>
    <n v="0.57030135056109943"/>
    <n v="0.26428549464538492"/>
    <n v="-1.8103043863290309"/>
    <n v="1.265354355328006"/>
    <n v="-0.6258211804677235"/>
    <n v="3.362174111307882"/>
    <n v="3.3037784711010461"/>
    <n v="8.0551577318196781"/>
    <n v="5.8395639061927795E-2"/>
    <n v="1"/>
    <n v="0"/>
    <n v="0"/>
    <n v="0"/>
    <n v="1"/>
    <n v="0"/>
    <n v="0"/>
    <n v="-1.433785080909729"/>
    <n v="0.21452149227556894"/>
    <n v="0.23840483071982324"/>
    <n v="-2.3883338444254304E-2"/>
    <n v="5.7041385524279561E-4"/>
  </r>
  <r>
    <x v="19"/>
    <x v="17"/>
    <n v="-1.4942475735529499"/>
    <n v="0.72711373012321823"/>
    <n v="0.86487111371861958"/>
    <n v="0.85070633066131007"/>
    <n v="0.33461336713621331"/>
    <n v="0.53315446924905385"/>
    <n v="0.57030135056109943"/>
    <n v="-1.257223832920717"/>
    <n v="1.265354355328006"/>
    <n v="-0.60173262156518448"/>
    <n v="3.4075965113004578"/>
    <n v="3.362174111307882"/>
    <n v="8.4658998970286863"/>
    <n v="4.5422401279211044E-2"/>
    <n v="1"/>
    <n v="0"/>
    <n v="0"/>
    <n v="0"/>
    <n v="1"/>
    <n v="0"/>
    <n v="0"/>
    <n v="-1.4022119045257568"/>
    <n v="0.22441739880604844"/>
    <n v="0.24605211779699199"/>
    <n v="-2.1634718990943547E-2"/>
    <n v="4.6806106581709334E-4"/>
  </r>
  <r>
    <x v="20"/>
    <x v="0"/>
    <n v="-1.8423609383586479"/>
    <n v="0.91629073187415511"/>
    <n v="0.85946637987639407"/>
    <n v="0.81863380060136115"/>
    <n v="0.50681760236845186"/>
    <n v="0.36018876323852889"/>
    <n v="0.23467678712788281"/>
    <n v="-11.51292546497023"/>
    <n v="1.552935502058828"/>
    <n v="-1.2951281768844689"/>
    <n v="2.8821140608554998"/>
    <n v="2.870796881453622"/>
    <n v="-11.51292546497023"/>
    <n v="1.1317179538309574E-2"/>
    <n v="0"/>
    <n v="0"/>
    <n v="0"/>
    <n v="1"/>
    <n v="0"/>
    <n v="0"/>
    <n v="0"/>
    <n v="-1.8481986522674561"/>
    <n v="0.15844291023201418"/>
    <n v="0.15752066038568219"/>
    <n v="9.2224984633199059E-4"/>
    <n v="8.5054477905938025E-7"/>
  </r>
  <r>
    <x v="20"/>
    <x v="1"/>
    <n v="-1.8560792646036639"/>
    <n v="0.84835444486232792"/>
    <n v="0.91629073187415511"/>
    <n v="0.85946637987639407"/>
    <n v="0.32099595148171439"/>
    <n v="0.50681760236845186"/>
    <n v="0.36018876323852889"/>
    <n v="-11.51292546497023"/>
    <n v="1.552935502058828"/>
    <n v="-1.2165735664723041"/>
    <n v="2.992506428742332"/>
    <n v="2.872399933716999"/>
    <n v="-11.51292546497023"/>
    <n v="0.12010649591684341"/>
    <n v="0"/>
    <n v="0"/>
    <n v="0"/>
    <n v="1"/>
    <n v="0"/>
    <n v="0"/>
    <n v="0"/>
    <n v="-1.7801139354705811"/>
    <n v="0.15628417963815402"/>
    <n v="0.16861893449645746"/>
    <n v="-1.2334754858303432E-2"/>
    <n v="1.521461774144401E-4"/>
  </r>
  <r>
    <x v="20"/>
    <x v="2"/>
    <n v="-1.829494845679668"/>
    <n v="0.77868246866620794"/>
    <n v="0.84835444486232792"/>
    <n v="0.91629073187415511"/>
    <n v="0.24263240389805671"/>
    <n v="0.32099595148171439"/>
    <n v="0.50681760236845186"/>
    <n v="-11.51292546497023"/>
    <n v="1.552935502058828"/>
    <n v="-1.1381487519499429"/>
    <n v="3.0155765265959911"/>
    <n v="2.9828856643160169"/>
    <n v="-11.51292546497023"/>
    <n v="3.2690864056348801E-2"/>
    <n v="0"/>
    <n v="0"/>
    <n v="0"/>
    <n v="1"/>
    <n v="0"/>
    <n v="0"/>
    <n v="0"/>
    <n v="-1.7224172353744507"/>
    <n v="0.16049462185265934"/>
    <n v="0.17863382560728427"/>
    <n v="-1.8139203754624939E-2"/>
    <n v="3.2903071285179947E-4"/>
  </r>
  <r>
    <x v="20"/>
    <x v="3"/>
    <n v="-1.8964178520160431"/>
    <n v="0.76103944660286371"/>
    <n v="0.77868246866620794"/>
    <n v="0.84835444486232792"/>
    <n v="0.24208306113360409"/>
    <n v="0.24263240389805671"/>
    <n v="0.32099595148171439"/>
    <n v="-9.2767128666058145"/>
    <n v="1.552935502058828"/>
    <n v="-1.07274631637666"/>
    <n v="2.9934713224657501"/>
    <n v="3.0065452457640429"/>
    <n v="-11.51292546497023"/>
    <n v="-1.307392306625843E-2"/>
    <n v="0"/>
    <n v="0"/>
    <n v="0"/>
    <n v="1"/>
    <n v="0"/>
    <n v="0"/>
    <n v="0"/>
    <n v="-1.6817374229431152"/>
    <n v="0.15010535691342339"/>
    <n v="0.1860504467524273"/>
    <n v="-3.5945089839003908E-2"/>
    <n v="1.2920494835340619E-3"/>
  </r>
  <r>
    <x v="20"/>
    <x v="4"/>
    <n v="-1.726507138524179"/>
    <n v="0.72764522096751272"/>
    <n v="0.76103944660286371"/>
    <n v="0.77868246866620794"/>
    <n v="0.28803201121606892"/>
    <n v="0.24208306113360409"/>
    <n v="0.24263240389805671"/>
    <n v="-8.575395870932196"/>
    <n v="1.552935502058828"/>
    <n v="-0.99196821018247971"/>
    <n v="3.0562244582969211"/>
    <n v="3.0016411375795662"/>
    <n v="-11.51292546497023"/>
    <n v="5.4583322256803513E-2"/>
    <n v="0"/>
    <n v="0"/>
    <n v="0"/>
    <n v="1"/>
    <n v="0"/>
    <n v="0"/>
    <n v="0"/>
    <n v="-1.5560399293899536"/>
    <n v="0.17790472255804113"/>
    <n v="0.21096987475125187"/>
    <n v="-3.306515219321074E-2"/>
    <n v="1.093304289560189E-3"/>
  </r>
  <r>
    <x v="20"/>
    <x v="5"/>
    <n v="-1.4758305114994541"/>
    <n v="0.72226899413196388"/>
    <n v="0.72764522096751272"/>
    <n v="0.76103944660286371"/>
    <n v="0.41449091931547682"/>
    <n v="0.28803201121606892"/>
    <n v="0.24208306113360409"/>
    <n v="-6.7753992905375107"/>
    <n v="1.552935502058828"/>
    <n v="-0.91369468549430466"/>
    <n v="3.117094438691538"/>
    <n v="3.064461569463433"/>
    <n v="-11.51292546497023"/>
    <n v="5.263286828994751E-2"/>
    <n v="0"/>
    <n v="0"/>
    <n v="0"/>
    <n v="1"/>
    <n v="0"/>
    <n v="0"/>
    <n v="0"/>
    <n v="-1.4270868301391602"/>
    <n v="0.22858880255973221"/>
    <n v="0.2400070862248482"/>
    <n v="-1.1418283665115991E-2"/>
    <n v="1.3037720185705469E-4"/>
  </r>
  <r>
    <x v="20"/>
    <x v="6"/>
    <n v="-1.339446711138798"/>
    <n v="0.66921303026431433"/>
    <n v="0.72226899413196388"/>
    <n v="0.72764522096751272"/>
    <n v="0.34238330322186772"/>
    <n v="0.41449091931547682"/>
    <n v="0.28803201121606892"/>
    <n v="-6.4332951460233661"/>
    <n v="1.552935502058828"/>
    <n v="-0.85480182225983004"/>
    <n v="3.1395688255276668"/>
    <n v="3.1108918889374499"/>
    <n v="-11.51292546497023"/>
    <n v="2.8676936402916908E-2"/>
    <n v="0"/>
    <n v="0"/>
    <n v="0"/>
    <n v="1"/>
    <n v="0"/>
    <n v="0"/>
    <n v="0"/>
    <n v="-1.3295986652374268"/>
    <n v="0.26199058495871752"/>
    <n v="0.26458342652116568"/>
    <n v="-2.592841562448156E-3"/>
    <n v="6.7228273679585949E-6"/>
  </r>
  <r>
    <x v="20"/>
    <x v="7"/>
    <n v="-1.3850817769822621"/>
    <n v="0.6660842610102562"/>
    <n v="0.66921303026431433"/>
    <n v="0.72226899413196388"/>
    <n v="0.29012907609483268"/>
    <n v="0.34238330322186772"/>
    <n v="0.41449091931547682"/>
    <n v="-5.5677504523929784"/>
    <n v="1.552935502058828"/>
    <n v="-0.83520570489409651"/>
    <n v="3.183217508248168"/>
    <n v="3.1006572449309169"/>
    <n v="-11.51292546497023"/>
    <n v="8.2560263574123383E-2"/>
    <n v="0"/>
    <n v="0"/>
    <n v="0"/>
    <n v="1"/>
    <n v="0"/>
    <n v="0"/>
    <n v="0"/>
    <n v="-1.3182159662246704"/>
    <n v="0.25030332990375498"/>
    <n v="0.26761230573604244"/>
    <n v="-1.7308975832287465E-2"/>
    <n v="2.9960064436271154E-4"/>
  </r>
  <r>
    <x v="20"/>
    <x v="8"/>
    <n v="-1.345189368281094"/>
    <n v="0.641959143790512"/>
    <n v="0.6660842610102562"/>
    <n v="0.66921303026431433"/>
    <n v="0.27307592006241882"/>
    <n v="0.29012907609483268"/>
    <n v="0.34238330322186772"/>
    <n v="-4.918600501551456"/>
    <n v="1.552935502058828"/>
    <n v="-0.79188257119245631"/>
    <n v="3.142905274687771"/>
    <n v="3.175587922700605"/>
    <n v="-11.51292546497023"/>
    <n v="-3.2682649791240692E-2"/>
    <n v="0"/>
    <n v="0"/>
    <n v="0"/>
    <n v="1"/>
    <n v="0"/>
    <n v="0"/>
    <n v="0"/>
    <n v="-1.2908124923706055"/>
    <n v="0.26049037457456858"/>
    <n v="0.27504721851319647"/>
    <n v="-1.4556843938627884E-2"/>
    <n v="2.1190170545356735E-4"/>
  </r>
  <r>
    <x v="20"/>
    <x v="9"/>
    <n v="-1.460493169190533"/>
    <n v="0.64966540194798428"/>
    <n v="0.641959143790512"/>
    <n v="0.6660842610102562"/>
    <n v="0.26972174707478819"/>
    <n v="0.27307592006241882"/>
    <n v="0.29012907609483268"/>
    <n v="-4.484079722531721"/>
    <n v="1.552935502058828"/>
    <n v="-0.7667308249154009"/>
    <n v="3.142359436250826"/>
    <n v="3.13559330142846"/>
    <n v="-11.51292546497023"/>
    <n v="6.7661348730325699E-3"/>
    <n v="1"/>
    <n v="0"/>
    <n v="0"/>
    <n v="1"/>
    <n v="0"/>
    <n v="0"/>
    <n v="0"/>
    <n v="-1.3206206560134888"/>
    <n v="0.2321217711912674"/>
    <n v="0.26696955427574109"/>
    <n v="-3.4847783084473699E-2"/>
    <n v="1.2143679859025313E-3"/>
  </r>
  <r>
    <x v="20"/>
    <x v="10"/>
    <n v="-1.3613844512385129"/>
    <n v="0.68697819141441629"/>
    <n v="0.64966540194798428"/>
    <n v="0.641959143790512"/>
    <n v="0.39102806031039478"/>
    <n v="0.26972174707478819"/>
    <n v="0.27307592006241882"/>
    <n v="-4.1179899342132718"/>
    <n v="1.552935502058828"/>
    <n v="-0.75113211232978527"/>
    <n v="3.1211682337027451"/>
    <n v="3.135244978679335"/>
    <n v="-11.51292546497023"/>
    <n v="-1.4076745137572289E-2"/>
    <n v="1"/>
    <n v="0"/>
    <n v="0"/>
    <n v="1"/>
    <n v="0"/>
    <n v="0"/>
    <n v="0"/>
    <n v="-1.2924900054931641"/>
    <n v="0.25630568848107926"/>
    <n v="0.2745862099768604"/>
    <n v="-1.8280521495781132E-2"/>
    <n v="3.3417746615771606E-4"/>
  </r>
  <r>
    <x v="20"/>
    <x v="11"/>
    <n v="-1.3064815329151609"/>
    <n v="0.67701779863006162"/>
    <n v="0.68697819141441629"/>
    <n v="0.64966540194798428"/>
    <n v="0.38028404291090551"/>
    <n v="0.39102806031039478"/>
    <n v="0.26972174707478819"/>
    <n v="-3.482202667464827"/>
    <n v="1.552935502058828"/>
    <n v="-0.73423257976881406"/>
    <n v="3.1260082481797218"/>
    <n v="3.1142391735181341"/>
    <n v="-11.51292546497023"/>
    <n v="1.1769074946641922E-2"/>
    <n v="1"/>
    <n v="0"/>
    <n v="0"/>
    <n v="1"/>
    <n v="0"/>
    <n v="0"/>
    <n v="0"/>
    <n v="-1.2630348205566406"/>
    <n v="0.27077108146601875"/>
    <n v="0.28279449235482318"/>
    <n v="-1.2023410888804431E-2"/>
    <n v="1.4456240940102097E-4"/>
  </r>
  <r>
    <x v="20"/>
    <x v="12"/>
    <n v="-1.4986251909305219"/>
    <n v="0.78349050045754698"/>
    <n v="0.67701779863006162"/>
    <n v="0.68697819141441629"/>
    <n v="0.41369779303464072"/>
    <n v="0.38028404291090551"/>
    <n v="0.39102806031039478"/>
    <n v="-3.0490208019740672"/>
    <n v="1.552935502058828"/>
    <n v="-0.7080024089864696"/>
    <n v="3.1226058478362422"/>
    <n v="3.123534033283172"/>
    <n v="3.2580965380214821"/>
    <n v="-9.2818547273054719E-4"/>
    <n v="1"/>
    <n v="0"/>
    <n v="0"/>
    <n v="1"/>
    <n v="0"/>
    <n v="0"/>
    <n v="0"/>
    <n v="-1.332876443862915"/>
    <n v="0.22343713248209948"/>
    <n v="0.26371760038944092"/>
    <n v="-4.0280467907341438E-2"/>
    <n v="1.6225160948343635E-3"/>
  </r>
  <r>
    <x v="20"/>
    <x v="13"/>
    <n v="-1.5143299060988189"/>
    <n v="0.71759586096225525"/>
    <n v="0.78349050045754698"/>
    <n v="0.67701779863006162"/>
    <n v="0.36464311358790918"/>
    <n v="0.41369779303464072"/>
    <n v="0.38028404291090551"/>
    <n v="-2.3090742918220881"/>
    <n v="1.552935502058828"/>
    <n v="-0.68325093447038077"/>
    <n v="3.1319204394203441"/>
    <n v="3.1151423188689078"/>
    <n v="5.393627546352362"/>
    <n v="1.6778120771050453E-2"/>
    <n v="1"/>
    <n v="0"/>
    <n v="0"/>
    <n v="1"/>
    <n v="0"/>
    <n v="0"/>
    <n v="0"/>
    <n v="-1.2875840663909912"/>
    <n v="0.21995552633265975"/>
    <n v="0.27593662301486277"/>
    <n v="-5.5981096682203024E-2"/>
    <n v="3.1338831857421626E-3"/>
  </r>
  <r>
    <x v="20"/>
    <x v="14"/>
    <n v="-1.530973710856024"/>
    <n v="0.63673554663398246"/>
    <n v="0.71759586096225525"/>
    <n v="0.78349050045754698"/>
    <n v="0.33404071142979791"/>
    <n v="0.36464311358790918"/>
    <n v="0.41369779303464072"/>
    <n v="-1.6952284246354941"/>
    <n v="1.552935502058828"/>
    <n v="-0.66505064194755892"/>
    <n v="3.1071599665025058"/>
    <n v="3.1246977394578521"/>
    <n v="5.9914645471079817"/>
    <n v="-1.7537772655487061E-2"/>
    <n v="1"/>
    <n v="1"/>
    <n v="0"/>
    <n v="1"/>
    <n v="0"/>
    <n v="0"/>
    <n v="0"/>
    <n v="-1.3363113403320313"/>
    <n v="0.2163249268028383"/>
    <n v="0.26281331169314948"/>
    <n v="-4.648838489031118E-2"/>
    <n v="2.161169929709713E-3"/>
  </r>
  <r>
    <x v="20"/>
    <x v="15"/>
    <n v="-1.421809541109802"/>
    <n v="0.85980503288729271"/>
    <n v="0.63673554663398246"/>
    <n v="0.71759586096225525"/>
    <n v="0.62663337650160578"/>
    <n v="0.33404071142979791"/>
    <n v="0.36464311358790918"/>
    <n v="-1.146789059642076"/>
    <n v="1.552935502058828"/>
    <n v="-0.64621235690546897"/>
    <n v="3.0972182161012869"/>
    <n v="3.1001821005509091"/>
    <n v="6.6846117276679271"/>
    <n v="-2.9638845007866621E-3"/>
    <n v="1"/>
    <n v="0"/>
    <n v="0"/>
    <n v="1"/>
    <n v="0"/>
    <n v="0"/>
    <n v="0"/>
    <n v="-1.291932225227356"/>
    <n v="0.24127702094695719"/>
    <n v="0.27473941146846093"/>
    <n v="-3.3462390521503738E-2"/>
    <n v="1.1197315794136231E-3"/>
  </r>
  <r>
    <x v="20"/>
    <x v="16"/>
    <n v="-1.292181866336219"/>
    <n v="0.9032460183533465"/>
    <n v="0.85980503288729271"/>
    <n v="0.63673554663398246"/>
    <n v="0.64301111106614806"/>
    <n v="0.62663337650160578"/>
    <n v="0.33404071142979791"/>
    <n v="-0.65453880353422889"/>
    <n v="1.552935502058828"/>
    <n v="-0.62477866230722001"/>
    <n v="3.1261348219753211"/>
    <n v="3.0972182161012869"/>
    <n v="8.0551577318196781"/>
    <n v="2.8916606679558754E-2"/>
    <n v="1"/>
    <n v="0"/>
    <n v="0"/>
    <n v="1"/>
    <n v="0"/>
    <n v="0"/>
    <n v="0"/>
    <n v="-1.2790071964263916"/>
    <n v="0.2746708337773951"/>
    <n v="0.2783134739490129"/>
    <n v="-3.6426401716178058E-3"/>
    <n v="1.3268827419883798E-5"/>
  </r>
  <r>
    <x v="20"/>
    <x v="17"/>
    <n v="-1.2328482132081771"/>
    <n v="0.77803964757790789"/>
    <n v="0.9032460183533465"/>
    <n v="0.85980503288729271"/>
    <n v="0.43696377516753537"/>
    <n v="0.64301111106614806"/>
    <n v="0.62663337650160578"/>
    <n v="-0.1094632567251597"/>
    <n v="1.552935502058828"/>
    <n v="-0.60228029567260255"/>
    <n v="3.1634861092570059"/>
    <n v="3.1261348219753211"/>
    <n v="8.4658998970286863"/>
    <n v="3.735128790140152E-2"/>
    <n v="1"/>
    <n v="0"/>
    <n v="0"/>
    <n v="1"/>
    <n v="0"/>
    <n v="0"/>
    <n v="0"/>
    <n v="-1.2678767442703247"/>
    <n v="0.2914612505608975"/>
    <n v="0.28142853260130701"/>
    <n v="1.0032717959590487E-2"/>
    <n v="1.006554296566895E-4"/>
  </r>
  <r>
    <x v="21"/>
    <x v="0"/>
    <n v="-1.393732183021102"/>
    <n v="0.94390589890712839"/>
    <n v="0.9146894505071812"/>
    <n v="0.86098941608906565"/>
    <n v="0.59883650108870401"/>
    <n v="0.51336240341796069"/>
    <n v="0.40832767372164103"/>
    <n v="-11.51292546497023"/>
    <n v="0.76262602198805785"/>
    <n v="-1.137032485298213"/>
    <n v="3.024780520985785"/>
    <n v="2.9799779067954488"/>
    <n v="-11.51292546497023"/>
    <n v="4.480261355638504E-2"/>
    <n v="0"/>
    <n v="0"/>
    <n v="0"/>
    <n v="1"/>
    <n v="0"/>
    <n v="0"/>
    <n v="0"/>
    <n v="-1.6134806871414185"/>
    <n v="0.24814744256130886"/>
    <n v="0.1991930772609867"/>
    <n v="4.8954365300322156E-2"/>
    <n v="2.3965298819573861E-3"/>
  </r>
  <r>
    <x v="21"/>
    <x v="1"/>
    <n v="-1.5006937786087979"/>
    <n v="0.88854947689243036"/>
    <n v="0.94390589890712839"/>
    <n v="0.9146894505071812"/>
    <n v="0.49286529838899779"/>
    <n v="0.59883650108870401"/>
    <n v="0.51336240341796069"/>
    <n v="-11.51292546497023"/>
    <n v="0.76262602198805785"/>
    <n v="-1.057041665037638"/>
    <n v="3.0847108733252599"/>
    <n v="3.016896626236234"/>
    <n v="-11.51292546497023"/>
    <n v="6.7814245820045471E-2"/>
    <n v="0"/>
    <n v="0"/>
    <n v="0"/>
    <n v="1"/>
    <n v="0"/>
    <n v="0"/>
    <n v="0"/>
    <n v="-1.5425288677215576"/>
    <n v="0.22297541090340625"/>
    <n v="0.21383964490398805"/>
    <n v="9.135765999418205E-3"/>
    <n v="8.3462220396125715E-5"/>
  </r>
  <r>
    <x v="21"/>
    <x v="2"/>
    <n v="-1.481321040208609"/>
    <n v="0.83121203151584044"/>
    <n v="0.88854947689243036"/>
    <n v="0.94390589890712839"/>
    <n v="0.4296372600791496"/>
    <n v="0.49286529838899779"/>
    <n v="0.59883650108870401"/>
    <n v="-11.51292546497023"/>
    <n v="0.76262602198805785"/>
    <n v="-0.98384170078727839"/>
    <n v="3.1506985729239658"/>
    <n v="3.0768884832713241"/>
    <n v="-11.51292546497023"/>
    <n v="7.3810093104839325E-2"/>
    <n v="0"/>
    <n v="0"/>
    <n v="0"/>
    <n v="1"/>
    <n v="0"/>
    <n v="0"/>
    <n v="0"/>
    <n v="-1.4715136289596558"/>
    <n v="0.22733716838766641"/>
    <n v="0.22957772656893477"/>
    <n v="-2.240558181268365E-3"/>
    <n v="5.0201009636486034E-6"/>
  </r>
  <r>
    <x v="21"/>
    <x v="3"/>
    <n v="-1.4386193539111141"/>
    <n v="0.78504244526420097"/>
    <n v="0.83121203151584044"/>
    <n v="0.88854947689243036"/>
    <n v="0.40499833251872053"/>
    <n v="0.4296372600791496"/>
    <n v="0.49286529838899779"/>
    <n v="-8.7191119622539297"/>
    <n v="0.76262602198805785"/>
    <n v="-0.91604814610972674"/>
    <n v="3.130092444870475"/>
    <n v="3.1398276736047461"/>
    <n v="-11.51292546497023"/>
    <n v="-9.7352284938097E-3"/>
    <n v="0"/>
    <n v="0"/>
    <n v="0"/>
    <n v="1"/>
    <n v="0"/>
    <n v="0"/>
    <n v="0"/>
    <n v="-1.4097095727920532"/>
    <n v="0.23725509798336034"/>
    <n v="0.24421419930299348"/>
    <n v="-6.9591013196331486E-3"/>
    <n v="4.8429091176919828E-5"/>
  </r>
  <r>
    <x v="21"/>
    <x v="4"/>
    <n v="-1.246790307904005"/>
    <n v="0.74720913865847582"/>
    <n v="0.78504244526420097"/>
    <n v="0.83121203151584044"/>
    <n v="0.47237581339079121"/>
    <n v="0.40499833251872053"/>
    <n v="0.4296372600791496"/>
    <n v="-8.0420400059359878"/>
    <n v="0.76262602198805785"/>
    <n v="-0.85606414860519153"/>
    <n v="3.207739934963127"/>
    <n v="3.1140172206283951"/>
    <n v="-11.51292546497023"/>
    <n v="9.3722715973854065E-2"/>
    <n v="0"/>
    <n v="0"/>
    <n v="0"/>
    <n v="1"/>
    <n v="0"/>
    <n v="0"/>
    <n v="0"/>
    <n v="-1.2805079221725464"/>
    <n v="0.28742586642624235"/>
    <n v="0.27789611500214484"/>
    <n v="9.5297514240975101E-3"/>
    <n v="9.0816162205088519E-5"/>
  </r>
  <r>
    <x v="21"/>
    <x v="5"/>
    <n v="-1.1457883531947981"/>
    <n v="0.73706836761787342"/>
    <n v="0.74720913865847582"/>
    <n v="0.78504244526420097"/>
    <n v="0.58661931715011228"/>
    <n v="0.47237581339079121"/>
    <n v="0.40499833251872053"/>
    <n v="-6.1860588817622144"/>
    <n v="0.76262602198805785"/>
    <n v="-0.80329043221256957"/>
    <n v="3.2362882904880972"/>
    <n v="3.191918882235131"/>
    <n v="-11.51292546497023"/>
    <n v="4.4369406998157501E-2"/>
    <n v="0"/>
    <n v="0"/>
    <n v="0"/>
    <n v="1"/>
    <n v="0"/>
    <n v="0"/>
    <n v="0"/>
    <n v="-1.1639243364334106"/>
    <n v="0.31797314381039005"/>
    <n v="0.31225836639589621"/>
    <n v="5.7147774144938324E-3"/>
    <n v="3.2658680897208812E-5"/>
  </r>
  <r>
    <x v="21"/>
    <x v="6"/>
    <n v="-1.0504947660197681"/>
    <n v="0.68031520174456706"/>
    <n v="0.73706836761787342"/>
    <n v="0.74720913865847582"/>
    <n v="0.54679104419859936"/>
    <n v="0.58661931715011228"/>
    <n v="0.47237581339079121"/>
    <n v="-5.8137744590121443"/>
    <n v="0.76262602198805785"/>
    <n v="-0.74688021980413444"/>
    <n v="3.24962619301956"/>
    <n v="3.22908309153327"/>
    <n v="-11.51292546497023"/>
    <n v="2.054310217499733E-2"/>
    <n v="0"/>
    <n v="0"/>
    <n v="0"/>
    <n v="1"/>
    <n v="0"/>
    <n v="0"/>
    <n v="0"/>
    <n v="-1.0466791391372681"/>
    <n v="0.34976465462802631"/>
    <n v="0.35110177540149518"/>
    <n v="-1.3371207734688695E-3"/>
    <n v="1.7878919628419877E-6"/>
  </r>
  <r>
    <x v="21"/>
    <x v="7"/>
    <n v="-1.03185787121915"/>
    <n v="0.66957144403123958"/>
    <n v="0.68031520174456706"/>
    <n v="0.73706836761787342"/>
    <n v="0.49774038421733519"/>
    <n v="0.54679104419859936"/>
    <n v="0.58661931715011228"/>
    <n v="-4.9933390166130129"/>
    <n v="0.76262602198805785"/>
    <n v="-0.73164084194109869"/>
    <n v="3.2474165335249561"/>
    <n v="3.2078381248147831"/>
    <n v="-11.51292546497023"/>
    <n v="3.9578408002853394E-2"/>
    <n v="0"/>
    <n v="0"/>
    <n v="0"/>
    <n v="1"/>
    <n v="0"/>
    <n v="0"/>
    <n v="0"/>
    <n v="-1.0259331464767456"/>
    <n v="0.35634430336854733"/>
    <n v="0.35846181191303683"/>
    <n v="-2.1175085444894992E-3"/>
    <n v="4.4838424359860379E-6"/>
  </r>
  <r>
    <x v="21"/>
    <x v="8"/>
    <n v="-0.96167624316490352"/>
    <n v="0.64532155107734079"/>
    <n v="0.66957144403123958"/>
    <n v="0.68031520174456706"/>
    <n v="0.47243816336119532"/>
    <n v="0.49774038421733519"/>
    <n v="0.54679104419859936"/>
    <n v="-4.281307065522264"/>
    <n v="0.76262602198805785"/>
    <n v="-0.69640885170269451"/>
    <n v="3.280825766320369"/>
    <n v="3.2335114812327692"/>
    <n v="-11.51292546497023"/>
    <n v="4.7314286231994629E-2"/>
    <n v="0"/>
    <n v="0"/>
    <n v="0"/>
    <n v="1"/>
    <n v="0"/>
    <n v="0"/>
    <n v="0"/>
    <n v="-0.98722010850906372"/>
    <n v="0.38225160201618869"/>
    <n v="0.37261107096953228"/>
    <n v="9.6405310466564087E-3"/>
    <n v="9.2939838861546116E-5"/>
  </r>
  <r>
    <x v="21"/>
    <x v="9"/>
    <n v="-0.97948746823497623"/>
    <n v="0.64048452797663935"/>
    <n v="0.64532155107734079"/>
    <n v="0.66957144403123958"/>
    <n v="0.41811805423147991"/>
    <n v="0.47243816336119532"/>
    <n v="0.49774038421733519"/>
    <n v="-3.907515049627424"/>
    <n v="0.76262602198805785"/>
    <n v="-0.6753936138371639"/>
    <n v="3.2208512157920479"/>
    <n v="3.2672363495403411"/>
    <n v="-11.51292546497023"/>
    <n v="-4.6385135501623154E-2"/>
    <n v="1"/>
    <n v="0"/>
    <n v="0"/>
    <n v="1"/>
    <n v="0"/>
    <n v="0"/>
    <n v="0"/>
    <n v="-1.0426563024520874"/>
    <n v="0.37550350701476271"/>
    <n v="0.35251704529500166"/>
    <n v="2.2986461719761042E-2"/>
    <n v="5.2837742239403979E-4"/>
  </r>
  <r>
    <x v="21"/>
    <x v="10"/>
    <n v="-0.93951189807711188"/>
    <n v="0.65622382645534749"/>
    <n v="0.64048452797663935"/>
    <n v="0.64532155107734079"/>
    <n v="0.53561579257320946"/>
    <n v="0.41811805423147991"/>
    <n v="0.47243816336119532"/>
    <n v="-3.588531514456502"/>
    <n v="0.76262602198805785"/>
    <n v="-0.66142540700881813"/>
    <n v="3.159970708774186"/>
    <n v="3.2075422487444629"/>
    <n v="-11.51292546497023"/>
    <n v="-4.7571539878845215E-2"/>
    <n v="1"/>
    <n v="0"/>
    <n v="0"/>
    <n v="1"/>
    <n v="0"/>
    <n v="0"/>
    <n v="0"/>
    <n v="-1.0022484064102173"/>
    <n v="0.3908185480959338"/>
    <n v="0.36705322785744615"/>
    <n v="2.3765320238487653E-2"/>
    <n v="5.6479044603787083E-4"/>
  </r>
  <r>
    <x v="21"/>
    <x v="11"/>
    <n v="-0.91395387035870879"/>
    <n v="0.6661356313130955"/>
    <n v="0.65622382645534749"/>
    <n v="0.64048452797663935"/>
    <n v="0.5442410573053944"/>
    <n v="0.53561579257320946"/>
    <n v="0.41811805423147991"/>
    <n v="-2.9376292088200979"/>
    <n v="0.76262602198805785"/>
    <n v="-0.64353260194844553"/>
    <n v="3.1877600153943462"/>
    <n v="3.146944379849784"/>
    <n v="-11.51292546497023"/>
    <n v="4.0815636515617371E-2"/>
    <n v="1"/>
    <n v="0"/>
    <n v="0"/>
    <n v="1"/>
    <n v="0"/>
    <n v="0"/>
    <n v="0"/>
    <n v="-0.97661870718002319"/>
    <n v="0.40093583764178542"/>
    <n v="0.37658228348780948"/>
    <n v="2.4353554153975943E-2"/>
    <n v="5.9309559993063888E-4"/>
  </r>
  <r>
    <x v="21"/>
    <x v="12"/>
    <n v="-0.944958930277492"/>
    <n v="0.74284169758379726"/>
    <n v="0.6661356313130955"/>
    <n v="0.65622382645534749"/>
    <n v="0.5789140863985206"/>
    <n v="0.5442410573053944"/>
    <n v="0.53561579257320946"/>
    <n v="-2.492780696163603"/>
    <n v="0.76262602198805785"/>
    <n v="-0.61980314191261154"/>
    <n v="3.206106360172182"/>
    <n v="3.1771987434264202"/>
    <n v="3.2580965380214821"/>
    <n v="2.8907617554068565E-2"/>
    <n v="1"/>
    <n v="0"/>
    <n v="0"/>
    <n v="1"/>
    <n v="0"/>
    <n v="0"/>
    <n v="0"/>
    <n v="-1.0120289325714111"/>
    <n v="0.38869553419167618"/>
    <n v="0.36348075297997945"/>
    <n v="2.5214781211696735E-2"/>
    <n v="6.3578519155373472E-4"/>
  </r>
  <r>
    <x v="21"/>
    <x v="13"/>
    <n v="-0.90954320781252307"/>
    <n v="0.69579367550085092"/>
    <n v="0.74284169758379726"/>
    <n v="0.6661356313130955"/>
    <n v="0.55663993590528216"/>
    <n v="0.5789140863985206"/>
    <n v="0.5442410573053944"/>
    <n v="-1.741246404520044"/>
    <n v="0.76262602198805785"/>
    <n v="-0.59560037145709022"/>
    <n v="3.2328040663406181"/>
    <n v="3.1935651520194539"/>
    <n v="5.393627546352362"/>
    <n v="3.9238914847373962E-2"/>
    <n v="1"/>
    <n v="0"/>
    <n v="0"/>
    <n v="1"/>
    <n v="0"/>
    <n v="0"/>
    <n v="0"/>
    <n v="-0.9716218113899231"/>
    <n v="0.40270813595601151"/>
    <n v="0.37846873519085494"/>
    <n v="2.4239400765156571E-2"/>
    <n v="5.8754854945387294E-4"/>
  </r>
  <r>
    <x v="21"/>
    <x v="14"/>
    <n v="-1.011838933733094"/>
    <n v="0.66859830763853256"/>
    <n v="0.69579367550085092"/>
    <n v="0.74284169758379726"/>
    <n v="0.53467885978815022"/>
    <n v="0.55663993590528216"/>
    <n v="0.5789140863985206"/>
    <n v="-1.1046285560260289"/>
    <n v="0.76262602198805785"/>
    <n v="-0.5789384278531744"/>
    <n v="3.2353102188231069"/>
    <n v="3.2206360261263072"/>
    <n v="5.9914645471079817"/>
    <n v="1.4674192294478416E-2"/>
    <n v="1"/>
    <n v="1"/>
    <n v="0"/>
    <n v="1"/>
    <n v="0"/>
    <n v="0"/>
    <n v="0"/>
    <n v="-1.0587621927261353"/>
    <n v="0.36354982046195922"/>
    <n v="0.34688492137575438"/>
    <n v="1.6664899086204832E-2"/>
    <n v="2.7771886155339063E-4"/>
  </r>
  <r>
    <x v="21"/>
    <x v="15"/>
    <n v="-0.94960041247688209"/>
    <n v="0.86520794164483905"/>
    <n v="0.66859830763853256"/>
    <n v="0.69579367550085092"/>
    <n v="0.76304630793961248"/>
    <n v="0.53467885978815022"/>
    <n v="0.55663993590528216"/>
    <n v="-0.48086478215452139"/>
    <n v="0.76262602198805785"/>
    <n v="-0.56530419946763544"/>
    <n v="3.3054624717010972"/>
    <n v="3.22352594876712"/>
    <n v="6.6846117276679271"/>
    <n v="8.193652331829071E-2"/>
    <n v="1"/>
    <n v="0"/>
    <n v="0"/>
    <n v="1"/>
    <n v="0"/>
    <n v="0"/>
    <n v="0"/>
    <n v="-1.0267763137817383"/>
    <n v="0.38689559122177047"/>
    <n v="0.35815969601816439"/>
    <n v="2.8735895203606088E-2"/>
    <n v="8.257516731526314E-4"/>
  </r>
  <r>
    <x v="21"/>
    <x v="16"/>
    <n v="-0.90764552114857155"/>
    <n v="0.8950262365694307"/>
    <n v="0.86520794164483905"/>
    <n v="0.66859830763853256"/>
    <n v="0.78527046943575118"/>
    <n v="0.76304630793961248"/>
    <n v="0.53467885978815022"/>
    <n v="-1.544515011089968E-2"/>
    <n v="0.76262602198805785"/>
    <n v="-0.54276363401586869"/>
    <n v="3.3075765826809751"/>
    <n v="3.3054624717010972"/>
    <n v="8.0551577318196781"/>
    <n v="2.1141110919415951E-3"/>
    <n v="1"/>
    <n v="0"/>
    <n v="0"/>
    <n v="1"/>
    <n v="0"/>
    <n v="0"/>
    <n v="0"/>
    <n v="-1.0308986902236938"/>
    <n v="0.40347307539320509"/>
    <n v="0.35668626602800163"/>
    <n v="4.6786809365203463E-2"/>
    <n v="2.1890055305758905E-3"/>
  </r>
  <r>
    <x v="21"/>
    <x v="17"/>
    <n v="-0.86068777455664414"/>
    <n v="0.77094120799996546"/>
    <n v="0.8950262365694307"/>
    <n v="0.86520794164483905"/>
    <n v="0.55669724742204718"/>
    <n v="0.78527046943575118"/>
    <n v="0.76304630793961248"/>
    <n v="0.53826179109634587"/>
    <n v="0.76262602198805785"/>
    <n v="-0.51737696039870651"/>
    <n v="3.3535364298210641"/>
    <n v="3.3075765826809751"/>
    <n v="8.4658998970286863"/>
    <n v="4.5959848910570145E-2"/>
    <n v="1"/>
    <n v="0"/>
    <n v="0"/>
    <n v="1"/>
    <n v="0"/>
    <n v="0"/>
    <n v="0"/>
    <n v="-1.022907018661499"/>
    <n v="0.42287114226624528"/>
    <n v="0.35954820612759614"/>
    <n v="6.3322936138649144E-2"/>
    <n v="4.0097942412194373E-3"/>
  </r>
  <r>
    <x v="22"/>
    <x v="0"/>
    <n v="-1.753645194906905"/>
    <n v="1.000631880307906"/>
    <n v="0.9748237560598092"/>
    <n v="0.89718945857175403"/>
    <n v="0.77472716755236815"/>
    <n v="0.62422573509352353"/>
    <n v="0.45780452178873787"/>
    <n v="-11.51292546497023"/>
    <n v="1.394292615005166"/>
    <n v="-1.329463895418197"/>
    <n v="2.8981165822450889"/>
    <n v="2.884323158134944"/>
    <n v="-11.51292546497023"/>
    <n v="1.3793423771858215E-2"/>
    <n v="0"/>
    <n v="0"/>
    <n v="0"/>
    <n v="1"/>
    <n v="0"/>
    <n v="0"/>
    <n v="0"/>
    <n v="-1.7800037860870361"/>
    <n v="0.17314165666124151"/>
    <n v="0.16863750879110101"/>
    <n v="4.5041478701405013E-3"/>
    <n v="2.0287348036091216E-5"/>
  </r>
  <r>
    <x v="22"/>
    <x v="1"/>
    <n v="-1.7129132809711911"/>
    <n v="0.89637369803379618"/>
    <n v="1.000631880307906"/>
    <n v="0.9748237560598092"/>
    <n v="0.52732869586500486"/>
    <n v="0.77472716755236815"/>
    <n v="0.62422573509352353"/>
    <n v="-11.51292546497023"/>
    <n v="1.394292615005166"/>
    <n v="-1.259825287207806"/>
    <n v="2.9700146472848301"/>
    <n v="2.9030538551125771"/>
    <n v="-11.51292546497023"/>
    <n v="6.6960789263248444E-2"/>
    <n v="0"/>
    <n v="0"/>
    <n v="0"/>
    <n v="1"/>
    <n v="0"/>
    <n v="0"/>
    <n v="0"/>
    <n v="-1.7142868041992188"/>
    <n v="0.1803396465229791"/>
    <n v="0.18009211586301629"/>
    <n v="2.4753065996280244E-4"/>
    <n v="6.127142762162052E-8"/>
  </r>
  <r>
    <x v="22"/>
    <x v="2"/>
    <n v="-1.632342014529147"/>
    <n v="0.8429455456483399"/>
    <n v="0.89637369803379618"/>
    <n v="1.000631880307906"/>
    <n v="0.47567501648296739"/>
    <n v="0.52732869586500486"/>
    <n v="0.77472716755236815"/>
    <n v="-11.51292546497023"/>
    <n v="1.394292615005166"/>
    <n v="-1.1829128071823389"/>
    <n v="3.0150434119850198"/>
    <n v="2.974976509938859"/>
    <n v="-11.51292546497023"/>
    <n v="4.0066901594400406E-2"/>
    <n v="0"/>
    <n v="0"/>
    <n v="0"/>
    <n v="1"/>
    <n v="0"/>
    <n v="0"/>
    <n v="0"/>
    <n v="-1.6496610641479492"/>
    <n v="0.1954712411383713"/>
    <n v="0.19211501225252298"/>
    <n v="3.356228885848328E-3"/>
    <n v="1.1264272334202709E-5"/>
  </r>
  <r>
    <x v="22"/>
    <x v="3"/>
    <n v="-1.581124182932099"/>
    <n v="0.79683129183682722"/>
    <n v="0.8429455456483399"/>
    <n v="0.89637369803379618"/>
    <n v="0.44462171664268602"/>
    <n v="0.47567501648296739"/>
    <n v="0.52732869586500486"/>
    <n v="-9.2978133757331118"/>
    <n v="1.394292615005166"/>
    <n v="-1.1210942174554031"/>
    <n v="3.0106245296607348"/>
    <n v="3.009632122489271"/>
    <n v="-11.51292546497023"/>
    <n v="9.9240720737725496E-4"/>
    <n v="0"/>
    <n v="0"/>
    <n v="0"/>
    <n v="1"/>
    <n v="0"/>
    <n v="0"/>
    <n v="0"/>
    <n v="-1.591987133026123"/>
    <n v="0.20574367462063839"/>
    <n v="0.20352078677000307"/>
    <n v="2.2228878506353189E-3"/>
    <n v="4.9412303965021075E-6"/>
  </r>
  <r>
    <x v="22"/>
    <x v="4"/>
    <n v="-1.4328128258210631"/>
    <n v="0.75494758146539209"/>
    <n v="0.79683129183682722"/>
    <n v="0.8429455456483399"/>
    <n v="0.49755799676508627"/>
    <n v="0.44462171664268602"/>
    <n v="0.47567501648296739"/>
    <n v="-8.5963350934867027"/>
    <n v="1.394292615005166"/>
    <n v="-1.0495763025808691"/>
    <n v="3.1041032798641042"/>
    <n v="3.018955631347696"/>
    <n v="-11.51292546497023"/>
    <n v="8.5147649049758911E-2"/>
    <n v="0"/>
    <n v="0"/>
    <n v="0"/>
    <n v="1"/>
    <n v="0"/>
    <n v="0"/>
    <n v="0"/>
    <n v="-1.4605555534362793"/>
    <n v="0.23863673374583391"/>
    <n v="0.23210729090132601"/>
    <n v="6.5294428445079045E-3"/>
    <n v="4.2633623859695474E-5"/>
  </r>
  <r>
    <x v="22"/>
    <x v="5"/>
    <n v="-1.3388052020833481"/>
    <n v="0.74806141143733718"/>
    <n v="0.75494758146539209"/>
    <n v="0.79683129183682722"/>
    <n v="0.59933088435566051"/>
    <n v="0.49755799676508627"/>
    <n v="0.44462171664268602"/>
    <n v="-6.7961745318075186"/>
    <n v="1.394292615005166"/>
    <n v="-0.9769624058166676"/>
    <n v="3.1267101646923612"/>
    <n v="3.1125043723147749"/>
    <n v="-11.51292546497023"/>
    <n v="1.4205791987478733E-2"/>
    <n v="0"/>
    <n v="0"/>
    <n v="0"/>
    <n v="1"/>
    <n v="0"/>
    <n v="0"/>
    <n v="0"/>
    <n v="-1.3446584939956665"/>
    <n v="0.26215870821194015"/>
    <n v="0.26062869892920443"/>
    <n v="1.5300092827357226E-3"/>
    <n v="2.3409284052574801E-6"/>
  </r>
  <r>
    <x v="22"/>
    <x v="6"/>
    <n v="-1.251168951714438"/>
    <n v="0.69494556250132467"/>
    <n v="0.74806141143733718"/>
    <n v="0.75494758146539209"/>
    <n v="0.55514868240265458"/>
    <n v="0.59933088435566051"/>
    <n v="0.49755799676508627"/>
    <n v="-6.4511230295195494"/>
    <n v="1.394292615005166"/>
    <n v="-0.91462143886203429"/>
    <n v="3.128603467996856"/>
    <n v="3.1234549727121181"/>
    <n v="-11.51292546497023"/>
    <n v="5.1484950818121433E-3"/>
    <n v="0"/>
    <n v="0"/>
    <n v="0"/>
    <n v="1"/>
    <n v="0"/>
    <n v="0"/>
    <n v="0"/>
    <n v="-1.2313386201858521"/>
    <n v="0.28617008225742424"/>
    <n v="0.29190157069950734"/>
    <n v="-5.7314884420830992E-3"/>
    <n v="3.2849959761732149E-5"/>
  </r>
  <r>
    <x v="22"/>
    <x v="7"/>
    <n v="-1.21962571153388"/>
    <n v="0.67656037695554638"/>
    <n v="0.69494556250132467"/>
    <n v="0.74806141143733718"/>
    <n v="0.51018541887856739"/>
    <n v="0.55514868240265458"/>
    <n v="0.59933088435566051"/>
    <n v="-5.5827838280315172"/>
    <n v="1.394292615005166"/>
    <n v="-0.89064857564990396"/>
    <n v="3.1646140698555278"/>
    <n v="3.0924863952577129"/>
    <n v="-11.51292546497023"/>
    <n v="7.2127677500247955E-2"/>
    <n v="0"/>
    <n v="0"/>
    <n v="0"/>
    <n v="1"/>
    <n v="0"/>
    <n v="0"/>
    <n v="0"/>
    <n v="-1.1950476169586182"/>
    <n v="0.29534068885259585"/>
    <n v="0.30268954068364923"/>
    <n v="-7.3488518310533824E-3"/>
    <n v="5.4005623234776648E-5"/>
  </r>
  <r>
    <x v="22"/>
    <x v="8"/>
    <n v="-1.1488799804869669"/>
    <n v="0.64532155107734079"/>
    <n v="0.67656037695554638"/>
    <n v="0.69494556250132467"/>
    <n v="0.46837730750115147"/>
    <n v="0.51018541887856739"/>
    <n v="0.55514868240265458"/>
    <n v="-4.9175990634939977"/>
    <n v="1.394292615005166"/>
    <n v="-0.84520795212677169"/>
    <n v="3.159212314237815"/>
    <n v="3.1607492054121509"/>
    <n v="-11.51292546497023"/>
    <n v="-1.5368912136182189E-3"/>
    <n v="0"/>
    <n v="0"/>
    <n v="0"/>
    <n v="1"/>
    <n v="0"/>
    <n v="0"/>
    <n v="0"/>
    <n v="-1.1577886343002319"/>
    <n v="0.3169916074149699"/>
    <n v="0.31418018053105667"/>
    <n v="2.8114268839132261E-3"/>
    <n v="7.9041211235900321E-6"/>
  </r>
  <r>
    <x v="22"/>
    <x v="9"/>
    <n v="-1.1689292396529061"/>
    <n v="0.67069705172235339"/>
    <n v="0.64532155107734079"/>
    <n v="0.67656037695554638"/>
    <n v="0.44455760791426069"/>
    <n v="0.46837730750115147"/>
    <n v="0.51018541887856739"/>
    <n v="-4.4837560382573232"/>
    <n v="1.394292615005166"/>
    <n v="-0.81478004329457732"/>
    <n v="3.1480326131264391"/>
    <n v="3.1555875002801459"/>
    <n v="-11.51292546497023"/>
    <n v="-7.5548873282968998E-3"/>
    <n v="1"/>
    <n v="0"/>
    <n v="0"/>
    <n v="1"/>
    <n v="0"/>
    <n v="0"/>
    <n v="0"/>
    <n v="-1.2130722999572754"/>
    <n v="0.31069944786491283"/>
    <n v="0.29728253384696851"/>
    <n v="1.3416914017944315E-2"/>
    <n v="1.8001358176491066E-4"/>
  </r>
  <r>
    <x v="22"/>
    <x v="10"/>
    <n v="-1.1813691965431139"/>
    <n v="0.75099147024438317"/>
    <n v="0.67069705172235339"/>
    <n v="0.64532155107734079"/>
    <n v="0.66186289052017888"/>
    <n v="0.44455760791426069"/>
    <n v="0.46837730750115147"/>
    <n v="-4.1056159265104339"/>
    <n v="1.394292615005166"/>
    <n v="-0.79229715995028049"/>
    <n v="3.1344924395282949"/>
    <n v="3.144613137618717"/>
    <n v="-11.51292546497023"/>
    <n v="-1.0120698250830173E-2"/>
    <n v="1"/>
    <n v="0"/>
    <n v="0"/>
    <n v="1"/>
    <n v="0"/>
    <n v="0"/>
    <n v="0"/>
    <n v="-1.1861649751663208"/>
    <n v="0.30685830151065435"/>
    <n v="0.30539020018618801"/>
    <n v="1.4681013244663421E-3"/>
    <n v="2.1553214988998279E-6"/>
  </r>
  <r>
    <x v="22"/>
    <x v="11"/>
    <n v="-1.1474899667955909"/>
    <n v="0.73222365254173816"/>
    <n v="0.75099147024438317"/>
    <n v="0.67069705172235339"/>
    <n v="0.65793442480420083"/>
    <n v="0.66186289052017888"/>
    <n v="0.44455760791426069"/>
    <n v="-3.4766489066267621"/>
    <n v="1.394292615005166"/>
    <n v="-0.76976414629165346"/>
    <n v="3.1300269945941022"/>
    <n v="3.1312729786417068"/>
    <n v="-11.51292546497023"/>
    <n v="-1.245983992703259E-3"/>
    <n v="1"/>
    <n v="0"/>
    <n v="0"/>
    <n v="1"/>
    <n v="0"/>
    <n v="0"/>
    <n v="0"/>
    <n v="-1.1414681673049927"/>
    <n v="0.317432536467043"/>
    <n v="0.31934981850372118"/>
    <n v="-1.9172820366781806E-3"/>
    <n v="3.6759704081688326E-6"/>
  </r>
  <r>
    <x v="22"/>
    <x v="12"/>
    <n v="-1.185861415436875"/>
    <n v="0.85573360777969776"/>
    <n v="0.73222365254173816"/>
    <n v="0.75099147024438317"/>
    <n v="0.71818119827958704"/>
    <n v="0.65793442480420083"/>
    <n v="0.66186289052017888"/>
    <n v="-3.0072377064900651"/>
    <n v="1.394292615005166"/>
    <n v="-0.74270185594626881"/>
    <n v="3.1627955883168761"/>
    <n v="3.129434565485063"/>
    <n v="3.2580965380214821"/>
    <n v="3.3361021429300308E-2"/>
    <n v="1"/>
    <n v="0"/>
    <n v="0"/>
    <n v="1"/>
    <n v="0"/>
    <n v="0"/>
    <n v="0"/>
    <n v="-1.207128643989563"/>
    <n v="0.30548291842478165"/>
    <n v="0.29905474042924685"/>
    <n v="6.4281779955348006E-3"/>
    <n v="4.1321472342277805E-5"/>
  </r>
  <r>
    <x v="22"/>
    <x v="13"/>
    <n v="-1.1636872799363609"/>
    <n v="0.7959744903594157"/>
    <n v="0.85573360777969776"/>
    <n v="0.73222365254173816"/>
    <n v="0.69084453149726976"/>
    <n v="0.71818119827958704"/>
    <n v="0.65793442480420083"/>
    <n v="-2.2652532434171251"/>
    <n v="1.394292615005166"/>
    <n v="-0.7200209016275827"/>
    <n v="3.170805547254858"/>
    <n v="3.158600018921649"/>
    <n v="5.393627546352362"/>
    <n v="1.2205528095364571E-2"/>
    <n v="1"/>
    <n v="0"/>
    <n v="0"/>
    <n v="1"/>
    <n v="0"/>
    <n v="0"/>
    <n v="0"/>
    <n v="-1.1578282117843628"/>
    <n v="0.31233239804490354"/>
    <n v="0.31416774631600658"/>
    <n v="-1.8353482711030433E-3"/>
    <n v="3.3685032762409301E-6"/>
  </r>
  <r>
    <x v="22"/>
    <x v="14"/>
    <n v="-1.2792861663795729"/>
    <n v="0.71564225838731621"/>
    <n v="0.7959744903594157"/>
    <n v="0.85573360777969776"/>
    <n v="0.66618699897716227"/>
    <n v="0.69084453149726976"/>
    <n v="0.71818119827958704"/>
    <n v="-1.714377892425917"/>
    <n v="1.394292615005166"/>
    <n v="-0.70344543233434553"/>
    <n v="3.079905222339911"/>
    <n v="3.1667938247904721"/>
    <n v="5.9914645471079817"/>
    <n v="-8.6888603866100311E-2"/>
    <n v="1"/>
    <n v="1"/>
    <n v="0"/>
    <n v="1"/>
    <n v="0"/>
    <n v="0"/>
    <n v="0"/>
    <n v="-1.2103017568588257"/>
    <n v="0.27823584368097515"/>
    <n v="0.29810730993067569"/>
    <n v="-1.9871466249700542E-2"/>
    <n v="3.9487517091298775E-4"/>
  </r>
  <r>
    <x v="22"/>
    <x v="15"/>
    <n v="-1.2547276923864741"/>
    <n v="0.94304950117484621"/>
    <n v="0.71564225838731621"/>
    <n v="0.7959744903594157"/>
    <n v="0.89531221348895718"/>
    <n v="0.66618699897716227"/>
    <n v="0.69084453149726976"/>
    <n v="-1.068768097814778"/>
    <n v="1.394292615005166"/>
    <n v="-0.68890576751442378"/>
    <n v="3.1639349121749452"/>
    <n v="3.0760906474049361"/>
    <n v="6.6846117276679271"/>
    <n v="8.784426748752594E-2"/>
    <n v="1"/>
    <n v="0"/>
    <n v="0"/>
    <n v="1"/>
    <n v="0"/>
    <n v="0"/>
    <n v="0"/>
    <n v="-1.1837419271469116"/>
    <n v="0.28515348711870869"/>
    <n v="0.30613107252804467"/>
    <n v="-2.0977585409335975E-2"/>
    <n v="4.4005908960598558E-4"/>
  </r>
  <r>
    <x v="22"/>
    <x v="16"/>
    <n v="-1.1578699023743559"/>
    <n v="0.86827626677239533"/>
    <n v="0.94304950117484621"/>
    <n v="0.71564225838731621"/>
    <n v="0.83729081364000524"/>
    <n v="0.89531221348895718"/>
    <n v="0.66618699897716227"/>
    <n v="-0.66652469660513669"/>
    <n v="1.394292615005166"/>
    <n v="-0.67216233134431047"/>
    <n v="3.102755010118011"/>
    <n v="3.1639349121749452"/>
    <n v="8.0551577318196781"/>
    <n v="-6.1179902404546738E-2"/>
    <n v="1"/>
    <n v="0"/>
    <n v="0"/>
    <n v="1"/>
    <n v="0"/>
    <n v="0"/>
    <n v="0"/>
    <n v="-1.1212078332901001"/>
    <n v="0.31415464875033033"/>
    <n v="0.32588594092789047"/>
    <n v="-1.1731292177560138E-2"/>
    <n v="1.3762321615528366E-4"/>
  </r>
  <r>
    <x v="22"/>
    <x v="17"/>
    <n v="-1.0976857307889401"/>
    <n v="0.74007847524437753"/>
    <n v="0.86827626677239533"/>
    <n v="0.94304950117484621"/>
    <n v="0.5978470007056208"/>
    <n v="0.83729081364000524"/>
    <n v="0.89531221348895718"/>
    <n v="-0.1183286804237825"/>
    <n v="1.394292615005166"/>
    <n v="-0.65299503340882381"/>
    <n v="3.1433215520329649"/>
    <n v="3.102755010118011"/>
    <n v="8.4658998970286863"/>
    <n v="4.0566541254520416E-2"/>
    <n v="1"/>
    <n v="0"/>
    <n v="0"/>
    <n v="1"/>
    <n v="0"/>
    <n v="0"/>
    <n v="0"/>
    <n v="-1.1165146827697754"/>
    <n v="0.33364232908884284"/>
    <n v="0.32741896724893527"/>
    <n v="6.2233618399075707E-3"/>
    <n v="3.8730232590417741E-5"/>
  </r>
  <r>
    <x v="23"/>
    <x v="0"/>
    <n v="-1.975513597005494"/>
    <n v="1.015230679729058"/>
    <n v="0.97093042083247871"/>
    <n v="0.89718945857175403"/>
    <n v="0.66268797307523675"/>
    <n v="0.53168651443331993"/>
    <n v="0.4439162944824171"/>
    <n v="-11.51292546497023"/>
    <n v="1.130977484562024"/>
    <n v="-1.579811695749985"/>
    <n v="2.74943297343194"/>
    <n v="2.6980596550138718"/>
    <n v="-11.51292546497023"/>
    <n v="5.1373317837715149E-2"/>
    <n v="0"/>
    <n v="0"/>
    <n v="1"/>
    <n v="0"/>
    <n v="0"/>
    <n v="0"/>
    <n v="0"/>
    <n v="-1.9434492588043213"/>
    <n v="0.13869006314673626"/>
    <n v="0.14320913153239789"/>
    <n v="-4.5190683856616287E-3"/>
    <n v="2.04219790742864E-5"/>
  </r>
  <r>
    <x v="23"/>
    <x v="1"/>
    <n v="-1.952096980782045"/>
    <n v="0.95331673071060219"/>
    <n v="1.015230679729058"/>
    <n v="0.97093042083247871"/>
    <n v="0.50446544061330811"/>
    <n v="0.66268797307523675"/>
    <n v="0.53168651443331993"/>
    <n v="-11.51292546497023"/>
    <n v="1.130977484562024"/>
    <n v="-1.4896782365077359"/>
    <n v="2.7993383120309798"/>
    <n v="2.7411820075006239"/>
    <n v="-11.51292546497023"/>
    <n v="5.8156304061412811E-2"/>
    <n v="0"/>
    <n v="0"/>
    <n v="1"/>
    <n v="0"/>
    <n v="0"/>
    <n v="0"/>
    <n v="0"/>
    <n v="-1.8878177404403687"/>
    <n v="0.14197603818698154"/>
    <n v="0.15140184671857948"/>
    <n v="-9.4258085315979401E-3"/>
    <n v="8.8845866474344511E-5"/>
  </r>
  <r>
    <x v="23"/>
    <x v="2"/>
    <n v="-1.880283809994443"/>
    <n v="0.8960063885714481"/>
    <n v="0.95331673071060219"/>
    <n v="1.015230679729058"/>
    <n v="0.4529210492644597"/>
    <n v="0.50446544061330811"/>
    <n v="0.66268797307523675"/>
    <n v="-11.51292546497023"/>
    <n v="1.130977484562024"/>
    <n v="-1.396145555598052"/>
    <n v="2.8925826433772062"/>
    <n v="2.7911544397278618"/>
    <n v="-11.51292546497023"/>
    <n v="0.10142820328474045"/>
    <n v="0"/>
    <n v="0"/>
    <n v="1"/>
    <n v="0"/>
    <n v="0"/>
    <n v="0"/>
    <n v="0"/>
    <n v="-1.8010404109954834"/>
    <n v="0.15254680530465814"/>
    <n v="0.16512699887402843"/>
    <n v="-1.258019356937029E-2"/>
    <n v="1.582612702428256E-4"/>
  </r>
  <r>
    <x v="23"/>
    <x v="3"/>
    <n v="-1.8462884171821501"/>
    <n v="0.83893441262592605"/>
    <n v="0.8960063885714481"/>
    <n v="0.95331673071060219"/>
    <n v="0.41071795438961278"/>
    <n v="0.4529210492644597"/>
    <n v="0.50446544061330811"/>
    <n v="-7.7666278927080938"/>
    <n v="1.130977484562024"/>
    <n v="-1.3133919458640591"/>
    <n v="2.8987503000406152"/>
    <n v="2.8821757792191152"/>
    <n v="-11.51292546497023"/>
    <n v="1.6574520617723465E-2"/>
    <n v="0"/>
    <n v="0"/>
    <n v="1"/>
    <n v="0"/>
    <n v="0"/>
    <n v="0"/>
    <n v="0"/>
    <n v="-1.733475923538208"/>
    <n v="0.1578218494571908"/>
    <n v="0.17666925265556349"/>
    <n v="-1.8847403198372692E-2"/>
    <n v="3.5522460732202916E-4"/>
  </r>
  <r>
    <x v="23"/>
    <x v="4"/>
    <n v="-1.6790492006636919"/>
    <n v="0.77398956840404609"/>
    <n v="0.83893441262592605"/>
    <n v="0.8960063885714481"/>
    <n v="0.39823906301642481"/>
    <n v="0.41071795438961278"/>
    <n v="0.4529210492644597"/>
    <n v="-7.0979705978952667"/>
    <n v="1.130977484562024"/>
    <n v="-1.2405089831405469"/>
    <n v="2.972527222959565"/>
    <n v="2.874260414293341"/>
    <n v="-11.51292546497023"/>
    <n v="9.8266810178756714E-2"/>
    <n v="0"/>
    <n v="0"/>
    <n v="1"/>
    <n v="0"/>
    <n v="0"/>
    <n v="0"/>
    <n v="0"/>
    <n v="-1.606993556022644"/>
    <n v="0.18655126456168197"/>
    <n v="0.20048946925723993"/>
    <n v="-1.3938204695557954E-2"/>
    <n v="1.942735501352738E-4"/>
  </r>
  <r>
    <x v="23"/>
    <x v="5"/>
    <n v="-1.5013570777630769"/>
    <n v="0.74074615935922428"/>
    <n v="0.77398956840404609"/>
    <n v="0.83893441262592605"/>
    <n v="0.46881542360892609"/>
    <n v="0.39823906301642481"/>
    <n v="0.41071795438961278"/>
    <n v="-5.5124371256395719"/>
    <n v="1.130977484562024"/>
    <n v="-1.174478633946102"/>
    <n v="3.0225778200583151"/>
    <n v="2.948622782781094"/>
    <n v="-11.51292546497023"/>
    <n v="7.3955036699771881E-2"/>
    <n v="0"/>
    <n v="0"/>
    <n v="1"/>
    <n v="0"/>
    <n v="0"/>
    <n v="0"/>
    <n v="0"/>
    <n v="-1.4842032194137573"/>
    <n v="0.22282756054185968"/>
    <n v="0.22668288526191693"/>
    <n v="-3.8553247200572571E-3"/>
    <n v="1.4863528697084567E-5"/>
  </r>
  <r>
    <x v="23"/>
    <x v="6"/>
    <n v="-1.3576503718458801"/>
    <n v="0.70215647471753273"/>
    <n v="0.74074615935922428"/>
    <n v="0.77398956840404609"/>
    <n v="0.43580030790423729"/>
    <n v="0.46881542360892609"/>
    <n v="0.39823906301642481"/>
    <n v="-5.0516032779595612"/>
    <n v="1.130977484562024"/>
    <n v="-1.102219461000258"/>
    <n v="3.0545696338853041"/>
    <n v="3.0134080384925941"/>
    <n v="-11.51292546497023"/>
    <n v="4.1161596775054932E-2"/>
    <n v="0"/>
    <n v="0"/>
    <n v="1"/>
    <n v="0"/>
    <n v="0"/>
    <n v="0"/>
    <n v="0"/>
    <n v="-1.3795301914215088"/>
    <n v="0.25726454337666699"/>
    <n v="0.2516967745907186"/>
    <n v="5.5677687859483904E-3"/>
    <n v="3.100004925378121E-5"/>
  </r>
  <r>
    <x v="23"/>
    <x v="7"/>
    <n v="-1.349415161555104"/>
    <n v="0.72090825134533554"/>
    <n v="0.70215647471753273"/>
    <n v="0.74074615935922428"/>
    <n v="0.39237986855950879"/>
    <n v="0.43580030790423729"/>
    <n v="0.46881542360892609"/>
    <n v="-4.2474402455818021"/>
    <n v="1.130977484562024"/>
    <n v="-1.0624577711181571"/>
    <n v="3.0577401914607312"/>
    <n v="3.0204034758586098"/>
    <n v="-11.51292546497023"/>
    <n v="3.7336714565753937E-2"/>
    <n v="0"/>
    <n v="0"/>
    <n v="1"/>
    <n v="0"/>
    <n v="0"/>
    <n v="0"/>
    <n v="0"/>
    <n v="-1.3728792667388916"/>
    <n v="0.25939191866017797"/>
    <n v="0.25337637012168968"/>
    <n v="6.0155485384882912E-3"/>
    <n v="3.6186824218908614E-5"/>
  </r>
  <r>
    <x v="23"/>
    <x v="8"/>
    <n v="-1.294690965227715"/>
    <n v="0.68506460436658934"/>
    <n v="0.72090825134533554"/>
    <n v="0.70215647471753273"/>
    <n v="0.34401514579194181"/>
    <n v="0.39237986855950879"/>
    <n v="0.43580030790423729"/>
    <n v="-3.514089845464766"/>
    <n v="1.130977484562024"/>
    <n v="-1.0143261612993819"/>
    <n v="3.1015283053931602"/>
    <n v="3.0452996775323982"/>
    <n v="-11.51292546497023"/>
    <n v="5.6228626519441605E-2"/>
    <n v="0"/>
    <n v="0"/>
    <n v="1"/>
    <n v="0"/>
    <n v="0"/>
    <n v="0"/>
    <n v="0"/>
    <n v="-1.3330508470535278"/>
    <n v="0.27398252137589008"/>
    <n v="0.26367161120895877"/>
    <n v="1.0310910166931309E-2"/>
    <n v="1.0631486847052743E-4"/>
  </r>
  <r>
    <x v="23"/>
    <x v="9"/>
    <n v="-1.3848701080031769"/>
    <n v="0.66772680321303413"/>
    <n v="0.68506460436658934"/>
    <n v="0.72090825134533554"/>
    <n v="0.32164862201505379"/>
    <n v="0.34401514579194181"/>
    <n v="0.39237986855950879"/>
    <n v="-3.1206069133565029"/>
    <n v="1.130977484562024"/>
    <n v="-0.98173704079714696"/>
    <n v="3.067628402405107"/>
    <n v="3.0895461293932569"/>
    <n v="-11.51292546497023"/>
    <n v="-2.1917726844549179E-2"/>
    <n v="1"/>
    <n v="0"/>
    <n v="1"/>
    <n v="0"/>
    <n v="0"/>
    <n v="0"/>
    <n v="0"/>
    <n v="-1.3628988265991211"/>
    <n v="0.25035631696171773"/>
    <n v="0.25591783921047162"/>
    <n v="-5.5615222487538918E-3"/>
    <n v="3.0930529723384545E-5"/>
  </r>
  <r>
    <x v="23"/>
    <x v="10"/>
    <n v="-1.285285227425053"/>
    <n v="0.65336631054810068"/>
    <n v="0.66772680321303413"/>
    <n v="0.68506460436658934"/>
    <n v="0.4415398522451548"/>
    <n v="0.32164862201505379"/>
    <n v="0.34401514579194181"/>
    <n v="-2.7239779808935669"/>
    <n v="1.130977484562024"/>
    <n v="-0.96065305975401938"/>
    <n v="3.078809717589027"/>
    <n v="3.0559472746276479"/>
    <n v="-11.51292546497023"/>
    <n v="2.2862443700432777E-2"/>
    <n v="1"/>
    <n v="0"/>
    <n v="1"/>
    <n v="0"/>
    <n v="0"/>
    <n v="0"/>
    <n v="0"/>
    <n v="-1.2735817432403564"/>
    <n v="0.27657168655070519"/>
    <n v="0.27982755424486921"/>
    <n v="-3.2558676941640274E-3"/>
    <n v="1.060067444190098E-5"/>
  </r>
  <r>
    <x v="23"/>
    <x v="11"/>
    <n v="-1.2638688961429589"/>
    <n v="0.67701779863006162"/>
    <n v="0.65336631054810068"/>
    <n v="0.66772680321303413"/>
    <n v="0.49035757512612699"/>
    <n v="0.4415398522451548"/>
    <n v="0.32164862201505379"/>
    <n v="-2.1007295258352019"/>
    <n v="1.130977484562024"/>
    <n v="-0.93731049146277712"/>
    <n v="3.0792033858508652"/>
    <n v="3.0674071987690561"/>
    <n v="-11.51292546497023"/>
    <n v="1.1796186678111553E-2"/>
    <n v="1"/>
    <n v="0"/>
    <n v="1"/>
    <n v="0"/>
    <n v="0"/>
    <n v="0"/>
    <n v="0"/>
    <n v="-1.2346770763397217"/>
    <n v="0.28255871871299265"/>
    <n v="0.29092869495956347"/>
    <n v="-8.3699762465708205E-3"/>
    <n v="7.0056502368159762E-5"/>
  </r>
  <r>
    <x v="23"/>
    <x v="12"/>
    <n v="-1.3495948435285481"/>
    <n v="0.7764307846966827"/>
    <n v="0.67701779863006162"/>
    <n v="0.65336631054810068"/>
    <n v="0.53783749601278841"/>
    <n v="0.49035757512612699"/>
    <n v="0.4415398522451548"/>
    <n v="-1.6270678834723289"/>
    <n v="1.130977484562024"/>
    <n v="-0.91339665834032158"/>
    <n v="3.126547037607621"/>
    <n v="3.066430857571905"/>
    <n v="3.2580965380214821"/>
    <n v="6.0116179287433624E-2"/>
    <n v="1"/>
    <n v="0"/>
    <n v="1"/>
    <n v="0"/>
    <n v="0"/>
    <n v="0"/>
    <n v="0"/>
    <n v="-1.2658064365386963"/>
    <n v="0.25934531479540024"/>
    <n v="0.28201177981053077"/>
    <n v="-2.2666465015130532E-2"/>
    <n v="5.1376863628213641E-4"/>
  </r>
  <r>
    <x v="23"/>
    <x v="13"/>
    <n v="-1.285858708664841"/>
    <n v="0.7103483878797201"/>
    <n v="0.7764307846966827"/>
    <n v="0.67701779863006162"/>
    <n v="0.51641000205989129"/>
    <n v="0.53783749601278841"/>
    <n v="0.49035757512612699"/>
    <n v="-0.95256005031569146"/>
    <n v="1.130977484562024"/>
    <n v="-0.88821277880844851"/>
    <n v="3.0737258239883838"/>
    <n v="3.1153426686918322"/>
    <n v="5.393627546352362"/>
    <n v="-4.161684587597847E-2"/>
    <n v="1"/>
    <n v="0"/>
    <n v="1"/>
    <n v="0"/>
    <n v="0"/>
    <n v="0"/>
    <n v="0"/>
    <n v="-1.2171481847763062"/>
    <n v="0.27641312334786861"/>
    <n v="0.29607331048192898"/>
    <n v="-1.966018713406037E-2"/>
    <n v="3.8652295814627286E-4"/>
  </r>
  <r>
    <x v="23"/>
    <x v="14"/>
    <n v="-1.3925580452554449"/>
    <n v="0.70872521052326376"/>
    <n v="0.7103483878797201"/>
    <n v="0.7764307846966827"/>
    <n v="0.44243971089952577"/>
    <n v="0.51641000205989129"/>
    <n v="0.53783749601278841"/>
    <n v="-0.25456177721428758"/>
    <n v="1.130977484562024"/>
    <n v="-0.87034242799961925"/>
    <n v="3.1369814545481511"/>
    <n v="3.0628431352276291"/>
    <n v="5.9914645471079817"/>
    <n v="7.4138320982456207E-2"/>
    <n v="1"/>
    <n v="1"/>
    <n v="1"/>
    <n v="0"/>
    <n v="0"/>
    <n v="0"/>
    <n v="0"/>
    <n v="-1.33976149559021"/>
    <n v="0.24843897296000483"/>
    <n v="0.26190812737501973"/>
    <n v="-1.3469154415014895E-2"/>
    <n v="1.8141812065551523E-4"/>
  </r>
  <r>
    <x v="23"/>
    <x v="15"/>
    <n v="-1.434501324363882"/>
    <n v="0.90401570099854245"/>
    <n v="0.70872521052326376"/>
    <n v="0.7103483878797201"/>
    <n v="0.64924753826992698"/>
    <n v="0.44243971089952577"/>
    <n v="0.51641000205989129"/>
    <n v="0.31514809820388678"/>
    <n v="1.130977484562024"/>
    <n v="-0.85750585795415835"/>
    <n v="3.1518800036120922"/>
    <n v="3.126432160474677"/>
    <n v="6.6846117276679271"/>
    <n v="2.5447843596339226E-2"/>
    <n v="1"/>
    <n v="0"/>
    <n v="1"/>
    <n v="0"/>
    <n v="0"/>
    <n v="0"/>
    <n v="0"/>
    <n v="-1.3374176025390625"/>
    <n v="0.23823413595718218"/>
    <n v="0.2625227320172101"/>
    <n v="-2.4288596060027923E-2"/>
    <n v="5.8993589856720392E-4"/>
  </r>
  <r>
    <x v="23"/>
    <x v="16"/>
    <n v="-1.305504312734995"/>
    <n v="0.86827626677239533"/>
    <n v="0.90401570099854245"/>
    <n v="0.70872521052326376"/>
    <n v="0.61285860933110847"/>
    <n v="0.64924753826992698"/>
    <n v="0.44243971089952577"/>
    <n v="0.8535018840870181"/>
    <n v="1.130977484562024"/>
    <n v="-0.83501885082324967"/>
    <n v="3.2268541726774989"/>
    <n v="3.1518800036120922"/>
    <n v="8.0551577318196781"/>
    <n v="7.4974171817302704E-2"/>
    <n v="1"/>
    <n v="0"/>
    <n v="1"/>
    <n v="0"/>
    <n v="0"/>
    <n v="0"/>
    <n v="0"/>
    <n v="-1.3098952770233154"/>
    <n v="0.27103581376083574"/>
    <n v="0.26984831422375732"/>
    <n v="1.187499537078418E-3"/>
    <n v="1.4101551505614571E-6"/>
  </r>
  <r>
    <x v="23"/>
    <x v="17"/>
    <n v="-1.2479133990084019"/>
    <n v="0.70640885454313052"/>
    <n v="0.86827626677239533"/>
    <n v="0.90401570099854245"/>
    <n v="0.36186147062603241"/>
    <n v="0.61285860933110847"/>
    <n v="0.64924753826992698"/>
    <n v="1.413503350499935"/>
    <n v="1.130977484562024"/>
    <n v="-0.80935547800188667"/>
    <n v="3.2792263326556959"/>
    <n v="3.2268541726774989"/>
    <n v="8.4658998970286863"/>
    <n v="5.237216129899025E-2"/>
    <n v="1"/>
    <n v="0"/>
    <n v="1"/>
    <n v="0"/>
    <n v="0"/>
    <n v="0"/>
    <n v="0"/>
    <n v="-1.2823128700256348"/>
    <n v="0.28710324219459921"/>
    <n v="0.27739497940385272"/>
    <n v="9.7082627907464913E-3"/>
    <n v="9.4250366414192852E-5"/>
  </r>
  <r>
    <x v="24"/>
    <x v="0"/>
    <n v="-2.05774652737274"/>
    <n v="1.081805170351728"/>
    <n v="1.042535642447705"/>
    <n v="0.99047013004840656"/>
    <n v="0.69314718055994529"/>
    <n v="0.58478215588182025"/>
    <n v="0.51801968434623125"/>
    <n v="-11.51292546497023"/>
    <n v="1.9730087517591539"/>
    <n v="-1.798920155106793"/>
    <n v="2.6724997707606679"/>
    <n v="2.847671102973925"/>
    <n v="-11.51292546497023"/>
    <n v="-0.17517133057117462"/>
    <n v="0"/>
    <n v="0"/>
    <n v="1"/>
    <n v="0"/>
    <n v="0"/>
    <n v="0"/>
    <n v="0"/>
    <n v="-2.2730188369750977"/>
    <n v="0.12774150778491689"/>
    <n v="0.10300076774193385"/>
    <n v="2.4740740042983031E-2"/>
    <n v="6.1210421787446395E-4"/>
  </r>
  <r>
    <x v="24"/>
    <x v="1"/>
    <n v="-2.1237769983382999"/>
    <n v="1.021083086158872"/>
    <n v="1.081805170351728"/>
    <n v="1.042535642447705"/>
    <n v="0.36845528247426368"/>
    <n v="0.69314718055994529"/>
    <n v="0.58478215588182025"/>
    <n v="-11.51292546497023"/>
    <n v="1.9730087517591539"/>
    <n v="-1.6952029836220981"/>
    <n v="2.8066650646061579"/>
    <n v="2.6550236833934591"/>
    <n v="-11.51292546497023"/>
    <n v="0.15164138376712799"/>
    <n v="0"/>
    <n v="0"/>
    <n v="1"/>
    <n v="0"/>
    <n v="0"/>
    <n v="0"/>
    <n v="0"/>
    <n v="-2.2524383068084717"/>
    <n v="0.11957912434171535"/>
    <n v="0.10514254197762599"/>
    <n v="1.4436582364089359E-2"/>
    <n v="2.0841491035513592E-4"/>
  </r>
  <r>
    <x v="24"/>
    <x v="2"/>
    <n v="-2.1175597176399039"/>
    <n v="0.91063476701799762"/>
    <n v="1.021083086158872"/>
    <n v="1.081805170351728"/>
    <n v="0.24966863025356481"/>
    <n v="0.36845528247426368"/>
    <n v="0.69314718055994529"/>
    <n v="-11.51292546497023"/>
    <n v="1.9730087517591539"/>
    <n v="-1.5606998325896051"/>
    <n v="2.962978052689655"/>
    <n v="2.7894891524881991"/>
    <n v="-11.51292546497023"/>
    <n v="0.17348890006542206"/>
    <n v="0"/>
    <n v="0"/>
    <n v="1"/>
    <n v="0"/>
    <n v="0"/>
    <n v="0"/>
    <n v="0"/>
    <n v="-2.1526186466217041"/>
    <n v="0.12032489726091082"/>
    <n v="0.11617952596287177"/>
    <n v="4.1453712980390467E-3"/>
    <n v="1.7184103198605931E-5"/>
  </r>
  <r>
    <x v="24"/>
    <x v="3"/>
    <n v="-2.1349810416516708"/>
    <n v="0.85747447398162135"/>
    <n v="0.91063476701799762"/>
    <n v="1.021083086158872"/>
    <n v="0.2214621385316716"/>
    <n v="0.24966863025356481"/>
    <n v="0.36845528247426368"/>
    <n v="-8.0069314086622185"/>
    <n v="1.9730087517591539"/>
    <n v="-1.4506574410501361"/>
    <n v="2.9461875816004648"/>
    <n v="2.94822569572601"/>
    <n v="-11.51292546497023"/>
    <n v="-2.0381142385303974E-3"/>
    <n v="0"/>
    <n v="0"/>
    <n v="1"/>
    <n v="0"/>
    <n v="0"/>
    <n v="0"/>
    <n v="0"/>
    <n v="-2.0998616218566895"/>
    <n v="0.11824683212001763"/>
    <n v="0.12247337471864318"/>
    <n v="-4.2265425986255517E-3"/>
    <n v="1.7863662337996432E-5"/>
  </r>
  <r>
    <x v="24"/>
    <x v="4"/>
    <n v="-2.0433626100727298"/>
    <n v="0.81828091131671099"/>
    <n v="0.85747447398162135"/>
    <n v="0.91063476701799762"/>
    <n v="0.33590064472225528"/>
    <n v="0.2214621385316716"/>
    <n v="0.24966863025356481"/>
    <n v="-7.3260754061403617"/>
    <n v="1.9730087517591539"/>
    <n v="-1.3486996414753709"/>
    <n v="2.9245585501402531"/>
    <n v="2.9338964035622919"/>
    <n v="-11.51292546497023"/>
    <n v="-9.3378536403179169E-3"/>
    <n v="0"/>
    <n v="0"/>
    <n v="1"/>
    <n v="0"/>
    <n v="0"/>
    <n v="0"/>
    <n v="0"/>
    <n v="-1.9221136569976807"/>
    <n v="0.12959220932903426"/>
    <n v="0.14629741255499157"/>
    <n v="-1.670520322595731E-2"/>
    <n v="2.7906381482053453E-4"/>
  </r>
  <r>
    <x v="24"/>
    <x v="5"/>
    <n v="-1.840213729643446"/>
    <n v="0.79768735983386929"/>
    <n v="0.81828091131671099"/>
    <n v="0.85747447398162135"/>
    <n v="0.4093907261106367"/>
    <n v="0.33590064472225528"/>
    <n v="0.2214621385316716"/>
    <n v="-5.6334692513688536"/>
    <n v="1.9730087517591539"/>
    <n v="-1.254492718073984"/>
    <n v="3.0328194081271249"/>
    <n v="2.91241661267324"/>
    <n v="-11.51292546497023"/>
    <n v="0.12040279805660248"/>
    <n v="0"/>
    <n v="0"/>
    <n v="1"/>
    <n v="0"/>
    <n v="0"/>
    <n v="0"/>
    <n v="0"/>
    <n v="-1.7564654350280762"/>
    <n v="0.15878348574222609"/>
    <n v="0.17265404353073277"/>
    <n v="-1.3870557788506682E-2"/>
    <n v="1.9239237336430339E-4"/>
  </r>
  <r>
    <x v="24"/>
    <x v="6"/>
    <n v="-1.6588784145306159"/>
    <n v="0.76825465304675078"/>
    <n v="0.79768735983386929"/>
    <n v="0.81828091131671099"/>
    <n v="0.36276635357504911"/>
    <n v="0.4093907261106367"/>
    <n v="0.33590064472225528"/>
    <n v="-5.271503568333296"/>
    <n v="1.9730087517591539"/>
    <n v="-1.1799399526944709"/>
    <n v="3.0851610781021268"/>
    <n v="3.0200916417212711"/>
    <n v="-11.51292546497023"/>
    <n v="6.5069437026977539E-2"/>
    <n v="0"/>
    <n v="0"/>
    <n v="1"/>
    <n v="0"/>
    <n v="0"/>
    <n v="0"/>
    <n v="0"/>
    <n v="-1.6590038537979126"/>
    <n v="0.19035235685653168"/>
    <n v="0.19032848069389488"/>
    <n v="2.3876162636798925E-5"/>
    <n v="5.7007114225887297E-10"/>
  </r>
  <r>
    <x v="24"/>
    <x v="7"/>
    <n v="-1.690374031574946"/>
    <n v="0.72754860727727766"/>
    <n v="0.76825465304675078"/>
    <n v="0.79768735983386929"/>
    <n v="0.30535007010518789"/>
    <n v="0.36276635357504911"/>
    <n v="0.4093907261106367"/>
    <n v="-4.4017390743939897"/>
    <n v="1.9730087517591539"/>
    <n v="-1.1195437403122011"/>
    <n v="3.1047763713222141"/>
    <n v="3.0639526481515622"/>
    <n v="-11.51292546497023"/>
    <n v="4.0823724120855331E-2"/>
    <n v="0"/>
    <n v="0"/>
    <n v="1"/>
    <n v="0"/>
    <n v="0"/>
    <n v="0"/>
    <n v="0"/>
    <n v="-1.5964484214782715"/>
    <n v="0.18445052077031837"/>
    <n v="0.20261484417242626"/>
    <n v="-1.8164323402107885E-2"/>
    <n v="3.2994264465636416E-4"/>
  </r>
  <r>
    <x v="24"/>
    <x v="8"/>
    <n v="-1.582605413124665"/>
    <n v="0.69474590192364238"/>
    <n v="0.72754860727727766"/>
    <n v="0.76825465304675078"/>
    <n v="0.29728580859447568"/>
    <n v="0.30535007010518789"/>
    <n v="0.36276635357504911"/>
    <n v="-3.6840396748336701"/>
    <n v="1.9730087517591539"/>
    <n v="-1.0613115936954669"/>
    <n v="3.142461528138865"/>
    <n v="3.091588262339735"/>
    <n v="-11.51292546497023"/>
    <n v="5.0873264670372009E-2"/>
    <n v="0"/>
    <n v="0"/>
    <n v="1"/>
    <n v="0"/>
    <n v="0"/>
    <n v="0"/>
    <n v="0"/>
    <n v="-1.5311722755432129"/>
    <n v="0.20543914647168415"/>
    <n v="0.21628197657575685"/>
    <n v="-1.0842830104072693E-2"/>
    <n v="1.1756696466578504E-4"/>
  </r>
  <r>
    <x v="24"/>
    <x v="9"/>
    <n v="-1.7534303860936951"/>
    <n v="0.67960590999327797"/>
    <n v="0.69474590192364238"/>
    <n v="0.72754860727727766"/>
    <n v="0.20073432980108"/>
    <n v="0.29728580859447568"/>
    <n v="0.30535007010518789"/>
    <n v="-3.2789795267156618"/>
    <n v="1.9730087517591539"/>
    <n v="-1.020982827946896"/>
    <n v="3.1161413519454091"/>
    <n v="3.1297864755568958"/>
    <n v="-11.51292546497023"/>
    <n v="-1.3645123690366745E-2"/>
    <n v="1"/>
    <n v="0"/>
    <n v="1"/>
    <n v="0"/>
    <n v="0"/>
    <n v="0"/>
    <n v="0"/>
    <n v="-1.5668298006057739"/>
    <n v="0.17317885300993485"/>
    <n v="0.2087057736178537"/>
    <n v="-3.5526920607918844E-2"/>
    <n v="1.2621620878813687E-3"/>
  </r>
  <r>
    <x v="24"/>
    <x v="10"/>
    <n v="-1.679206203083961"/>
    <n v="0.71147813724466868"/>
    <n v="0.67960590999327797"/>
    <n v="0.69474590192364238"/>
    <n v="0.34557355086755848"/>
    <n v="0.20073432980108"/>
    <n v="0.29728580859447568"/>
    <n v="-2.8458570330107551"/>
    <n v="1.9730087517591539"/>
    <n v="-0.98968193431058293"/>
    <n v="3.1686179571010782"/>
    <n v="3.1039528289949501"/>
    <n v="-11.51292546497023"/>
    <n v="6.4665131270885468E-2"/>
    <n v="1"/>
    <n v="0"/>
    <n v="1"/>
    <n v="0"/>
    <n v="0"/>
    <n v="0"/>
    <n v="0"/>
    <n v="-1.5116231441497803"/>
    <n v="0.18652197786074315"/>
    <n v="0.22055170006801683"/>
    <n v="-3.4029722207273683E-2"/>
    <n v="1.1580219935042157E-3"/>
  </r>
  <r>
    <x v="24"/>
    <x v="11"/>
    <n v="-1.67921739515646"/>
    <n v="0.70631016708622618"/>
    <n v="0.71147813724466868"/>
    <n v="0.67960590999327797"/>
    <n v="0.27292370147623563"/>
    <n v="0.34557355086755848"/>
    <n v="0.20073432980108"/>
    <n v="-2.2429678509241522"/>
    <n v="1.9730087517591539"/>
    <n v="-0.96161077735185829"/>
    <n v="3.144485979086646"/>
    <n v="3.156884721740048"/>
    <n v="-11.51292546497023"/>
    <n v="-1.2398743070662022E-2"/>
    <n v="1"/>
    <n v="0"/>
    <n v="1"/>
    <n v="0"/>
    <n v="0"/>
    <n v="0"/>
    <n v="0"/>
    <n v="-1.5189636945724487"/>
    <n v="0.18651989030492636"/>
    <n v="0.21893865674882429"/>
    <n v="-3.2418766443897934E-2"/>
    <n v="1.0509764177440027E-3"/>
  </r>
  <r>
    <x v="24"/>
    <x v="12"/>
    <n v="-1.8864132743384829"/>
    <n v="0.83594797919161656"/>
    <n v="0.70631016708622618"/>
    <n v="0.71147813724466868"/>
    <n v="0.33253592808540672"/>
    <n v="0.27292370147623563"/>
    <n v="0.34557355086755848"/>
    <n v="-1.826642708966508"/>
    <n v="1.9730087517591539"/>
    <n v="-0.94169512122798971"/>
    <n v="3.1520444807485388"/>
    <n v="3.115764223772421"/>
    <n v="3.2580965380214821"/>
    <n v="3.6280255764722824E-2"/>
    <n v="1"/>
    <n v="0"/>
    <n v="1"/>
    <n v="0"/>
    <n v="0"/>
    <n v="0"/>
    <n v="0"/>
    <n v="-1.6053529977798462"/>
    <n v="0.15161463487195528"/>
    <n v="0.2008186538580477"/>
    <n v="-4.9204018986092418E-2"/>
    <n v="2.421035484383743E-3"/>
  </r>
  <r>
    <x v="24"/>
    <x v="13"/>
    <n v="-1.9921047751330849"/>
    <n v="0.79376145059253866"/>
    <n v="0.83594797919161656"/>
    <n v="0.70631016708622618"/>
    <n v="0.24904518883686269"/>
    <n v="0.33253592808540672"/>
    <n v="0.27292370147623563"/>
    <n v="-1.120801484052383"/>
    <n v="1.9730087517591539"/>
    <n v="-0.90391195547556569"/>
    <n v="3.13188489075428"/>
    <n v="3.1397817931288499"/>
    <n v="5.393627546352362"/>
    <n v="-7.8969020396471024E-3"/>
    <n v="1"/>
    <n v="0"/>
    <n v="1"/>
    <n v="0"/>
    <n v="0"/>
    <n v="0"/>
    <n v="0"/>
    <n v="-1.6068980693817139"/>
    <n v="0.13640801488664259"/>
    <n v="0.20050861423723154"/>
    <n v="-6.4100599350588955E-2"/>
    <n v="4.1088868371047249E-3"/>
  </r>
  <r>
    <x v="24"/>
    <x v="14"/>
    <n v="-1.9497546726642769"/>
    <n v="0.7133418878454646"/>
    <n v="0.79376145059253866"/>
    <n v="0.83594797919161656"/>
    <n v="0.28930575356787852"/>
    <n v="0.24904518883686269"/>
    <n v="0.33253592808540672"/>
    <n v="-0.33279799939185711"/>
    <n v="1.9730087517591539"/>
    <n v="-0.87596321331421045"/>
    <n v="3.2859967765217868"/>
    <n v="3.1199732194291552"/>
    <n v="5.9914645471079817"/>
    <n v="0.16602355241775513"/>
    <n v="1"/>
    <n v="1"/>
    <n v="1"/>
    <n v="0"/>
    <n v="0"/>
    <n v="0"/>
    <n v="0"/>
    <n v="-1.6114116907119751"/>
    <n v="0.14230897958720667"/>
    <n v="0.19960563366830561"/>
    <n v="-5.7296654081098936E-2"/>
    <n v="3.2829065688891111E-3"/>
  </r>
  <r>
    <x v="24"/>
    <x v="15"/>
    <n v="-1.765906089621222"/>
    <n v="0.90401570099854245"/>
    <n v="0.7133418878454646"/>
    <n v="0.79376145059253866"/>
    <n v="0.57515162232223782"/>
    <n v="0.28930575356787852"/>
    <n v="0.24904518883686269"/>
    <n v="0.35411113289401652"/>
    <n v="1.9730087517591539"/>
    <n v="-0.85090031149088408"/>
    <n v="3.4190583322518591"/>
    <n v="3.2744327466275061"/>
    <n v="6.6846117276679271"/>
    <n v="0.14462558925151825"/>
    <n v="1"/>
    <n v="0"/>
    <n v="1"/>
    <n v="0"/>
    <n v="0"/>
    <n v="0"/>
    <n v="0"/>
    <n v="-1.5370136499404907"/>
    <n v="0.17103174616523617"/>
    <n v="0.21502227535035986"/>
    <n v="-4.3990529185123695E-2"/>
    <n v="1.9351666579872195E-3"/>
  </r>
  <r>
    <x v="24"/>
    <x v="16"/>
    <n v="-1.681463142928628"/>
    <n v="0.89006995223107255"/>
    <n v="0.90401570099854245"/>
    <n v="0.7133418878454646"/>
    <n v="0.5042842757225684"/>
    <n v="0.57515162232223782"/>
    <n v="0.28930575356787852"/>
    <n v="0.82585925575775587"/>
    <n v="1.9730087517591539"/>
    <n v="-0.8181080957602257"/>
    <n v="3.4274724365402758"/>
    <n v="3.4190583322518591"/>
    <n v="8.0551577318196781"/>
    <n v="8.4141045808792114E-3"/>
    <n v="1"/>
    <n v="0"/>
    <n v="1"/>
    <n v="0"/>
    <n v="0"/>
    <n v="0"/>
    <n v="0"/>
    <n v="-1.5012661218643188"/>
    <n v="0.18610148367054127"/>
    <n v="0.22284782894464825"/>
    <n v="-3.6746345274106973E-2"/>
    <n v="1.3502938910038838E-3"/>
  </r>
  <r>
    <x v="24"/>
    <x v="17"/>
    <n v="-1.6568841041092961"/>
    <n v="0.75292438459580613"/>
    <n v="0.89006995223107255"/>
    <n v="0.90401570099854245"/>
    <n v="0.28073298336357422"/>
    <n v="0.5042842757225684"/>
    <n v="0.57515162232223782"/>
    <n v="1.3493937625097989"/>
    <n v="1.9730087517591539"/>
    <n v="-0.78477121725476684"/>
    <n v="3.443338371166075"/>
    <n v="3.4274724365402758"/>
    <n v="8.4658998970286863"/>
    <n v="1.5865935012698174E-2"/>
    <n v="1"/>
    <n v="0"/>
    <n v="1"/>
    <n v="0"/>
    <n v="0"/>
    <n v="0"/>
    <n v="0"/>
    <n v="-1.4753338098526001"/>
    <n v="0.19073235733904748"/>
    <n v="0.2287023711969457"/>
    <n v="-3.7970013857898222E-2"/>
    <n v="1.4417219523689829E-3"/>
  </r>
  <r>
    <x v="25"/>
    <x v="0"/>
    <n v="-1.862337595589032"/>
    <n v="0.94778939893352609"/>
    <n v="0.88533655655224996"/>
    <n v="0.82342955082286751"/>
    <n v="0.52472852893498212"/>
    <n v="0.40246059908786569"/>
    <n v="0.34861252984868768"/>
    <n v="-11.51292546497023"/>
    <n v="2.05817408255127"/>
    <n v="-1.608091352549371"/>
    <n v="2.6691657313985648"/>
    <n v="2.604186425782943"/>
    <n v="-11.51292546497023"/>
    <n v="6.4979307353496552E-2"/>
    <n v="0"/>
    <n v="0"/>
    <n v="1"/>
    <n v="0"/>
    <n v="0"/>
    <n v="0"/>
    <n v="0"/>
    <n v="-2.0510866641998291"/>
    <n v="0.15530915570781006"/>
    <n v="0.12859508795688557"/>
    <n v="2.6714067750924497E-2"/>
    <n v="7.1364141580098424E-4"/>
  </r>
  <r>
    <x v="25"/>
    <x v="1"/>
    <n v="-1.883076035962455"/>
    <n v="0.88459364513090055"/>
    <n v="0.94778939893352609"/>
    <n v="0.88533655655224996"/>
    <n v="0.33482802850872367"/>
    <n v="0.52472852893498212"/>
    <n v="0.40246059908786569"/>
    <n v="-11.51292546497023"/>
    <n v="2.05817408255127"/>
    <n v="-1.5047876678710319"/>
    <n v="2.7482821220994418"/>
    <n v="2.6592476277490902"/>
    <n v="-11.51292546497023"/>
    <n v="8.9034497737884521E-2"/>
    <n v="0"/>
    <n v="0"/>
    <n v="1"/>
    <n v="0"/>
    <n v="0"/>
    <n v="0"/>
    <n v="0"/>
    <n v="-2.0046496391296387"/>
    <n v="0.15212145426800924"/>
    <n v="0.13470748365983426"/>
    <n v="1.7413970608174983E-2"/>
    <n v="3.032463723423822E-4"/>
  </r>
  <r>
    <x v="25"/>
    <x v="2"/>
    <n v="-1.846873097254206"/>
    <n v="0.81933920579770469"/>
    <n v="0.88459364513090055"/>
    <n v="0.94778939893352609"/>
    <n v="0.33732901234119472"/>
    <n v="0.33482802850872367"/>
    <n v="0.52472852893498212"/>
    <n v="-11.51292546497023"/>
    <n v="2.05817408255127"/>
    <n v="-1.396098820537637"/>
    <n v="2.7976701186191248"/>
    <n v="2.7384614219624459"/>
    <n v="-11.51292546497023"/>
    <n v="5.9208694845438004E-2"/>
    <n v="0"/>
    <n v="0"/>
    <n v="1"/>
    <n v="0"/>
    <n v="0"/>
    <n v="0"/>
    <n v="0"/>
    <n v="-1.8955596685409546"/>
    <n v="0.15772960113738324"/>
    <n v="0.15023423014077644"/>
    <n v="7.4953709966067983E-3"/>
    <n v="5.6180586376774387E-5"/>
  </r>
  <r>
    <x v="25"/>
    <x v="3"/>
    <n v="-1.8293809229926421"/>
    <n v="0.80848277923984968"/>
    <n v="0.81933920579770469"/>
    <n v="0.88459364513090055"/>
    <n v="0.30792577892882339"/>
    <n v="0.33732901234119472"/>
    <n v="0.33482802850872367"/>
    <n v="-8.6871553512195536"/>
    <n v="2.05817408255127"/>
    <n v="-1.3112481563549381"/>
    <n v="2.8326279323779491"/>
    <n v="2.7838557858735991"/>
    <n v="-11.51292546497023"/>
    <n v="4.8772145062685013E-2"/>
    <n v="0"/>
    <n v="0"/>
    <n v="1"/>
    <n v="0"/>
    <n v="0"/>
    <n v="0"/>
    <n v="0"/>
    <n v="-1.8478692770004272"/>
    <n v="0.16051290687275355"/>
    <n v="0.1575725523407534"/>
    <n v="2.9403545320001445E-3"/>
    <n v="8.6456847738537887E-6"/>
  </r>
  <r>
    <x v="25"/>
    <x v="4"/>
    <n v="-1.712140667188591"/>
    <n v="0.73553594705173186"/>
    <n v="0.80848277923984968"/>
    <n v="0.81933920579770469"/>
    <n v="0.26941626364488841"/>
    <n v="0.30792577892882339"/>
    <n v="0.33732901234119472"/>
    <n v="-8.0069520634659508"/>
    <n v="2.05817408255127"/>
    <n v="-1.226555268770485"/>
    <n v="2.8783340440319498"/>
    <n v="2.8196840395713911"/>
    <n v="-11.51292546497023"/>
    <n v="5.8650005608797073E-2"/>
    <n v="0"/>
    <n v="0"/>
    <n v="1"/>
    <n v="0"/>
    <n v="0"/>
    <n v="0"/>
    <n v="0"/>
    <n v="-1.7212049961090088"/>
    <n v="0.18047903325855477"/>
    <n v="0.17885050385122467"/>
    <n v="1.6285294073301038E-3"/>
    <n v="2.6521080305389392E-6"/>
  </r>
  <r>
    <x v="25"/>
    <x v="5"/>
    <n v="-1.57674716233004"/>
    <n v="0.78376454814355934"/>
    <n v="0.73553594705173186"/>
    <n v="0.80848277923984968"/>
    <n v="0.41449091931547682"/>
    <n v="0.26941626364488841"/>
    <n v="0.30792577892882339"/>
    <n v="-6.5156531538483913"/>
    <n v="2.05817408255127"/>
    <n v="-1.146732879284716"/>
    <n v="2.913210704642244"/>
    <n v="2.865555556873272"/>
    <n v="-11.51292546497023"/>
    <n v="4.7655146569013596E-2"/>
    <n v="0"/>
    <n v="0"/>
    <n v="1"/>
    <n v="0"/>
    <n v="0"/>
    <n v="0"/>
    <n v="0"/>
    <n v="-1.6503390073776245"/>
    <n v="0.20664619265231257"/>
    <n v="0.1919848133193767"/>
    <n v="1.4661379332935875E-2"/>
    <n v="2.149560439442392E-4"/>
  </r>
  <r>
    <x v="25"/>
    <x v="6"/>
    <n v="-1.448318342264364"/>
    <n v="0.69853265283628319"/>
    <n v="0.78376454814355934"/>
    <n v="0.73553594705173186"/>
    <n v="0.32157612409933711"/>
    <n v="0.41449091931547682"/>
    <n v="0.26941626364488841"/>
    <n v="-6.085962059124963"/>
    <n v="2.05817408255127"/>
    <n v="-1.0747697773179961"/>
    <n v="2.9591251110415029"/>
    <n v="2.9010690470866201"/>
    <n v="-11.51292546497023"/>
    <n v="5.8056063950061798E-2"/>
    <n v="0"/>
    <n v="0"/>
    <n v="1"/>
    <n v="0"/>
    <n v="0"/>
    <n v="0"/>
    <n v="0"/>
    <n v="-1.5255780220031738"/>
    <n v="0.23496508689851292"/>
    <n v="0.21749530345363155"/>
    <n v="1.746978344488137E-2"/>
    <n v="3.0519333361105121E-4"/>
  </r>
  <r>
    <x v="25"/>
    <x v="7"/>
    <n v="-1.4365780065249001"/>
    <n v="0.68697819141441629"/>
    <n v="0.69853265283628319"/>
    <n v="0.78376454814355934"/>
    <n v="0.29012907609483268"/>
    <n v="0.32157612409933711"/>
    <n v="0.41449091931547682"/>
    <n v="-5.2728516066714688"/>
    <n v="2.05817408255127"/>
    <n v="-1.0479609113622159"/>
    <n v="2.9289578402063898"/>
    <n v="2.914785331643754"/>
    <n v="-11.51292546497023"/>
    <n v="1.4172508381307125E-2"/>
    <n v="0"/>
    <n v="0"/>
    <n v="1"/>
    <n v="0"/>
    <n v="0"/>
    <n v="0"/>
    <n v="0"/>
    <n v="-1.5130736827850342"/>
    <n v="0.23773991272679335"/>
    <n v="0.22023201322111197"/>
    <n v="1.7507899505681379E-2"/>
    <n v="3.0652654510103825E-4"/>
  </r>
  <r>
    <x v="25"/>
    <x v="8"/>
    <n v="-1.3807401617391359"/>
    <n v="0.69154589919297138"/>
    <n v="0.68697819141441629"/>
    <n v="0.69853265283628319"/>
    <n v="0.32092340623158289"/>
    <n v="0.29012907609483268"/>
    <n v="0.32157612409933711"/>
    <n v="-4.6087364347415463"/>
    <n v="2.05817408255127"/>
    <n v="-1.0035831305194249"/>
    <n v="2.9264251535538919"/>
    <n v="2.9151933037071571"/>
    <n v="-11.51292546497023"/>
    <n v="1.1231849901378155E-2"/>
    <n v="0"/>
    <n v="0"/>
    <n v="1"/>
    <n v="0"/>
    <n v="0"/>
    <n v="0"/>
    <n v="0"/>
    <n v="-1.4674587249755859"/>
    <n v="0.25139241313571736"/>
    <n v="0.23051053214746328"/>
    <n v="2.0881880988254081E-2"/>
    <n v="4.3605295360760725E-4"/>
  </r>
  <r>
    <x v="25"/>
    <x v="9"/>
    <n v="-1.5035055965192929"/>
    <n v="0.68546776921607577"/>
    <n v="0.69154589919297138"/>
    <n v="0.68697819141441629"/>
    <n v="0.28728199243044122"/>
    <n v="0.32092340623158289"/>
    <n v="0.29012907609483268"/>
    <n v="-4.2114744745869892"/>
    <n v="2.05817408255127"/>
    <n v="-0.97614255218666246"/>
    <n v="2.8910732539968542"/>
    <n v="2.9131069049335139"/>
    <n v="-11.51292546497023"/>
    <n v="-2.2033650428056717E-2"/>
    <n v="1"/>
    <n v="0"/>
    <n v="1"/>
    <n v="0"/>
    <n v="0"/>
    <n v="0"/>
    <n v="0"/>
    <n v="-1.4940208196640015"/>
    <n v="0.22234932528131365"/>
    <n v="0.2244682920938828"/>
    <n v="-2.1189668125691508E-3"/>
    <n v="4.4900203527694662E-6"/>
  </r>
  <r>
    <x v="25"/>
    <x v="10"/>
    <n v="-1.475509365994625"/>
    <n v="0.7353921621536913"/>
    <n v="0.68546776921607577"/>
    <n v="0.69154589919297138"/>
    <n v="0.41660285251862028"/>
    <n v="0.28728199243044122"/>
    <n v="0.32092340623158289"/>
    <n v="-3.8747700240849192"/>
    <n v="2.05817408255127"/>
    <n v="-0.96055762781918241"/>
    <n v="2.8460956172467662"/>
    <n v="2.8782712500388001"/>
    <n v="-11.51292546497023"/>
    <n v="-3.2175634056329727E-2"/>
    <n v="1"/>
    <n v="0"/>
    <n v="1"/>
    <n v="0"/>
    <n v="0"/>
    <n v="0"/>
    <n v="0"/>
    <n v="-1.4786365032196045"/>
    <n v="0.22866222461507901"/>
    <n v="0.22794828333851158"/>
    <n v="7.1394127656743134E-4"/>
    <n v="5.0971214638673352E-7"/>
  </r>
  <r>
    <x v="25"/>
    <x v="11"/>
    <n v="-1.4696235507545861"/>
    <n v="0.73476885525076474"/>
    <n v="0.7353921621536913"/>
    <n v="0.68546776921607577"/>
    <n v="0.39474114474518868"/>
    <n v="0.41660285251862028"/>
    <n v="0.28728199243044122"/>
    <n v="-3.2418214175998878"/>
    <n v="2.05817408255127"/>
    <n v="-0.94435316692870053"/>
    <n v="2.8522734979292972"/>
    <n v="2.8337883308762648"/>
    <n v="-11.51292546497023"/>
    <n v="1.8485166132450104E-2"/>
    <n v="1"/>
    <n v="0"/>
    <n v="1"/>
    <n v="0"/>
    <n v="0"/>
    <n v="0"/>
    <n v="0"/>
    <n v="-1.4624741077423096"/>
    <n v="0.23001205675600242"/>
    <n v="0.23166240736198379"/>
    <n v="-1.6503506059813711E-3"/>
    <n v="2.7236571226630785E-6"/>
  </r>
  <r>
    <x v="25"/>
    <x v="12"/>
    <n v="-1.733218604785566"/>
    <n v="0.86010126022277811"/>
    <n v="0.73476885525076474"/>
    <n v="0.7353921621536913"/>
    <n v="0.41025362483996158"/>
    <n v="0.39474114474518868"/>
    <n v="0.41660285251862028"/>
    <n v="-2.8710769693151481"/>
    <n v="2.05817408255127"/>
    <n v="-0.9332166258941994"/>
    <n v="2.806794333389377"/>
    <n v="2.831485932409795"/>
    <n v="3.2580965380214821"/>
    <n v="-2.4691598489880562E-2"/>
    <n v="1"/>
    <n v="0"/>
    <n v="1"/>
    <n v="0"/>
    <n v="0"/>
    <n v="0"/>
    <n v="0"/>
    <n v="-1.5788117647171021"/>
    <n v="0.17671471881668407"/>
    <n v="0.20621999055001769"/>
    <n v="-2.9505271733333616E-2"/>
    <n v="8.7056106005785566E-4"/>
  </r>
  <r>
    <x v="25"/>
    <x v="13"/>
    <n v="-1.816508491222407"/>
    <n v="0.79818264339382605"/>
    <n v="0.86010126022277811"/>
    <n v="0.73476885525076474"/>
    <n v="0.38158216764483233"/>
    <n v="0.41025362483996158"/>
    <n v="0.39474114474518868"/>
    <n v="-2.137270842207049"/>
    <n v="2.05817408255127"/>
    <n v="-0.91537341618496637"/>
    <n v="2.815750935788969"/>
    <n v="2.792849145902681"/>
    <n v="5.393627546352362"/>
    <n v="2.2901790216565132E-2"/>
    <n v="1"/>
    <n v="0"/>
    <n v="1"/>
    <n v="0"/>
    <n v="0"/>
    <n v="0"/>
    <n v="0"/>
    <n v="-1.5413827896118164"/>
    <n v="0.16259245401414635"/>
    <n v="0.21408486233232973"/>
    <n v="-5.1492408318183386E-2"/>
    <n v="2.6514681144065217E-3"/>
  </r>
  <r>
    <x v="25"/>
    <x v="14"/>
    <n v="-1.8383913807628991"/>
    <n v="0.73385716880773211"/>
    <n v="0.79818264339382605"/>
    <n v="0.86010126022277811"/>
    <n v="0.34741217665954732"/>
    <n v="0.38158216764483233"/>
    <n v="0.41025362483996158"/>
    <n v="-1.5096513161972469"/>
    <n v="2.05817408255127"/>
    <n v="-0.89931511695172039"/>
    <n v="2.811005991483424"/>
    <n v="2.8022796431948782"/>
    <n v="5.9914645471079817"/>
    <n v="8.7263481691479683E-3"/>
    <n v="1"/>
    <n v="1"/>
    <n v="1"/>
    <n v="0"/>
    <n v="0"/>
    <n v="0"/>
    <n v="0"/>
    <n v="-1.6129294633865356"/>
    <n v="0.15907310846638933"/>
    <n v="0.19930290748471438"/>
    <n v="-4.0229799018325046E-2"/>
    <n v="1.6184367290548269E-3"/>
  </r>
  <r>
    <x v="25"/>
    <x v="15"/>
    <n v="-1.7292290550868969"/>
    <n v="0.95296975613264678"/>
    <n v="0.73385716880773211"/>
    <n v="0.79818264339382605"/>
    <n v="0.63350332763243034"/>
    <n v="0.34741217665954732"/>
    <n v="0.38158216764483233"/>
    <n v="-0.90821818127850906"/>
    <n v="2.05817408255127"/>
    <n v="-0.88316070483754894"/>
    <n v="2.8601841126256451"/>
    <n v="2.7980102552610839"/>
    <n v="6.6846117276679271"/>
    <n v="6.2173858284950256E-2"/>
    <n v="1"/>
    <n v="0"/>
    <n v="1"/>
    <n v="0"/>
    <n v="0"/>
    <n v="0"/>
    <n v="0"/>
    <n v="-1.5678328275680542"/>
    <n v="0.17742113918248986"/>
    <n v="0.20849654105022652"/>
    <n v="-3.1075401867736663E-2"/>
    <n v="9.6568060124133125E-4"/>
  </r>
  <r>
    <x v="25"/>
    <x v="16"/>
    <n v="-1.6142570925529649"/>
    <n v="0.91464938560202946"/>
    <n v="0.95296975613264678"/>
    <n v="0.73385716880773211"/>
    <n v="0.55658262110371903"/>
    <n v="0.63350332763243034"/>
    <n v="0.34741217665954732"/>
    <n v="-0.35997345569859929"/>
    <n v="2.05817408255127"/>
    <n v="-0.85553986918257652"/>
    <n v="2.944830875983496"/>
    <n v="2.8601841126256451"/>
    <n v="8.0551577318196781"/>
    <n v="8.4646761417388916E-2"/>
    <n v="1"/>
    <n v="0"/>
    <n v="1"/>
    <n v="0"/>
    <n v="0"/>
    <n v="0"/>
    <n v="0"/>
    <n v="-1.5196880102157593"/>
    <n v="0.19903848269965158"/>
    <n v="0.2187801334721908"/>
    <n v="-1.9741650772539227E-2"/>
    <n v="3.8973277522489865E-4"/>
  </r>
  <r>
    <x v="25"/>
    <x v="17"/>
    <n v="-1.481450227393704"/>
    <n v="0.74193734472937733"/>
    <n v="0.91464938560202946"/>
    <n v="0.95296975613264678"/>
    <n v="0.36186147062603241"/>
    <n v="0.55658262110371903"/>
    <n v="0.63350332763243034"/>
    <n v="0.15275965553178639"/>
    <n v="2.05817408255127"/>
    <n v="-0.8245319525329371"/>
    <n v="2.9499617173955852"/>
    <n v="2.944830875983496"/>
    <n v="8.4658998970286863"/>
    <n v="5.1308413967490196E-3"/>
    <n v="1"/>
    <n v="0"/>
    <n v="1"/>
    <n v="0"/>
    <n v="0"/>
    <n v="0"/>
    <n v="0"/>
    <n v="-1.4609644412994385"/>
    <n v="0.22730780123578562"/>
    <n v="0.23201240444740739"/>
    <n v="-4.7046032116217773E-3"/>
    <n v="2.2133291378801942E-5"/>
  </r>
  <r>
    <x v="26"/>
    <x v="0"/>
    <n v="-1.175193201003861"/>
    <n v="0.95551144502743635"/>
    <n v="0.87680118258767858"/>
    <n v="0.82342955082286751"/>
    <n v="0.64710324205853842"/>
    <n v="0.53772068722863497"/>
    <n v="0.47828177068996119"/>
    <n v="-11.51292546497023"/>
    <n v="0.607173681386733"/>
    <n v="-1.1475238008918609"/>
    <n v="3.8679742163097819"/>
    <n v="3.822070990820412"/>
    <n v="-11.51292546497023"/>
    <n v="4.5903224498033524E-2"/>
    <n v="0"/>
    <n v="0"/>
    <n v="1"/>
    <n v="0"/>
    <n v="0"/>
    <n v="0"/>
    <n v="0"/>
    <n v="-1.5036317110061646"/>
    <n v="0.30875932131434719"/>
    <n v="0.22232128557839309"/>
    <n v="8.64380357359541E-2"/>
    <n v="7.4715340218900776E-3"/>
  </r>
  <r>
    <x v="26"/>
    <x v="1"/>
    <n v="-1.21680722214853"/>
    <n v="0.90028329372833826"/>
    <n v="0.95551144502743635"/>
    <n v="0.87680118258767858"/>
    <n v="0.48106720160171512"/>
    <n v="0.64710324205853842"/>
    <n v="0.53772068722863497"/>
    <n v="-11.51292546497023"/>
    <n v="0.607173681386733"/>
    <n v="-1.093394133190827"/>
    <n v="3.8681262479319329"/>
    <n v="3.832254131879917"/>
    <n v="-11.51292546497023"/>
    <n v="3.5872116684913635E-2"/>
    <n v="0"/>
    <n v="0"/>
    <n v="1"/>
    <n v="0"/>
    <n v="0"/>
    <n v="0"/>
    <n v="0"/>
    <n v="-1.4924640655517578"/>
    <n v="0.29617427762791881"/>
    <n v="0.22481800616945372"/>
    <n v="7.1356271458465098E-2"/>
    <n v="5.0917174764541608E-3"/>
  </r>
  <r>
    <x v="26"/>
    <x v="2"/>
    <n v="-1.196257408663381"/>
    <n v="0.83512405945549484"/>
    <n v="0.90028329372833826"/>
    <n v="0.95551144502743635"/>
    <n v="0.50337795863083334"/>
    <n v="0.48106720160171512"/>
    <n v="0.64710324205853842"/>
    <n v="-7.8466521556029942"/>
    <n v="0.607173681386733"/>
    <n v="-1.047699977848771"/>
    <n v="3.9157603218814678"/>
    <n v="3.833638596812631"/>
    <n v="-11.51292546497023"/>
    <n v="8.2121722400188446E-2"/>
    <n v="0"/>
    <n v="0"/>
    <n v="1"/>
    <n v="0"/>
    <n v="0"/>
    <n v="0"/>
    <n v="0"/>
    <n v="-1.4257817268371582"/>
    <n v="0.30232357080650846"/>
    <n v="0.24032052475592522"/>
    <n v="6.2003046050583238E-2"/>
    <n v="3.8443777195507458E-3"/>
  </r>
  <r>
    <x v="26"/>
    <x v="3"/>
    <n v="-1.230396623290547"/>
    <n v="0.84264419170585647"/>
    <n v="0.83512405945549484"/>
    <n v="0.90028329372833826"/>
    <n v="0.46662292108625802"/>
    <n v="0.50337795863083334"/>
    <n v="0.48106720160171512"/>
    <n v="-6.7672990122863412"/>
    <n v="0.607173681386733"/>
    <n v="-0.98570914692988709"/>
    <n v="3.9456062305620181"/>
    <n v="3.8965011765298359"/>
    <n v="-11.51292546497023"/>
    <n v="4.9105055630207062E-2"/>
    <n v="0"/>
    <n v="0"/>
    <n v="1"/>
    <n v="0"/>
    <n v="0"/>
    <n v="0"/>
    <n v="0"/>
    <n v="-1.4059520959854126"/>
    <n v="0.29217667062413571"/>
    <n v="0.24513355463923356"/>
    <n v="4.7043115984902156E-2"/>
    <n v="2.2130547615689567E-3"/>
  </r>
  <r>
    <x v="26"/>
    <x v="4"/>
    <n v="-1.0645949508203121"/>
    <n v="0.7963804352015974"/>
    <n v="0.84264419170585647"/>
    <n v="0.83512405945549484"/>
    <n v="0.49755799676508627"/>
    <n v="0.46662292108625802"/>
    <n v="0.50337795863083334"/>
    <n v="-6.0747489179862413"/>
    <n v="0.607173681386733"/>
    <n v="-0.91128095511495621"/>
    <n v="4.012268502708225"/>
    <n v="3.9450091443021318"/>
    <n v="-11.51292546497023"/>
    <n v="6.7259356379508972E-2"/>
    <n v="0"/>
    <n v="0"/>
    <n v="1"/>
    <n v="0"/>
    <n v="0"/>
    <n v="0"/>
    <n v="0"/>
    <n v="-1.2822446823120117"/>
    <n v="0.34486751478468752"/>
    <n v="0.27741389497816632"/>
    <n v="6.7453619806521203E-2"/>
    <n v="4.5499908250027097E-3"/>
  </r>
  <r>
    <x v="26"/>
    <x v="5"/>
    <n v="-0.95733340863872451"/>
    <n v="0.77670677365887608"/>
    <n v="0.7963804352015974"/>
    <n v="0.84264419170585647"/>
    <n v="0.52490602797399499"/>
    <n v="0.49755799676508627"/>
    <n v="0.46662292108625802"/>
    <n v="-4.4998089040464491"/>
    <n v="0.607173681386733"/>
    <n v="-0.85041971665346983"/>
    <n v="4.0013842193416096"/>
    <n v="4.0116721558895927"/>
    <n v="-11.51292546497023"/>
    <n v="-1.028793677687645E-2"/>
    <n v="0"/>
    <n v="0"/>
    <n v="1"/>
    <n v="0"/>
    <n v="0"/>
    <n v="0"/>
    <n v="0"/>
    <n v="-1.2162517309188843"/>
    <n v="0.3839152673680209"/>
    <n v="0.29633884554537343"/>
    <n v="8.7576421822647466E-2"/>
    <n v="7.6696296592582832E-3"/>
  </r>
  <r>
    <x v="26"/>
    <x v="6"/>
    <n v="-0.89789855142030683"/>
    <n v="0.7234823803560182"/>
    <n v="0.77670677365887608"/>
    <n v="0.7963804352015974"/>
    <n v="0.49506202858651249"/>
    <n v="0.52490602797399499"/>
    <n v="0.49755799676508627"/>
    <n v="-4.1928813491084016"/>
    <n v="0.607173681386733"/>
    <n v="-0.80402902169534696"/>
    <n v="3.970137688567176"/>
    <n v="3.9867281501521989"/>
    <n v="-11.51292546497023"/>
    <n v="-1.6590461134910583E-2"/>
    <n v="0"/>
    <n v="0"/>
    <n v="1"/>
    <n v="0"/>
    <n v="0"/>
    <n v="0"/>
    <n v="0"/>
    <n v="-1.1200118064880371"/>
    <n v="0.40742494332709589"/>
    <n v="0.32627594242728802"/>
    <n v="8.1149000899807866E-2"/>
    <n v="6.5851603470370177E-3"/>
  </r>
  <r>
    <x v="26"/>
    <x v="7"/>
    <n v="-0.90989681407840772"/>
    <n v="0.71417454775202094"/>
    <n v="0.7234823803560182"/>
    <n v="0.77670677365887608"/>
    <n v="0.44647908419877852"/>
    <n v="0.49506202858651249"/>
    <n v="0.52490602797399499"/>
    <n v="-3.4450748383315428"/>
    <n v="0.607173681386733"/>
    <n v="-0.79969165230043016"/>
    <n v="3.9152939114917999"/>
    <n v="3.9181872837258269"/>
    <n v="-11.51292546497023"/>
    <n v="-2.893372206017375E-3"/>
    <n v="0"/>
    <n v="0"/>
    <n v="1"/>
    <n v="0"/>
    <n v="0"/>
    <n v="0"/>
    <n v="0"/>
    <n v="-1.1164413690567017"/>
    <n v="0.40256576100963481"/>
    <n v="0.32744297242909876"/>
    <n v="7.512278858053606E-2"/>
    <n v="5.6434333641159186E-3"/>
  </r>
  <r>
    <x v="26"/>
    <x v="8"/>
    <n v="-0.8890735366326501"/>
    <n v="0.69798545720019456"/>
    <n v="0.71417454775202094"/>
    <n v="0.7234823803560182"/>
    <n v="0.46837730750115147"/>
    <n v="0.44647908419877852"/>
    <n v="0.49506202858651249"/>
    <n v="-2.7685204019701639"/>
    <n v="0.607173681386733"/>
    <n v="-0.77890042899833789"/>
    <n v="3.932998864519416"/>
    <n v="3.893098911744564"/>
    <n v="-11.51292546497023"/>
    <n v="3.9899952709674835E-2"/>
    <n v="0"/>
    <n v="0"/>
    <n v="1"/>
    <n v="0"/>
    <n v="0"/>
    <n v="0"/>
    <n v="0"/>
    <n v="-1.0698933601379395"/>
    <n v="0.4110363865582749"/>
    <n v="0.34304509775011588"/>
    <n v="6.7991288808159023E-2"/>
    <n v="4.62281535379449E-3"/>
  </r>
  <r>
    <x v="26"/>
    <x v="9"/>
    <n v="-0.954460618699289"/>
    <n v="0.72290013870929315"/>
    <n v="0.69798545720019456"/>
    <n v="0.71417454775202094"/>
    <n v="0.47037855895080882"/>
    <n v="0.46837730750115147"/>
    <n v="0.44647908419877852"/>
    <n v="-2.349945664353883"/>
    <n v="0.607173681386733"/>
    <n v="-0.76575915369728154"/>
    <n v="3.9264922191542988"/>
    <n v="3.911338294285815"/>
    <n v="-11.51292546497023"/>
    <n v="1.5153924934566021E-2"/>
    <n v="1"/>
    <n v="0"/>
    <n v="1"/>
    <n v="0"/>
    <n v="0"/>
    <n v="0"/>
    <n v="0"/>
    <n v="-1.1203857660293579"/>
    <n v="0.38501976101522212"/>
    <n v="0.32615395123682039"/>
    <n v="5.8865809778401723E-2"/>
    <n v="3.4651835608669758E-3"/>
  </r>
  <r>
    <x v="26"/>
    <x v="10"/>
    <n v="-0.90900988762450885"/>
    <n v="0.70339449701149481"/>
    <n v="0.72290013870929315"/>
    <n v="0.69798545720019456"/>
    <n v="0.54197539275820672"/>
    <n v="0.47037855895080882"/>
    <n v="0.46837730750115147"/>
    <n v="-1.992390755046662"/>
    <n v="0.607173681386733"/>
    <n v="-0.76100094980120447"/>
    <n v="3.9157916444440328"/>
    <n v="3.905315082550425"/>
    <n v="-11.51292546497023"/>
    <n v="1.0476562194526196E-2"/>
    <n v="1"/>
    <n v="0"/>
    <n v="1"/>
    <n v="0"/>
    <n v="0"/>
    <n v="0"/>
    <n v="0"/>
    <n v="-1.0633258819580078"/>
    <n v="0.40292296561619978"/>
    <n v="0.34530545323757184"/>
    <n v="5.7617512378627944E-2"/>
    <n v="3.3197777327013444E-3"/>
  </r>
  <r>
    <x v="26"/>
    <x v="11"/>
    <n v="-0.87571362001221353"/>
    <n v="0.69044352898563044"/>
    <n v="0.70339449701149481"/>
    <n v="0.72290013870929315"/>
    <n v="0.54731183233640068"/>
    <n v="0.54197539275820672"/>
    <n v="0.47037855895080882"/>
    <n v="-1.3940375149281869"/>
    <n v="0.607173681386733"/>
    <n v="-0.75467591242718013"/>
    <n v="3.8972926783296979"/>
    <n v="3.8951056761562839"/>
    <n v="-11.51292546497023"/>
    <n v="2.1870022173970938E-3"/>
    <n v="1"/>
    <n v="0"/>
    <n v="1"/>
    <n v="0"/>
    <n v="0"/>
    <n v="0"/>
    <n v="0"/>
    <n v="-1.0368249416351318"/>
    <n v="0.41656464471791549"/>
    <n v="0.3545787046779314"/>
    <n v="6.1985940039984089E-2"/>
    <n v="3.8422567626405025E-3"/>
  </r>
  <r>
    <x v="26"/>
    <x v="12"/>
    <n v="-1.003241420154549"/>
    <n v="0.82478928961166054"/>
    <n v="0.69044352898563044"/>
    <n v="0.70339449701149481"/>
    <n v="0.56149972649394564"/>
    <n v="0.54731183233640068"/>
    <n v="0.54197539275820672"/>
    <n v="-0.9170315843726361"/>
    <n v="0.607173681386733"/>
    <n v="-0.70271883606492602"/>
    <n v="3.9152906241954182"/>
    <n v="3.918823080202424"/>
    <n v="3.2580965380214821"/>
    <n v="-3.5324560012668371E-3"/>
    <n v="1"/>
    <n v="0"/>
    <n v="1"/>
    <n v="0"/>
    <n v="0"/>
    <n v="0"/>
    <n v="0"/>
    <n v="-1.111213207244873"/>
    <n v="0.36668891986863872"/>
    <n v="0.32915938019222185"/>
    <n v="3.7529539676416868E-2"/>
    <n v="1.4084663483237478E-3"/>
  </r>
  <r>
    <x v="26"/>
    <x v="13"/>
    <n v="-0.98758315675102371"/>
    <n v="0.74597679420447738"/>
    <n v="0.82478928961166054"/>
    <n v="0.69044352898563044"/>
    <n v="0.46524231214402512"/>
    <n v="0.56149972649394564"/>
    <n v="0.54731183233640068"/>
    <n v="-0.17665588671159729"/>
    <n v="0.607173681386733"/>
    <n v="-0.6817684061643543"/>
    <n v="3.9315422371031872"/>
    <n v="3.9017461111590448"/>
    <n v="5.393627546352362"/>
    <n v="2.9796125367283821E-2"/>
    <n v="1"/>
    <n v="0"/>
    <n v="1"/>
    <n v="0"/>
    <n v="0"/>
    <n v="0"/>
    <n v="0"/>
    <n v="-1.0815011262893677"/>
    <n v="0.37247581972813021"/>
    <n v="0.33908613230116663"/>
    <n v="3.3389687426963577E-2"/>
    <n v="1.1148712264703296E-3"/>
  </r>
  <r>
    <x v="26"/>
    <x v="14"/>
    <n v="-1.1716802140604221"/>
    <n v="0.68056839835308525"/>
    <n v="0.74597679420447738"/>
    <n v="0.82478928961166054"/>
    <n v="0.42716136618992462"/>
    <n v="0.46524231214402512"/>
    <n v="0.56149972649394564"/>
    <n v="0.35173698961437438"/>
    <n v="0.607173681386733"/>
    <n v="-0.67335289023666267"/>
    <n v="3.8268909560079698"/>
    <n v="3.9184025882825311"/>
    <n v="5.9914645471079817"/>
    <n v="-9.1511629521846771E-2"/>
    <n v="1"/>
    <n v="1"/>
    <n v="1"/>
    <n v="0"/>
    <n v="0"/>
    <n v="0"/>
    <n v="0"/>
    <n v="-1.1820311546325684"/>
    <n v="0.30984589622306474"/>
    <n v="0.30665524139171219"/>
    <n v="3.1906548313525573E-3"/>
    <n v="1.0180278252833417E-5"/>
  </r>
  <r>
    <x v="26"/>
    <x v="15"/>
    <n v="-1.144364340318764"/>
    <n v="0.93969470965317126"/>
    <n v="0.68056839835308525"/>
    <n v="0.74597679420447738"/>
    <n v="0.74900753005656717"/>
    <n v="0.42716136618992462"/>
    <n v="0.46524231214402512"/>
    <n v="0.84506663866255494"/>
    <n v="0.607173681386733"/>
    <n v="-0.67031623496915371"/>
    <n v="3.7678536220038539"/>
    <n v="3.8141495312951261"/>
    <n v="6.6846117276679271"/>
    <n v="-4.6295911073684692E-2"/>
    <n v="1"/>
    <n v="0"/>
    <n v="1"/>
    <n v="0"/>
    <n v="0"/>
    <n v="0"/>
    <n v="0"/>
    <n v="-1.1744996309280396"/>
    <n v="0.31842626420948011"/>
    <n v="0.3089735418201206"/>
    <n v="9.4527223893595136E-3"/>
    <n v="8.9353960570298633E-5"/>
  </r>
  <r>
    <x v="26"/>
    <x v="16"/>
    <n v="-1.084968088625851"/>
    <n v="0.92271008367633833"/>
    <n v="0.93969470965317126"/>
    <n v="0.68056839835308525"/>
    <n v="0.70275091670264"/>
    <n v="0.74900753005656717"/>
    <n v="0.42716136618992462"/>
    <n v="1.362395225504291"/>
    <n v="0.60717368138673311"/>
    <n v="-0.65767170501785543"/>
    <n v="3.8217818308483569"/>
    <n v="3.7678536220038539"/>
    <n v="8.0551577318196781"/>
    <n v="5.3928207606077194E-2"/>
    <n v="1"/>
    <n v="0"/>
    <n v="1"/>
    <n v="0"/>
    <n v="0"/>
    <n v="0"/>
    <n v="0"/>
    <n v="-1.1366767883300781"/>
    <n v="0.33791256897707889"/>
    <n v="0.32088361607814619"/>
    <n v="1.7028952898932692E-2"/>
    <n v="2.8998523683406813E-4"/>
  </r>
  <r>
    <x v="26"/>
    <x v="17"/>
    <n v="-1.0745403104985669"/>
    <n v="0.7437927652288373"/>
    <n v="0.92271008367633833"/>
    <n v="0.93969470965317126"/>
    <n v="0.39366239598901293"/>
    <n v="0.70275091670264"/>
    <n v="0.74900753005656717"/>
    <n v="1.926033881940227"/>
    <n v="0.60717368138673311"/>
    <n v="-0.63910198627306525"/>
    <n v="3.877784690820953"/>
    <n v="3.8217818308483569"/>
    <n v="8.4658998970286863"/>
    <n v="5.6002859026193619E-2"/>
    <n v="1"/>
    <n v="0"/>
    <n v="1"/>
    <n v="0"/>
    <n v="0"/>
    <n v="0"/>
    <n v="0"/>
    <n v="-1.129732608795166"/>
    <n v="0.34145468236206605"/>
    <n v="0.32311964422304346"/>
    <n v="1.8335038139022597E-2"/>
    <n v="3.3617362355941319E-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11"/>
    <x v="0"/>
    <n v="0.11570644072613127"/>
    <n v="2.7299999999999986"/>
    <n v="2.14"/>
    <n v="11256.196213878882"/>
    <n v="0.14210802877848869"/>
    <n v="9.9999999999999805E-6"/>
  </r>
  <r>
    <n v="11"/>
    <x v="1"/>
    <n v="0.12572774970533199"/>
    <n v="2.5655999999999999"/>
    <n v="1.8189"/>
    <n v="11959.634082530594"/>
    <n v="0.1654394561224509"/>
    <n v="9.9999999999999805E-6"/>
  </r>
  <r>
    <n v="11"/>
    <x v="2"/>
    <n v="0.14141422703397571"/>
    <n v="2.4498000000000002"/>
    <n v="1.6814"/>
    <n v="13465.917162025096"/>
    <n v="0.19774767084124215"/>
    <n v="9.9999999999999805E-6"/>
  </r>
  <r>
    <n v="11"/>
    <x v="3"/>
    <n v="0.15533764914277812"/>
    <n v="2.3224999999999998"/>
    <n v="1.6119000000000001"/>
    <n v="14220.437633384056"/>
    <n v="0.22830946694256646"/>
    <n v="6.6492544855870008E-4"/>
  </r>
  <r>
    <n v="11"/>
    <x v="4"/>
    <n v="0.18578586306122863"/>
    <n v="2.2665999999999999"/>
    <n v="1.6856"/>
    <n v="15522.666654546962"/>
    <n v="0.25599405788369228"/>
    <n v="6.4926970143980019E-4"/>
  </r>
  <r>
    <n v="11"/>
    <x v="5"/>
    <n v="0.20629204132055792"/>
    <n v="2.2742"/>
    <n v="1.8209"/>
    <n v="16148.285958432056"/>
    <n v="0.28334776444617837"/>
    <n v="5.0746770443812006E-3"/>
  </r>
  <r>
    <n v="11"/>
    <x v="6"/>
    <n v="0.22979104547075463"/>
    <n v="2.1415000000000002"/>
    <n v="1.7495000000000001"/>
    <n v="16197.64421390795"/>
    <n v="0.31000477355188122"/>
    <n v="7.5471175985574006E-3"/>
  </r>
  <r>
    <n v="11"/>
    <x v="7"/>
    <n v="0.21899079049238118"/>
    <n v="2.0973999999999999"/>
    <n v="1.6793"/>
    <n v="14326.39370668216"/>
    <n v="0.30781141687314173"/>
    <n v="1.4465801110279102E-2"/>
  </r>
  <r>
    <n v="11"/>
    <x v="8"/>
    <n v="0.23273672013821892"/>
    <n v="2.0611999999999999"/>
    <n v="1.6940999999999999"/>
    <n v="14357.186401728071"/>
    <n v="0.3258300825092606"/>
    <n v="2.859543239439271E-2"/>
  </r>
  <r>
    <n v="11"/>
    <x v="9"/>
    <n v="0.23575052991623138"/>
    <n v="2.0895000000000001"/>
    <n v="1.6122000000000003"/>
    <n v="14180.968015285573"/>
    <n v="0.3399952720387468"/>
    <n v="4.354701154391679E-2"/>
  </r>
  <r>
    <n v="11"/>
    <x v="10"/>
    <n v="0.24146970898220138"/>
    <n v="2.1246"/>
    <n v="1.8563000000000001"/>
    <n v="14006.220963319101"/>
    <n v="0.35003152837357787"/>
    <n v="6.3224600076428994E-2"/>
  </r>
  <r>
    <n v="11"/>
    <x v="11"/>
    <n v="0.24153136470061815"/>
    <n v="2.101"/>
    <n v="1.835"/>
    <n v="14746.096377647869"/>
    <n v="0.35897181728973704"/>
    <n v="0.12459934388754382"/>
  </r>
  <r>
    <n v="11"/>
    <x v="12"/>
    <n v="0.24338430088035376"/>
    <n v="2.3018999999999998"/>
    <n v="1.9121999999999999"/>
    <n v="14964.705443877952"/>
    <n v="0.38468151541685791"/>
    <n v="0.20141227556613051"/>
  </r>
  <r>
    <n v="11"/>
    <x v="13"/>
    <n v="0.24761461266862669"/>
    <n v="2.2166000000000001"/>
    <n v="1.8577999999999999"/>
    <n v="14887.910837344742"/>
    <n v="0.39615636737047921"/>
    <n v="0.4152541180773397"/>
  </r>
  <r>
    <n v="11"/>
    <x v="14"/>
    <n v="0.23940236910368162"/>
    <n v="2.0596000000000001"/>
    <n v="1.7257"/>
    <n v="15157.209895071408"/>
    <n v="0.40472484775614259"/>
    <n v="0.79767988154481595"/>
  </r>
  <r>
    <n v="11"/>
    <x v="15"/>
    <n v="0.24232125327360329"/>
    <n v="2.5036999999999998"/>
    <n v="2.1362000000000001"/>
    <n v="14958.353031932296"/>
    <n v="0.41273953631344618"/>
    <n v="1.3711398474503629"/>
  </r>
  <r>
    <n v="11"/>
    <x v="16"/>
    <n v="0.25407629024314743"/>
    <n v="2.508"/>
    <n v="2.2132000000000001"/>
    <n v="15820.872182222231"/>
    <n v="0.42434492127376627"/>
    <n v="2.3054320054559136"/>
  </r>
  <r>
    <n v="11"/>
    <x v="17"/>
    <n v="0.26344116989243532"/>
    <n v="2.3355000000000001"/>
    <n v="1.8761000000000001"/>
    <n v="17220.572775024004"/>
    <n v="0.43556248684774451"/>
    <n v="4.1690584031757112"/>
  </r>
  <r>
    <n v="12"/>
    <x v="0"/>
    <n v="7.8825183644699176E-2"/>
    <n v="2.9399999999999995"/>
    <n v="2.2599999999999998"/>
    <n v="9146.1618501074772"/>
    <n v="8.5469786733308795E-2"/>
    <n v="9.9999999999999805E-6"/>
  </r>
  <r>
    <n v="12"/>
    <x v="1"/>
    <n v="8.7781519073290279E-2"/>
    <n v="2.795300000000001"/>
    <n v="1.9816"/>
    <n v="10109.169118215175"/>
    <n v="0.10025111068186207"/>
    <n v="9.9999999999999805E-6"/>
  </r>
  <r>
    <n v="12"/>
    <x v="2"/>
    <n v="0.10287387420505091"/>
    <n v="2.6848000000000001"/>
    <n v="1.8983000000000001"/>
    <n v="10967.194877623788"/>
    <n v="0.11867073484542139"/>
    <n v="9.9999999999999805E-6"/>
  </r>
  <r>
    <n v="12"/>
    <x v="3"/>
    <n v="0.10956546651001542"/>
    <n v="2.5739000000000001"/>
    <n v="1.8286"/>
    <n v="11621.234187101732"/>
    <n v="0.13887650984182462"/>
    <n v="9.9999999999999805E-6"/>
  </r>
  <r>
    <n v="12"/>
    <x v="4"/>
    <n v="0.13214971916873389"/>
    <n v="2.4466000000000001"/>
    <n v="1.972"/>
    <n v="11606.61083895993"/>
    <n v="0.1570595985580702"/>
    <n v="1.3912869264941004E-3"/>
  </r>
  <r>
    <n v="12"/>
    <x v="5"/>
    <n v="0.14328883446366894"/>
    <n v="2.3895"/>
    <n v="1.9131"/>
    <n v="11069.527355148679"/>
    <n v="0.17096917680663895"/>
    <n v="6.6989466576274992E-3"/>
  </r>
  <r>
    <n v="12"/>
    <x v="6"/>
    <n v="0.15668679970373728"/>
    <n v="2.2721"/>
    <n v="1.8292999999999999"/>
    <n v="11426.98777995377"/>
    <n v="0.18606168274058815"/>
    <n v="1.0543157095676501E-2"/>
  </r>
  <r>
    <n v="12"/>
    <x v="7"/>
    <n v="0.16141141303577897"/>
    <n v="2.2275999999999998"/>
    <n v="1.8095000000000001"/>
    <n v="11756.188050686251"/>
    <n v="0.19767715911769124"/>
    <n v="2.5757827481798799E-2"/>
  </r>
  <r>
    <n v="12"/>
    <x v="8"/>
    <n v="0.17485327825176775"/>
    <n v="2.1964999999999999"/>
    <n v="1.8358000000000001"/>
    <n v="12565.756238885913"/>
    <n v="0.21030855548847555"/>
    <n v="5.568908278814981E-2"/>
  </r>
  <r>
    <n v="12"/>
    <x v="9"/>
    <n v="0.17455702645756813"/>
    <n v="2.2349999999999999"/>
    <n v="1.7809999999999999"/>
    <n v="11626.955364256708"/>
    <n v="0.22112025567725724"/>
    <n v="7.8405700965634637E-2"/>
  </r>
  <r>
    <n v="12"/>
    <x v="10"/>
    <n v="0.16752775543139531"/>
    <n v="2.2395999999999998"/>
    <n v="1.8344"/>
    <n v="10683.984508997943"/>
    <n v="0.22779228762059389"/>
    <n v="0.10530350060671945"/>
  </r>
  <r>
    <n v="12"/>
    <x v="11"/>
    <n v="0.16464492737027464"/>
    <n v="2.3243999999999998"/>
    <n v="1.9414"/>
    <n v="10527.570934730278"/>
    <n v="0.23460648803848505"/>
    <n v="0.19406498645763889"/>
  </r>
  <r>
    <n v="12"/>
    <x v="12"/>
    <n v="0.15400633868843214"/>
    <n v="2.5531000000000001"/>
    <n v="2.0148000000000001"/>
    <n v="10328.226443949769"/>
    <n v="0.23516073924522446"/>
    <n v="0.28069691060838758"/>
  </r>
  <r>
    <n v="12"/>
    <x v="13"/>
    <n v="0.15647570399179073"/>
    <n v="2.3837000000000002"/>
    <n v="1.9414"/>
    <n v="9957.6769689376251"/>
    <n v="0.24317211585887846"/>
    <n v="0.55899811210576744"/>
  </r>
  <r>
    <n v="12"/>
    <x v="14"/>
    <n v="0.15251234809440223"/>
    <n v="2.2665000000000002"/>
    <n v="1.8573999999999999"/>
    <n v="9720.6094493946184"/>
    <n v="0.24965622100238125"/>
    <n v="1.0274240611758918"/>
  </r>
  <r>
    <n v="12"/>
    <x v="15"/>
    <n v="0.1527971850616843"/>
    <n v="2.7002000000000002"/>
    <n v="2.2644000000000002"/>
    <n v="11002.059298735439"/>
    <n v="0.25551233024140002"/>
    <n v="2.0190191382283795"/>
  </r>
  <r>
    <n v="12"/>
    <x v="16"/>
    <n v="0.16468607615594638"/>
    <n v="2.6292"/>
    <n v="2.1768000000000001"/>
    <n v="11225.083537771423"/>
    <n v="0.26408461575783232"/>
    <n v="3.2738764726379355"/>
  </r>
  <r>
    <n v="12"/>
    <x v="17"/>
    <n v="0.17150029331463176"/>
    <n v="2.4165000000000001"/>
    <n v="1.7873000000000001"/>
    <n v="11853.391970677358"/>
    <n v="0.27248157410715468"/>
    <n v="5.7438944243755508"/>
  </r>
  <r>
    <n v="13"/>
    <x v="0"/>
    <n v="0.10028961717606556"/>
    <n v="2.56"/>
    <n v="2.0499999999999998"/>
    <n v="16247.7394336982"/>
    <n v="7.4172175029733889E-2"/>
    <n v="9.9999999999999805E-6"/>
  </r>
  <r>
    <n v="13"/>
    <x v="1"/>
    <n v="0.10652283181902907"/>
    <n v="2.3645"/>
    <n v="1.6943999999999999"/>
    <n v="16545.409851776585"/>
    <n v="8.2855991774050869E-2"/>
    <n v="9.9999999999999805E-6"/>
  </r>
  <r>
    <n v="13"/>
    <x v="2"/>
    <n v="0.11629521947002977"/>
    <n v="2.2057000000000002"/>
    <n v="1.6091"/>
    <n v="16756.03474610412"/>
    <n v="9.2544837110239864E-2"/>
    <n v="9.9999999999999805E-6"/>
  </r>
  <r>
    <n v="13"/>
    <x v="3"/>
    <n v="0.11885306608270414"/>
    <n v="2.2271999999999998"/>
    <n v="1.5686"/>
    <n v="16154.643478295477"/>
    <n v="0.10153272455780665"/>
    <n v="2.9469238388160022E-4"/>
  </r>
  <r>
    <n v="13"/>
    <x v="4"/>
    <n v="0.13522928389285485"/>
    <n v="2.1356999999999999"/>
    <n v="1.6611"/>
    <n v="17564.704527972423"/>
    <n v="0.11136081535472389"/>
    <n v="5.7705435678919999E-4"/>
  </r>
  <r>
    <n v="13"/>
    <x v="5"/>
    <n v="0.14734258858626828"/>
    <n v="2.1358999999999999"/>
    <n v="1.7595000000000001"/>
    <n v="18455.352401390806"/>
    <n v="0.12084885005512389"/>
    <n v="2.5435318409206997E-3"/>
  </r>
  <r>
    <n v="13"/>
    <x v="6"/>
    <n v="0.1585628316464702"/>
    <n v="2.0979000000000001"/>
    <n v="1.6914"/>
    <n v="17206.097604918992"/>
    <n v="0.13010246492257693"/>
    <n v="3.6201766367722986E-3"/>
  </r>
  <r>
    <n v="13"/>
    <x v="7"/>
    <n v="0.15513693955310523"/>
    <n v="2.0493999999999999"/>
    <n v="1.6656"/>
    <n v="17351.349137180096"/>
    <n v="0.13384074932226786"/>
    <n v="7.8783147024321029E-3"/>
  </r>
  <r>
    <n v="13"/>
    <x v="8"/>
    <n v="0.16195033330812081"/>
    <n v="2.0354000000000001"/>
    <n v="1.6361000000000001"/>
    <n v="16504.386724158012"/>
    <n v="0.14219502945858822"/>
    <n v="1.4972598853357E-2"/>
  </r>
  <r>
    <n v="13"/>
    <x v="9"/>
    <n v="0.15671680374655689"/>
    <n v="2.1011000000000002"/>
    <n v="1.6238999999999999"/>
    <n v="15074.329714453013"/>
    <n v="0.14730256636305272"/>
    <n v="2.0820976168615304E-2"/>
  </r>
  <r>
    <n v="13"/>
    <x v="10"/>
    <n v="0.15847713465413288"/>
    <n v="2.0425"/>
    <n v="1.8015000000000001"/>
    <n v="14115.473019419149"/>
    <n v="0.14985454811707222"/>
    <n v="2.8488127572834011E-2"/>
  </r>
  <r>
    <n v="13"/>
    <x v="11"/>
    <n v="0.15858408795717313"/>
    <n v="2.0265"/>
    <n v="1.7445999999999999"/>
    <n v="14040.549409761858"/>
    <n v="0.1530494776324719"/>
    <n v="5.2908568579594396E-2"/>
  </r>
  <r>
    <n v="13"/>
    <x v="12"/>
    <n v="0.15051160965845559"/>
    <n v="2.3069999999999999"/>
    <n v="1.8046"/>
    <n v="14366.564384573776"/>
    <n v="0.15929722289137577"/>
    <n v="8.3320855626767595E-2"/>
  </r>
  <r>
    <n v="13"/>
    <x v="13"/>
    <n v="0.15628552788123903"/>
    <n v="2.0741000000000001"/>
    <n v="1.6514"/>
    <n v="14665.747716171198"/>
    <n v="0.16505561336844088"/>
    <n v="0.17540909285028197"/>
  </r>
  <r>
    <n v="13"/>
    <x v="14"/>
    <n v="0.14876169815724163"/>
    <n v="2.0078999999999998"/>
    <n v="1.5893999999999999"/>
    <n v="14550.607855975952"/>
    <n v="0.16988012968562025"/>
    <n v="0.32701842378070367"/>
  </r>
  <r>
    <n v="13"/>
    <x v="15"/>
    <n v="0.14244387639798167"/>
    <n v="2.4097"/>
    <n v="1.9097999999999999"/>
    <n v="14378.978183791774"/>
    <n v="0.17417748732726848"/>
    <n v="0.56042220189953385"/>
  </r>
  <r>
    <n v="13"/>
    <x v="16"/>
    <n v="0.15081879252786007"/>
    <n v="2.504"/>
    <n v="1.9587000000000001"/>
    <n v="14614.629411884562"/>
    <n v="0.18304119794051288"/>
    <n v="0.90538747703451639"/>
  </r>
  <r>
    <n v="13"/>
    <x v="17"/>
    <n v="0.14502002227168886"/>
    <n v="2.4011"/>
    <n v="1.7333000000000001"/>
    <n v="15492.296938427329"/>
    <n v="0.19230163032977793"/>
    <n v="1.5943812580576793"/>
  </r>
  <r>
    <n v="14"/>
    <x v="0"/>
    <n v="0.11986034253639577"/>
    <n v="2.8599999999999994"/>
    <n v="2.23"/>
    <n v="12700.166704847483"/>
    <n v="0.12671565710658891"/>
    <n v="9.9999999999999805E-6"/>
  </r>
  <r>
    <n v="14"/>
    <x v="1"/>
    <n v="0.12888159700439134"/>
    <n v="2.5272999999999999"/>
    <n v="1.972"/>
    <n v="13037.149720141942"/>
    <n v="0.14607512547051432"/>
    <n v="9.9999999999999805E-6"/>
  </r>
  <r>
    <n v="14"/>
    <x v="2"/>
    <n v="0.15081577971961052"/>
    <n v="2.4317000000000002"/>
    <n v="1.9345000000000001"/>
    <n v="13647.957734209022"/>
    <n v="0.16756746280733467"/>
    <n v="9.9999999999999805E-6"/>
  </r>
  <r>
    <n v="14"/>
    <x v="3"/>
    <n v="0.17705145207936435"/>
    <n v="2.3399000000000001"/>
    <n v="1.8718999999999999"/>
    <n v="14590.176120465299"/>
    <n v="0.187725237782296"/>
    <n v="2.3724848694776993E-3"/>
  </r>
  <r>
    <n v="14"/>
    <x v="4"/>
    <n v="0.19456028600464564"/>
    <n v="2.3157000000000001"/>
    <n v="1.8902000000000001"/>
    <n v="15060.499237804883"/>
    <n v="0.20560440258420437"/>
    <n v="2.26843786295E-3"/>
  </r>
  <r>
    <n v="14"/>
    <x v="5"/>
    <n v="0.19182956113567948"/>
    <n v="2.1819999999999999"/>
    <n v="1.8824000000000001"/>
    <n v="14653.030909130426"/>
    <n v="0.21783273391066249"/>
    <n v="1.5211934849456103E-2"/>
  </r>
  <r>
    <n v="14"/>
    <x v="6"/>
    <n v="0.21176766256889953"/>
    <n v="2.0834000000000001"/>
    <n v="1.8584000000000001"/>
    <n v="14046.923146207639"/>
    <n v="0.23279747148175606"/>
    <n v="2.1298165801961099E-2"/>
  </r>
  <r>
    <n v="14"/>
    <x v="7"/>
    <n v="0.22304352636496247"/>
    <n v="2.0630999999999999"/>
    <n v="1.8506"/>
    <n v="14687.603364872393"/>
    <n v="0.24249291088200101"/>
    <n v="5.3270828894097497E-2"/>
  </r>
  <r>
    <n v="14"/>
    <x v="8"/>
    <n v="0.24714466249174949"/>
    <n v="1.9967999999999999"/>
    <n v="1.7778"/>
    <n v="14464.733847215739"/>
    <n v="0.25655013925334447"/>
    <n v="0.10061657839238848"/>
  </r>
  <r>
    <n v="14"/>
    <x v="9"/>
    <n v="0.24500457812978951"/>
    <n v="2.0720000000000001"/>
    <n v="1.7751999999999999"/>
    <n v="13891.614359902307"/>
    <n v="0.26825862972521319"/>
    <n v="0.15029713347769769"/>
  </r>
  <r>
    <n v="14"/>
    <x v="10"/>
    <n v="0.25269597786200315"/>
    <n v="2.1246"/>
    <n v="2.0150999999999999"/>
    <n v="13586.597638211762"/>
    <n v="0.2764138156346686"/>
    <n v="0.21391247868167682"/>
  </r>
  <r>
    <n v="14"/>
    <x v="11"/>
    <n v="0.26294355918842177"/>
    <n v="1.9999"/>
    <n v="1.9467000000000001"/>
    <n v="14172.564025057596"/>
    <n v="0.28282207884646282"/>
    <n v="0.4152029328251402"/>
  </r>
  <r>
    <n v="14"/>
    <x v="12"/>
    <n v="0.24449598312774889"/>
    <n v="2.1840000000000002"/>
    <n v="1.9276"/>
    <n v="13579.52125681619"/>
    <n v="0.26596515935674553"/>
    <n v="0.55674265654701616"/>
  </r>
  <r>
    <n v="14"/>
    <x v="13"/>
    <n v="0.25369102665902882"/>
    <n v="2.02"/>
    <n v="1.8627"/>
    <n v="13256.648996386366"/>
    <n v="0.26323417981679231"/>
    <n v="1.0845861651707522"/>
  </r>
  <r>
    <n v="14"/>
    <x v="14"/>
    <n v="0.24803530207658339"/>
    <n v="1.8762000000000001"/>
    <n v="1.7399"/>
    <n v="13397.452031033885"/>
    <n v="0.26205953601264931"/>
    <n v="2.0073481299342029"/>
  </r>
  <r>
    <n v="14"/>
    <x v="15"/>
    <n v="0.25717581846845394"/>
    <n v="2.3498999999999999"/>
    <n v="2.1021000000000001"/>
    <n v="13017.806695898505"/>
    <n v="0.26222551105922509"/>
    <n v="3.3184569634739916"/>
  </r>
  <r>
    <n v="14"/>
    <x v="16"/>
    <n v="0.28476154144317628"/>
    <n v="2.4998999999999998"/>
    <n v="2.2898999999999998"/>
    <n v="13896.037187094476"/>
    <n v="0.27196026431218601"/>
    <n v="5.630345956032742"/>
  </r>
  <r>
    <n v="14"/>
    <x v="17"/>
    <n v="0.28075448167877753"/>
    <n v="2.266"/>
    <n v="1.9108000000000001"/>
    <n v="15738.32771279261"/>
    <n v="0.2787703018018638"/>
    <n v="10.595774865829233"/>
  </r>
  <r>
    <n v="15"/>
    <x v="0"/>
    <n v="6.1309545859518297E-2"/>
    <n v="2.66"/>
    <n v="2.3199999999999998"/>
    <n v="8712.0595624758771"/>
    <n v="5.577609903149789E-2"/>
    <n v="9.9999999999999805E-6"/>
  </r>
  <r>
    <n v="15"/>
    <x v="1"/>
    <n v="6.8374097038544066E-2"/>
    <n v="2.5177"/>
    <n v="2.0390999999999999"/>
    <n v="9093.8489009528585"/>
    <n v="6.3187554064050605E-2"/>
    <n v="9.9999999999999805E-6"/>
  </r>
  <r>
    <n v="15"/>
    <x v="2"/>
    <n v="7.6361408675010067E-2"/>
    <n v="2.4859"/>
    <n v="1.9435"/>
    <n v="9687.2614131549744"/>
    <n v="7.269531201982106E-2"/>
    <n v="9.9999999999999805E-6"/>
  </r>
  <r>
    <n v="15"/>
    <x v="3"/>
    <n v="7.8774738864920271E-2"/>
    <n v="2.3919000000000001"/>
    <n v="1.8199000000000001"/>
    <n v="8997.3322197087327"/>
    <n v="8.3181985783916626E-2"/>
    <n v="9.9999999999999805E-6"/>
  </r>
  <r>
    <n v="15"/>
    <x v="4"/>
    <n v="8.928015348542015E-2"/>
    <n v="2.2665999999999999"/>
    <n v="1.7428999999999999"/>
    <n v="10937.386223932199"/>
    <n v="9.4010348942816707E-2"/>
    <n v="1.3227852672399994E-4"/>
  </r>
  <r>
    <n v="15"/>
    <x v="5"/>
    <n v="9.9965307046425853E-2"/>
    <n v="2.1667000000000001"/>
    <n v="1.7979000000000001"/>
    <n v="11852.624100066158"/>
    <n v="0.10595111485287362"/>
    <n v="7.8037685178540008E-4"/>
  </r>
  <r>
    <n v="15"/>
    <x v="6"/>
    <n v="0.11693994234425953"/>
    <n v="2.0615999999999999"/>
    <n v="1.6987000000000001"/>
    <n v="11775.28732567599"/>
    <n v="0.11957015216759326"/>
    <n v="1.1571777873808984E-3"/>
  </r>
  <r>
    <n v="15"/>
    <x v="7"/>
    <n v="0.12499580031956206"/>
    <n v="2.0425"/>
    <n v="1.7341"/>
    <n v="12101.167478061152"/>
    <n v="0.13168150085311103"/>
    <n v="2.6349951955253995E-3"/>
  </r>
  <r>
    <n v="15"/>
    <x v="8"/>
    <n v="0.13608182960354839"/>
    <n v="2.0097"/>
    <n v="1.7326999999999999"/>
    <n v="11382.799909820795"/>
    <n v="0.14407789818185063"/>
    <n v="4.9542205252365024E-3"/>
  </r>
  <r>
    <n v="15"/>
    <x v="9"/>
    <n v="0.13846490684593599"/>
    <n v="2.0604"/>
    <n v="1.7112000000000001"/>
    <n v="10980.86894270453"/>
    <n v="0.15450171759093714"/>
    <n v="7.3393480921915026E-3"/>
  </r>
  <r>
    <n v="15"/>
    <x v="10"/>
    <n v="0.13956533059727363"/>
    <n v="2.1793999999999998"/>
    <n v="1.9383999999999999"/>
    <n v="10590.6122224433"/>
    <n v="0.16201507508288673"/>
    <n v="1.0274729339453299E-2"/>
  </r>
  <r>
    <n v="15"/>
    <x v="11"/>
    <n v="0.13793587571958507"/>
    <n v="2.1381999999999999"/>
    <n v="1.9148000000000001"/>
    <n v="11353.383793255784"/>
    <n v="0.16804990015093288"/>
    <n v="2.0677386397482893E-2"/>
  </r>
  <r>
    <n v="15"/>
    <x v="12"/>
    <n v="0.1334995172958891"/>
    <n v="2.3018999999999998"/>
    <n v="1.8916999999999999"/>
    <n v="11098.489817897389"/>
    <n v="0.17317783749732923"/>
    <n v="3.089212341297581E-2"/>
  </r>
  <r>
    <n v="15"/>
    <x v="13"/>
    <n v="0.13676443022179224"/>
    <n v="2.2313000000000001"/>
    <n v="1.8480000000000001"/>
    <n v="11650.132641439795"/>
    <n v="0.17992738465615807"/>
    <n v="6.7070679360887286E-2"/>
  </r>
  <r>
    <n v="15"/>
    <x v="14"/>
    <n v="0.13908763402907337"/>
    <n v="2.0596000000000001"/>
    <n v="1.8057000000000001"/>
    <n v="13111.879817184838"/>
    <n v="0.18647630323982586"/>
    <n v="0.14268051818342384"/>
  </r>
  <r>
    <n v="15"/>
    <x v="15"/>
    <n v="0.14184330083521651"/>
    <n v="2.4950999999999999"/>
    <n v="2.2302"/>
    <n v="13982.14243320477"/>
    <n v="0.19329315616368192"/>
    <n v="0.26512101230425816"/>
  </r>
  <r>
    <n v="15"/>
    <x v="16"/>
    <n v="0.1482898259156416"/>
    <n v="2.4958999999999998"/>
    <n v="2.2132000000000001"/>
    <n v="11567.711120533339"/>
    <n v="0.20203713653811883"/>
    <n v="0.34863356151741737"/>
  </r>
  <r>
    <n v="15"/>
    <x v="17"/>
    <n v="0.15769679908817513"/>
    <n v="2.1347"/>
    <n v="1.7564"/>
    <n v="11857.498044667014"/>
    <n v="0.21257897233763587"/>
    <n v="0.59370244740760181"/>
  </r>
  <r>
    <n v="16"/>
    <x v="0"/>
    <n v="0.10499136775943416"/>
    <n v="2.58"/>
    <n v="2.19"/>
    <n v="11554.28503755796"/>
    <n v="7.8143296817521093E-2"/>
    <n v="9.9999999999999805E-6"/>
  </r>
  <r>
    <n v="16"/>
    <x v="1"/>
    <n v="0.11773336696829627"/>
    <n v="2.3357999999999999"/>
    <n v="1.9146000000000001"/>
    <n v="12385.045636351799"/>
    <n v="9.0830675086257459E-2"/>
    <n v="9.9999999999999805E-6"/>
  </r>
  <r>
    <n v="16"/>
    <x v="2"/>
    <n v="0.13456328302612999"/>
    <n v="2.3593999999999999"/>
    <n v="1.9345000000000001"/>
    <n v="13188.931448416914"/>
    <n v="0.10570710052416475"/>
    <n v="9.9999999999999805E-6"/>
  </r>
  <r>
    <n v="16"/>
    <x v="3"/>
    <n v="0.1372529759387433"/>
    <n v="2.3485"/>
    <n v="1.7505999999999999"/>
    <n v="12961.223503811792"/>
    <n v="0.11996635860640363"/>
    <n v="9.9999999999999805E-6"/>
  </r>
  <r>
    <n v="16"/>
    <x v="4"/>
    <n v="0.15164411503999473"/>
    <n v="2.3319999999999999"/>
    <n v="1.7838000000000001"/>
    <n v="12567.979080308609"/>
    <n v="0.13349118709179361"/>
    <n v="1.5256484387276004E-3"/>
  </r>
  <r>
    <n v="16"/>
    <x v="5"/>
    <n v="0.16003822834421283"/>
    <n v="2.1513"/>
    <n v="1.7518"/>
    <n v="12694.00699903114"/>
    <n v="0.14430177010677928"/>
    <n v="8.7679688561745992E-3"/>
  </r>
  <r>
    <n v="16"/>
    <x v="6"/>
    <n v="0.18320087832557019"/>
    <n v="1.9673"/>
    <n v="1.6551"/>
    <n v="13627.02981611848"/>
    <n v="0.1526248135562164"/>
    <n v="1.43143019916919E-2"/>
  </r>
  <r>
    <n v="16"/>
    <x v="7"/>
    <n v="0.18761979657032152"/>
    <n v="1.9534"/>
    <n v="1.6587000000000001"/>
    <n v="13815.271517259951"/>
    <n v="0.15603894442962948"/>
    <n v="3.2653238929191405E-2"/>
  </r>
  <r>
    <n v="16"/>
    <x v="8"/>
    <n v="0.20563980865933701"/>
    <n v="1.9066000000000001"/>
    <n v="1.8036000000000001"/>
    <n v="13164.159997709456"/>
    <n v="0.16404851700332385"/>
    <n v="6.1258842580755118E-2"/>
  </r>
  <r>
    <n v="16"/>
    <x v="9"/>
    <n v="0.20054445211098773"/>
    <n v="1.944"/>
    <n v="1.6588000000000001"/>
    <n v="12398.885355800792"/>
    <n v="0.16955335935900151"/>
    <n v="8.7389898510328343E-2"/>
  </r>
  <r>
    <n v="16"/>
    <x v="10"/>
    <n v="0.19370913785720215"/>
    <n v="1.9986999999999999"/>
    <n v="2.0042"/>
    <n v="11630.423946465216"/>
    <n v="0.17094574297419762"/>
    <n v="0.12015927495382178"/>
  </r>
  <r>
    <n v="16"/>
    <x v="11"/>
    <n v="0.19396273388473664"/>
    <n v="1.968"/>
    <n v="1.9893000000000001"/>
    <n v="11875.893888723145"/>
    <n v="0.17371089176429885"/>
    <n v="0.22689608660661223"/>
  </r>
  <r>
    <n v="16"/>
    <x v="12"/>
    <n v="0.19048986490559303"/>
    <n v="2.0865999999999998"/>
    <n v="1.9685999999999999"/>
    <n v="11857.03464111856"/>
    <n v="0.17447383585655826"/>
    <n v="0.33876073847429883"/>
  </r>
  <r>
    <n v="16"/>
    <x v="13"/>
    <n v="0.20109598678539628"/>
    <n v="1.9414"/>
    <n v="1.8233999999999999"/>
    <n v="11624.066579207814"/>
    <n v="0.18021687747049583"/>
    <n v="0.68106762079195393"/>
  </r>
  <r>
    <n v="16"/>
    <x v="14"/>
    <n v="0.20115224078730712"/>
    <n v="1.6598999999999999"/>
    <n v="1.7822"/>
    <n v="11309.695535715324"/>
    <n v="0.184730781771998"/>
    <n v="1.240465876744804"/>
  </r>
  <r>
    <n v="16"/>
    <x v="15"/>
    <n v="0.21690275782149993"/>
    <n v="2.1490999999999998"/>
    <n v="2.2686999999999999"/>
    <n v="10690.965410038367"/>
    <n v="0.18713715498744882"/>
    <n v="2.0270893890587307"/>
  </r>
  <r>
    <n v="16"/>
    <x v="16"/>
    <n v="0.22318572081316021"/>
    <n v="2.2172000000000001"/>
    <n v="2.3504999999999998"/>
    <n v="11569.072293026655"/>
    <n v="0.19170522770287132"/>
    <n v="3.4867304837097897"/>
  </r>
  <r>
    <n v="16"/>
    <x v="17"/>
    <n v="0.22707424570966919"/>
    <n v="2.0188999999999999"/>
    <n v="2.0613999999999999"/>
    <n v="13054.044538310167"/>
    <n v="0.19570471266947961"/>
    <n v="6.5370499297526381"/>
  </r>
  <r>
    <n v="17"/>
    <x v="0"/>
    <n v="0.10001168532040056"/>
    <n v="2.7500000000000004"/>
    <n v="2.02"/>
    <n v="8751.2708396844646"/>
    <n v="0.12117459609843875"/>
    <n v="9.9999999999999805E-6"/>
  </r>
  <r>
    <n v="17"/>
    <x v="1"/>
    <n v="0.1202076959640315"/>
    <n v="2.6133999999999999"/>
    <n v="1.6657"/>
    <n v="9874.4735281983485"/>
    <n v="0.13881377169288092"/>
    <n v="9.9999999999999805E-6"/>
  </r>
  <r>
    <n v="17"/>
    <x v="2"/>
    <n v="0.13595523044279897"/>
    <n v="2.4769000000000001"/>
    <n v="1.5729"/>
    <n v="11009.470299950099"/>
    <n v="0.15852709031458484"/>
    <n v="9.9999999999999805E-6"/>
  </r>
  <r>
    <n v="17"/>
    <x v="3"/>
    <n v="0.13747613677788259"/>
    <n v="2.3744999999999998"/>
    <n v="1.4993000000000001"/>
    <n v="11487.892125388247"/>
    <n v="0.17506894077710541"/>
    <n v="9.9999999999999805E-6"/>
  </r>
  <r>
    <n v="17"/>
    <x v="4"/>
    <n v="0.16135566131341755"/>
    <n v="2.3075000000000001"/>
    <n v="1.5465"/>
    <n v="12183.555246599999"/>
    <n v="0.18999355352357861"/>
    <n v="7.4268161536220035E-4"/>
  </r>
  <r>
    <n v="17"/>
    <x v="5"/>
    <n v="0.17822513798351336"/>
    <n v="2.2357999999999998"/>
    <n v="1.6212"/>
    <n v="12090.001120857289"/>
    <n v="0.20326905999891492"/>
    <n v="4.282985412151598E-3"/>
  </r>
  <r>
    <n v="17"/>
    <x v="6"/>
    <n v="0.20893237891956928"/>
    <n v="2.1124000000000001"/>
    <n v="1.5752999999999999"/>
    <n v="12478.519283851105"/>
    <n v="0.22169099960922456"/>
    <n v="6.3483375114798974E-3"/>
  </r>
  <r>
    <n v="17"/>
    <x v="7"/>
    <n v="0.21125821627370164"/>
    <n v="2.0836999999999999"/>
    <n v="1.5422"/>
    <n v="12807.619168847292"/>
    <n v="0.23191946225182045"/>
    <n v="1.4883328236920896E-2"/>
  </r>
  <r>
    <n v="17"/>
    <x v="8"/>
    <n v="0.23405045160600713"/>
    <n v="2.0097"/>
    <n v="1.5073000000000003"/>
    <n v="12906.410681417345"/>
    <n v="0.24749612527390297"/>
    <n v="3.0062530062530009E-2"/>
  </r>
  <r>
    <n v="17"/>
    <x v="9"/>
    <n v="0.22980494031519494"/>
    <n v="2.0487000000000002"/>
    <n v="1.5365"/>
    <n v="13094.729138896701"/>
    <n v="0.26112745738638221"/>
    <n v="4.6860789135689002E-2"/>
  </r>
  <r>
    <n v="17"/>
    <x v="10"/>
    <n v="0.23716994954667683"/>
    <n v="2.1137000000000001"/>
    <n v="1.7742"/>
    <n v="13071.223917575942"/>
    <n v="0.26889585896554385"/>
    <n v="6.849752952243518E-2"/>
  </r>
  <r>
    <n v="17"/>
    <x v="11"/>
    <n v="0.24470161799103857"/>
    <n v="2.0636999999999999"/>
    <n v="1.8030999999999999"/>
    <n v="13463.726441787296"/>
    <n v="0.27609512099775885"/>
    <n v="0.13288659354893631"/>
  </r>
  <r>
    <n v="17"/>
    <x v="12"/>
    <n v="0.22438754035579317"/>
    <n v="2.3839000000000001"/>
    <n v="1.8815"/>
    <n v="13429.698554425109"/>
    <n v="0.28617393322783974"/>
    <n v="0.20447149583759047"/>
  </r>
  <r>
    <n v="17"/>
    <x v="13"/>
    <n v="0.23231616679361106"/>
    <n v="2.2461000000000002"/>
    <n v="1.8087"/>
    <n v="14058.977551806693"/>
    <n v="0.2943893503960287"/>
    <n v="0.44314010220832539"/>
  </r>
  <r>
    <n v="17"/>
    <x v="14"/>
    <n v="0.22196921486459981"/>
    <n v="2.1395"/>
    <n v="1.6975"/>
    <n v="14484.887991244126"/>
    <n v="0.30249055493231236"/>
    <n v="0.86150084766652746"/>
  </r>
  <r>
    <n v="17"/>
    <x v="15"/>
    <n v="0.2294525256584854"/>
    <n v="2.5720000000000001"/>
    <n v="2.1362000000000001"/>
    <n v="15037.707559337876"/>
    <n v="0.31078667357653489"/>
    <n v="1.5565867822016559"/>
  </r>
  <r>
    <n v="17"/>
    <x v="16"/>
    <n v="0.24644933969489149"/>
    <n v="2.5726"/>
    <n v="2.1202999999999999"/>
    <n v="15570.455105349569"/>
    <n v="0.32234473482343445"/>
    <n v="2.5619601794989681"/>
  </r>
  <r>
    <n v="17"/>
    <x v="17"/>
    <n v="0.26652970113160479"/>
    <n v="2.2235"/>
    <n v="1.714"/>
    <n v="16360.42867535211"/>
    <n v="0.33486959697342777"/>
    <n v="4.4731650535691072"/>
  </r>
  <r>
    <n v="21"/>
    <x v="0"/>
    <n v="4.9535105128305383E-2"/>
    <n v="2.7299999999999986"/>
    <n v="2.0699999999999998"/>
    <n v="6471.814648725579"/>
    <n v="5.0370132740715626E-2"/>
    <n v="9.9999999999999805E-6"/>
  </r>
  <r>
    <n v="21"/>
    <x v="1"/>
    <n v="5.2462329292471792E-2"/>
    <n v="2.6133999999999999"/>
    <n v="1.7902"/>
    <n v="6228.1642104499624"/>
    <n v="5.8742797081458936E-2"/>
    <n v="9.9999999999999805E-6"/>
  </r>
  <r>
    <n v="21"/>
    <x v="2"/>
    <n v="5.8933071045336807E-2"/>
    <n v="2.3955000000000002"/>
    <n v="1.6271"/>
    <n v="6999.472808564914"/>
    <n v="6.843080930299833E-2"/>
    <n v="9.9999999999999805E-6"/>
  </r>
  <r>
    <n v="21"/>
    <x v="3"/>
    <n v="6.1618116334214795E-2"/>
    <n v="2.2532000000000001"/>
    <n v="1.5426"/>
    <n v="6980.7945759460563"/>
    <n v="8.0503830763523493E-2"/>
    <n v="9.9999999999999805E-6"/>
  </r>
  <r>
    <n v="21"/>
    <x v="4"/>
    <n v="8.0272243696639406E-2"/>
    <n v="2.1111"/>
    <n v="1.5629"/>
    <n v="7117.4961768706453"/>
    <n v="9.4680816728016037E-2"/>
    <n v="9.9999999999999805E-6"/>
  </r>
  <r>
    <n v="21"/>
    <x v="5"/>
    <n v="9.4630130394397174E-2"/>
    <n v="2.036"/>
    <n v="1.6826000000000001"/>
    <n v="7243.5713853989"/>
    <n v="0.10987229303009835"/>
    <n v="4.5141557151989997E-4"/>
  </r>
  <r>
    <n v="21"/>
    <x v="6"/>
    <n v="0.11181528001222457"/>
    <n v="1.9164000000000001"/>
    <n v="1.5897999999999999"/>
    <n v="7705.2142270230461"/>
    <n v="0.12443236941257141"/>
    <n v="7.4467771391090003E-4"/>
  </r>
  <r>
    <n v="21"/>
    <x v="7"/>
    <n v="0.11821799475766515"/>
    <n v="1.9329000000000001"/>
    <n v="1.6107"/>
    <n v="7926.5811307888798"/>
    <n v="0.13801302002958055"/>
    <n v="2.0605504525041994E-3"/>
  </r>
  <r>
    <n v="21"/>
    <x v="8"/>
    <n v="0.12947617854863699"/>
    <n v="1.9258999999999999"/>
    <n v="1.6361000000000001"/>
    <n v="8274.0930021731529"/>
    <n v="0.15091775017647355"/>
    <n v="4.2330303651324005E-3"/>
  </r>
  <r>
    <n v="21"/>
    <x v="9"/>
    <n v="0.12889784988675793"/>
    <n v="1.9265000000000001"/>
    <n v="1.5889"/>
    <n v="7794.9503122645892"/>
    <n v="0.1620430109551507"/>
    <n v="6.0832175470120009E-3"/>
  </r>
  <r>
    <n v="21"/>
    <x v="10"/>
    <n v="0.13349748980304377"/>
    <n v="1.9602999999999999"/>
    <n v="1.7632000000000001"/>
    <n v="7782.4348702393818"/>
    <n v="0.16959762647187906"/>
    <n v="9.0594871812570039E-3"/>
  </r>
  <r>
    <n v="21"/>
    <x v="11"/>
    <n v="0.13642501838154156"/>
    <n v="1.9095"/>
    <n v="1.7445999999999999"/>
    <n v="7827.2933442891654"/>
    <n v="0.17662065055300333"/>
    <n v="1.6999443875336001E-2"/>
  </r>
  <r>
    <n v="21"/>
    <x v="12"/>
    <n v="0.13409395520006584"/>
    <n v="2.1326999999999998"/>
    <n v="1.8148"/>
    <n v="8172.5441993985851"/>
    <n v="0.18367176944601005"/>
    <n v="2.7434042804213986E-2"/>
  </r>
  <r>
    <n v="21"/>
    <x v="13"/>
    <n v="0.13418429153967934"/>
    <n v="2.1429"/>
    <n v="1.7939000000000001"/>
    <n v="7730.1633601741078"/>
    <n v="0.19050749373054907"/>
    <n v="5.4132890734526692E-2"/>
  </r>
  <r>
    <n v="21"/>
    <x v="14"/>
    <n v="0.13024694719223764"/>
    <n v="1.9702999999999999"/>
    <n v="1.7021999999999999"/>
    <n v="7930.3050493365927"/>
    <n v="0.19699918393140409"/>
    <n v="0.10541705940377792"/>
  </r>
  <r>
    <n v="21"/>
    <x v="15"/>
    <n v="0.13438440392648834"/>
    <n v="2.4054000000000002"/>
    <n v="2.085"/>
    <n v="8155.7899971509487"/>
    <n v="0.20358026869419846"/>
    <n v="0.1897036624689547"/>
  </r>
  <r>
    <n v="21"/>
    <x v="16"/>
    <n v="0.14032422410922443"/>
    <n v="2.4474"/>
    <n v="2.1202999999999999"/>
    <n v="8402.2574200413728"/>
    <n v="0.21150532442401809"/>
    <n v="0.31062751511128761"/>
  </r>
  <r>
    <n v="21"/>
    <x v="17"/>
    <n v="0.15063574911697622"/>
    <n v="2.0421"/>
    <n v="1.714"/>
    <n v="8529.4689116797344"/>
    <n v="0.22046487322846542"/>
    <n v="0.52395676266296409"/>
  </r>
  <r>
    <n v="22"/>
    <x v="0"/>
    <n v="6.4460459969238715E-2"/>
    <n v="2.52"/>
    <n v="2.12"/>
    <n v="5927.8885389076768"/>
    <n v="8.3309235942548299E-2"/>
    <n v="9.9999999999999805E-6"/>
  </r>
  <r>
    <n v="22"/>
    <x v="1"/>
    <n v="6.9394210181497801E-2"/>
    <n v="2.4506999999999999"/>
    <n v="1.8380000000000001"/>
    <n v="5655.45169803317"/>
    <n v="9.397915347846475E-2"/>
    <n v="9.9999999999999805E-6"/>
  </r>
  <r>
    <n v="22"/>
    <x v="2"/>
    <n v="7.9098876210240573E-2"/>
    <n v="2.3502999999999998"/>
    <n v="1.7265999999999999"/>
    <n v="6058.4095545105993"/>
    <n v="0.10801569854374252"/>
    <n v="9.9999999999999805E-6"/>
  </r>
  <r>
    <n v="22"/>
    <x v="3"/>
    <n v="8.8795288245252846E-2"/>
    <n v="2.2271999999999998"/>
    <n v="1.6379000000000001"/>
    <n v="6531.0810494622974"/>
    <n v="0.1236632144531964"/>
    <n v="9.9999999999999805E-6"/>
  </r>
  <r>
    <n v="22"/>
    <x v="4"/>
    <n v="0.10989820944589365"/>
    <n v="2.0619999999999998"/>
    <n v="1.6365000000000001"/>
    <n v="7085.708531111808"/>
    <n v="0.1449816184542192"/>
    <n v="9.9999999999999805E-6"/>
  </r>
  <r>
    <n v="22"/>
    <x v="5"/>
    <n v="0.11909134969340784"/>
    <n v="2.0436999999999999"/>
    <n v="1.7518"/>
    <n v="7626.3152821616077"/>
    <n v="0.16735990635373119"/>
    <n v="1.2737522959385004E-3"/>
  </r>
  <r>
    <n v="22"/>
    <x v="6"/>
    <n v="0.14392486525341461"/>
    <n v="1.8729"/>
    <n v="1.6551"/>
    <n v="7749.0780324783937"/>
    <n v="0.18835035251149412"/>
    <n v="1.5819040303117994E-3"/>
  </r>
  <r>
    <n v="22"/>
    <x v="7"/>
    <n v="0.1570274571112184"/>
    <n v="1.8643000000000001"/>
    <n v="1.6518999999999999"/>
    <n v="7816.2064208963966"/>
    <n v="0.20911158526282855"/>
    <n v="4.0827017184404991E-3"/>
  </r>
  <r>
    <n v="22"/>
    <x v="8"/>
    <n v="0.17817227999466606"/>
    <n v="1.8229"/>
    <n v="1.6425000000000001"/>
    <n v="8710.5907694513226"/>
    <n v="0.22985096024124813"/>
    <n v="9.3905001943833041E-3"/>
  </r>
  <r>
    <n v="22"/>
    <x v="9"/>
    <n v="0.18099667668322506"/>
    <n v="1.8974"/>
    <n v="1.5889"/>
    <n v="8379.6223955283804"/>
    <n v="0.24716762774857154"/>
    <n v="1.4044821081463705E-2"/>
  </r>
  <r>
    <n v="22"/>
    <x v="10"/>
    <n v="0.18555219819561794"/>
    <n v="2.0042"/>
    <n v="1.6919999999999999"/>
    <n v="8179.5685746128747"/>
    <n v="0.26066596517007135"/>
    <n v="2.0546793766227204E-2"/>
  </r>
  <r>
    <n v="22"/>
    <x v="11"/>
    <n v="0.1887947933327471"/>
    <n v="1.9414"/>
    <n v="1.6329"/>
    <n v="8623.1083130983279"/>
    <n v="0.27290738204498749"/>
    <n v="4.1003250128833997E-2"/>
  </r>
  <r>
    <n v="22"/>
    <x v="12"/>
    <n v="0.17082448596750946"/>
    <n v="2.266"/>
    <n v="1.7431000000000001"/>
    <n v="9037.0712279037907"/>
    <n v="0.28137211746495905"/>
    <n v="6.5553061067577523E-2"/>
  </r>
  <r>
    <n v="22"/>
    <x v="13"/>
    <n v="0.1713549717144579"/>
    <n v="2.2313000000000001"/>
    <n v="1.6907000000000001"/>
    <n v="9060.1394339897597"/>
    <n v="0.29248506137826663"/>
    <n v="0.13717349881325058"/>
  </r>
  <r>
    <n v="22"/>
    <x v="14"/>
    <n v="0.1583861184587442"/>
    <n v="2.0642999999999998"/>
    <n v="1.6129"/>
    <n v="9068.5891147896709"/>
    <n v="0.30042328461547829"/>
    <n v="0.26116264612309081"/>
  </r>
  <r>
    <n v="22"/>
    <x v="15"/>
    <n v="0.16294766043735884"/>
    <n v="2.6061999999999999"/>
    <n v="2.0977999999999999"/>
    <n v="9086.5070973371112"/>
    <n v="0.3093713232946928"/>
    <n v="0.459673668177631"/>
  </r>
  <r>
    <n v="22"/>
    <x v="16"/>
    <n v="0.16793510757640703"/>
    <n v="2.6332"/>
    <n v="2.0354999999999999"/>
    <n v="9520.5417746382973"/>
    <n v="0.3185751332354399"/>
    <n v="0.76551474634343575"/>
  </r>
  <r>
    <n v="22"/>
    <x v="17"/>
    <n v="0.18902999431488243"/>
    <n v="2.1038999999999999"/>
    <n v="1.6445000000000001"/>
    <n v="10058.077608693671"/>
    <n v="0.33131800479738793"/>
    <n v="1.34375503528117"/>
  </r>
  <r>
    <n v="23"/>
    <x v="0"/>
    <n v="6.4568892739943567E-2"/>
    <n v="2.7"/>
    <n v="1.92"/>
    <n v="7623.5886273782025"/>
    <n v="0.1026976111358225"/>
    <n v="9.9999999999999805E-6"/>
  </r>
  <r>
    <n v="23"/>
    <x v="1"/>
    <n v="6.6306410300407653E-2"/>
    <n v="2.4986000000000002"/>
    <n v="1.6560999999999999"/>
    <n v="7717.9315836725727"/>
    <n v="0.11347696358662533"/>
    <n v="9.9999999999999805E-6"/>
  </r>
  <r>
    <n v="23"/>
    <x v="2"/>
    <n v="7.2840378731364397E-2"/>
    <n v="2.3231999999999999"/>
    <n v="1.6452"/>
    <n v="8318.4445425303602"/>
    <n v="0.12532518678122828"/>
    <n v="9.9999999999999805E-6"/>
  </r>
  <r>
    <n v="23"/>
    <x v="3"/>
    <n v="7.7903906135478596E-2"/>
    <n v="2.2012"/>
    <n v="1.5599000000000001"/>
    <n v="8523.8729391356246"/>
    <n v="0.14034274748067024"/>
    <n v="9.9999999999999805E-6"/>
  </r>
  <r>
    <n v="23"/>
    <x v="4"/>
    <n v="9.6049509180368281E-2"/>
    <n v="2.1520000000000001"/>
    <n v="1.5629"/>
    <n v="9291.0722847290235"/>
    <n v="0.16168238790057171"/>
    <n v="1.1710997868359999E-4"/>
  </r>
  <r>
    <n v="23"/>
    <x v="5"/>
    <n v="0.11058744536295065"/>
    <n v="2.0897999999999999"/>
    <n v="1.6365000000000001"/>
    <n v="9707.6098475936287"/>
    <n v="0.18456335201411922"/>
    <n v="5.8615582014619986E-4"/>
  </r>
  <r>
    <n v="23"/>
    <x v="6"/>
    <n v="0.13023089110452521"/>
    <n v="1.9673"/>
    <n v="1.5680000000000001"/>
    <n v="9637.2829016715586"/>
    <n v="0.20357320266488346"/>
    <n v="8.1338553719169978E-4"/>
  </r>
  <r>
    <n v="23"/>
    <x v="7"/>
    <n v="0.13855724322486931"/>
    <n v="1.9466000000000001"/>
    <n v="1.597"/>
    <n v="9881.5061687453672"/>
    <n v="0.21946976366098553"/>
    <n v="1.9365327588437998E-3"/>
  </r>
  <r>
    <n v="23"/>
    <x v="8"/>
    <n v="0.15251712270481119"/>
    <n v="1.9258999999999999"/>
    <n v="1.5846"/>
    <n v="10515.673447252118"/>
    <n v="0.2367877969749595"/>
    <n v="4.1841993099237008E-3"/>
  </r>
  <r>
    <n v="23"/>
    <x v="9"/>
    <n v="0.14951996634495138"/>
    <n v="2.008"/>
    <n v="1.5598000000000001"/>
    <n v="10060.680440473692"/>
    <n v="0.25146771971211274"/>
    <n v="6.1766806944700001E-3"/>
  </r>
  <r>
    <n v="23"/>
    <x v="10"/>
    <n v="0.15308211497911053"/>
    <n v="2.141"/>
    <n v="1.7632000000000001"/>
    <n v="9796.5583201421141"/>
    <n v="0.26098660781870092"/>
    <n v="8.813361234129298E-3"/>
  </r>
  <r>
    <n v="23"/>
    <x v="11"/>
    <n v="0.15316725421985136"/>
    <n v="2.0903"/>
    <n v="1.7393000000000001"/>
    <n v="10034.50866911443"/>
    <n v="0.26902175720528665"/>
    <n v="1.6961440990814206E-2"/>
  </r>
  <r>
    <n v="23"/>
    <x v="12"/>
    <n v="0.14652055296541316"/>
    <n v="2.3069999999999999"/>
    <n v="1.8405"/>
    <n v="10059.65429016702"/>
    <n v="0.27764603941822769"/>
    <n v="2.6224019902047712E-2"/>
  </r>
  <r>
    <n v="23"/>
    <x v="13"/>
    <n v="0.15169163141182093"/>
    <n v="2.2214999999999998"/>
    <n v="1.8185"/>
    <n v="10064.294721300013"/>
    <n v="0.28709248869753412"/>
    <n v="5.4533042753248377E-2"/>
  </r>
  <r>
    <n v="23"/>
    <x v="14"/>
    <n v="0.13913825065420501"/>
    <n v="2.069"/>
    <n v="1.7069000000000001"/>
    <n v="9587.6745879196078"/>
    <n v="0.29432705826853139"/>
    <n v="9.8616506204404153E-2"/>
  </r>
  <r>
    <n v="23"/>
    <x v="15"/>
    <n v="0.14353322518716344"/>
    <n v="2.5036999999999998"/>
    <n v="2.1362000000000001"/>
    <n v="9844.7770318096955"/>
    <n v="0.30146560064411526"/>
    <n v="0.17726160046230852"/>
  </r>
  <r>
    <n v="23"/>
    <x v="16"/>
    <n v="0.15485379705602884"/>
    <n v="2.5160999999999998"/>
    <n v="2.1324000000000001"/>
    <n v="9938.7107287529561"/>
    <n v="0.30970458564289238"/>
    <n v="0.28450595092515835"/>
  </r>
  <r>
    <n v="23"/>
    <x v="17"/>
    <n v="0.16515497512060931"/>
    <n v="2.2235"/>
    <n v="1.768"/>
    <n v="10275.774119947026"/>
    <n v="0.31919857844421029"/>
    <n v="0.48871391189730512"/>
  </r>
  <r>
    <n v="24"/>
    <x v="0"/>
    <n v="8.7602084264199451E-2"/>
    <n v="2.62"/>
    <n v="1.89"/>
    <n v="10131.15645067285"/>
    <n v="0.1179925486897784"/>
    <n v="9.9999999999999805E-6"/>
  </r>
  <r>
    <n v="24"/>
    <x v="1"/>
    <n v="8.8560865377298487E-2"/>
    <n v="2.4411"/>
    <n v="1.5795999999999999"/>
    <n v="10832.246559394198"/>
    <n v="0.13424580289798885"/>
    <n v="9.9999999999999805E-6"/>
  </r>
  <r>
    <n v="24"/>
    <x v="2"/>
    <n v="9.7878021629932074E-2"/>
    <n v="2.3412999999999999"/>
    <n v="1.6362000000000001"/>
    <n v="10824.188959791858"/>
    <n v="0.15060249108624801"/>
    <n v="9.9999999999999805E-6"/>
  </r>
  <r>
    <n v="24"/>
    <x v="3"/>
    <n v="0.10654628258244267"/>
    <n v="2.2444999999999999"/>
    <n v="1.5859000000000001"/>
    <n v="10692.234352666626"/>
    <n v="0.16632069509211184"/>
    <n v="9.9999999999999805E-6"/>
  </r>
  <r>
    <n v="24"/>
    <x v="4"/>
    <n v="0.12737914124527039"/>
    <n v="2.1928999999999998"/>
    <n v="1.6037999999999999"/>
    <n v="11421.518708853475"/>
    <n v="0.18477200365266355"/>
    <n v="3.1564670169709983E-4"/>
  </r>
  <r>
    <n v="24"/>
    <x v="5"/>
    <n v="0.15147516598372382"/>
    <n v="2.0897999999999999"/>
    <n v="1.7057"/>
    <n v="11831.45697844439"/>
    <n v="0.2021632829027932"/>
    <n v="1.8757872444590991E-3"/>
  </r>
  <r>
    <n v="24"/>
    <x v="6"/>
    <n v="0.1740610767988828"/>
    <n v="1.96"/>
    <n v="1.6188"/>
    <n v="12296.289062566795"/>
    <n v="0.21985485400833529"/>
    <n v="2.7879330821714999E-3"/>
  </r>
  <r>
    <n v="24"/>
    <x v="7"/>
    <n v="0.17949260497830577"/>
    <n v="1.974"/>
    <n v="1.6587000000000001"/>
    <n v="12147.814188702345"/>
    <n v="0.22857005671971722"/>
    <n v="6.2241420242509999E-3"/>
  </r>
  <r>
    <n v="24"/>
    <x v="8"/>
    <n v="0.19138739507878794"/>
    <n v="1.9517"/>
    <n v="1.6876"/>
    <n v="11691.735316017845"/>
    <n v="0.24321125653144635"/>
    <n v="1.20287163599344E-2"/>
  </r>
  <r>
    <n v="24"/>
    <x v="9"/>
    <n v="0.18731870111194221"/>
    <n v="1.9614"/>
    <n v="1.5714999999999999"/>
    <n v="11406.215965661249"/>
    <n v="0.25520404976504685"/>
    <n v="1.8011867496568308E-2"/>
  </r>
  <r>
    <n v="24"/>
    <x v="10"/>
    <n v="0.18753398994762011"/>
    <n v="2.0972"/>
    <n v="1.7467999999999999"/>
    <n v="10894.506159485554"/>
    <n v="0.26401079943067601"/>
    <n v="2.5323755582017604E-2"/>
  </r>
  <r>
    <n v="24"/>
    <x v="11"/>
    <n v="0.18848576405551978"/>
    <n v="2.0531000000000001"/>
    <n v="1.7126999999999999"/>
    <n v="11220.40984535799"/>
    <n v="0.27290167701595935"/>
    <n v="4.8759581899416621E-2"/>
  </r>
  <r>
    <n v="24"/>
    <x v="12"/>
    <n v="0.17478797703944515"/>
    <n v="2.266"/>
    <n v="1.7789999999999999"/>
    <n v="11272.643128993592"/>
    <n v="0.28581435523324156"/>
    <n v="7.674597083653098E-2"/>
  </r>
  <r>
    <n v="24"/>
    <x v="13"/>
    <n v="0.17694643887268721"/>
    <n v="2.2067999999999999"/>
    <n v="1.7743"/>
    <n v="11429.601848010168"/>
    <n v="0.29426611266568636"/>
    <n v="0.16139826790572637"/>
  </r>
  <r>
    <n v="24"/>
    <x v="14"/>
    <n v="0.16348495613532465"/>
    <n v="2.1065999999999998"/>
    <n v="1.6975"/>
    <n v="10687.71909692955"/>
    <n v="0.30029158231152198"/>
    <n v="0.28578179004092902"/>
  </r>
  <r>
    <n v="24"/>
    <x v="15"/>
    <n v="0.16715900994775756"/>
    <n v="2.6019000000000001"/>
    <n v="2.1918000000000002"/>
    <n v="10510.830286138087"/>
    <n v="0.30745094713335369"/>
    <n v="0.49116754935475632"/>
  </r>
  <r>
    <n v="24"/>
    <x v="16"/>
    <n v="0.17342400789911983"/>
    <n v="2.609"/>
    <n v="2.1364000000000001"/>
    <n v="11328.141587091815"/>
    <n v="0.31660761329359433"/>
    <n v="0.84135962142186971"/>
  </r>
  <r>
    <n v="24"/>
    <x v="17"/>
    <n v="0.18868332835800358"/>
    <n v="2.2120000000000002"/>
    <n v="1.7564"/>
    <n v="11681.830774048049"/>
    <n v="0.32703277792177987"/>
    <n v="1.4417691242923494"/>
  </r>
  <r>
    <n v="25"/>
    <x v="0"/>
    <n v="7.7557773965939047E-2"/>
    <n v="2.59"/>
    <n v="1.89"/>
    <n v="7747.8917368138482"/>
    <n v="9.2233831003680392E-2"/>
    <n v="9.9999999999999805E-6"/>
  </r>
  <r>
    <n v="25"/>
    <x v="1"/>
    <n v="8.1734812960403594E-2"/>
    <n v="2.4220000000000002"/>
    <n v="1.6560999999999999"/>
    <n v="7873.1901655484435"/>
    <n v="0.10331151182081566"/>
    <n v="9.9999999999999805E-6"/>
  </r>
  <r>
    <n v="25"/>
    <x v="2"/>
    <n v="9.1201567144159459E-2"/>
    <n v="2.2147000000000001"/>
    <n v="1.591"/>
    <n v="8359.6307158865857"/>
    <n v="0.11637752751827329"/>
    <n v="9.9999999999999805E-6"/>
  </r>
  <r>
    <n v="25"/>
    <x v="3"/>
    <n v="9.524850682112912E-2"/>
    <n v="2.0972"/>
    <n v="1.4645999999999999"/>
    <n v="8694.1685261475104"/>
    <n v="0.13102255000494695"/>
    <n v="9.9999999999999805E-6"/>
  </r>
  <r>
    <n v="25"/>
    <x v="4"/>
    <n v="0.11765863294262399"/>
    <n v="2.0047000000000001"/>
    <n v="1.5138"/>
    <n v="8866.8687838004407"/>
    <n v="0.14954772279658024"/>
    <n v="2.6450506077530011E-4"/>
  </r>
  <r>
    <n v="25"/>
    <x v="5"/>
    <n v="0.1349635495863572"/>
    <n v="1.9669000000000001"/>
    <n v="1.6134999999999999"/>
    <n v="9036.244606079943"/>
    <n v="0.16966250496199867"/>
    <n v="1.0550429072762003E-3"/>
  </r>
  <r>
    <n v="25"/>
    <x v="6"/>
    <n v="0.1542130641064319"/>
    <n v="1.8874"/>
    <n v="1.5752999999999999"/>
    <n v="9524.8434362443986"/>
    <n v="0.18650094582916465"/>
    <n v="1.8347801448480002E-3"/>
  </r>
  <r>
    <n v="25"/>
    <x v="7"/>
    <n v="0.15971243001199928"/>
    <n v="1.9055"/>
    <n v="1.5489999999999999"/>
    <n v="9425.6869815229384"/>
    <n v="0.19780882025719754"/>
    <n v="4.0874499702510054E-3"/>
  </r>
  <r>
    <n v="25"/>
    <x v="8"/>
    <n v="0.17400861079874277"/>
    <n v="1.8422000000000001"/>
    <n v="1.4751000000000001"/>
    <n v="9901.4553961385791"/>
    <n v="0.21159567279471897"/>
    <n v="8.6209410264244009E-3"/>
  </r>
  <r>
    <n v="25"/>
    <x v="9"/>
    <n v="0.16675807272641224"/>
    <n v="1.8567"/>
    <n v="1.3969"/>
    <n v="9692.7758942521068"/>
    <n v="0.22391434272476582"/>
    <n v="1.3342725269258698E-2"/>
  </r>
  <r>
    <n v="25"/>
    <x v="10"/>
    <n v="0.17367282465060513"/>
    <n v="2.0042"/>
    <n v="1.6536999999999999"/>
    <n v="9375.1545415016917"/>
    <n v="0.23322285884310587"/>
    <n v="1.9002779156451606E-2"/>
  </r>
  <r>
    <n v="25"/>
    <x v="11"/>
    <n v="0.17712373042445284"/>
    <n v="1.9414"/>
    <n v="1.5956999999999999"/>
    <n v="9484.8279585836299"/>
    <n v="0.24185491800142978"/>
    <n v="3.6019851161006713E-2"/>
  </r>
  <r>
    <n v="25"/>
    <x v="12"/>
    <n v="0.15958682055480591"/>
    <n v="2.1686000000000001"/>
    <n v="1.6252"/>
    <n v="9432.6204042741465"/>
    <n v="0.25448317726328268"/>
    <n v="5.5798879818721177E-2"/>
  </r>
  <r>
    <n v="25"/>
    <x v="13"/>
    <n v="0.16253662216251494"/>
    <n v="2.0985999999999998"/>
    <n v="1.6121000000000001"/>
    <n v="9506.7366737537104"/>
    <n v="0.26454315655030319"/>
    <n v="0.11721879373150715"/>
  </r>
  <r>
    <n v="25"/>
    <x v="14"/>
    <n v="0.15390322079916766"/>
    <n v="1.9137999999999999"/>
    <n v="1.4671000000000001"/>
    <n v="9183.3298785153893"/>
    <n v="0.27346676150212046"/>
    <n v="0.21488994193762881"/>
  </r>
  <r>
    <n v="25"/>
    <x v="15"/>
    <n v="0.16332357037910988"/>
    <n v="2.3925999999999998"/>
    <n v="1.9739"/>
    <n v="8907.3124134185455"/>
    <n v="0.28247335836675974"/>
    <n v="0.36503317195845697"/>
  </r>
  <r>
    <n v="25"/>
    <x v="16"/>
    <n v="0.17212808181472219"/>
    <n v="2.4232"/>
    <n v="1.8900999999999999"/>
    <n v="9117.6843041647498"/>
    <n v="0.29099966624834822"/>
    <n v="0.59385626018342796"/>
  </r>
  <r>
    <n v="25"/>
    <x v="17"/>
    <n v="0.18719983841986457"/>
    <n v="2.073"/>
    <n v="1.5557000000000001"/>
    <n v="9764.9292018409269"/>
    <n v="0.30224451064741664"/>
    <n v="1.0569212826408501"/>
  </r>
  <r>
    <n v="26"/>
    <x v="0"/>
    <n v="7.4994160023700893E-2"/>
    <n v="2.64"/>
    <n v="1.85"/>
    <n v="8791.1818585320289"/>
    <n v="0.10713342725751156"/>
    <n v="9.9999999999999805E-6"/>
  </r>
  <r>
    <n v="26"/>
    <x v="1"/>
    <n v="7.2166552956465194E-2"/>
    <n v="2.4889999999999999"/>
    <n v="1.5508"/>
    <n v="9172.5688572240724"/>
    <n v="0.11687761069340007"/>
    <n v="9.9999999999999805E-6"/>
  </r>
  <r>
    <n v="26"/>
    <x v="2"/>
    <n v="7.750456252641906E-2"/>
    <n v="2.3502999999999998"/>
    <n v="1.5367"/>
    <n v="9380.2145270841211"/>
    <n v="0.12865545952941737"/>
    <n v="9.9999999999999805E-6"/>
  </r>
  <r>
    <n v="26"/>
    <x v="3"/>
    <n v="7.9603236273724606E-2"/>
    <n v="2.2271999999999998"/>
    <n v="1.4559"/>
    <n v="9815.7753137252712"/>
    <n v="0.14303296067673851"/>
    <n v="9.9999999999999805E-6"/>
  </r>
  <r>
    <n v="26"/>
    <x v="4"/>
    <n v="0.10171706714767305"/>
    <n v="2.1438000000000001"/>
    <n v="1.522"/>
    <n v="10997.326078256034"/>
    <n v="0.16157249364956316"/>
    <n v="1.1315313545640001E-4"/>
  </r>
  <r>
    <n v="26"/>
    <x v="5"/>
    <n v="0.12485930138458325"/>
    <n v="2.0514000000000001"/>
    <n v="1.6212"/>
    <n v="11472.364357005028"/>
    <n v="0.18088561796368724"/>
    <n v="6.7682612765430005E-4"/>
  </r>
  <r>
    <n v="26"/>
    <x v="6"/>
    <n v="0.14446558223756534"/>
    <n v="1.9744999999999999"/>
    <n v="1.5535000000000001"/>
    <n v="12256.693871243035"/>
    <n v="0.19783355286759827"/>
    <n v="1.0077227391964004E-3"/>
  </r>
  <r>
    <n v="26"/>
    <x v="7"/>
    <n v="0.14980589343599143"/>
    <n v="1.9397"/>
    <n v="1.5559000000000001"/>
    <n v="12194.542208121806"/>
    <n v="0.20813352807988231"/>
    <n v="2.2804893278529008E-3"/>
  </r>
  <r>
    <n v="26"/>
    <x v="8"/>
    <n v="0.16137808107524615"/>
    <n v="1.8873"/>
    <n v="1.5394999999999999"/>
    <n v="12335.529740323247"/>
    <n v="0.2207242140235427"/>
    <n v="4.634755905191002E-3"/>
  </r>
  <r>
    <n v="26"/>
    <x v="9"/>
    <n v="0.14742626701506745"/>
    <n v="1.9672000000000001"/>
    <n v="1.4492"/>
    <n v="11518.721069090956"/>
    <n v="0.22966476918083806"/>
    <n v="6.7414482321515E-3"/>
  </r>
  <r>
    <n v="26"/>
    <x v="10"/>
    <n v="0.15314541266114193"/>
    <n v="2.0261"/>
    <n v="1.6208"/>
    <n v="11281.321731083779"/>
    <n v="0.23511020222869825"/>
    <n v="9.6702179390830995E-3"/>
  </r>
  <r>
    <n v="26"/>
    <x v="11"/>
    <n v="0.15781062307339405"/>
    <n v="1.952"/>
    <n v="1.5744000000000002"/>
    <n v="11730.924202043936"/>
    <n v="0.24084998774445893"/>
    <n v="1.8895278566019306E-2"/>
  </r>
  <r>
    <n v="26"/>
    <x v="12"/>
    <n v="0.13806835277003843"/>
    <n v="2.2044999999999999"/>
    <n v="1.6508"/>
    <n v="11491.687963873068"/>
    <n v="0.24845692435385852"/>
    <n v="2.8642752635922999E-2"/>
  </r>
  <r>
    <n v="26"/>
    <x v="13"/>
    <n v="0.1431261251485941"/>
    <n v="2.1232000000000002"/>
    <n v="1.6563000000000001"/>
    <n v="11631.984593344552"/>
    <n v="0.25621479635340155"/>
    <n v="6.0269511443411888E-2"/>
  </r>
  <r>
    <n v="26"/>
    <x v="14"/>
    <n v="0.13238267474615042"/>
    <n v="2.0078999999999998"/>
    <n v="1.5893999999999999"/>
    <n v="10607.755571328013"/>
    <n v="0.26161465654100324"/>
    <n v="0.10429858887024872"/>
  </r>
  <r>
    <n v="26"/>
    <x v="15"/>
    <n v="0.13616073956310998"/>
    <n v="2.4567000000000001"/>
    <n v="2.0337000000000001"/>
    <n v="10653.961638176659"/>
    <n v="0.26795488027495779"/>
    <n v="0.18325973485944344"/>
  </r>
  <r>
    <n v="26"/>
    <x v="16"/>
    <n v="0.13999541282175224"/>
    <n v="2.4716999999999998"/>
    <n v="1.9709000000000001"/>
    <n v="10924.872042864386"/>
    <n v="0.27512268221139186"/>
    <n v="0.29861104005015932"/>
  </r>
  <r>
    <n v="26"/>
    <x v="17"/>
    <n v="0.15133095354081474"/>
    <n v="2.0960999999999999"/>
    <n v="1.6096999999999999"/>
    <n v="11430.453590872692"/>
    <n v="0.28418065378763147"/>
    <n v="0.51918423474280018"/>
  </r>
  <r>
    <n v="27"/>
    <x v="0"/>
    <n v="5.5365013774104625E-2"/>
    <n v="2.7999999999999989"/>
    <n v="1.95"/>
    <n v="7681.9203288018462"/>
    <n v="6.9263226352923882E-2"/>
    <n v="9.9999999999999805E-6"/>
  </r>
  <r>
    <n v="27"/>
    <x v="1"/>
    <n v="5.2924810608635603E-2"/>
    <n v="2.6804999999999999"/>
    <n v="1.6943999999999999"/>
    <n v="8141.6619657596757"/>
    <n v="7.6016491502719524E-2"/>
    <n v="9.9999999999999805E-6"/>
  </r>
  <r>
    <n v="27"/>
    <x v="2"/>
    <n v="5.5114731611863491E-2"/>
    <n v="2.4950000000000001"/>
    <n v="1.6271"/>
    <n v="8282.1167429241996"/>
    <n v="8.4057220325109636E-2"/>
    <n v="9.9999999999999805E-6"/>
  </r>
  <r>
    <n v="27"/>
    <x v="3"/>
    <n v="5.6842310212451487E-2"/>
    <n v="2.3311999999999999"/>
    <n v="1.5339"/>
    <n v="8307.4952945209789"/>
    <n v="9.4139047206242568E-2"/>
    <n v="9.9999999999999805E-6"/>
  </r>
  <r>
    <n v="27"/>
    <x v="4"/>
    <n v="7.7888131296936267E-2"/>
    <n v="2.2338"/>
    <n v="1.6037999999999999"/>
    <n v="8614.3574751741889"/>
    <n v="0.10718832566181527"/>
    <n v="3.1748591791210017E-4"/>
  </r>
  <r>
    <n v="27"/>
    <x v="5"/>
    <n v="9.6423497733652649E-2"/>
    <n v="2.1667000000000001"/>
    <n v="1.7363999999999999"/>
    <n v="9297.6611553026887"/>
    <n v="0.12136570014990211"/>
    <n v="1.2725139531154E-3"/>
  </r>
  <r>
    <n v="27"/>
    <x v="6"/>
    <n v="0.11493788288128909"/>
    <n v="2.0036"/>
    <n v="1.6477999999999999"/>
    <n v="9362.0668252001578"/>
    <n v="0.13562937849394974"/>
    <n v="2.2113605806653005E-3"/>
  </r>
  <r>
    <n v="27"/>
    <x v="7"/>
    <n v="0.12133470365214694"/>
    <n v="1.9809000000000001"/>
    <n v="1.6656"/>
    <n v="8985.5255975655346"/>
    <n v="0.14385530160393944"/>
    <n v="4.8471115002263997E-3"/>
  </r>
  <r>
    <n v="27"/>
    <x v="8"/>
    <n v="0.1329463954023957"/>
    <n v="1.9323999999999999"/>
    <n v="1.6295999999999999"/>
    <n v="9099.6096764336635"/>
    <n v="0.15625622792942234"/>
    <n v="9.6335343330131995E-3"/>
  </r>
  <r>
    <n v="27"/>
    <x v="9"/>
    <n v="0.12747122359868446"/>
    <n v="1.9672000000000001"/>
    <n v="1.5365"/>
    <n v="9517.7831521563439"/>
    <n v="0.16619344542181633"/>
    <n v="1.5564519122208994E-2"/>
  </r>
  <r>
    <n v="27"/>
    <x v="10"/>
    <n v="0.13514952978047087"/>
    <n v="2.0699000000000001"/>
    <n v="1.7632000000000001"/>
    <n v="9342.8189213158967"/>
    <n v="0.17386407650218233"/>
    <n v="2.2328319782027886E-2"/>
  </r>
  <r>
    <n v="27"/>
    <x v="11"/>
    <n v="0.13497766322464172"/>
    <n v="2.0636999999999999"/>
    <n v="1.7126999999999999"/>
    <n v="9580.0436397287358"/>
    <n v="0.18179270654889185"/>
    <n v="4.3248712980508683E-2"/>
  </r>
  <r>
    <n v="27"/>
    <x v="12"/>
    <n v="0.12571210899175994"/>
    <n v="2.3275000000000001"/>
    <n v="1.7789999999999999"/>
    <n v="9589.5937004111001"/>
    <n v="0.19390758452158102"/>
    <n v="6.8315466982863907E-2"/>
  </r>
  <r>
    <n v="27"/>
    <x v="13"/>
    <n v="0.13096328022444101"/>
    <n v="2.2214999999999998"/>
    <n v="1.7399"/>
    <n v="9926.9866243557408"/>
    <n v="0.20419961064998432"/>
    <n v="0.14742204684725074"/>
  </r>
  <r>
    <n v="27"/>
    <x v="14"/>
    <n v="0.12646932174225414"/>
    <n v="2.0737000000000001"/>
    <n v="1.6364000000000001"/>
    <n v="9951.4447300541815"/>
    <n v="0.21207604974783251"/>
    <n v="0.28076620231338206"/>
  </r>
  <r>
    <n v="27"/>
    <x v="15"/>
    <n v="0.13067651190024468"/>
    <n v="2.5036999999999998"/>
    <n v="2.0636000000000001"/>
    <n v="10578.536390914354"/>
    <n v="0.22185769032710098"/>
    <n v="0.52297665236107616"/>
  </r>
  <r>
    <n v="27"/>
    <x v="16"/>
    <n v="0.13875115552582773"/>
    <n v="2.4756999999999998"/>
    <n v="1.9547000000000001"/>
    <n v="9718.1985284150105"/>
    <n v="0.23225779420928147"/>
    <n v="0.76366477077725325"/>
  </r>
  <r>
    <n v="27"/>
    <x v="17"/>
    <n v="0.15009618610361891"/>
    <n v="2.1425000000000001"/>
    <n v="1.629"/>
    <n v="10896.490197515801"/>
    <n v="0.24422415373611836"/>
    <n v="1.4227342110822914"/>
  </r>
  <r>
    <n v="28"/>
    <x v="0"/>
    <n v="8.5375761344063938E-2"/>
    <n v="2.5499999999999998"/>
    <n v="2.0499999999999998"/>
    <n v="11056.021417446958"/>
    <n v="0.10606036372578505"/>
    <n v="9.9999999999999805E-6"/>
  </r>
  <r>
    <n v="28"/>
    <x v="1"/>
    <n v="8.8188675717079945E-2"/>
    <n v="2.4123999999999999"/>
    <n v="1.8189"/>
    <n v="11528.946140108079"/>
    <n v="0.11752220937813737"/>
    <n v="9.9999999999999805E-6"/>
  </r>
  <r>
    <n v="28"/>
    <x v="2"/>
    <n v="9.8697527326053053E-2"/>
    <n v="2.278"/>
    <n v="1.6543000000000001"/>
    <n v="12464.349076711007"/>
    <n v="0.13099550159199827"/>
    <n v="9.9999999999999805E-6"/>
  </r>
  <r>
    <n v="28"/>
    <x v="3"/>
    <n v="0.10401217223132973"/>
    <n v="2.2099000000000002"/>
    <n v="1.5339"/>
    <n v="11653.197127513829"/>
    <n v="0.1479220212716971"/>
    <n v="9.9999999999999805E-6"/>
  </r>
  <r>
    <n v="28"/>
    <x v="4"/>
    <n v="0.12608026089804641"/>
    <n v="2.1356999999999999"/>
    <n v="1.5791999999999999"/>
    <n v="12850.665945086243"/>
    <n v="0.16519389959552239"/>
    <n v="4.8667744819440013E-4"/>
  </r>
  <r>
    <n v="28"/>
    <x v="5"/>
    <n v="0.14278803571026966"/>
    <n v="2.0975000000000001"/>
    <n v="1.7057"/>
    <n v="12858.92739466911"/>
    <n v="0.18217989213419911"/>
    <n v="2.8710620393439996E-3"/>
  </r>
  <r>
    <n v="28"/>
    <x v="6"/>
    <n v="0.16111489733839218"/>
    <n v="1.9963"/>
    <n v="1.6624000000000001"/>
    <n v="13311.241238410565"/>
    <n v="0.19839904645816159"/>
    <n v="4.7373898971370017E-3"/>
  </r>
  <r>
    <n v="28"/>
    <x v="7"/>
    <n v="0.16710088802374862"/>
    <n v="1.974"/>
    <n v="1.6998"/>
    <n v="12803.444476290066"/>
    <n v="0.20622527511065011"/>
    <n v="1.0019757139304603E-2"/>
  </r>
  <r>
    <n v="28"/>
    <x v="8"/>
    <n v="0.18161073701530112"/>
    <n v="1.8936999999999999"/>
    <n v="1.6103000000000001"/>
    <n v="12454.045422094507"/>
    <n v="0.2198282192889266"/>
    <n v="1.9373086907667793E-2"/>
  </r>
  <r>
    <n v="28"/>
    <x v="9"/>
    <n v="0.17421218696735563"/>
    <n v="1.9614"/>
    <n v="1.5424"/>
    <n v="11788.901380065505"/>
    <n v="0.23047147556975528"/>
    <n v="2.8534015890771681E-2"/>
  </r>
  <r>
    <n v="28"/>
    <x v="10"/>
    <n v="0.17576824129802582"/>
    <n v="2.0150999999999999"/>
    <n v="1.7194"/>
    <n v="10885.099022985027"/>
    <n v="0.23768160972451424"/>
    <n v="3.8838739347482713E-2"/>
  </r>
  <r>
    <n v="28"/>
    <x v="11"/>
    <n v="0.1754403622893245"/>
    <n v="1.9733000000000001"/>
    <n v="1.6808000000000001"/>
    <n v="10887.603895694101"/>
    <n v="0.24477605156381929"/>
    <n v="7.2548769380573322E-2"/>
  </r>
  <r>
    <n v="28"/>
    <x v="12"/>
    <n v="0.16245215308904662"/>
    <n v="2.266"/>
    <n v="1.7995000000000001"/>
    <n v="10800.073771676163"/>
    <n v="0.25518235462457239"/>
    <n v="0.11236408773528421"/>
  </r>
  <r>
    <n v="28"/>
    <x v="13"/>
    <n v="0.16534610057180238"/>
    <n v="2.1576"/>
    <n v="1.7103999999999999"/>
    <n v="10923.42802858665"/>
    <n v="0.26287469069420222"/>
    <n v="0.23535082498947241"/>
  </r>
  <r>
    <n v="28"/>
    <x v="14"/>
    <n v="0.15418351214539097"/>
    <n v="2.0783999999999998"/>
    <n v="1.6598999999999999"/>
    <n v="10334.239461890566"/>
    <n v="0.26891197340718692"/>
    <n v="0.42133462594369031"/>
  </r>
  <r>
    <n v="28"/>
    <x v="15"/>
    <n v="0.15653101552550935"/>
    <n v="2.4866000000000001"/>
    <n v="2.0764"/>
    <n v="10352.346728849665"/>
    <n v="0.27578968164709111"/>
    <n v="0.73680528412973589"/>
  </r>
  <r>
    <n v="28"/>
    <x v="16"/>
    <n v="0.16323197948747764"/>
    <n v="2.4554999999999998"/>
    <n v="1.9911000000000001"/>
    <n v="10548.626966389191"/>
    <n v="0.28483831763791262"/>
    <n v="1.1930857473720042"/>
  </r>
  <r>
    <n v="28"/>
    <x v="17"/>
    <n v="0.17912781155574098"/>
    <n v="2.1617999999999999"/>
    <n v="1.7023999999999999"/>
    <n v="10633.302794129851"/>
    <n v="0.29608411297281895"/>
    <n v="1.9983117195230733"/>
  </r>
  <r>
    <n v="29"/>
    <x v="0"/>
    <n v="7.214442271786968E-2"/>
    <n v="2.64"/>
    <n v="1.86"/>
    <n v="9207.743552526259"/>
    <n v="7.7606714653739112E-2"/>
    <n v="9.9999999999999805E-6"/>
  </r>
  <r>
    <n v="29"/>
    <x v="1"/>
    <n v="6.9512665718848204E-2"/>
    <n v="2.4986000000000002"/>
    <n v="1.6177999999999999"/>
    <n v="9726.670476068568"/>
    <n v="8.5444028737088951E-2"/>
    <n v="9.9999999999999805E-6"/>
  </r>
  <r>
    <n v="29"/>
    <x v="2"/>
    <n v="7.2407504797600192E-2"/>
    <n v="2.3683999999999998"/>
    <n v="1.5367"/>
    <n v="9761.2790348161252"/>
    <n v="9.5190967279369834E-2"/>
    <n v="9.9999999999999805E-6"/>
  </r>
  <r>
    <n v="29"/>
    <x v="3"/>
    <n v="7.2175755825980695E-2"/>
    <n v="2.2879"/>
    <n v="1.4993000000000001"/>
    <n v="10217.812639195143"/>
    <n v="0.10728120172457273"/>
    <n v="9.9999999999999805E-6"/>
  </r>
  <r>
    <n v="29"/>
    <x v="4"/>
    <n v="8.8631325574915917E-2"/>
    <n v="2.2174999999999998"/>
    <n v="1.5382999999999998"/>
    <n v="10747.875075109019"/>
    <n v="0.12376783101857525"/>
    <n v="6.9601778297594775E-5"/>
  </r>
  <r>
    <n v="29"/>
    <x v="5"/>
    <n v="0.11270238468657003"/>
    <n v="2.1128999999999998"/>
    <n v="1.6134999999999999"/>
    <n v="10910.287192596943"/>
    <n v="0.1410196989062058"/>
    <n v="3.5467195893969992E-4"/>
  </r>
  <r>
    <n v="29"/>
    <x v="6"/>
    <n v="0.12999545619396377"/>
    <n v="1.9818"/>
    <n v="1.5317000000000001"/>
    <n v="11015.492448463852"/>
    <n v="0.15593748326759829"/>
    <n v="5.643603212083998E-4"/>
  </r>
  <r>
    <n v="29"/>
    <x v="7"/>
    <n v="0.12920191965813646"/>
    <n v="1.9877"/>
    <n v="1.5353000000000001"/>
    <n v="10832.573461375683"/>
    <n v="0.16069589103050563"/>
    <n v="1.2629504769864001E-3"/>
  </r>
  <r>
    <n v="29"/>
    <x v="8"/>
    <n v="0.14180646369178704"/>
    <n v="1.9453"/>
    <n v="1.5266"/>
    <n v="10920.578881087871"/>
    <n v="0.17287728828018306"/>
    <n v="2.5121689795919002E-3"/>
  </r>
  <r>
    <n v="29"/>
    <x v="9"/>
    <n v="0.13489103968905766"/>
    <n v="2.0487000000000002"/>
    <n v="1.5016"/>
    <n v="11053.432296744906"/>
    <n v="0.18245688741693092"/>
    <n v="3.9465027868229013E-3"/>
  </r>
  <r>
    <n v="29"/>
    <x v="10"/>
    <n v="0.144704821751171"/>
    <n v="2.0699000000000001"/>
    <n v="1.6482000000000001"/>
    <n v="10744.55413411627"/>
    <n v="0.18926269162847206"/>
    <n v="5.6949971610110979E-3"/>
  </r>
  <r>
    <n v="29"/>
    <x v="11"/>
    <n v="0.1467068647048668"/>
    <n v="2.0318000000000001"/>
    <n v="1.6063000000000001"/>
    <n v="10716.396033952875"/>
    <n v="0.19569737508298593"/>
    <n v="1.0687905533513087E-2"/>
  </r>
  <r>
    <n v="29"/>
    <x v="12"/>
    <n v="0.13574708912003863"/>
    <n v="2.3121"/>
    <n v="1.7379"/>
    <n v="11316.231148439196"/>
    <n v="0.21081305214331805"/>
    <n v="1.8092684094917096E-2"/>
  </r>
  <r>
    <n v="29"/>
    <x v="13"/>
    <n v="0.13740833361572297"/>
    <n v="2.2363"/>
    <n v="1.6907000000000001"/>
    <n v="11077.931407395279"/>
    <n v="0.21879183737796049"/>
    <n v="3.6912367216331378E-2"/>
  </r>
  <r>
    <n v="29"/>
    <x v="14"/>
    <n v="0.1340248377932243"/>
    <n v="2.0455000000000001"/>
    <n v="1.5659000000000001"/>
    <n v="10791.352322165296"/>
    <n v="0.22573964374185315"/>
    <n v="6.8315920141100467E-2"/>
  </r>
  <r>
    <n v="29"/>
    <x v="15"/>
    <n v="0.13774574042106913"/>
    <n v="2.5122"/>
    <n v="2.0421999999999998"/>
    <n v="10984.150172269005"/>
    <n v="0.23299965486139593"/>
    <n v="0.12198634340196673"/>
  </r>
  <r>
    <n v="29"/>
    <x v="16"/>
    <n v="0.14338443769233872"/>
    <n v="2.617"/>
    <n v="2.0274000000000001"/>
    <n v="11552.759367757064"/>
    <n v="0.24104701652634677"/>
    <n v="0.20393340559978712"/>
  </r>
  <r>
    <n v="29"/>
    <x v="17"/>
    <n v="0.15594941343787688"/>
    <n v="2.2273999999999998"/>
    <n v="1.6831"/>
    <n v="11759.211430994575"/>
    <n v="0.25072704661453199"/>
    <n v="0.34487167543838326"/>
  </r>
  <r>
    <n v="31"/>
    <x v="0"/>
    <n v="0.13850820119515242"/>
    <n v="2.4900000000000002"/>
    <n v="1.91"/>
    <n v="14707.253283804666"/>
    <n v="0.19561468048533032"/>
    <n v="9.9999999999999805E-6"/>
  </r>
  <r>
    <n v="31"/>
    <x v="1"/>
    <n v="0.14378897566137255"/>
    <n v="2.355"/>
    <n v="1.6177999999999999"/>
    <n v="15469.861725040613"/>
    <n v="0.21372720103446222"/>
    <n v="9.9999999999999805E-6"/>
  </r>
  <r>
    <n v="31"/>
    <x v="2"/>
    <n v="0.14734870171677061"/>
    <n v="2.2147000000000001"/>
    <n v="1.4735"/>
    <n v="16330.828935302969"/>
    <n v="0.2351028158101284"/>
    <n v="9.9999999999999805E-6"/>
  </r>
  <r>
    <n v="31"/>
    <x v="3"/>
    <n v="0.15015194124489956"/>
    <n v="2.1145"/>
    <n v="1.4298999999999999"/>
    <n v="15556.625102945467"/>
    <n v="0.25536241122131159"/>
    <n v="4.9915978928468613E-5"/>
  </r>
  <r>
    <n v="31"/>
    <x v="4"/>
    <n v="0.18499421085757325"/>
    <n v="2.0619999999999998"/>
    <n v="1.5138"/>
    <n v="17661.09280317977"/>
    <n v="0.28193402776887089"/>
    <n v="1.0059763546260005E-4"/>
  </r>
  <r>
    <n v="31"/>
    <x v="5"/>
    <n v="0.20781491695778653"/>
    <n v="2.1436000000000002"/>
    <n v="1.6518999999999999"/>
    <n v="18723.7937930632"/>
    <n v="0.3097303263909772"/>
    <n v="4.5618816971269984E-4"/>
  </r>
  <r>
    <n v="31"/>
    <x v="6"/>
    <n v="0.22458982252223236"/>
    <n v="2.0398000000000001"/>
    <n v="1.5462"/>
    <n v="19051.313551115632"/>
    <n v="0.33211708572790427"/>
    <n v="7.0510027230970024E-4"/>
  </r>
  <r>
    <n v="31"/>
    <x v="7"/>
    <n v="0.22606448992577993"/>
    <n v="1.9809000000000001"/>
    <n v="1.4324999999999999"/>
    <n v="18852.639023814292"/>
    <n v="0.34150562929131106"/>
    <n v="1.6024585793591995E-3"/>
  </r>
  <r>
    <n v="31"/>
    <x v="8"/>
    <n v="0.24047704030708439"/>
    <n v="1.9195"/>
    <n v="1.4171"/>
    <n v="18380.868946074668"/>
    <n v="0.35828191601495823"/>
    <n v="3.0867030283498009E-3"/>
  </r>
  <r>
    <n v="31"/>
    <x v="9"/>
    <n v="0.20587513712258126"/>
    <n v="1.9614"/>
    <n v="1.3503000000000001"/>
    <n v="17066.055471709096"/>
    <n v="0.3713475726625694"/>
    <n v="4.4563491259158013E-3"/>
  </r>
  <r>
    <n v="31"/>
    <x v="10"/>
    <n v="0.21491741802380851"/>
    <n v="2.0314999999999999"/>
    <n v="1.4839"/>
    <n v="16459.964972211055"/>
    <n v="0.38251687338909851"/>
    <n v="6.3340692918604996E-3"/>
  </r>
  <r>
    <n v="31"/>
    <x v="11"/>
    <n v="0.21639731478949162"/>
    <n v="2.0478000000000001"/>
    <n v="1.4626999999999999"/>
    <n v="16699.926856792696"/>
    <n v="0.39531895965896219"/>
    <n v="1.2074128901316697E-2"/>
  </r>
  <r>
    <n v="31"/>
    <x v="12"/>
    <n v="0.16980050104887379"/>
    <n v="2.3942000000000001"/>
    <n v="1.5688"/>
    <n v="17113.230174502107"/>
    <n v="0.41300373533874551"/>
    <n v="1.9248443798964111E-2"/>
  </r>
  <r>
    <n v="31"/>
    <x v="13"/>
    <n v="0.15592159797883581"/>
    <n v="2.2902999999999998"/>
    <n v="1.4744999999999999"/>
    <n v="17302.222352660563"/>
    <n v="0.4282991881775392"/>
    <n v="4.0484125900246179E-2"/>
  </r>
  <r>
    <n v="31"/>
    <x v="14"/>
    <n v="0.152138922857288"/>
    <n v="2.0924999999999998"/>
    <n v="1.4059999999999999"/>
    <n v="16922.025727802244"/>
    <n v="0.43521464151083761"/>
    <n v="7.5143244157401395E-2"/>
  </r>
  <r>
    <n v="31"/>
    <x v="15"/>
    <n v="0.17233673266992403"/>
    <n v="2.5634999999999999"/>
    <n v="1.8842000000000001"/>
    <n v="18696.176845867594"/>
    <n v="0.44561172763417839"/>
    <n v="0.14529288191443607"/>
  </r>
  <r>
    <n v="31"/>
    <x v="16"/>
    <n v="0.20000153045571856"/>
    <n v="2.512"/>
    <n v="1.8213999999999999"/>
    <n v="18207.45714713246"/>
    <n v="0.46140241584093122"/>
    <n v="0.22492141411119393"/>
  </r>
  <r>
    <n v="31"/>
    <x v="17"/>
    <n v="0.22389320006428198"/>
    <n v="2.0575000000000001"/>
    <n v="1.4206000000000001"/>
    <n v="18560.031482310118"/>
    <n v="0.47462518896597938"/>
    <n v="0.38090927190425627"/>
  </r>
  <r>
    <n v="32"/>
    <x v="0"/>
    <n v="0.13325841840379754"/>
    <n v="2.62"/>
    <n v="1.97"/>
    <n v="20790.648908880194"/>
    <n v="0.17901240804379531"/>
    <n v="9.9999999999999805E-6"/>
  </r>
  <r>
    <n v="32"/>
    <x v="1"/>
    <n v="0.1373195833668211"/>
    <n v="2.5081000000000002"/>
    <n v="1.7231000000000001"/>
    <n v="22195.501525051139"/>
    <n v="0.20165303735278101"/>
    <n v="9.9999999999999805E-6"/>
  </r>
  <r>
    <n v="32"/>
    <x v="2"/>
    <n v="0.14051579403332012"/>
    <n v="2.3774000000000002"/>
    <n v="1.6"/>
    <n v="24287.412341768668"/>
    <n v="0.22780215459256684"/>
    <n v="9.9999999999999805E-6"/>
  </r>
  <r>
    <n v="32"/>
    <x v="3"/>
    <n v="0.14659260627225454"/>
    <n v="2.2791999999999999"/>
    <n v="1.5946"/>
    <n v="21520.310437546003"/>
    <n v="0.25020309996647733"/>
    <n v="2.8676310127409988E-4"/>
  </r>
  <r>
    <n v="32"/>
    <x v="4"/>
    <n v="0.18146163615928551"/>
    <n v="2.2010999999999998"/>
    <n v="1.6611"/>
    <n v="24255.673735978246"/>
    <n v="0.26847651506471043"/>
    <n v="5.6864594312339991E-4"/>
  </r>
  <r>
    <n v="32"/>
    <x v="5"/>
    <n v="0.20178784653747969"/>
    <n v="2.2050999999999998"/>
    <n v="1.8286"/>
    <n v="27582.746208558936"/>
    <n v="0.28717739082139959"/>
    <n v="3.9469362612082007E-3"/>
  </r>
  <r>
    <n v="32"/>
    <x v="6"/>
    <n v="0.22967078313513978"/>
    <n v="2.0543999999999998"/>
    <n v="1.7858000000000001"/>
    <n v="27930.86629347632"/>
    <n v="0.30736959369402517"/>
    <n v="5.8690907688425014E-3"/>
  </r>
  <r>
    <n v="32"/>
    <x v="7"/>
    <n v="0.22444290281259976"/>
    <n v="1.9809000000000001"/>
    <n v="1.7067000000000001"/>
    <n v="24300.689859263231"/>
    <n v="0.30495920420194378"/>
    <n v="1.1199765794665003E-2"/>
  </r>
  <r>
    <n v="32"/>
    <x v="8"/>
    <n v="0.24064911150412777"/>
    <n v="1.9323999999999999"/>
    <n v="1.6812"/>
    <n v="24453.040370687722"/>
    <n v="0.31837127408174271"/>
    <n v="2.2136142941826392E-2"/>
  </r>
  <r>
    <n v="32"/>
    <x v="9"/>
    <n v="0.23334401720547882"/>
    <n v="1.9672000000000001"/>
    <n v="1.6296999999999999"/>
    <n v="21004.556177938885"/>
    <n v="0.3272150438012465"/>
    <n v="2.92627492072975E-2"/>
  </r>
  <r>
    <n v="32"/>
    <x v="10"/>
    <n v="0.23835461284541828"/>
    <n v="2.0150999999999999"/>
    <n v="1.7523"/>
    <n v="17443.608153012163"/>
    <n v="0.33264740618119604"/>
    <n v="3.5483329503985812E-2"/>
  </r>
  <r>
    <n v="32"/>
    <x v="11"/>
    <n v="0.23343559186486454"/>
    <n v="2.0051999999999999"/>
    <n v="1.7765"/>
    <n v="17277.22576098832"/>
    <n v="0.33858651972086157"/>
    <n v="6.5731225020889489E-2"/>
  </r>
  <r>
    <n v="32"/>
    <x v="12"/>
    <n v="0.22899200178834481"/>
    <n v="2.2454999999999998"/>
    <n v="1.8250999999999999"/>
    <n v="20199.306216260851"/>
    <n v="0.35318478456787189"/>
    <n v="0.12033064242465732"/>
  </r>
  <r>
    <n v="32"/>
    <x v="13"/>
    <n v="0.23208394610130254"/>
    <n v="2.1920000000000002"/>
    <n v="1.7644"/>
    <n v="19203.027900787569"/>
    <n v="0.360620108742986"/>
    <n v="0.23689547484851875"/>
  </r>
  <r>
    <n v="32"/>
    <x v="14"/>
    <n v="0.22250434787743847"/>
    <n v="1.9750000000000001"/>
    <n v="1.6880999999999999"/>
    <n v="17977.058141849553"/>
    <n v="0.36694609222519808"/>
    <n v="0.4183017343282025"/>
  </r>
  <r>
    <n v="32"/>
    <x v="15"/>
    <n v="0.25328694990979683"/>
    <n v="2.4994000000000001"/>
    <n v="2.1234000000000002"/>
    <n v="21170.979545445691"/>
    <n v="0.37390580716892841"/>
    <n v="0.85748889864641864"/>
  </r>
  <r>
    <n v="32"/>
    <x v="16"/>
    <n v="0.24462455470453007"/>
    <n v="2.508"/>
    <n v="2.0880000000000001"/>
    <n v="19103.854798213848"/>
    <n v="0.3858327645948359"/>
    <n v="1.2298868591712613"/>
  </r>
  <r>
    <n v="32"/>
    <x v="17"/>
    <n v="0.24415963410561697"/>
    <n v="2.1617999999999999"/>
    <n v="1.6715"/>
    <n v="20881.468432506408"/>
    <n v="0.40015840300177091"/>
    <n v="2.2336575710695952"/>
  </r>
  <r>
    <n v="33"/>
    <x v="0"/>
    <n v="0.10672361345661004"/>
    <n v="2.56"/>
    <n v="1.88"/>
    <n v="25948.111505540506"/>
    <n v="0.18164373860987079"/>
    <n v="9.9999999999999805E-6"/>
  </r>
  <r>
    <n v="33"/>
    <x v="1"/>
    <n v="0.10403686737217262"/>
    <n v="2.4220000000000002"/>
    <n v="1.6274"/>
    <n v="26066.934141604648"/>
    <n v="0.19263740547600533"/>
    <n v="9.9999999999999805E-6"/>
  </r>
  <r>
    <n v="33"/>
    <x v="2"/>
    <n v="0.10183925240616361"/>
    <n v="2.3050999999999999"/>
    <n v="1.5186999999999999"/>
    <n v="27730.362316660874"/>
    <n v="0.20502928297628295"/>
    <n v="9.9999999999999805E-6"/>
  </r>
  <r>
    <n v="33"/>
    <x v="3"/>
    <n v="0.10223902682432799"/>
    <n v="2.2271999999999998"/>
    <n v="1.4819"/>
    <n v="26522.770284806225"/>
    <n v="0.21763751614650673"/>
    <n v="6.2459288255174158E-5"/>
  </r>
  <r>
    <n v="33"/>
    <x v="4"/>
    <n v="0.11625664926320335"/>
    <n v="2.1684000000000001"/>
    <n v="1.5301"/>
    <n v="28008.379575226652"/>
    <n v="0.23338196291591704"/>
    <n v="1.8678142849680004E-4"/>
  </r>
  <r>
    <n v="33"/>
    <x v="5"/>
    <n v="0.14150830855057114"/>
    <n v="2.1743000000000001"/>
    <n v="1.7210000000000001"/>
    <n v="29379.885507306732"/>
    <n v="0.2496454655147953"/>
    <n v="9.3094394364480015E-4"/>
  </r>
  <r>
    <n v="33"/>
    <x v="6"/>
    <n v="0.15221512916504559"/>
    <n v="2.0689000000000002"/>
    <n v="1.6188"/>
    <n v="30291.997408289466"/>
    <n v="0.26567956545860438"/>
    <n v="1.4170095983917004E-3"/>
  </r>
  <r>
    <n v="33"/>
    <x v="7"/>
    <n v="0.15986270356014803"/>
    <n v="2.0562999999999998"/>
    <n v="1.5696000000000001"/>
    <n v="30532.625447000119"/>
    <n v="0.2802799700583638"/>
    <n v="3.2988826134774008E-3"/>
  </r>
  <r>
    <n v="33"/>
    <x v="8"/>
    <n v="0.17380373682968991"/>
    <n v="2.0160999999999998"/>
    <n v="1.5781000000000001"/>
    <n v="30073.201780432046"/>
    <n v="0.29469977625531307"/>
    <n v="6.3786462848059982E-3"/>
  </r>
  <r>
    <n v="33"/>
    <x v="9"/>
    <n v="0.16517034899768124"/>
    <n v="2.0661999999999998"/>
    <n v="1.5889"/>
    <n v="27313.088858541851"/>
    <n v="0.30526559961484051"/>
    <n v="9.0030080923145031E-3"/>
  </r>
  <r>
    <n v="33"/>
    <x v="10"/>
    <n v="0.16139120975984836"/>
    <n v="2.1465000000000001"/>
    <n v="1.7742"/>
    <n v="24420.560514903955"/>
    <n v="0.31222086131783139"/>
    <n v="1.1901902356792997E-2"/>
  </r>
  <r>
    <n v="33"/>
    <x v="11"/>
    <n v="0.15089725339309457"/>
    <n v="2.1861000000000002"/>
    <n v="1.7605999999999999"/>
    <n v="24580.946039728802"/>
    <n v="0.3181605358612104"/>
    <n v="2.2489442522607195E-2"/>
  </r>
  <r>
    <n v="33"/>
    <x v="12"/>
    <n v="0.11664380511376478"/>
    <n v="2.4864000000000002"/>
    <n v="1.8097000000000001"/>
    <n v="25896.96213076837"/>
    <n v="0.31823471616483939"/>
    <n v="3.5780969186408287E-2"/>
  </r>
  <r>
    <n v="33"/>
    <x v="13"/>
    <n v="0.11776343194414252"/>
    <n v="2.3885999999999998"/>
    <n v="1.8824000000000001"/>
    <n v="25381.920427226418"/>
    <n v="0.32621451458021017"/>
    <n v="7.2864416638965993E-2"/>
  </r>
  <r>
    <n v="33"/>
    <x v="14"/>
    <n v="0.10681275091501073"/>
    <n v="2.2383000000000002"/>
    <n v="1.8291999999999999"/>
    <n v="22906.723932648671"/>
    <n v="0.33011456917807358"/>
    <n v="0.1247251195987789"/>
  </r>
  <r>
    <n v="33"/>
    <x v="15"/>
    <n v="0.10607070155901939"/>
    <n v="2.6917"/>
    <n v="2.2473000000000001"/>
    <n v="25374.847717926255"/>
    <n v="0.33627799570403144"/>
    <n v="0.2418207412564452"/>
  </r>
  <r>
    <n v="33"/>
    <x v="16"/>
    <n v="0.11986880981420001"/>
    <n v="2.5928"/>
    <n v="2.1364000000000001"/>
    <n v="28400.193897224424"/>
    <n v="0.34270362460258891"/>
    <n v="0.43015804127833668"/>
  </r>
  <r>
    <n v="33"/>
    <x v="17"/>
    <n v="0.13937002633343684"/>
    <n v="2.1193"/>
    <n v="1.6329"/>
    <n v="27460.0311719247"/>
    <n v="0.35088475870235447"/>
    <n v="0.69104728995566655"/>
  </r>
  <r>
    <n v="35"/>
    <x v="0"/>
    <n v="0.17151467173866619"/>
    <n v="2.44"/>
    <n v="1.42"/>
    <n v="27055.374744443732"/>
    <n v="0.30181779236975775"/>
    <n v="9.9999999999999805E-6"/>
  </r>
  <r>
    <n v="35"/>
    <x v="1"/>
    <n v="0.17434243002200675"/>
    <n v="2.3071000000000002"/>
    <n v="1.2158"/>
    <n v="28859.892439316809"/>
    <n v="0.32749724214393022"/>
    <n v="9.9999999999999805E-6"/>
  </r>
  <r>
    <n v="35"/>
    <x v="2"/>
    <n v="0.17117844354326939"/>
    <n v="2.1695000000000002"/>
    <n v="1.1479999999999999"/>
    <n v="29576.736272750208"/>
    <n v="0.35486700141067279"/>
    <n v="9.9999999999999805E-6"/>
  </r>
  <r>
    <n v="35"/>
    <x v="3"/>
    <n v="0.16182032449756767"/>
    <n v="2.0798999999999999"/>
    <n v="1.1526000000000001"/>
    <n v="29529.083720607843"/>
    <n v="0.37659100891529701"/>
    <n v="4.8327810632500172E-5"/>
  </r>
  <r>
    <n v="35"/>
    <x v="4"/>
    <n v="0.17924857944718661"/>
    <n v="2.0129000000000001"/>
    <n v="1.2438"/>
    <n v="31208.315075998642"/>
    <n v="0.4015227448746686"/>
    <n v="7.2314231368419038E-5"/>
  </r>
  <r>
    <n v="35"/>
    <x v="5"/>
    <n v="0.22751903242686655"/>
    <n v="2.0284"/>
    <n v="1.4368000000000001"/>
    <n v="31892.997731486113"/>
    <n v="0.42589579644997339"/>
    <n v="4.0877980143010008E-4"/>
  </r>
  <r>
    <n v="35"/>
    <x v="6"/>
    <n v="0.24595572672957303"/>
    <n v="1.9164000000000001"/>
    <n v="1.3139000000000001"/>
    <n v="31822.241858891968"/>
    <n v="0.44609317929390069"/>
    <n v="5.7277569895990024E-4"/>
  </r>
  <r>
    <n v="35"/>
    <x v="7"/>
    <n v="0.23994369529505175"/>
    <n v="1.8712"/>
    <n v="1.2543"/>
    <n v="31252.111353150391"/>
    <n v="0.44938129225924639"/>
    <n v="1.2596284567840004E-3"/>
  </r>
  <r>
    <n v="35"/>
    <x v="8"/>
    <n v="0.24638834899379813"/>
    <n v="1.8486"/>
    <n v="1.2366999999999999"/>
    <n v="31128.538360968269"/>
    <n v="0.46447361871283999"/>
    <n v="2.4752866472773005E-3"/>
  </r>
  <r>
    <n v="35"/>
    <x v="9"/>
    <n v="0.21255586793765016"/>
    <n v="1.8567"/>
    <n v="1.2222999999999999"/>
    <n v="29965.647128268087"/>
    <n v="0.4753380470399412"/>
    <n v="3.6939862174671014E-3"/>
  </r>
  <r>
    <n v="35"/>
    <x v="10"/>
    <n v="0.22325326612811405"/>
    <n v="1.9165000000000001"/>
    <n v="1.3580000000000001"/>
    <n v="28901.988384409"/>
    <n v="0.48325826727907151"/>
    <n v="5.2290854515020992E-3"/>
  </r>
  <r>
    <n v="35"/>
    <x v="11"/>
    <n v="0.23222407025225433"/>
    <n v="1.9041999999999999"/>
    <n v="1.335"/>
    <n v="28777.837314921835"/>
    <n v="0.49256323325143042"/>
    <n v="9.757208281758703E-3"/>
  </r>
  <r>
    <n v="35"/>
    <x v="12"/>
    <n v="0.18502172382771515"/>
    <n v="2.1480999999999999"/>
    <n v="1.3893"/>
    <n v="28426.525984261028"/>
    <n v="0.50207011863430451"/>
    <n v="1.4778562239574494E-2"/>
  </r>
  <r>
    <n v="35"/>
    <x v="13"/>
    <n v="0.17308048191503275"/>
    <n v="2.0347"/>
    <n v="1.3319000000000001"/>
    <n v="28734.449542822629"/>
    <n v="0.51310261238206389"/>
    <n v="3.1011095199292894E-2"/>
  </r>
  <r>
    <n v="35"/>
    <x v="14"/>
    <n v="0.15504503596973418"/>
    <n v="1.9232"/>
    <n v="1.3025"/>
    <n v="27105.829394208395"/>
    <n v="0.51929856064247026"/>
    <n v="5.5369127915496183E-2"/>
  </r>
  <r>
    <n v="35"/>
    <x v="15"/>
    <n v="0.1896884377184124"/>
    <n v="2.3412999999999999"/>
    <n v="1.7687999999999999"/>
    <n v="27215.277028742999"/>
    <n v="0.52349263433240301"/>
    <n v="9.7086479551216492E-2"/>
  </r>
  <r>
    <n v="35"/>
    <x v="16"/>
    <n v="0.21452149227556894"/>
    <n v="2.3746999999999998"/>
    <n v="1.7042999999999999"/>
    <n v="28851.849873811163"/>
    <n v="0.53482206271276389"/>
    <n v="0.16360433030136556"/>
  </r>
  <r>
    <n v="35"/>
    <x v="17"/>
    <n v="0.22441739880604844"/>
    <n v="2.0691000000000002"/>
    <n v="1.3974"/>
    <n v="30192.589434335008"/>
    <n v="0.54786157650264533"/>
    <n v="0.28444259155775936"/>
  </r>
  <r>
    <n v="41"/>
    <x v="0"/>
    <n v="0.15844291023201418"/>
    <n v="2.5"/>
    <n v="1.66"/>
    <n v="17851.973473527189"/>
    <n v="0.27386275920641373"/>
    <n v="9.9999999999999805E-6"/>
  </r>
  <r>
    <n v="41"/>
    <x v="1"/>
    <n v="0.15628417963815402"/>
    <n v="2.3357999999999999"/>
    <n v="1.3785000000000001"/>
    <n v="19935.587052709881"/>
    <n v="0.29624348851448207"/>
    <n v="9.9999999999999805E-6"/>
  </r>
  <r>
    <n v="41"/>
    <x v="2"/>
    <n v="0.16049462185265934"/>
    <n v="2.1785999999999999"/>
    <n v="1.2746"/>
    <n v="20400.849182888549"/>
    <n v="0.32041163452412619"/>
    <n v="9.9999999999999805E-6"/>
  </r>
  <r>
    <n v="41"/>
    <x v="3"/>
    <n v="0.15010535691342339"/>
    <n v="2.1404999999999998"/>
    <n v="1.2739"/>
    <n v="19954.832058729331"/>
    <n v="0.34206779985527175"/>
    <n v="9.3578222550910593E-5"/>
  </r>
  <r>
    <n v="41"/>
    <x v="4"/>
    <n v="0.17790472255804113"/>
    <n v="2.0701999999999998"/>
    <n v="1.3338000000000001"/>
    <n v="21247.185898537817"/>
    <n v="0.37084606923967978"/>
    <n v="1.8869174166059999E-4"/>
  </r>
  <r>
    <n v="41"/>
    <x v="5"/>
    <n v="0.22858880255973221"/>
    <n v="2.0590999999999999"/>
    <n v="1.5136000000000001"/>
    <n v="22580.67469980305"/>
    <n v="0.40103976761045501"/>
    <n v="1.1415146129565999E-3"/>
  </r>
  <r>
    <n v="41"/>
    <x v="6"/>
    <n v="0.26199058495871752"/>
    <n v="1.9527000000000001"/>
    <n v="1.4083000000000001"/>
    <n v="23093.907208448294"/>
    <n v="0.42536748109594141"/>
    <n v="1.6071463179096006E-3"/>
  </r>
  <r>
    <n v="41"/>
    <x v="7"/>
    <n v="0.25030332990375498"/>
    <n v="1.9466000000000001"/>
    <n v="1.3366"/>
    <n v="24124.24878387884"/>
    <n v="0.43378524050769879"/>
    <n v="3.8190619383647994E-3"/>
  </r>
  <r>
    <n v="41"/>
    <x v="8"/>
    <n v="0.26049037457456858"/>
    <n v="1.9001999999999999"/>
    <n v="1.3140000000000001"/>
    <n v="23171.087538283857"/>
    <n v="0.4529912038703115"/>
    <n v="7.3093531204440013E-3"/>
  </r>
  <r>
    <n v="41"/>
    <x v="9"/>
    <n v="0.2321217711912674"/>
    <n v="1.9149"/>
    <n v="1.3096000000000001"/>
    <n v="23158.443319243957"/>
    <n v="0.46452921602383868"/>
    <n v="1.1287270162961299E-2"/>
  </r>
  <r>
    <n v="41"/>
    <x v="10"/>
    <n v="0.25630568848107926"/>
    <n v="1.9877"/>
    <n v="1.4784999999999999"/>
    <n v="22672.851366688854"/>
    <n v="0.47183208333926308"/>
    <n v="1.6277199823530198E-2"/>
  </r>
  <r>
    <n v="41"/>
    <x v="11"/>
    <n v="0.27077108146601875"/>
    <n v="1.968"/>
    <n v="1.4626999999999999"/>
    <n v="22782.854288663828"/>
    <n v="0.47987358239969069"/>
    <n v="3.07396272307871E-2"/>
  </r>
  <r>
    <n v="41"/>
    <x v="12"/>
    <n v="0.22343713248209948"/>
    <n v="2.1890999999999998"/>
    <n v="1.5124"/>
    <n v="22705.469618872685"/>
    <n v="0.49262728306624659"/>
    <n v="4.7405320868377294E-2"/>
  </r>
  <r>
    <n v="41"/>
    <x v="13"/>
    <n v="0.21995552633265975"/>
    <n v="2.0495000000000001"/>
    <n v="1.44"/>
    <n v="22917.949842088783"/>
    <n v="0.50497268793297023"/>
    <n v="9.9353181055342368E-2"/>
  </r>
  <r>
    <n v="41"/>
    <x v="14"/>
    <n v="0.2163249268028383"/>
    <n v="1.8903000000000001"/>
    <n v="1.3966000000000001"/>
    <n v="22357.458219780776"/>
    <n v="0.51424748455305447"/>
    <n v="0.18355729523028877"/>
  </r>
  <r>
    <n v="41"/>
    <x v="15"/>
    <n v="0.24127702094695719"/>
    <n v="2.3626999999999998"/>
    <n v="1.8713"/>
    <n v="22136.287185841345"/>
    <n v="0.52402684927179033"/>
    <n v="0.31765510519350559"/>
  </r>
  <r>
    <n v="41"/>
    <x v="16"/>
    <n v="0.2746708337773951"/>
    <n v="2.4676"/>
    <n v="1.9021999999999999"/>
    <n v="22785.738183514641"/>
    <n v="0.53537991516090899"/>
    <n v="0.51968168268220938"/>
  </r>
  <r>
    <n v="41"/>
    <x v="17"/>
    <n v="0.2914612505608975"/>
    <n v="2.1772"/>
    <n v="1.548"/>
    <n v="23652.908994537098"/>
    <n v="0.54756160905244622"/>
    <n v="0.89631509730903702"/>
  </r>
  <r>
    <n v="42"/>
    <x v="0"/>
    <n v="0.24814744256130886"/>
    <n v="2.57"/>
    <n v="1.82"/>
    <n v="20589.485255324278"/>
    <n v="0.32076949904552748"/>
    <n v="9.9999999999999805E-6"/>
  </r>
  <r>
    <n v="42"/>
    <x v="1"/>
    <n v="0.22297541090340625"/>
    <n v="2.4316"/>
    <n v="1.6369999999999998"/>
    <n v="21861.145288011212"/>
    <n v="0.34748226020935058"/>
    <n v="9.9999999999999805E-6"/>
  </r>
  <r>
    <n v="42"/>
    <x v="2"/>
    <n v="0.22733716838766641"/>
    <n v="2.2961"/>
    <n v="1.5367"/>
    <n v="23352.372219184959"/>
    <n v="0.37387203190966112"/>
    <n v="9.9999999999999805E-6"/>
  </r>
  <r>
    <n v="42"/>
    <x v="3"/>
    <n v="0.23725509798336034"/>
    <n v="2.1924999999999999"/>
    <n v="1.4993000000000001"/>
    <n v="22876.094222261003"/>
    <n v="0.40009704607629371"/>
    <n v="1.6343226051490013E-4"/>
  </r>
  <r>
    <n v="42"/>
    <x v="4"/>
    <n v="0.28742586642624235"/>
    <n v="2.1111"/>
    <n v="1.6037999999999999"/>
    <n v="24723.147114989661"/>
    <n v="0.42483086728022879"/>
    <n v="3.2165210815609982E-4"/>
  </r>
  <r>
    <n v="42"/>
    <x v="5"/>
    <n v="0.31797314381039005"/>
    <n v="2.0897999999999999"/>
    <n v="1.7979000000000001"/>
    <n v="25439.123658385699"/>
    <n v="0.44785290738372657"/>
    <n v="2.0579213031896976E-3"/>
  </r>
  <r>
    <n v="42"/>
    <x v="6"/>
    <n v="0.34976465462802631"/>
    <n v="1.9744999999999999"/>
    <n v="1.7277"/>
    <n v="25780.701109743088"/>
    <n v="0.4738425337284255"/>
    <n v="2.9861377200428988E-3"/>
  </r>
  <r>
    <n v="42"/>
    <x v="7"/>
    <n v="0.35634430336854733"/>
    <n v="1.9534"/>
    <n v="1.645"/>
    <n v="25723.797430788767"/>
    <n v="0.48111890198958318"/>
    <n v="6.7829781615235023E-3"/>
  </r>
  <r>
    <n v="42"/>
    <x v="8"/>
    <n v="0.38225160201618869"/>
    <n v="1.9066000000000001"/>
    <n v="1.6039000000000001"/>
    <n v="26597.727141278901"/>
    <n v="0.49837182116403561"/>
    <n v="1.3824580639522096E-2"/>
  </r>
  <r>
    <n v="42"/>
    <x v="9"/>
    <n v="0.37550350701476271"/>
    <n v="1.8974"/>
    <n v="1.5190999999999999"/>
    <n v="25049.433582346279"/>
    <n v="0.50895604903221647"/>
    <n v="2.0090362638377806E-2"/>
  </r>
  <r>
    <n v="42"/>
    <x v="10"/>
    <n v="0.3908185480959338"/>
    <n v="1.9275"/>
    <n v="1.7084999999999999"/>
    <n v="23569.905527531595"/>
    <n v="0.51611513579304003"/>
    <n v="2.7638887944278809E-2"/>
  </r>
  <r>
    <n v="42"/>
    <x v="11"/>
    <n v="0.40093583764178542"/>
    <n v="1.9467000000000001"/>
    <n v="1.7233000000000001"/>
    <n v="24234.082628024127"/>
    <n v="0.5254329960416565"/>
    <n v="5.2991211029142123E-2"/>
  </r>
  <r>
    <n v="42"/>
    <x v="12"/>
    <n v="0.38869553419167618"/>
    <n v="2.1019000000000001"/>
    <n v="1.7841"/>
    <n v="24682.792974836793"/>
    <n v="0.53805034673197372"/>
    <n v="8.2679739393461349E-2"/>
  </r>
  <r>
    <n v="42"/>
    <x v="13"/>
    <n v="0.40270813595601151"/>
    <n v="2.0053000000000001"/>
    <n v="1.7447999999999999"/>
    <n v="25350.642283428358"/>
    <n v="0.55123152283082211"/>
    <n v="0.17530176747727902"/>
  </r>
  <r>
    <n v="42"/>
    <x v="14"/>
    <n v="0.36354982046195922"/>
    <n v="1.9515"/>
    <n v="1.7069000000000001"/>
    <n v="25414.25453622764"/>
    <n v="0.56049305467271848"/>
    <n v="0.33133393137981904"/>
  </r>
  <r>
    <n v="42"/>
    <x v="15"/>
    <n v="0.38689559122177047"/>
    <n v="2.3755000000000002"/>
    <n v="2.1448"/>
    <n v="27261.146182591398"/>
    <n v="0.56818727819806658"/>
    <n v="0.61824851028272498"/>
  </r>
  <r>
    <n v="42"/>
    <x v="16"/>
    <n v="0.40347307539320509"/>
    <n v="2.4474"/>
    <n v="2.1930000000000001"/>
    <n v="27318.840235386851"/>
    <n v="0.58113997285266294"/>
    <n v="0.98467351450363039"/>
  </r>
  <r>
    <n v="42"/>
    <x v="17"/>
    <n v="0.42287114226624528"/>
    <n v="2.1617999999999999"/>
    <n v="1.7448999999999999"/>
    <n v="28603.710003675144"/>
    <n v="0.59608204595152148"/>
    <n v="1.7130266746229086"/>
  </r>
  <r>
    <n v="43"/>
    <x v="0"/>
    <n v="0.17314165666124151"/>
    <n v="2.72"/>
    <n v="2.17"/>
    <n v="18139.948075378223"/>
    <n v="0.2646190867846388"/>
    <n v="9.9999999999999805E-6"/>
  </r>
  <r>
    <n v="43"/>
    <x v="1"/>
    <n v="0.1803396465229791"/>
    <n v="2.4506999999999999"/>
    <n v="1.6943999999999999"/>
    <n v="19492.205101820266"/>
    <n v="0.28370358881621649"/>
    <n v="9.9999999999999805E-6"/>
  </r>
  <r>
    <n v="43"/>
    <x v="2"/>
    <n v="0.1954712411383713"/>
    <n v="2.3231999999999999"/>
    <n v="1.6091"/>
    <n v="20389.976090672615"/>
    <n v="0.30638499716450002"/>
    <n v="9.9999999999999805E-6"/>
  </r>
  <r>
    <n v="43"/>
    <x v="3"/>
    <n v="0.20574367462063839"/>
    <n v="2.2185000000000001"/>
    <n v="1.5599000000000001"/>
    <n v="20300.07396547851"/>
    <n v="0.32592296883452343"/>
    <n v="9.1624360645211464E-5"/>
  </r>
  <r>
    <n v="43"/>
    <x v="4"/>
    <n v="0.23863673374583391"/>
    <n v="2.1274999999999999"/>
    <n v="1.6447000000000001"/>
    <n v="22289.222816223741"/>
    <n v="0.35008604824707223"/>
    <n v="1.8478176211390014E-4"/>
  </r>
  <r>
    <n v="43"/>
    <x v="5"/>
    <n v="0.26215870821194015"/>
    <n v="2.1128999999999998"/>
    <n v="1.8209"/>
    <n v="22798.851564013159"/>
    <n v="0.37645287491043999"/>
    <n v="1.1180440192564E-3"/>
  </r>
  <r>
    <n v="43"/>
    <x v="6"/>
    <n v="0.28617008225742424"/>
    <n v="2.0036"/>
    <n v="1.7422"/>
    <n v="22842.057593170528"/>
    <n v="0.40066827482291317"/>
    <n v="1.5787481919849978E-3"/>
  </r>
  <r>
    <n v="43"/>
    <x v="7"/>
    <n v="0.29534068885259585"/>
    <n v="1.9671000000000001"/>
    <n v="1.6656"/>
    <n v="23679.60359632258"/>
    <n v="0.4103894977831955"/>
    <n v="3.7620779497176001E-3"/>
  </r>
  <r>
    <n v="43"/>
    <x v="8"/>
    <n v="0.3169916074149699"/>
    <n v="1.9066000000000001"/>
    <n v="1.5973999999999999"/>
    <n v="23552.037016503746"/>
    <n v="0.42946804013179291"/>
    <n v="7.3166766512533987E-3"/>
  </r>
  <r>
    <n v="43"/>
    <x v="9"/>
    <n v="0.31069944786491283"/>
    <n v="1.9556"/>
    <n v="1.5598000000000001"/>
    <n v="23290.198646618264"/>
    <n v="0.44273669955792921"/>
    <n v="1.1290924266169899E-2"/>
  </r>
  <r>
    <n v="43"/>
    <x v="10"/>
    <n v="0.30685830151065435"/>
    <n v="2.1191"/>
    <n v="1.9383999999999999"/>
    <n v="22976.970679821014"/>
    <n v="0.45280343773534748"/>
    <n v="1.6479865325831702E-2"/>
  </r>
  <r>
    <n v="43"/>
    <x v="11"/>
    <n v="0.317432536467043"/>
    <n v="2.0796999999999999"/>
    <n v="1.9308000000000001"/>
    <n v="22874.597024568364"/>
    <n v="0.46312228453942211"/>
    <n v="3.0910822718041599E-2"/>
  </r>
  <r>
    <n v="43"/>
    <x v="12"/>
    <n v="0.30548291842478165"/>
    <n v="2.3531"/>
    <n v="2.0507"/>
    <n v="23636.581803363842"/>
    <n v="0.47582656235588089"/>
    <n v="4.9428025072365683E-2"/>
  </r>
  <r>
    <n v="43"/>
    <x v="13"/>
    <n v="0.31233239804490354"/>
    <n v="2.2166000000000001"/>
    <n v="1.9954000000000001"/>
    <n v="23826.670136585853"/>
    <n v="0.4867420821519175"/>
    <n v="0.10380374359719433"/>
  </r>
  <r>
    <n v="43"/>
    <x v="14"/>
    <n v="0.27823584368097515"/>
    <n v="2.0455000000000001"/>
    <n v="1.9468000000000001"/>
    <n v="21756.340283453348"/>
    <n v="0.49487729682981829"/>
    <n v="0.18007571233863531"/>
  </r>
  <r>
    <n v="43"/>
    <x v="15"/>
    <n v="0.28515348711870869"/>
    <n v="2.5678000000000001"/>
    <n v="2.4481000000000002"/>
    <n v="23663.526871600476"/>
    <n v="0.50212521028410262"/>
    <n v="0.34343133073972038"/>
  </r>
  <r>
    <n v="43"/>
    <x v="16"/>
    <n v="0.31415464875033033"/>
    <n v="2.3828"/>
    <n v="2.3100999999999998"/>
    <n v="22259.191181358423"/>
    <n v="0.51060328971982183"/>
    <n v="0.51349001406690542"/>
  </r>
  <r>
    <n v="43"/>
    <x v="17"/>
    <n v="0.33364232908884284"/>
    <n v="2.0960999999999999"/>
    <n v="1.8182"/>
    <n v="23180.735144990285"/>
    <n v="0.52048457131694315"/>
    <n v="0.88840400361745342"/>
  </r>
  <r>
    <n v="50"/>
    <x v="0"/>
    <n v="0.13869006314673626"/>
    <n v="2.7599999999999985"/>
    <n v="1.94"/>
    <n v="15633.76461054291"/>
    <n v="0.20601388784328495"/>
    <n v="9.9999999999999805E-6"/>
  </r>
  <r>
    <n v="50"/>
    <x v="1"/>
    <n v="0.14197603818698154"/>
    <n v="2.5943000000000001"/>
    <n v="1.6560999999999999"/>
    <n v="16433.769145367747"/>
    <n v="0.22544518390000948"/>
    <n v="9.9999999999999805E-6"/>
  </r>
  <r>
    <n v="50"/>
    <x v="2"/>
    <n v="0.15254680530465814"/>
    <n v="2.4498000000000002"/>
    <n v="1.5729"/>
    <n v="18039.839963228686"/>
    <n v="0.24754929239831178"/>
    <n v="9.9999999999999805E-6"/>
  </r>
  <r>
    <n v="50"/>
    <x v="3"/>
    <n v="0.1578218494571908"/>
    <n v="2.3138999999999998"/>
    <n v="1.5079"/>
    <n v="18151.447326538721"/>
    <n v="0.26890639178681791"/>
    <n v="4.2363941846159991E-4"/>
  </r>
  <r>
    <n v="50"/>
    <x v="4"/>
    <n v="0.18655126456168197"/>
    <n v="2.1684000000000001"/>
    <n v="1.4892000000000001"/>
    <n v="19541.242321270602"/>
    <n v="0.28923696372911345"/>
    <n v="8.267810931698997E-4"/>
  </r>
  <r>
    <n v="50"/>
    <x v="5"/>
    <n v="0.22282756054185968"/>
    <n v="2.0975000000000001"/>
    <n v="1.5981000000000001"/>
    <n v="20544.18268937519"/>
    <n v="0.30898002940010699"/>
    <n v="4.0362585175144992E-3"/>
  </r>
  <r>
    <n v="50"/>
    <x v="6"/>
    <n v="0.25726454337666699"/>
    <n v="2.0181"/>
    <n v="1.5462"/>
    <n v="21212.054612706546"/>
    <n v="0.33213310856614947"/>
    <n v="6.3990657364024015E-3"/>
  </r>
  <r>
    <n v="50"/>
    <x v="7"/>
    <n v="0.25939191866017797"/>
    <n v="2.0562999999999998"/>
    <n v="1.4804999999999999"/>
    <n v="21279.41538232012"/>
    <n v="0.34560534679617771"/>
    <n v="1.4300793616744096E-2"/>
  </r>
  <r>
    <n v="50"/>
    <x v="8"/>
    <n v="0.27398252137589008"/>
    <n v="1.9839"/>
    <n v="1.4106000000000001"/>
    <n v="22231.90246738409"/>
    <n v="0.36264671290936179"/>
    <n v="2.9774890376869919E-2"/>
  </r>
  <r>
    <n v="50"/>
    <x v="9"/>
    <n v="0.25035631696171773"/>
    <n v="1.9498"/>
    <n v="1.3794"/>
    <n v="21490.874483514297"/>
    <n v="0.37465973404847169"/>
    <n v="4.4130376975258713E-2"/>
  </r>
  <r>
    <n v="50"/>
    <x v="10"/>
    <n v="0.27657168655070519"/>
    <n v="1.9219999999999999"/>
    <n v="1.5550999999999999"/>
    <n v="21732.519159770425"/>
    <n v="0.38264291567283748"/>
    <n v="6.5613226433481192E-2"/>
  </r>
  <r>
    <n v="50"/>
    <x v="11"/>
    <n v="0.28255871871299265"/>
    <n v="1.968"/>
    <n v="1.6329"/>
    <n v="21741.076247029741"/>
    <n v="0.39167984631868452"/>
    <n v="0.12236712570310408"/>
  </r>
  <r>
    <n v="50"/>
    <x v="12"/>
    <n v="0.25934531479540024"/>
    <n v="2.1737000000000002"/>
    <n v="1.7122999999999999"/>
    <n v="22795.132757149404"/>
    <n v="0.40115930616301249"/>
    <n v="0.19650490552662775"/>
  </r>
  <r>
    <n v="50"/>
    <x v="13"/>
    <n v="0.27641312334786861"/>
    <n v="2.0347"/>
    <n v="1.6759999999999999"/>
    <n v="21622.313718421043"/>
    <n v="0.4113903416569929"/>
    <n v="0.38575221321733899"/>
  </r>
  <r>
    <n v="50"/>
    <x v="14"/>
    <n v="0.24843897296000483"/>
    <n v="2.0314000000000001"/>
    <n v="1.5565"/>
    <n v="23034.231937456985"/>
    <n v="0.41880811306637661"/>
    <n v="0.77525615844555817"/>
  </r>
  <r>
    <n v="50"/>
    <x v="15"/>
    <n v="0.23823413595718218"/>
    <n v="2.4695"/>
    <n v="1.9140999999999999"/>
    <n v="23379.977732154417"/>
    <n v="0.4242188259460099"/>
    <n v="1.3704622589275526"/>
  </r>
  <r>
    <n v="50"/>
    <x v="16"/>
    <n v="0.27103581376083574"/>
    <n v="2.3828"/>
    <n v="1.8456999999999999"/>
    <n v="25200.256490940355"/>
    <n v="0.43386630261891779"/>
    <n v="2.3478543865358685"/>
  </r>
  <r>
    <n v="50"/>
    <x v="17"/>
    <n v="0.28710324219459921"/>
    <n v="2.0266999999999999"/>
    <n v="1.4359999999999999"/>
    <n v="26555.219843948325"/>
    <n v="0.44514487945144882"/>
    <n v="4.1103301366447029"/>
  </r>
  <r>
    <n v="51"/>
    <x v="0"/>
    <n v="0.12774150778491689"/>
    <n v="2.9499999999999984"/>
    <n v="2"/>
    <n v="14476.11095982183"/>
    <n v="0.16547748179120816"/>
    <n v="9.9999999999999805E-6"/>
  </r>
  <r>
    <n v="51"/>
    <x v="1"/>
    <n v="0.11957912434171535"/>
    <n v="2.7762000000000002"/>
    <n v="1.4455"/>
    <n v="16554.6174780824"/>
    <n v="0.18356196517329942"/>
    <n v="9.9999999999999805E-6"/>
  </r>
  <r>
    <n v="51"/>
    <x v="2"/>
    <n v="0.12032489726091082"/>
    <n v="2.4859"/>
    <n v="1.2836000000000001"/>
    <n v="19355.527792111203"/>
    <n v="0.20998906257659991"/>
    <n v="9.9999999999999805E-6"/>
  </r>
  <r>
    <n v="51"/>
    <x v="3"/>
    <n v="0.11824683212001763"/>
    <n v="2.3572000000000002"/>
    <n v="1.2479"/>
    <n v="19033.252510484079"/>
    <n v="0.23441612264016431"/>
    <n v="3.3314543930550004E-4"/>
  </r>
  <r>
    <n v="51"/>
    <x v="4"/>
    <n v="0.12959220932903426"/>
    <n v="2.2665999999999999"/>
    <n v="1.3992"/>
    <n v="18626.001788855785"/>
    <n v="0.25957758520264818"/>
    <n v="6.5815150252690013E-4"/>
  </r>
  <r>
    <n v="51"/>
    <x v="5"/>
    <n v="0.15878348574222609"/>
    <n v="2.2204000000000002"/>
    <n v="1.5059"/>
    <n v="20755.668874319879"/>
    <n v="0.28522049873599459"/>
    <n v="3.5761472280306989E-3"/>
  </r>
  <r>
    <n v="51"/>
    <x v="6"/>
    <n v="0.19035235685653168"/>
    <n v="2.1560000000000001"/>
    <n v="1.4373"/>
    <n v="21870.989495836075"/>
    <n v="0.30729719041541592"/>
    <n v="5.1358826142668991E-3"/>
  </r>
  <r>
    <n v="51"/>
    <x v="7"/>
    <n v="0.18445052077031837"/>
    <n v="2.0699999999999998"/>
    <n v="1.3571"/>
    <n v="22304.230551931996"/>
    <n v="0.32642869690674092"/>
    <n v="1.2256007250528105E-2"/>
  </r>
  <r>
    <n v="51"/>
    <x v="8"/>
    <n v="0.20543914647168415"/>
    <n v="2.0032000000000001"/>
    <n v="1.3462000000000001"/>
    <n v="23160.807729137941"/>
    <n v="0.34600169894338639"/>
    <n v="2.5121287748223888E-2"/>
  </r>
  <r>
    <n v="51"/>
    <x v="9"/>
    <n v="0.17317885300993485"/>
    <n v="1.9731000000000001"/>
    <n v="1.2222999999999999"/>
    <n v="22559.16361062336"/>
    <n v="0.36024071148980563"/>
    <n v="3.7666675037038799E-2"/>
  </r>
  <r>
    <n v="51"/>
    <x v="10"/>
    <n v="0.18652197786074315"/>
    <n v="2.0369999999999999"/>
    <n v="1.4128000000000001"/>
    <n v="23774.604117916304"/>
    <n v="0.37169489561586322"/>
    <n v="5.8084465098043207E-2"/>
  </r>
  <r>
    <n v="51"/>
    <x v="11"/>
    <n v="0.18651989030492636"/>
    <n v="2.0265"/>
    <n v="1.3138000000000001"/>
    <n v="23207.743141486564"/>
    <n v="0.3822766272472421"/>
    <n v="0.10614301979582255"/>
  </r>
  <r>
    <n v="51"/>
    <x v="12"/>
    <n v="0.15161463487195528"/>
    <n v="2.3069999999999999"/>
    <n v="1.3945000000000001"/>
    <n v="23383.823520205417"/>
    <n v="0.38996623472762038"/>
    <n v="0.16095302786346757"/>
  </r>
  <r>
    <n v="51"/>
    <x v="13"/>
    <n v="0.13640801488664259"/>
    <n v="2.2117"/>
    <n v="1.2827999999999999"/>
    <n v="22917.135154023599"/>
    <n v="0.40498228422949167"/>
    <n v="0.32601839134030874"/>
  </r>
  <r>
    <n v="51"/>
    <x v="14"/>
    <n v="0.14230897958720667"/>
    <n v="2.0407999999999999"/>
    <n v="1.3354999999999999"/>
    <n v="26735.620476317406"/>
    <n v="0.41646068594699132"/>
    <n v="0.71691499679543536"/>
  </r>
  <r>
    <n v="51"/>
    <x v="15"/>
    <n v="0.17103174616523617"/>
    <n v="2.4695"/>
    <n v="1.7774000000000001"/>
    <n v="30540.642338125275"/>
    <n v="0.4270302985450351"/>
    <n v="1.4249135324455866"/>
  </r>
  <r>
    <n v="51"/>
    <x v="16"/>
    <n v="0.18610148367054127"/>
    <n v="2.4352999999999998"/>
    <n v="1.6557999999999999"/>
    <n v="30798.698621565058"/>
    <n v="0.44126569773667779"/>
    <n v="2.2838423271363752"/>
  </r>
  <r>
    <n v="51"/>
    <x v="17"/>
    <n v="0.19073235733904748"/>
    <n v="2.1232000000000002"/>
    <n v="1.3241000000000001"/>
    <n v="31291.245788753975"/>
    <n v="0.4562240660410839"/>
    <n v="3.8550877234294121"/>
  </r>
  <r>
    <n v="52"/>
    <x v="0"/>
    <n v="0.15530915570781006"/>
    <n v="2.58"/>
    <n v="1.69"/>
    <n v="14427.927403641364"/>
    <n v="0.20026949338071273"/>
    <n v="9.9999999999999805E-6"/>
  </r>
  <r>
    <n v="52"/>
    <x v="1"/>
    <n v="0.15212145426800924"/>
    <n v="2.4220000000000002"/>
    <n v="1.3976999999999999"/>
    <n v="15615.782820876879"/>
    <n v="0.22206444024178815"/>
    <n v="9.9999999999999805E-6"/>
  </r>
  <r>
    <n v="52"/>
    <x v="2"/>
    <n v="0.15772960113738324"/>
    <n v="2.2690000000000001"/>
    <n v="1.4012"/>
    <n v="16406.377293753027"/>
    <n v="0.24756086189979626"/>
    <n v="9.9999999999999805E-6"/>
  </r>
  <r>
    <n v="52"/>
    <x v="3"/>
    <n v="0.16051290687275355"/>
    <n v="2.2444999999999999"/>
    <n v="1.3606"/>
    <n v="16990.050913909192"/>
    <n v="0.26948348885476592"/>
    <n v="1.6873934832860001E-4"/>
  </r>
  <r>
    <n v="52"/>
    <x v="4"/>
    <n v="0.18047903325855477"/>
    <n v="2.0865999999999998"/>
    <n v="1.3091999999999999"/>
    <n v="17784.620092119476"/>
    <n v="0.29330118324153148"/>
    <n v="3.3313855832289982E-4"/>
  </r>
  <r>
    <n v="52"/>
    <x v="5"/>
    <n v="0.20664619265231257"/>
    <n v="2.1897000000000002"/>
    <n v="1.5136000000000001"/>
    <n v="18415.831543407065"/>
    <n v="0.31767295167213871"/>
    <n v="1.4800888579568005E-3"/>
  </r>
  <r>
    <n v="52"/>
    <x v="6"/>
    <n v="0.23496508689851292"/>
    <n v="2.0108000000000001"/>
    <n v="1.3793"/>
    <n v="19281.095556568998"/>
    <n v="0.34137633883108942"/>
    <n v="2.2745749956619996E-3"/>
  </r>
  <r>
    <n v="52"/>
    <x v="7"/>
    <n v="0.23773991272679335"/>
    <n v="1.9877"/>
    <n v="1.3366"/>
    <n v="18708.123479619673"/>
    <n v="0.35065203119404764"/>
    <n v="5.1289639119882005E-3"/>
  </r>
  <r>
    <n v="52"/>
    <x v="8"/>
    <n v="0.25139241313571736"/>
    <n v="1.9967999999999999"/>
    <n v="1.3784000000000001"/>
    <n v="18660.801616011235"/>
    <n v="0.36656363986999047"/>
    <n v="9.9644010275902976E-3"/>
  </r>
  <r>
    <n v="52"/>
    <x v="9"/>
    <n v="0.22234932528131365"/>
    <n v="1.9846999999999999"/>
    <n v="1.3328"/>
    <n v="18012.63135971922"/>
    <n v="0.3767616377193212"/>
    <n v="1.4824493875895604E-2"/>
  </r>
  <r>
    <n v="52"/>
    <x v="10"/>
    <n v="0.22866222461507901"/>
    <n v="2.0863"/>
    <n v="1.5167999999999999"/>
    <n v="17220.415321224857"/>
    <n v="0.38267943376910041"/>
    <n v="2.0759111420423491E-2"/>
  </r>
  <r>
    <n v="52"/>
    <x v="11"/>
    <n v="0.23001205675600242"/>
    <n v="2.085"/>
    <n v="1.484"/>
    <n v="17327.130289143828"/>
    <n v="0.38893106303029518"/>
    <n v="3.909262621607569E-2"/>
  </r>
  <r>
    <n v="52"/>
    <x v="12"/>
    <n v="0.17671471881668407"/>
    <n v="2.3633999999999999"/>
    <n v="1.5072000000000001"/>
    <n v="16556.757611663699"/>
    <n v="0.39328661766429068"/>
    <n v="5.6637896445408509E-2"/>
  </r>
  <r>
    <n v="52"/>
    <x v="13"/>
    <n v="0.16259245401414635"/>
    <n v="2.2214999999999998"/>
    <n v="1.4645999999999999"/>
    <n v="16705.715991313638"/>
    <n v="0.40036709462076148"/>
    <n v="0.11797638021678576"/>
  </r>
  <r>
    <n v="52"/>
    <x v="14"/>
    <n v="0.15907310846638933"/>
    <n v="2.0831"/>
    <n v="1.4154"/>
    <n v="16626.636062649544"/>
    <n v="0.40684820778402869"/>
    <n v="0.22098701912128127"/>
  </r>
  <r>
    <n v="52"/>
    <x v="15"/>
    <n v="0.17742113918248986"/>
    <n v="2.5933999999999999"/>
    <n v="1.8842000000000001"/>
    <n v="17464.742120120918"/>
    <n v="0.4134739749970478"/>
    <n v="0.4032420885942018"/>
  </r>
  <r>
    <n v="52"/>
    <x v="16"/>
    <n v="0.19903848269965158"/>
    <n v="2.4958999999999998"/>
    <n v="1.7446999999999999"/>
    <n v="19007.447498754267"/>
    <n v="0.42505365575863979"/>
    <n v="0.69769484564750395"/>
  </r>
  <r>
    <n v="52"/>
    <x v="17"/>
    <n v="0.22730780123578562"/>
    <n v="2.1"/>
    <n v="1.4359999999999999"/>
    <n v="19105.222316563362"/>
    <n v="0.4384401552523669"/>
    <n v="1.1650449331854502"/>
  </r>
  <r>
    <n v="53"/>
    <x v="0"/>
    <n v="0.30875932131434719"/>
    <n v="2.6"/>
    <n v="1.91"/>
    <n v="47845.363483604204"/>
    <n v="0.31742179660573272"/>
    <n v="9.9999999999999805E-6"/>
  </r>
  <r>
    <n v="53"/>
    <x v="1"/>
    <n v="0.29617427762791881"/>
    <n v="2.4603000000000002"/>
    <n v="1.6177999999999999"/>
    <n v="47852.638044794679"/>
    <n v="0.33507726458749565"/>
    <n v="9.9999999999999805E-6"/>
  </r>
  <r>
    <n v="53"/>
    <x v="2"/>
    <n v="0.30232357080650846"/>
    <n v="2.3050999999999999"/>
    <n v="1.6543000000000001"/>
    <n v="50187.215446438771"/>
    <n v="0.35074353999888147"/>
    <n v="3.9105898381750019E-4"/>
  </r>
  <r>
    <n v="53"/>
    <x v="3"/>
    <n v="0.29217667062413571"/>
    <n v="2.3224999999999998"/>
    <n v="1.5946"/>
    <n v="51707.675385450442"/>
    <n v="0.3731744975324956"/>
    <n v="1.1507987502325E-3"/>
  </r>
  <r>
    <n v="53"/>
    <x v="4"/>
    <n v="0.34486751478468752"/>
    <n v="2.2174999999999998"/>
    <n v="1.6447000000000001"/>
    <n v="55272.113391825442"/>
    <n v="0.40200893866913662"/>
    <n v="2.3002236584137E-3"/>
  </r>
  <r>
    <n v="53"/>
    <x v="5"/>
    <n v="0.3839152673680209"/>
    <n v="2.1743000000000001"/>
    <n v="1.6902999999999999"/>
    <n v="54673.778179331894"/>
    <n v="0.42723557642572901"/>
    <n v="1.1111119625378996E-2"/>
  </r>
  <r>
    <n v="53"/>
    <x v="6"/>
    <n v="0.40742494332709589"/>
    <n v="2.0615999999999999"/>
    <n v="1.6406000000000001"/>
    <n v="52991.826706077132"/>
    <n v="0.4475222500615435"/>
    <n v="1.5102705951825311E-2"/>
  </r>
  <r>
    <n v="53"/>
    <x v="7"/>
    <n v="0.40256576100963481"/>
    <n v="2.0425"/>
    <n v="1.5628000000000002"/>
    <n v="50163.813065707051"/>
    <n v="0.44946753503257081"/>
    <n v="3.1902374432791911E-2"/>
  </r>
  <r>
    <n v="53"/>
    <x v="8"/>
    <n v="0.4110363865582749"/>
    <n v="2.0097"/>
    <n v="1.5973999999999999"/>
    <n v="51059.869935338014"/>
    <n v="0.45891033848319918"/>
    <n v="6.2754787944910392E-2"/>
  </r>
  <r>
    <n v="53"/>
    <x v="9"/>
    <n v="0.38501976101522212"/>
    <n v="2.0604"/>
    <n v="1.6006000000000002"/>
    <n v="50728.719975264401"/>
    <n v="0.46498080505552641"/>
    <n v="9.537434430138296E-2"/>
  </r>
  <r>
    <n v="53"/>
    <x v="10"/>
    <n v="0.40292296561619978"/>
    <n v="2.0206"/>
    <n v="1.7194"/>
    <n v="50188.787463254223"/>
    <n v="0.46719855059223109"/>
    <n v="0.13636901051183378"/>
  </r>
  <r>
    <n v="53"/>
    <x v="11"/>
    <n v="0.41656464471791549"/>
    <n v="1.9945999999999999"/>
    <n v="1.7285999999999999"/>
    <n v="49268.881671088508"/>
    <n v="0.47016296401578711"/>
    <n v="0.24807168679534816"/>
  </r>
  <r>
    <n v="53"/>
    <x v="12"/>
    <n v="0.36668891986863872"/>
    <n v="2.2814000000000001"/>
    <n v="1.7533000000000001"/>
    <n v="50163.648162656915"/>
    <n v="0.49523700349244948"/>
    <n v="0.39970376874598912"/>
  </r>
  <r>
    <n v="53"/>
    <x v="13"/>
    <n v="0.37247581972813021"/>
    <n v="2.1084999999999998"/>
    <n v="1.5924"/>
    <n v="50985.548871111976"/>
    <n v="0.50572187944819502"/>
    <n v="0.83806812528770247"/>
  </r>
  <r>
    <n v="53"/>
    <x v="14"/>
    <n v="0.30984589622306474"/>
    <n v="1.9750000000000001"/>
    <n v="1.5328999999999999"/>
    <n v="45919.550169729846"/>
    <n v="0.50999574816154625"/>
    <n v="1.4215345961849979"/>
  </r>
  <r>
    <n v="53"/>
    <x v="15"/>
    <n v="0.31842626420948011"/>
    <n v="2.5592000000000001"/>
    <n v="2.1149"/>
    <n v="43287.054672408347"/>
    <n v="0.51154678322412805"/>
    <n v="2.3281329530673087"/>
  </r>
  <r>
    <n v="53"/>
    <x v="16"/>
    <n v="0.33791256897707889"/>
    <n v="2.5160999999999998"/>
    <n v="2.0192999999999999"/>
    <n v="45685.539743950627"/>
    <n v="0.51805611886275682"/>
    <n v="3.9055367487254875"/>
  </r>
  <r>
    <n v="53"/>
    <x v="17"/>
    <n v="0.34145468236206605"/>
    <n v="2.1038999999999999"/>
    <n v="1.4823999999999999"/>
    <n v="48317.059198726711"/>
    <n v="0.52776615255346482"/>
    <n v="6.86223974534026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11"/>
    <x v="0"/>
    <n v="-2.156698978863159"/>
    <n v="1.004301609196868"/>
    <n v="0.9748237560598092"/>
    <n v="0.96172288327198963"/>
    <n v="0.76080582903376015"/>
    <n v="0.62422573509352353"/>
    <n v="0.56246885691782911"/>
    <n v="-11.51292546497023"/>
    <n v="2.166250221499268"/>
    <n v="-1.951167744570985"/>
    <n v="2.4209187515967989"/>
    <n v="2.44399024352396"/>
    <n v="-11.51292546497023"/>
    <n v="-2.3071492090821266E-2"/>
    <n v="0"/>
    <n v="0"/>
    <n v="0"/>
    <n v="0"/>
    <n v="0"/>
    <n v="0"/>
    <n v="1"/>
    <n v="-2.2191131114959717"/>
    <n v="0.11570644072613127"/>
    <n v="0.10870547572203758"/>
    <n v="7.0009650040936955E-3"/>
    <n v="4.9013510988544636E-5"/>
    <x v="0"/>
    <n v="2.8272427999999999E-2"/>
    <n v="0.69170743000000001"/>
    <n v="4.5074103433877487E-2"/>
    <n v="0.11304557003796138"/>
    <n v="0.10453200818029686"/>
    <n v="8.5135618576645256E-3"/>
  </r>
  <r>
    <n v="11"/>
    <x v="1"/>
    <n v="-2.073636426371209"/>
    <n v="0.94219236939680806"/>
    <n v="1.004301609196868"/>
    <n v="0.9748237560598092"/>
    <n v="0.59823192276365766"/>
    <n v="0.76080582903376015"/>
    <n v="0.62422573509352353"/>
    <n v="-11.51292546497023"/>
    <n v="2.166250221499268"/>
    <n v="-1.7991499751284841"/>
    <n v="2.4815371529483081"/>
    <n v="2.443198932139675"/>
    <n v="-11.51292546497023"/>
    <n v="3.8338221609592438E-2"/>
    <n v="0"/>
    <n v="0"/>
    <n v="0"/>
    <n v="0"/>
    <n v="0"/>
    <n v="0"/>
    <n v="1"/>
    <n v="-2.0994787216186523"/>
    <n v="0.12572774970533199"/>
    <n v="0.12252027878219166"/>
    <n v="3.207470923140332E-3"/>
    <n v="1.0287869722790694E-5"/>
    <x v="0"/>
    <n v="2.8272427999999999E-2"/>
    <n v="0.69170743000000001"/>
    <n v="1.787530763091022E-2"/>
    <n v="0.12741193269379114"/>
    <n v="0.11781642735882826"/>
    <n v="9.595505334962881E-3"/>
  </r>
  <r>
    <n v="11"/>
    <x v="2"/>
    <n v="-1.9560619150649721"/>
    <n v="0.8960063885714481"/>
    <n v="0.94219236939680806"/>
    <n v="1.004301609196868"/>
    <n v="0.51962677971905946"/>
    <n v="0.59823192276365766"/>
    <n v="0.76080582903376015"/>
    <n v="-11.51292546497023"/>
    <n v="2.166250221499268"/>
    <n v="-1.620763450703399"/>
    <n v="2.600161838464861"/>
    <n v="2.504325073967602"/>
    <n v="-11.51292546497023"/>
    <n v="9.5836766064167023E-2"/>
    <n v="0"/>
    <n v="0"/>
    <n v="0"/>
    <n v="0"/>
    <n v="0"/>
    <n v="0"/>
    <n v="1"/>
    <n v="-1.9737296104431152"/>
    <n v="0.14141422703397571"/>
    <n v="0.13893770518508089"/>
    <n v="2.4765218488948249E-3"/>
    <n v="6.133160468053442E-6"/>
    <x v="0"/>
    <n v="2.8272427999999999E-2"/>
    <n v="0.69170743000000001"/>
    <n v="1.2220876164038288E-2"/>
    <n v="0.14448482910442378"/>
    <n v="0.13360354884141545"/>
    <n v="1.0881280263008331E-2"/>
  </r>
  <r>
    <n v="11"/>
    <x v="3"/>
    <n v="-1.862154149729599"/>
    <n v="0.84264419170585647"/>
    <n v="0.8960063885714481"/>
    <n v="0.94219236939680806"/>
    <n v="0.47741360742074851"/>
    <n v="0.51962677971905946"/>
    <n v="0.59823192276365766"/>
    <n v="-7.3158356310234538"/>
    <n v="2.166250221499268"/>
    <n v="-1.4770532591901959"/>
    <n v="2.654680199807578"/>
    <n v="2.5932473660788871"/>
    <n v="-11.51292546497023"/>
    <n v="6.1432834714651108E-2"/>
    <n v="0"/>
    <n v="0"/>
    <n v="0"/>
    <n v="0"/>
    <n v="0"/>
    <n v="0"/>
    <n v="1"/>
    <n v="-1.8739248514175415"/>
    <n v="0.15533764914277812"/>
    <n v="0.1535199348868318"/>
    <n v="1.8177142559463177E-3"/>
    <n v="3.3040851162704755E-6"/>
    <x v="0"/>
    <n v="2.8272427999999999E-2"/>
    <n v="0.69170743000000001"/>
    <n v="8.1418818138633518E-3"/>
    <n v="0.15964925810958325"/>
    <n v="0.14762593128669441"/>
    <n v="1.2023326822888841E-2"/>
  </r>
  <r>
    <n v="11"/>
    <x v="4"/>
    <n v="-1.6831605423581379"/>
    <n v="0.81828091131671099"/>
    <n v="0.84264419170585647"/>
    <n v="0.8960063885714481"/>
    <n v="0.52212158350784221"/>
    <n v="0.47741360742074851"/>
    <n v="0.51962677971905946"/>
    <n v="-7.3396623629610591"/>
    <n v="2.166250221499268"/>
    <n v="-1.3626010461637901"/>
    <n v="2.74230132052055"/>
    <n v="2.6308534678699922"/>
    <n v="-11.51292546497023"/>
    <n v="0.11144785583019257"/>
    <n v="0"/>
    <n v="0"/>
    <n v="0"/>
    <n v="0"/>
    <n v="0"/>
    <n v="0"/>
    <n v="1"/>
    <n v="-1.7428951263427734"/>
    <n v="0.18578586306122863"/>
    <n v="0.17501298175675276"/>
    <n v="1.0772881304475873E-2"/>
    <n v="1.1605497160032579E-4"/>
    <x v="0"/>
    <n v="2.8272427999999999E-2"/>
    <n v="0.69170743000000001"/>
    <n v="4.1318855570131374E-2"/>
    <n v="0.18200042045098744"/>
    <n v="0.16829380782468017"/>
    <n v="1.3706612626307263E-2"/>
  </r>
  <r>
    <n v="11"/>
    <x v="5"/>
    <n v="-1.5784624378334899"/>
    <n v="0.82162834220848546"/>
    <n v="0.81828091131671099"/>
    <n v="0.84264419170585647"/>
    <n v="0.59933088435566051"/>
    <n v="0.52212158350784221"/>
    <n v="0.47741360742074851"/>
    <n v="-5.2834923926543116"/>
    <n v="2.166250221499268"/>
    <n v="-1.26108028612349"/>
    <n v="2.7818139114313758"/>
    <n v="2.7190297491474351"/>
    <n v="-11.51292546497023"/>
    <n v="6.2784165143966675E-2"/>
    <n v="0"/>
    <n v="0"/>
    <n v="0"/>
    <n v="0"/>
    <n v="0"/>
    <n v="0"/>
    <n v="1"/>
    <n v="-1.6322517395019531"/>
    <n v="0.20629204132055792"/>
    <n v="0.19548888810650897"/>
    <n v="1.0803153214048955E-2"/>
    <n v="1.1670811936621626E-4"/>
    <x v="0"/>
    <n v="2.8272427999999999E-2"/>
    <n v="0.69170743000000001"/>
    <n v="3.720645961858738E-2"/>
    <n v="0.20329383267311754"/>
    <n v="0.18798359434035422"/>
    <n v="1.5310238332763321E-2"/>
  </r>
  <r>
    <n v="11"/>
    <x v="6"/>
    <n v="-1.4705848809465669"/>
    <n v="0.76150651807328873"/>
    <n v="0.82162834220848546"/>
    <n v="0.81828091131671099"/>
    <n v="0.55933003282560567"/>
    <n v="0.59933088435566051"/>
    <n v="0.52212158350784221"/>
    <n v="-4.8865895636413521"/>
    <n v="2.166250221499268"/>
    <n v="-1.171167583067046"/>
    <n v="2.7848658127694148"/>
    <n v="2.7732516323361791"/>
    <n v="-11.51292546497023"/>
    <n v="1.1614180169999599E-2"/>
    <n v="0"/>
    <n v="0"/>
    <n v="0"/>
    <n v="0"/>
    <n v="0"/>
    <n v="0"/>
    <n v="1"/>
    <n v="-1.5097337961196899"/>
    <n v="0.22979104547075463"/>
    <n v="0.220968792880743"/>
    <n v="8.8222525900116255E-3"/>
    <n v="7.783214076196683E-5"/>
    <x v="0"/>
    <n v="2.8272427999999999E-2"/>
    <n v="0.69170743000000001"/>
    <n v="2.7079595501688931E-2"/>
    <n v="0.22979102925483791"/>
    <n v="0.21248526361324313"/>
    <n v="1.7305765641594778E-2"/>
  </r>
  <r>
    <n v="11"/>
    <x v="7"/>
    <n v="-1.518725602596074"/>
    <n v="0.74069848241816771"/>
    <n v="0.76150651807328873"/>
    <n v="0.82162834220848546"/>
    <n v="0.51837703991882511"/>
    <n v="0.55933003282560567"/>
    <n v="0.59933088435566051"/>
    <n v="-4.2359679594205364"/>
    <n v="2.166250221499268"/>
    <n v="-1.1782679664096829"/>
    <n v="2.6621035497832368"/>
    <n v="2.7015182419100219"/>
    <n v="-11.51292546497023"/>
    <n v="-3.9414692670106888E-2"/>
    <n v="0"/>
    <n v="0"/>
    <n v="0"/>
    <n v="0"/>
    <n v="0"/>
    <n v="0"/>
    <n v="1"/>
    <n v="-1.5056478977203369"/>
    <n v="0.21899079049238118"/>
    <n v="0.22187349592159966"/>
    <n v="-2.8827054292184795E-3"/>
    <n v="8.3099905916456978E-6"/>
    <x v="0"/>
    <n v="2.8272427999999999E-2"/>
    <n v="0.69170743000000001"/>
    <n v="-9.045945629894591E-3"/>
    <n v="0.23073185279927674"/>
    <n v="0.21335523290448091"/>
    <n v="1.7376619894795831E-2"/>
  </r>
  <r>
    <n v="11"/>
    <x v="8"/>
    <n v="-1.4578474207869181"/>
    <n v="0.72328833747193211"/>
    <n v="0.74069848241816771"/>
    <n v="0.76150651807328873"/>
    <n v="0.52715162636476365"/>
    <n v="0.51837703991882511"/>
    <n v="0.55933003282560567"/>
    <n v="-3.554508280400535"/>
    <n v="2.166250221499268"/>
    <n v="-1.1213792527941719"/>
    <n v="2.6642506113954019"/>
    <n v="2.650416048243291"/>
    <n v="-11.51292546497023"/>
    <n v="1.3834563083946705E-2"/>
    <n v="0"/>
    <n v="0"/>
    <n v="0"/>
    <n v="0"/>
    <n v="0"/>
    <n v="0"/>
    <n v="1"/>
    <n v="-1.4344882965087891"/>
    <n v="0.23273672013821892"/>
    <n v="0.23823723965720087"/>
    <n v="-5.50051951898195E-3"/>
    <n v="3.0255714978701424E-5"/>
    <x v="0"/>
    <n v="2.8272427999999999E-2"/>
    <n v="0.69170743000000001"/>
    <n v="-1.6157679821475236E-2"/>
    <n v="0.24774892324820486"/>
    <n v="0.22909073272791231"/>
    <n v="1.865819052029255E-2"/>
  </r>
  <r>
    <n v="11"/>
    <x v="9"/>
    <n v="-1.4449811096822041"/>
    <n v="0.73692480290583307"/>
    <n v="0.72328833747193211"/>
    <n v="0.74069848241816771"/>
    <n v="0.47759970586736361"/>
    <n v="0.52715162636476365"/>
    <n v="0.51837703991882511"/>
    <n v="-3.1339141993029989"/>
    <n v="2.166250221499268"/>
    <n v="-1.0788235672370079"/>
    <n v="2.651900785014115"/>
    <n v="2.6530622760673999"/>
    <n v="-11.51292546497023"/>
    <n v="-1.1614910326898098E-3"/>
    <n v="1"/>
    <n v="0"/>
    <n v="0"/>
    <n v="0"/>
    <n v="0"/>
    <n v="0"/>
    <n v="1"/>
    <n v="-1.4744012355804443"/>
    <n v="0.23575052991623138"/>
    <n v="0.22891575262585562"/>
    <n v="6.8347772903757653E-3"/>
    <n v="4.6714180609036285E-5"/>
    <x v="0"/>
    <n v="2.8272427999999999E-2"/>
    <n v="0.69170743000000001"/>
    <n v="2.0350119675348225E-2"/>
    <n v="0.23805527342918051"/>
    <n v="0.22012712024987433"/>
    <n v="1.7928153179306183E-2"/>
  </r>
  <r>
    <n v="11"/>
    <x v="10"/>
    <n v="-1.4210112424014689"/>
    <n v="0.75358354936377603"/>
    <n v="0.73692480290583307"/>
    <n v="0.72328833747193211"/>
    <n v="0.61858525923304053"/>
    <n v="0.47759970586736361"/>
    <n v="0.52715162636476365"/>
    <n v="-2.761061811848581"/>
    <n v="2.166250221499268"/>
    <n v="-1.049732047488368"/>
    <n v="2.6395015854418169"/>
    <n v="2.6411707756098739"/>
    <n v="-11.51292546497023"/>
    <n v="-1.6691901255398989E-3"/>
    <n v="1"/>
    <n v="0"/>
    <n v="0"/>
    <n v="0"/>
    <n v="0"/>
    <n v="0"/>
    <n v="1"/>
    <n v="-1.414219856262207"/>
    <n v="0.24146970898220138"/>
    <n v="0.2431152042892617"/>
    <n v="-1.6454953070603184E-3"/>
    <n v="2.7076548055575317E-6"/>
    <x v="0"/>
    <n v="2.8272427999999999E-2"/>
    <n v="0.69170743000000001"/>
    <n v="-4.6976522525264642E-3"/>
    <n v="0.25282164188352324"/>
    <n v="0.23378142043646544"/>
    <n v="1.9040221447057804E-2"/>
  </r>
  <r>
    <n v="11"/>
    <x v="11"/>
    <n v="-1.4207559397857561"/>
    <n v="0.74241342186286341"/>
    <n v="0.75358354936377603"/>
    <n v="0.73692480290583307"/>
    <n v="0.60704448150653356"/>
    <n v="0.61858525923304053"/>
    <n v="0.47759970586736361"/>
    <n v="-2.082651938392698"/>
    <n v="2.166250221499268"/>
    <n v="-1.0245113969466151"/>
    <n v="2.690978395396356"/>
    <n v="2.6291988754056201"/>
    <n v="-11.51292546497023"/>
    <n v="6.1779521405696869E-2"/>
    <n v="1"/>
    <n v="0"/>
    <n v="0"/>
    <n v="0"/>
    <n v="0"/>
    <n v="0"/>
    <n v="1"/>
    <n v="-1.3754632472991943"/>
    <n v="0.24153136470061815"/>
    <n v="0.25272249567011523"/>
    <n v="-1.1191130969497087E-2"/>
    <n v="1.2524141237643682E-4"/>
    <x v="0"/>
    <n v="2.8272427999999999E-2"/>
    <n v="0.69170743000000001"/>
    <n v="-3.1329291917659943E-2"/>
    <n v="0.26281250686484642"/>
    <n v="0.24301986454007082"/>
    <n v="1.9792642324775594E-2"/>
  </r>
  <r>
    <n v="11"/>
    <x v="12"/>
    <n v="-1.4131135997679001"/>
    <n v="0.83373486886959214"/>
    <n v="0.74241342186286341"/>
    <n v="0.75358354936377603"/>
    <n v="0.64825441166920861"/>
    <n v="0.60704448150653356"/>
    <n v="0.61858525923304053"/>
    <n v="-1.602401349382677"/>
    <n v="2.166250221499268"/>
    <n v="-0.95533951972360787"/>
    <n v="2.705694458109142"/>
    <n v="2.7180324734770229"/>
    <n v="3.2580965380214821"/>
    <n v="-1.2338015250861645E-2"/>
    <n v="1"/>
    <n v="0"/>
    <n v="0"/>
    <n v="0"/>
    <n v="0"/>
    <n v="0"/>
    <n v="1"/>
    <n v="-1.3953008651733398"/>
    <n v="0.24338430088035376"/>
    <n v="0.24775848325356289"/>
    <n v="-4.3741823732091345E-3"/>
    <n v="1.9133471434093496E-5"/>
    <x v="0"/>
    <n v="2.8272427999999999E-2"/>
    <n v="0.69170743000000001"/>
    <n v="-1.2321200867675349E-2"/>
    <n v="0.25765030496492031"/>
    <n v="0.23824643263070705"/>
    <n v="1.9403872334213257E-2"/>
  </r>
  <r>
    <n v="11"/>
    <x v="13"/>
    <n v="-1.3958817226731339"/>
    <n v="0.7959744903594157"/>
    <n v="0.83373486886959214"/>
    <n v="0.74241342186286341"/>
    <n v="0.61939299197128328"/>
    <n v="0.64825441166920861"/>
    <n v="0.60704448150653356"/>
    <n v="-0.87886461343413891"/>
    <n v="2.166250221499268"/>
    <n v="-0.92594627856998246"/>
    <n v="2.700549530427923"/>
    <n v="2.6945842825909812"/>
    <n v="5.393627546352362"/>
    <n v="5.9652477502822876E-3"/>
    <n v="1"/>
    <n v="0"/>
    <n v="0"/>
    <n v="0"/>
    <n v="0"/>
    <n v="0"/>
    <n v="1"/>
    <n v="-1.360716700553894"/>
    <n v="0.24761461266862669"/>
    <n v="0.25647689393495215"/>
    <n v="-8.8622812663254613E-3"/>
    <n v="7.8540029243463218E-5"/>
    <x v="0"/>
    <n v="2.8272427999999999E-2"/>
    <n v="0.69170743000000001"/>
    <n v="-2.4323907075992576E-2"/>
    <n v="0.26671680045428131"/>
    <n v="0.24663012232630729"/>
    <n v="2.0086678127974017E-2"/>
  </r>
  <r>
    <n v="11"/>
    <x v="14"/>
    <n v="-1.4296095899018759"/>
    <n v="0.72251178918984926"/>
    <n v="0.7959744903594157"/>
    <n v="0.83373486886959214"/>
    <n v="0.54563276527139615"/>
    <n v="0.61939299197128328"/>
    <n v="0.64825441166920861"/>
    <n v="-0.22604791296123961"/>
    <n v="2.166250221499268"/>
    <n v="-0.90454783102081882"/>
    <n v="2.718476319415351"/>
    <n v="2.6897846276731232"/>
    <n v="5.9914645471079817"/>
    <n v="2.8691692277789116E-2"/>
    <n v="1"/>
    <n v="1"/>
    <n v="0"/>
    <n v="0"/>
    <n v="0"/>
    <n v="0"/>
    <n v="1"/>
    <n v="-1.4244683980941772"/>
    <n v="0.23940236910368162"/>
    <n v="0.24063635195568933"/>
    <n v="-1.233982852007709E-3"/>
    <n v="1.5227136790490794E-6"/>
    <x v="0"/>
    <n v="2.8272427999999999E-2"/>
    <n v="0.69170743000000001"/>
    <n v="-3.556200572440305E-3"/>
    <n v="0.2502438207275296"/>
    <n v="0.23139773727156848"/>
    <n v="1.8846083455961116E-2"/>
  </r>
  <r>
    <n v="11"/>
    <x v="15"/>
    <n v="-1.4174909402989659"/>
    <n v="0.91776963775355425"/>
    <n v="0.72251178918984926"/>
    <n v="0.7959744903594157"/>
    <n v="0.75902854967345812"/>
    <n v="0.54563276527139615"/>
    <n v="0.61939299197128328"/>
    <n v="0.31564239935359079"/>
    <n v="2.166250221499268"/>
    <n v="-0.88493854765177082"/>
    <n v="2.7052698750374469"/>
    <n v="2.708055757190762"/>
    <n v="6.6846117276679271"/>
    <n v="-2.7858822140842676E-3"/>
    <n v="1"/>
    <n v="0"/>
    <n v="0"/>
    <n v="0"/>
    <n v="0"/>
    <n v="0"/>
    <n v="1"/>
    <n v="-1.4084359407424927"/>
    <n v="0.24232125327360329"/>
    <n v="0.24452543649294112"/>
    <n v="-2.2041832193378241E-3"/>
    <n v="4.8584236644104546E-6"/>
    <x v="0"/>
    <n v="2.8272427999999999E-2"/>
    <n v="0.69170743000000001"/>
    <n v="-6.2634104718592614E-3"/>
    <n v="0.25428817797374259"/>
    <n v="0.23513751039671801"/>
    <n v="1.9150667577024577E-2"/>
  </r>
  <r>
    <n v="11"/>
    <x v="16"/>
    <n v="-1.370120701773238"/>
    <n v="0.91948562277067425"/>
    <n v="0.91776963775355425"/>
    <n v="0.72251178918984926"/>
    <n v="0.79443943204181766"/>
    <n v="0.75902854967345812"/>
    <n v="0.54563276527139615"/>
    <n v="0.83526807990957463"/>
    <n v="2.166250221499268"/>
    <n v="-0.85720866088653058"/>
    <n v="2.761330092439426"/>
    <n v="2.7052698750374469"/>
    <n v="8.0551577318196781"/>
    <n v="5.6060217320919037E-2"/>
    <n v="1"/>
    <n v="0"/>
    <n v="0"/>
    <n v="0"/>
    <n v="0"/>
    <n v="0"/>
    <n v="1"/>
    <n v="-1.3569667339324951"/>
    <n v="0.25407629024314743"/>
    <n v="0.25744047930367181"/>
    <n v="-3.3641890605243807E-3"/>
    <n v="1.1317768034951916E-5"/>
    <x v="0"/>
    <n v="2.8272427999999999E-2"/>
    <n v="0.69170743000000001"/>
    <n v="-9.0986972894228878E-3"/>
    <n v="0.26771885721879696"/>
    <n v="0.24755671330966289"/>
    <n v="2.0162143909134067E-2"/>
  </r>
  <r>
    <n v="11"/>
    <x v="17"/>
    <n v="-1.3339252000932049"/>
    <n v="0.84822600096002576"/>
    <n v="0.91948562277067425"/>
    <n v="0.91776963775355425"/>
    <n v="0.62919515406742821"/>
    <n v="0.79443943204181766"/>
    <n v="0.75902854967345812"/>
    <n v="1.4276902077177129"/>
    <n v="2.166250221499268"/>
    <n v="-0.83111700997942339"/>
    <n v="2.8461047606429259"/>
    <n v="2.761330092439426"/>
    <n v="8.4658998970286863"/>
    <n v="8.4774665534496307E-2"/>
    <n v="1"/>
    <n v="0"/>
    <n v="0"/>
    <n v="0"/>
    <n v="0"/>
    <n v="0"/>
    <n v="1"/>
    <n v="-1.3673110008239746"/>
    <n v="0.26344116989243532"/>
    <n v="0.25479117246936545"/>
    <n v="8.6499974230698773E-3"/>
    <n v="7.4822455419115515E-5"/>
    <x v="0"/>
    <n v="2.8272427999999999E-2"/>
    <n v="0.69170743000000001"/>
    <n v="2.3093206421972823E-2"/>
    <n v="0.26496377612191235"/>
    <n v="0.2450091198067931"/>
    <n v="1.9954656315119251E-2"/>
  </r>
  <r>
    <n v="12"/>
    <x v="0"/>
    <n v="-2.540522743776382"/>
    <n v="1.0784095813505901"/>
    <n v="1.0092344775168931"/>
    <n v="0.99047013004840656"/>
    <n v="0.81536481328419441"/>
    <n v="0.69873155885384597"/>
    <n v="0.70146251216365918"/>
    <n v="-11.51292546497023"/>
    <n v="1.89659895370424"/>
    <n v="-2.4595923370301058"/>
    <n v="2.2133343213516978"/>
    <n v="2.1982281424695489"/>
    <n v="-11.51292546497023"/>
    <n v="1.5106178820133209E-2"/>
    <n v="0"/>
    <n v="0"/>
    <n v="0"/>
    <n v="0"/>
    <n v="0"/>
    <n v="0"/>
    <n v="1"/>
    <n v="-2.5540752410888672"/>
    <n v="7.8825183644699176E-2"/>
    <n v="7.7764111881859416E-2"/>
    <n v="1.0610717628397603E-3"/>
    <n v="1.1258732858958765E-6"/>
    <x v="1"/>
    <n v="3.7075563999999998E-2"/>
    <n v="0.64969056999999997"/>
    <n v="1.0302591728045499E-2"/>
    <n v="8.1650743025659472E-2"/>
    <n v="7.4062487035469415E-2"/>
    <n v="7.588255990190057E-3"/>
  </r>
  <r>
    <n v="12"/>
    <x v="1"/>
    <n v="-2.4329042894116562"/>
    <n v="1.027939435373064"/>
    <n v="1.0784095813505901"/>
    <n v="1.0092344775168931"/>
    <n v="0.68390459919301272"/>
    <n v="0.81536481328419441"/>
    <n v="0.69873155885384597"/>
    <n v="-11.51292546497023"/>
    <n v="1.89659895370424"/>
    <n v="-2.3000771337360129"/>
    <n v="2.313442845502276"/>
    <n v="2.218134274509667"/>
    <n v="-11.51292546497023"/>
    <n v="9.5308572053909302E-2"/>
    <n v="0"/>
    <n v="0"/>
    <n v="0"/>
    <n v="0"/>
    <n v="0"/>
    <n v="0"/>
    <n v="1"/>
    <n v="-2.4477603435516357"/>
    <n v="8.7781519073290279E-2"/>
    <n v="8.6487071075438002E-2"/>
    <n v="1.2944479978522772E-3"/>
    <n v="1.675595619143769E-6"/>
    <x v="1"/>
    <n v="3.7075563999999998E-2"/>
    <n v="0.64969056999999997"/>
    <n v="9.6518382821542004E-3"/>
    <n v="9.0809673569613211E-2"/>
    <n v="8.237022741276355E-2"/>
    <n v="8.4394461568496615E-3"/>
  </r>
  <r>
    <n v="12"/>
    <x v="2"/>
    <n v="-2.27425156337357"/>
    <n v="0.98760623729075003"/>
    <n v="1.027939435373064"/>
    <n v="1.0784095813505901"/>
    <n v="0.64095874881435921"/>
    <n v="0.68390459919301272"/>
    <n v="0.81536481328419441"/>
    <n v="-11.51292546497023"/>
    <n v="1.89659895370424"/>
    <n v="-2.1314025549806082"/>
    <n v="2.3949085330761819"/>
    <n v="2.3182674198025608"/>
    <n v="-11.51292546497023"/>
    <n v="7.6641112565994263E-2"/>
    <n v="0"/>
    <n v="0"/>
    <n v="0"/>
    <n v="0"/>
    <n v="0"/>
    <n v="0"/>
    <n v="1"/>
    <n v="-2.3374414443969727"/>
    <n v="0.10287387420505091"/>
    <n v="9.6574413408401005E-2"/>
    <n v="6.2994607966499055E-3"/>
    <n v="3.9683206328529063E-5"/>
    <x v="1"/>
    <n v="3.7075563999999998E-2"/>
    <n v="0.64969056999999997"/>
    <n v="4.1053869820326626E-2"/>
    <n v="0.10140117878595138"/>
    <n v="9.1977405359994685E-2"/>
    <n v="9.4237734259566969E-3"/>
  </r>
  <r>
    <n v="12"/>
    <x v="3"/>
    <n v="-2.2112330407058809"/>
    <n v="0.94542225838040261"/>
    <n v="0.98760623729075003"/>
    <n v="1.027939435373064"/>
    <n v="0.60355064674818915"/>
    <n v="0.64095874881435921"/>
    <n v="0.68390459919301272"/>
    <n v="-11.51292546497023"/>
    <n v="1.89659895370424"/>
    <n v="-1.97417015913311"/>
    <n v="2.4528339580987599"/>
    <n v="2.3787807862614101"/>
    <n v="-11.51292546497023"/>
    <n v="7.4053168296813965E-2"/>
    <n v="0"/>
    <n v="0"/>
    <n v="0"/>
    <n v="0"/>
    <n v="0"/>
    <n v="0"/>
    <n v="1"/>
    <n v="-2.2124011516571045"/>
    <n v="0.10956546651001542"/>
    <n v="0.10943755660973103"/>
    <n v="1.279099002843842E-4"/>
    <n v="1.6360942590761109E-8"/>
    <x v="1"/>
    <n v="3.7075563999999998E-2"/>
    <n v="0.64969056999999997"/>
    <n v="7.5891066972370272E-4"/>
    <n v="0.11490721871385114"/>
    <n v="0.1042282541581037"/>
    <n v="1.0678964555747433E-2"/>
  </r>
  <r>
    <n v="12"/>
    <x v="4"/>
    <n v="-2.0238197630288082"/>
    <n v="0.89469930563067901"/>
    <n v="0.94542225838040261"/>
    <n v="0.98760623729075003"/>
    <n v="0.67904825618044362"/>
    <n v="0.60355064674818915"/>
    <n v="0.64095874881435921"/>
    <n v="-6.5775261137723211"/>
    <n v="1.89659895370424"/>
    <n v="-1.851129937016835"/>
    <n v="2.451574835691376"/>
    <n v="2.4136386773470888"/>
    <n v="-11.51292546497023"/>
    <n v="3.793615847826004E-2"/>
    <n v="0"/>
    <n v="0"/>
    <n v="0"/>
    <n v="0"/>
    <n v="0"/>
    <n v="0"/>
    <n v="1"/>
    <n v="-2.0603728294372559"/>
    <n v="0.13214971916873389"/>
    <n v="0.127406460160013"/>
    <n v="4.7432590087208848E-3"/>
    <n v="2.2498506023811832E-5"/>
    <x v="1"/>
    <n v="3.7075563999999998E-2"/>
    <n v="0.64969056999999997"/>
    <n v="2.3748182550152229E-2"/>
    <n v="0.13377420363442594"/>
    <n v="0.12134182562479988"/>
    <n v="1.2432378009626058E-2"/>
  </r>
  <r>
    <n v="12"/>
    <x v="5"/>
    <n v="-1.9428928643946779"/>
    <n v="0.87108413903607584"/>
    <n v="0.89469930563067901"/>
    <n v="0.94542225838040261"/>
    <n v="0.64872496300719862"/>
    <n v="0.67904825618044362"/>
    <n v="0.60355064674818915"/>
    <n v="-5.0058049802243119"/>
    <n v="1.89659895370424"/>
    <n v="-1.7662719913196829"/>
    <n v="2.4041960497971822"/>
    <n v="2.413858056805267"/>
    <n v="-11.51292546497023"/>
    <n v="-9.6620069816708565E-3"/>
    <n v="0"/>
    <n v="0"/>
    <n v="0"/>
    <n v="0"/>
    <n v="0"/>
    <n v="0"/>
    <n v="1"/>
    <n v="-1.972894549369812"/>
    <n v="0.14328883446366894"/>
    <n v="0.1390537751102883"/>
    <n v="4.2350593533806435E-3"/>
    <n v="1.7935727726656876E-5"/>
    <x v="1"/>
    <n v="3.7075563999999998E-2"/>
    <n v="0.64969056999999997"/>
    <n v="1.9491811812455316E-2"/>
    <n v="0.14600364851497244"/>
    <n v="0.13243472042713897"/>
    <n v="1.3568928087833471E-2"/>
  </r>
  <r>
    <n v="12"/>
    <x v="6"/>
    <n v="-1.853506372455425"/>
    <n v="0.82070451397482058"/>
    <n v="0.87108413903607584"/>
    <n v="0.89469930563067901"/>
    <n v="0.60393338001511543"/>
    <n v="0.64872496300719862"/>
    <n v="0.67904825618044362"/>
    <n v="-4.552278246026316"/>
    <n v="1.89659895370424"/>
    <n v="-1.681677032607656"/>
    <n v="2.435977906762917"/>
    <n v="2.3877191547494352"/>
    <n v="-11.51292546497023"/>
    <n v="4.8258751630783081E-2"/>
    <n v="0"/>
    <n v="0"/>
    <n v="0"/>
    <n v="0"/>
    <n v="0"/>
    <n v="0"/>
    <n v="1"/>
    <n v="-1.8573474884033203"/>
    <n v="0.15668679970373728"/>
    <n v="0.15608610195199391"/>
    <n v="6.0069775174337314E-4"/>
    <n v="3.6083778894954317E-7"/>
    <x v="1"/>
    <n v="3.7075563999999998E-2"/>
    <n v="0.64969056999999997"/>
    <n v="2.4955368096241672E-3"/>
    <n v="0.16388724685393277"/>
    <n v="0.14865629687636436"/>
    <n v="1.5230949977568409E-2"/>
  </r>
  <r>
    <n v="12"/>
    <x v="7"/>
    <n v="-1.823798812909148"/>
    <n v="0.80092477273337637"/>
    <n v="0.82070451397482058"/>
    <n v="0.87108413903607584"/>
    <n v="0.59305056402166012"/>
    <n v="0.60393338001511543"/>
    <n v="0.64872496300719862"/>
    <n v="-3.6590167181892319"/>
    <n v="1.89659895370424"/>
    <n v="-1.6211200885215431"/>
    <n v="2.464379744574213"/>
    <n v="2.4129487027258469"/>
    <n v="-11.51292546497023"/>
    <n v="5.1431041210889816E-2"/>
    <n v="0"/>
    <n v="0"/>
    <n v="0"/>
    <n v="0"/>
    <n v="0"/>
    <n v="0"/>
    <n v="1"/>
    <n v="-1.8011714220046997"/>
    <n v="0.16141141303577897"/>
    <n v="0.16510536683630556"/>
    <n v="-3.6939538005265893E-3"/>
    <n v="1.3645294680424833E-5"/>
    <x v="1"/>
    <n v="3.7075563999999998E-2"/>
    <n v="0.64969056999999997"/>
    <n v="-1.4700802494323843E-2"/>
    <n v="0.1733572923740061"/>
    <n v="0.15724623859110567"/>
    <n v="1.6111053782900425E-2"/>
  </r>
  <r>
    <n v="12"/>
    <x v="8"/>
    <n v="-1.7438080667107489"/>
    <n v="0.78686518443369713"/>
    <n v="0.80092477273337637"/>
    <n v="0.82070451397482058"/>
    <n v="0.60748035380285359"/>
    <n v="0.59305056402166012"/>
    <n v="0.60393338001511543"/>
    <n v="-2.8879711514722008"/>
    <n v="1.89659895370424"/>
    <n v="-1.55917951479725"/>
    <n v="2.5309753553273722"/>
    <n v="2.4469679509269722"/>
    <n v="-11.51292546497023"/>
    <n v="8.4007404744625092E-2"/>
    <n v="0"/>
    <n v="0"/>
    <n v="0"/>
    <n v="0"/>
    <n v="0"/>
    <n v="0"/>
    <n v="1"/>
    <n v="-1.7280294895172119"/>
    <n v="0.17485327825176775"/>
    <n v="0.17763409517418902"/>
    <n v="-2.7808169224212698E-3"/>
    <n v="7.7329427560245019E-6"/>
    <x v="1"/>
    <n v="3.7075563999999998E-2"/>
    <n v="0.64969056999999997"/>
    <n v="-1.0251192810658076E-2"/>
    <n v="0.18651220346601405"/>
    <n v="0.16917859090170762"/>
    <n v="1.7333612564306433E-2"/>
  </r>
  <r>
    <n v="12"/>
    <x v="9"/>
    <n v="-1.745503791543106"/>
    <n v="0.80424122806553211"/>
    <n v="0.78686518443369713"/>
    <n v="0.80092477273337637"/>
    <n v="0.57717500430752455"/>
    <n v="0.60748035380285359"/>
    <n v="0.59305056402166012"/>
    <n v="-2.545858637871083"/>
    <n v="1.89659895370424"/>
    <n v="-1.50904858212068"/>
    <n v="2.4533261407057392"/>
    <n v="2.514142776455218"/>
    <n v="-11.51292546497023"/>
    <n v="-6.0816634446382523E-2"/>
    <n v="1"/>
    <n v="0"/>
    <n v="0"/>
    <n v="0"/>
    <n v="0"/>
    <n v="0"/>
    <n v="1"/>
    <n v="-1.766331672668457"/>
    <n v="0.17455702645756813"/>
    <n v="0.17095897344004671"/>
    <n v="3.5980530175214187E-3"/>
    <n v="1.2945985516894987E-5"/>
    <x v="1"/>
    <n v="3.7075563999999998E-2"/>
    <n v="0.64969056999999997"/>
    <n v="1.3531677960221568E-2"/>
    <n v="0.17950346079294829"/>
    <n v="0.16282120952189888"/>
    <n v="1.6682251271049414E-2"/>
  </r>
  <r>
    <n v="12"/>
    <x v="10"/>
    <n v="-1.7866062373763869"/>
    <n v="0.80629727849260113"/>
    <n v="0.80424122806553211"/>
    <n v="0.78686518443369713"/>
    <n v="0.60671745256155762"/>
    <n v="0.57717500430752455"/>
    <n v="0.60748035380285359"/>
    <n v="-2.2509086162663912"/>
    <n v="1.89659895370424"/>
    <n v="-1.479321084465824"/>
    <n v="2.368745845321349"/>
    <n v="2.4370635924484572"/>
    <n v="-11.51292546497023"/>
    <n v="-6.8317748606204987E-2"/>
    <n v="1"/>
    <n v="0"/>
    <n v="0"/>
    <n v="0"/>
    <n v="0"/>
    <n v="0"/>
    <n v="1"/>
    <n v="-1.739788293838501"/>
    <n v="0.16752775543139531"/>
    <n v="0.17555756330092204"/>
    <n v="-8.0298078695267283E-3"/>
    <n v="6.4477814421513369E-5"/>
    <x v="1"/>
    <n v="3.7075563999999998E-2"/>
    <n v="0.64969056999999997"/>
    <n v="-3.0417176423356927E-2"/>
    <n v="0.184331887041565"/>
    <n v="0.16720090336409105"/>
    <n v="1.7130983677473954E-2"/>
  </r>
  <r>
    <n v="12"/>
    <x v="11"/>
    <n v="-1.803964079196309"/>
    <n v="0.84346194121881335"/>
    <n v="0.80629727849260113"/>
    <n v="0.80424122806553211"/>
    <n v="0.6634093622959889"/>
    <n v="0.60671745256155762"/>
    <n v="0.57717500430752455"/>
    <n v="-1.6395621942722589"/>
    <n v="1.89659895370424"/>
    <n v="-1.449845687397157"/>
    <n v="2.353997619072592"/>
    <n v="2.353035198584525"/>
    <n v="-11.51292546497023"/>
    <n v="9.6242048311978579E-4"/>
    <n v="1"/>
    <n v="0"/>
    <n v="0"/>
    <n v="0"/>
    <n v="0"/>
    <n v="0"/>
    <n v="1"/>
    <n v="-1.730992317199707"/>
    <n v="0.16464492737027464"/>
    <n v="0.17710857485715675"/>
    <n v="-1.2463647486882112E-2"/>
    <n v="1.5534250867726279E-4"/>
    <x v="1"/>
    <n v="3.7075563999999998E-2"/>
    <n v="0.64969056999999997"/>
    <n v="-4.7409065645476645E-2"/>
    <n v="0.18596041777307187"/>
    <n v="0.16867808571075002"/>
    <n v="1.7282332062321853E-2"/>
  </r>
  <r>
    <n v="12"/>
    <x v="12"/>
    <n v="-1.8707615171010761"/>
    <n v="0.93730830709662494"/>
    <n v="0.84346194121881335"/>
    <n v="0.80629727849260113"/>
    <n v="0.70051993488935849"/>
    <n v="0.6634093622959889"/>
    <n v="0.60671745256155762"/>
    <n v="-1.2704798017012739"/>
    <n v="1.89659895370424"/>
    <n v="-1.447486001868977"/>
    <n v="2.3348805785508659"/>
    <n v="2.3073161513348381"/>
    <n v="3.2580965380214821"/>
    <n v="2.7564426884055138E-2"/>
    <n v="1"/>
    <n v="0"/>
    <n v="0"/>
    <n v="0"/>
    <n v="0"/>
    <n v="0"/>
    <n v="1"/>
    <n v="-1.7969324588775635"/>
    <n v="0.15400633868843214"/>
    <n v="0.16580672786997905"/>
    <n v="-1.1800389181546911E-2"/>
    <n v="1.3924918483596937E-4"/>
    <x v="1"/>
    <n v="3.7075563999999998E-2"/>
    <n v="0.64969056999999997"/>
    <n v="-4.7966042919797086E-2"/>
    <n v="0.17409370725926429"/>
    <n v="0.15791421436047526"/>
    <n v="1.6179492898789033E-2"/>
  </r>
  <r>
    <n v="12"/>
    <x v="13"/>
    <n v="-1.8548545271126911"/>
    <n v="0.86865390235854689"/>
    <n v="0.93730830709662494"/>
    <n v="0.84346194121881335"/>
    <n v="0.6634093622959889"/>
    <n v="0.70051993488935849"/>
    <n v="0.6634093622959889"/>
    <n v="-0.58160918310328213"/>
    <n v="1.89659895370424"/>
    <n v="-1.413985790649066"/>
    <n v="2.29834380834231"/>
    <n v="2.3204102483993698"/>
    <n v="5.393627546352362"/>
    <n v="-2.2066440433263779E-2"/>
    <n v="1"/>
    <n v="0"/>
    <n v="0"/>
    <n v="0"/>
    <n v="0"/>
    <n v="0"/>
    <n v="1"/>
    <n v="-1.7460775375366211"/>
    <n v="0.15647570399179073"/>
    <n v="0.17445690378823495"/>
    <n v="-1.7981199796444219E-2"/>
    <n v="3.2332354611964563E-4"/>
    <x v="1"/>
    <n v="3.7075563999999998E-2"/>
    <n v="0.64969056999999997"/>
    <n v="-7.0671384360560946E-2"/>
    <n v="0.18317621683773505"/>
    <n v="0.16615263599607047"/>
    <n v="1.7023580841664582E-2"/>
  </r>
  <r>
    <n v="12"/>
    <x v="14"/>
    <n v="-1.88050971510182"/>
    <n v="0.81823679139876693"/>
    <n v="0.86865390235854689"/>
    <n v="0.93730830709662494"/>
    <n v="0.61917766035977084"/>
    <n v="0.6634093622959889"/>
    <n v="0.70051993488935849"/>
    <n v="2.7054758258881369E-2"/>
    <n v="1.89659895370424"/>
    <n v="-1.3876704234500099"/>
    <n v="2.274248317061752"/>
    <n v="2.2842308013914758"/>
    <n v="5.9914645471079817"/>
    <n v="-9.9824843928217888E-3"/>
    <n v="1"/>
    <n v="1"/>
    <n v="0"/>
    <n v="0"/>
    <n v="0"/>
    <n v="0"/>
    <n v="1"/>
    <n v="-1.813714861869812"/>
    <n v="0.15251234809440223"/>
    <n v="0.1630473121228494"/>
    <n v="-1.0534964028447169E-2"/>
    <n v="1.1098546708067581E-4"/>
    <x v="1"/>
    <n v="3.7075563999999998E-2"/>
    <n v="0.64969056999999997"/>
    <n v="-4.3395986269369587E-2"/>
    <n v="0.17119637659326076"/>
    <n v="0.15528614868787113"/>
    <n v="1.5910227905389623E-2"/>
  </r>
  <r>
    <n v="12"/>
    <x v="15"/>
    <n v="-1.878643824790587"/>
    <n v="0.99332584434100879"/>
    <n v="0.81823679139876693"/>
    <n v="0.86865390235854689"/>
    <n v="0.81730982318036782"/>
    <n v="0.61917766035977084"/>
    <n v="0.6634093622959889"/>
    <n v="0.70261181834886477"/>
    <n v="1.89659895370424"/>
    <n v="-1.364484611240979"/>
    <n v="2.3980824642529059"/>
    <n v="2.2604739548329111"/>
    <n v="6.6846117276679271"/>
    <n v="0.13760851323604584"/>
    <n v="1"/>
    <n v="0"/>
    <n v="0"/>
    <n v="0"/>
    <n v="0"/>
    <n v="0"/>
    <n v="1"/>
    <n v="-1.7549253702163696"/>
    <n v="0.1527971850616843"/>
    <n v="0.17292014680332121"/>
    <n v="-2.0122961741636913E-2"/>
    <n v="4.0493358925538294E-4"/>
    <x v="1"/>
    <n v="3.7075563999999998E-2"/>
    <n v="0.64969056999999997"/>
    <n v="-8.0378713271842386E-2"/>
    <n v="0.18156265311751016"/>
    <n v="0.16468902969340024"/>
    <n v="1.6873623424109918E-2"/>
  </r>
  <r>
    <n v="12"/>
    <x v="16"/>
    <n v="-1.803714186016224"/>
    <n v="0.96667961740728414"/>
    <n v="0.99332584434100879"/>
    <n v="0.81823679139876693"/>
    <n v="0.77785590848689956"/>
    <n v="0.81730982318036782"/>
    <n v="0.61917766035977084"/>
    <n v="1.185974748438114"/>
    <n v="1.89659895370424"/>
    <n v="-1.3314857129553219"/>
    <n v="2.418150875718347"/>
    <n v="2.3980824642529059"/>
    <n v="8.0551577318196781"/>
    <n v="2.0068410784006119E-2"/>
    <n v="1"/>
    <n v="0"/>
    <n v="0"/>
    <n v="0"/>
    <n v="0"/>
    <n v="0"/>
    <n v="1"/>
    <n v="-1.7257306575775146"/>
    <n v="0.16468607615594638"/>
    <n v="0.17804291583070733"/>
    <n v="-1.3356839674760951E-2"/>
    <n v="1.7840516609726823E-4"/>
    <x v="1"/>
    <n v="3.7075563999999998E-2"/>
    <n v="0.64969056999999997"/>
    <n v="-5.0665163041956299E-2"/>
    <n v="0.18694145687817504"/>
    <n v="0.16956795141570946"/>
    <n v="1.7373505462465577E-2"/>
  </r>
  <r>
    <n v="12"/>
    <x v="17"/>
    <n v="-1.763170302088207"/>
    <n v="0.88232021230300173"/>
    <n v="0.96667961740728414"/>
    <n v="0.99332584434100879"/>
    <n v="0.58070610121419586"/>
    <n v="0.77785590848689956"/>
    <n v="0.81730982318036782"/>
    <n v="1.748137451419546"/>
    <n v="1.89659895370424"/>
    <n v="-1.300184285120431"/>
    <n v="2.4726140688728968"/>
    <n v="2.418150875718347"/>
    <n v="8.4658998970286863"/>
    <n v="5.4463192820549011E-2"/>
    <n v="1"/>
    <n v="0"/>
    <n v="0"/>
    <n v="0"/>
    <n v="0"/>
    <n v="0"/>
    <n v="1"/>
    <n v="-1.7381545305252075"/>
    <n v="0.17150029331463176"/>
    <n v="0.17584461723245548"/>
    <n v="-4.344323917823717E-3"/>
    <n v="1.8873150302975209E-5"/>
    <x v="1"/>
    <n v="3.7075563999999998E-2"/>
    <n v="0.64969056999999997"/>
    <n v="-1.6252510885754936E-2"/>
    <n v="0.18463328785784061"/>
    <n v="0.16747429333239638"/>
    <n v="1.7158994525444227E-2"/>
  </r>
  <r>
    <n v="13"/>
    <x v="0"/>
    <n v="-2.2996931070588582"/>
    <n v="0.94000725849147115"/>
    <n v="0.9748237560598092"/>
    <n v="0.83768033129224362"/>
    <n v="0.71783979315031676"/>
    <n v="0.63525320214104264"/>
    <n v="0.52449181452980531"/>
    <n v="-11.51292546497023"/>
    <n v="2.4442681395872339"/>
    <n v="-2.6013661987380088"/>
    <n v="2.787953787326388"/>
    <n v="2.6920901613696402"/>
    <n v="-11.51292546497023"/>
    <n v="9.5863625407218933E-2"/>
    <n v="0"/>
    <n v="0"/>
    <n v="0"/>
    <n v="0"/>
    <n v="0"/>
    <n v="0"/>
    <n v="1"/>
    <n v="-2.5868535041809082"/>
    <n v="0.10028961717606556"/>
    <n v="7.5256462083160697E-2"/>
    <n v="2.5033155092904866E-2"/>
    <n v="6.2665885390542878E-4"/>
    <x v="2"/>
    <n v="4.3542842999999998E-2"/>
    <n v="0.91871451999999998"/>
    <n v="0.11340604730121963"/>
    <n v="8.4028708316244607E-2"/>
    <n v="6.7400001722736441E-2"/>
    <n v="1.6628706593508166E-2"/>
  </r>
  <r>
    <n v="13"/>
    <x v="1"/>
    <n v="-2.2393959335322"/>
    <n v="0.86056658310179346"/>
    <n v="0.94000725849147115"/>
    <n v="0.9748237560598092"/>
    <n v="0.52732869586500486"/>
    <n v="0.71783979315031676"/>
    <n v="0.63525320214104264"/>
    <n v="-11.51292546497023"/>
    <n v="2.4442681395872339"/>
    <n v="-2.4906512169756301"/>
    <n v="2.806108713008526"/>
    <n v="2.7834234781778342"/>
    <n v="-11.51292546497023"/>
    <n v="2.2685235366225243E-2"/>
    <n v="0"/>
    <n v="0"/>
    <n v="0"/>
    <n v="0"/>
    <n v="0"/>
    <n v="0"/>
    <n v="1"/>
    <n v="-2.5332489013671875"/>
    <n v="0.10652283181902907"/>
    <n v="7.9400635945878401E-2"/>
    <n v="2.7122195873150665E-2"/>
    <n v="7.356135089815509E-4"/>
    <x v="2"/>
    <n v="4.3542842999999998E-2"/>
    <n v="0.91871451999999998"/>
    <n v="0.26996698829509597"/>
    <n v="8.8655946523872625E-2"/>
    <n v="7.1111541140811113E-2"/>
    <n v="1.7544405383061512E-2"/>
  </r>
  <r>
    <n v="13"/>
    <x v="2"/>
    <n v="-2.1516233254611739"/>
    <n v="0.79104491883640526"/>
    <n v="0.86056658310179346"/>
    <n v="0.94000725849147115"/>
    <n v="0.47567501648296739"/>
    <n v="0.52732869586500486"/>
    <n v="0.71783979315031676"/>
    <n v="-11.51292546497023"/>
    <n v="2.4442681395872339"/>
    <n v="-2.3800620263891141"/>
    <n v="2.8187584767341138"/>
    <n v="2.8015988350361951"/>
    <n v="-11.51292546497023"/>
    <n v="1.7159640789031982E-2"/>
    <n v="0"/>
    <n v="0"/>
    <n v="0"/>
    <n v="0"/>
    <n v="0"/>
    <n v="0"/>
    <n v="1"/>
    <n v="-2.4130890369415283"/>
    <n v="0.11629521947002977"/>
    <n v="8.953827988397868E-2"/>
    <n v="2.675693958605109E-2"/>
    <n v="7.1593381601158792E-4"/>
    <x v="2"/>
    <n v="4.3542842999999998E-2"/>
    <n v="0.91871451999999998"/>
    <n v="0.24021234561913235"/>
    <n v="9.997528179301203E-2"/>
    <n v="8.0190857387931594E-2"/>
    <n v="1.9784424405080436E-2"/>
  </r>
  <r>
    <n v="13"/>
    <x v="3"/>
    <n v="-2.129867287589434"/>
    <n v="0.80074519115796339"/>
    <n v="0.79104491883640526"/>
    <n v="0.86056658310179346"/>
    <n v="0.45018350179642908"/>
    <n v="0.47567501648296739"/>
    <n v="0.52732869586500486"/>
    <n v="-8.129578512186745"/>
    <n v="2.4442681395872339"/>
    <n v="-2.2873741230265301"/>
    <n v="2.7822075302180531"/>
    <n v="2.8032335417972489"/>
    <n v="-11.51292546497023"/>
    <n v="-2.1026011556386948E-2"/>
    <n v="0"/>
    <n v="0"/>
    <n v="0"/>
    <n v="0"/>
    <n v="0"/>
    <n v="0"/>
    <n v="1"/>
    <n v="-2.3881988525390625"/>
    <n v="0.11885306608270414"/>
    <n v="9.179487116864489E-2"/>
    <n v="2.7058194914059253E-2"/>
    <n v="7.3214591200722204E-4"/>
    <x v="2"/>
    <n v="4.3542842999999998E-2"/>
    <n v="0.91871451999999998"/>
    <n v="0.23733295969354676"/>
    <n v="0.10249491194302708"/>
    <n v="8.2211869966305862E-2"/>
    <n v="2.0283041976721219E-2"/>
  </r>
  <r>
    <n v="13"/>
    <x v="4"/>
    <n v="-2.00078354198634"/>
    <n v="0.75879446179580023"/>
    <n v="0.80074519115796339"/>
    <n v="0.79104491883640526"/>
    <n v="0.50748003351489412"/>
    <n v="0.45018350179642908"/>
    <n v="0.47567501648296739"/>
    <n v="-7.4575740900194392"/>
    <n v="2.4442681395872339"/>
    <n v="-2.1949797606311301"/>
    <n v="2.865891463940804"/>
    <n v="2.7610647718254149"/>
    <n v="-11.51292546497023"/>
    <n v="0.10482668876647949"/>
    <n v="0"/>
    <n v="0"/>
    <n v="0"/>
    <n v="0"/>
    <n v="0"/>
    <n v="0"/>
    <n v="1"/>
    <n v="-2.2414588928222656"/>
    <n v="0.13522928389285485"/>
    <n v="0.10630330606772276"/>
    <n v="2.8925977825132093E-2"/>
    <n v="8.3671219314003357E-4"/>
    <x v="2"/>
    <n v="4.3542842999999998E-2"/>
    <n v="0.91871451999999998"/>
    <n v="0.22111193941905899"/>
    <n v="0.11869451807004203"/>
    <n v="9.5205684851085895E-2"/>
    <n v="2.3488833218956132E-2"/>
  </r>
  <r>
    <n v="13"/>
    <x v="5"/>
    <n v="-1.9149948690867109"/>
    <n v="0.75888810352262204"/>
    <n v="0.75879446179580023"/>
    <n v="0.80074519115796339"/>
    <n v="0.56502967777950286"/>
    <n v="0.50748003351489412"/>
    <n v="0.45018350179642908"/>
    <n v="-5.974201675234224"/>
    <n v="2.4442681395872339"/>
    <n v="-2.1132146873506201"/>
    <n v="2.9153544314711932"/>
    <n v="2.8451864819496779"/>
    <n v="-11.51292546497023"/>
    <n v="7.0167951285839081E-2"/>
    <n v="0"/>
    <n v="0"/>
    <n v="0"/>
    <n v="0"/>
    <n v="0"/>
    <n v="0"/>
    <n v="1"/>
    <n v="-2.1575527191162109"/>
    <n v="0.14734258858626828"/>
    <n v="0.11560769963576521"/>
    <n v="3.1734888950503068E-2"/>
    <n v="1.0071031767007617E-3"/>
    <x v="2"/>
    <n v="4.3542842999999998E-2"/>
    <n v="0.91871451999999998"/>
    <n v="0.2228414187620841"/>
    <n v="0.12908347539738263"/>
    <n v="0.10353873858701754"/>
    <n v="2.5544736810365093E-2"/>
  </r>
  <r>
    <n v="13"/>
    <x v="6"/>
    <n v="-1.8416043500428281"/>
    <n v="0.74093684439579388"/>
    <n v="0.75888810352262204"/>
    <n v="0.75879446179580023"/>
    <n v="0.52555658836598484"/>
    <n v="0.56502967777950286"/>
    <n v="0.50748003351489412"/>
    <n v="-5.6212324596463992"/>
    <n v="2.4442681395872339"/>
    <n v="-2.039432947274388"/>
    <n v="2.8452638329088011"/>
    <n v="2.9005988669337039"/>
    <n v="-11.51292546497023"/>
    <n v="-5.5335033684968948E-2"/>
    <n v="0"/>
    <n v="0"/>
    <n v="0"/>
    <n v="0"/>
    <n v="0"/>
    <n v="0"/>
    <n v="1"/>
    <n v="-2.0904643535614014"/>
    <n v="0.1585628316464702"/>
    <n v="0.12362971458834635"/>
    <n v="3.4933117058123853E-2"/>
    <n v="1.2203226673965838E-3"/>
    <x v="2"/>
    <n v="4.3542842999999998E-2"/>
    <n v="0.91871451999999998"/>
    <n v="0.22863129867976437"/>
    <n v="0.13804057404246795"/>
    <n v="0.11072328867955727"/>
    <n v="2.731728536291067E-2"/>
  </r>
  <r>
    <n v="13"/>
    <x v="7"/>
    <n v="-1.8634470711147311"/>
    <n v="0.7175470673834804"/>
    <n v="0.74093684439579388"/>
    <n v="0.75888810352262204"/>
    <n v="0.51018541887856739"/>
    <n v="0.52555658836598484"/>
    <n v="0.56502967777950286"/>
    <n v="-4.8436412682355856"/>
    <n v="2.4442681395872339"/>
    <n v="-2.0111046236770722"/>
    <n v="2.8536702634377278"/>
    <n v="2.78660700011898"/>
    <n v="-11.51292546497023"/>
    <n v="6.7063264548778534E-2"/>
    <n v="0"/>
    <n v="0"/>
    <n v="0"/>
    <n v="0"/>
    <n v="0"/>
    <n v="0"/>
    <n v="1"/>
    <n v="-2.0415413379669189"/>
    <n v="0.15513693955310523"/>
    <n v="0.12982844706631558"/>
    <n v="2.5308492486789652E-2"/>
    <n v="6.405197919538883E-4"/>
    <x v="2"/>
    <n v="4.3542842999999998E-2"/>
    <n v="0.91871451999999998"/>
    <n v="0.16361778888585971"/>
    <n v="0.14496185985505544"/>
    <n v="0.11627489937356296"/>
    <n v="2.8686960481492482E-2"/>
  </r>
  <r>
    <n v="13"/>
    <x v="8"/>
    <n v="-1.820465575274167"/>
    <n v="0.71069235977569423"/>
    <n v="0.7175470673834804"/>
    <n v="0.74093684439579388"/>
    <n v="0.49231536100689388"/>
    <n v="0.51018541887856739"/>
    <n v="0.52555658836598484"/>
    <n v="-4.2015334915193838"/>
    <n v="2.4442681395872339"/>
    <n v="-1.950555716804877"/>
    <n v="2.8036262076416598"/>
    <n v="2.8365324112696699"/>
    <n v="-11.51292546497023"/>
    <n v="-3.2906204462051392E-2"/>
    <n v="0"/>
    <n v="0"/>
    <n v="0"/>
    <n v="0"/>
    <n v="0"/>
    <n v="0"/>
    <n v="1"/>
    <n v="-2.013779878616333"/>
    <n v="0.16195033330812081"/>
    <n v="0.13348316971813623"/>
    <n v="2.8467163589984579E-2"/>
    <n v="8.1037940285894365E-4"/>
    <x v="2"/>
    <n v="4.3542842999999998E-2"/>
    <n v="0.91871451999999998"/>
    <n v="0.17760065740413247"/>
    <n v="0.14904259412272872"/>
    <n v="0.11954808424314448"/>
    <n v="2.9494509879584241E-2"/>
  </r>
  <r>
    <n v="13"/>
    <x v="9"/>
    <n v="-1.85331490022868"/>
    <n v="0.74246101711286649"/>
    <n v="0.71069235977569423"/>
    <n v="0.7175470673834804"/>
    <n v="0.4848306634889048"/>
    <n v="0.49231536100689388"/>
    <n v="0.51018541887856739"/>
    <n v="-3.8717943307937941"/>
    <n v="2.4442681395872339"/>
    <n v="-1.915266532969788"/>
    <n v="2.712993278238522"/>
    <n v="2.787089131649414"/>
    <n v="-11.51292546497023"/>
    <n v="-7.4095852673053741E-2"/>
    <n v="1"/>
    <n v="0"/>
    <n v="0"/>
    <n v="0"/>
    <n v="0"/>
    <n v="0"/>
    <n v="1"/>
    <n v="-2.0622899532318115"/>
    <n v="0.15671680374655689"/>
    <n v="0.1271624401866473"/>
    <n v="2.9554363559909591E-2"/>
    <n v="8.7346040543131195E-4"/>
    <x v="2"/>
    <n v="4.3542842999999998E-2"/>
    <n v="0.91871451999999998"/>
    <n v="0.19198841551174659"/>
    <n v="0.14198509070780005"/>
    <n v="0.11388721247853051"/>
    <n v="2.8097878229269541E-2"/>
  </r>
  <r>
    <n v="13"/>
    <x v="10"/>
    <n v="-1.8421449569286059"/>
    <n v="0.71417454775202094"/>
    <n v="0.74246101711286649"/>
    <n v="0.71069235977569423"/>
    <n v="0.5886196512060109"/>
    <n v="0.4848306634889048"/>
    <n v="0.49231536100689388"/>
    <n v="-3.5582678548913709"/>
    <n v="2.4442681395872339"/>
    <n v="-1.898090134548438"/>
    <n v="2.647271572969601"/>
    <n v="2.6970405530106989"/>
    <n v="-11.51292546497023"/>
    <n v="-4.9768980592489243E-2"/>
    <n v="1"/>
    <n v="0"/>
    <n v="0"/>
    <n v="0"/>
    <n v="0"/>
    <n v="0"/>
    <n v="1"/>
    <n v="-1.9824014902114868"/>
    <n v="0.15847713465413288"/>
    <n v="0.13773806320383247"/>
    <n v="2.0739071450300406E-2"/>
    <n v="4.3010908462066537E-4"/>
    <x v="2"/>
    <n v="4.3542842999999998E-2"/>
    <n v="0.91871451999999998"/>
    <n v="0.12885571365184595"/>
    <n v="0.15379345795195276"/>
    <n v="0.12335878461793869"/>
    <n v="3.0434673334014076E-2"/>
  </r>
  <r>
    <n v="13"/>
    <x v="11"/>
    <n v="-1.8414703029534769"/>
    <n v="0.70631016708622618"/>
    <n v="0.71417454775202094"/>
    <n v="0.74246101711286649"/>
    <n v="0.55652530301698111"/>
    <n v="0.5886196512060109"/>
    <n v="0.4848306634889048"/>
    <n v="-2.9391899763047791"/>
    <n v="2.4442681395872339"/>
    <n v="-1.8769940266480141"/>
    <n v="2.6419495295814581"/>
    <n v="2.631909871823026"/>
    <n v="-11.51292546497023"/>
    <n v="1.0039657354354858E-2"/>
    <n v="1"/>
    <n v="0"/>
    <n v="0"/>
    <n v="0"/>
    <n v="0"/>
    <n v="0"/>
    <n v="1"/>
    <n v="-1.9569659233093262"/>
    <n v="0.15858408795717313"/>
    <n v="0.14128644517349798"/>
    <n v="1.7297642783675155E-2"/>
    <n v="2.9920844587162914E-4"/>
    <x v="2"/>
    <n v="4.3542842999999998E-2"/>
    <n v="0.91871451999999998"/>
    <n v="0.10610750341732628"/>
    <n v="0.15775545596873652"/>
    <n v="0.12653673032848911"/>
    <n v="3.1218725640247413E-2"/>
  </r>
  <r>
    <n v="13"/>
    <x v="12"/>
    <n v="-1.893715057180644"/>
    <n v="0.83594797919161656"/>
    <n v="0.70631016708622618"/>
    <n v="0.71417454775202094"/>
    <n v="0.59033896057826329"/>
    <n v="0.55652530301698111"/>
    <n v="0.5886196512060109"/>
    <n v="-2.4850563934778158"/>
    <n v="2.4442681395872339"/>
    <n v="-1.8369834954172419"/>
    <n v="2.6649035890130319"/>
    <n v="2.6377755229258768"/>
    <n v="3.2580965380214821"/>
    <n v="2.7128066867589951E-2"/>
    <n v="1"/>
    <n v="0"/>
    <n v="0"/>
    <n v="0"/>
    <n v="0"/>
    <n v="0"/>
    <n v="1"/>
    <n v="-2.0239858627319336"/>
    <n v="0.15051160965845559"/>
    <n v="0.13212777096245759"/>
    <n v="1.8383838695997995E-2"/>
    <n v="3.3796552520047325E-4"/>
    <x v="2"/>
    <n v="4.3542842999999998E-2"/>
    <n v="0.91871451999999998"/>
    <n v="0.11968168059206633"/>
    <n v="0.14752920373018985"/>
    <n v="0.11833418345723208"/>
    <n v="2.919502027295777E-2"/>
  </r>
  <r>
    <n v="13"/>
    <x v="13"/>
    <n v="-1.856070637772256"/>
    <n v="0.72952732465269587"/>
    <n v="0.83594797919161656"/>
    <n v="0.70631016708622618"/>
    <n v="0.50162341300119118"/>
    <n v="0.59033896057826329"/>
    <n v="0.55652530301698111"/>
    <n v="-1.740634359736184"/>
    <n v="2.4442681395872339"/>
    <n v="-1.801472811152566"/>
    <n v="2.6855146875716001"/>
    <n v="2.6493447628313511"/>
    <n v="5.393627546352362"/>
    <n v="3.6169923841953278E-2"/>
    <n v="1"/>
    <n v="0"/>
    <n v="0"/>
    <n v="0"/>
    <n v="0"/>
    <n v="0"/>
    <n v="1"/>
    <n v="-1.9586844444274902"/>
    <n v="0.15628552788123903"/>
    <n v="0.14104384994597283"/>
    <n v="1.5241677935266207E-2"/>
    <n v="2.3230874628238075E-4"/>
    <x v="2"/>
    <n v="4.3542842999999998E-2"/>
    <n v="0.91871451999999998"/>
    <n v="9.427279412663632E-2"/>
    <n v="0.15748458270352644"/>
    <n v="0.12631946102960745"/>
    <n v="3.1165121673918994E-2"/>
  </r>
  <r>
    <n v="13"/>
    <x v="14"/>
    <n v="-1.9054095945747089"/>
    <n v="0.69708939979256901"/>
    <n v="0.72952732465269587"/>
    <n v="0.83594797919161656"/>
    <n v="0.4633565865239419"/>
    <n v="0.50162341300119118"/>
    <n v="0.59033896057826329"/>
    <n v="-1.117738767835011"/>
    <n v="2.4442681395872339"/>
    <n v="-1.772662210141901"/>
    <n v="2.6776327697878859"/>
    <n v="2.670400738513004"/>
    <n v="5.9914645471079817"/>
    <n v="7.2320313192903996E-3"/>
    <n v="1"/>
    <n v="1"/>
    <n v="0"/>
    <n v="0"/>
    <n v="0"/>
    <n v="0"/>
    <n v="1"/>
    <n v="-2.0581178665161133"/>
    <n v="0.14876169815724163"/>
    <n v="0.12769408116906728"/>
    <n v="2.1067616988174359E-2"/>
    <n v="4.4384448556041283E-4"/>
    <x v="2"/>
    <n v="4.3542842999999998E-2"/>
    <n v="0.91871451999999998"/>
    <n v="0.14029530675667676"/>
    <n v="0.14257870225694999"/>
    <n v="0.11436335236258972"/>
    <n v="2.8215349894360267E-2"/>
  </r>
  <r>
    <n v="13"/>
    <x v="15"/>
    <n v="-1.9488072066913751"/>
    <n v="0.87950225842631924"/>
    <n v="0.69708939979256901"/>
    <n v="0.72952732465269587"/>
    <n v="0.64699852453396511"/>
    <n v="0.4633565865239419"/>
    <n v="0.50162341300119118"/>
    <n v="-0.57906484735342401"/>
    <n v="2.4442681395872339"/>
    <n v="-1.7476804575463141"/>
    <n v="2.66576729161737"/>
    <n v="2.662939620854389"/>
    <n v="6.6846117276679271"/>
    <n v="2.8276706580072641E-3"/>
    <n v="1"/>
    <n v="0"/>
    <n v="0"/>
    <n v="0"/>
    <n v="0"/>
    <n v="0"/>
    <n v="1"/>
    <n v="-2.0251173973083496"/>
    <n v="0.14244387639798167"/>
    <n v="0.13197834837546366"/>
    <n v="1.0465528022518017E-2"/>
    <n v="1.0952727679010987E-4"/>
    <x v="2"/>
    <n v="4.3542842999999998E-2"/>
    <n v="0.91871451999999998"/>
    <n v="7.0107280143782258E-2"/>
    <n v="0.14736236374554512"/>
    <n v="0.11820035996431159"/>
    <n v="2.9162003781233528E-2"/>
  </r>
  <r>
    <n v="13"/>
    <x v="16"/>
    <n v="-1.8916762122875559"/>
    <n v="0.91788945323785209"/>
    <n v="0.87950225842631924"/>
    <n v="0.69708939979256901"/>
    <n v="0.6722809878785605"/>
    <n v="0.64699852453396511"/>
    <n v="0.4633565865239419"/>
    <n v="-9.9392275493521157E-2"/>
    <n v="2.4442681395872339"/>
    <n v="-1.698044026119633"/>
    <n v="2.6820230415454902"/>
    <n v="2.66576729161737"/>
    <n v="8.0551577318196781"/>
    <n v="1.6255749389529228E-2"/>
    <n v="1"/>
    <n v="0"/>
    <n v="0"/>
    <n v="0"/>
    <n v="0"/>
    <n v="0"/>
    <n v="1"/>
    <n v="-2.0154194831848145"/>
    <n v="0.15081879252786007"/>
    <n v="0.13326448942684321"/>
    <n v="1.7554303101016855E-2"/>
    <n v="3.0815355736236999E-4"/>
    <x v="2"/>
    <n v="4.3542842999999998E-2"/>
    <n v="0.91871451999999998"/>
    <n v="0.11368473972560486"/>
    <n v="0.14879842343089808"/>
    <n v="0.11935223326102429"/>
    <n v="2.9446190169873793E-2"/>
  </r>
  <r>
    <n v="13"/>
    <x v="17"/>
    <n v="-1.9308834614620309"/>
    <n v="0.87592696568459394"/>
    <n v="0.91788945323785209"/>
    <n v="0.87950225842631924"/>
    <n v="0.55002710596512761"/>
    <n v="0.6722809878785605"/>
    <n v="0.64699852453396511"/>
    <n v="0.46648573499141283"/>
    <n v="2.4442681395872339"/>
    <n v="-1.6486901483693741"/>
    <n v="2.7403429286794632"/>
    <n v="2.6820230415454902"/>
    <n v="8.4658998970286863"/>
    <n v="5.8319885283708572E-2"/>
    <n v="1"/>
    <n v="0"/>
    <n v="0"/>
    <n v="0"/>
    <n v="0"/>
    <n v="0"/>
    <n v="1"/>
    <n v="-2.027827262878418"/>
    <n v="0.14502002227168886"/>
    <n v="0.13162118893879957"/>
    <n v="1.3398833332889298E-2"/>
    <n v="1.7952873468254533E-4"/>
    <x v="2"/>
    <n v="4.3542842999999998E-2"/>
    <n v="0.91871451999999998"/>
    <n v="8.9063677985231335E-2"/>
    <n v="0.14696357212958158"/>
    <n v="0.11788048648128961"/>
    <n v="2.908308564829197E-2"/>
  </r>
  <r>
    <n v="14"/>
    <x v="0"/>
    <n v="-2.1214280261521119"/>
    <n v="1.050821624831761"/>
    <n v="0.97093042083247871"/>
    <n v="0.82342955082286751"/>
    <n v="0.80200158547202738"/>
    <n v="0.74388782226312944"/>
    <n v="0.56866047543694154"/>
    <n v="-11.51292546497023"/>
    <n v="0.96965976941242327"/>
    <n v="-2.0658096230737839"/>
    <n v="2.5416151197443391"/>
    <n v="2.4326114046976972"/>
    <n v="-11.51292546497023"/>
    <n v="0.10900371521711349"/>
    <n v="0"/>
    <n v="0"/>
    <n v="0"/>
    <n v="0"/>
    <n v="0"/>
    <n v="0"/>
    <n v="1"/>
    <n v="-2.1175780296325684"/>
    <n v="0.11986034253639577"/>
    <n v="0.12032269389244891"/>
    <n v="-4.6235135605314504E-4"/>
    <n v="2.1376877644418209E-7"/>
    <x v="3"/>
    <n v="4.8828349E-2"/>
    <n v="0.94210070000000001"/>
    <n v="-1.2910196897318999E-3"/>
    <n v="0.13918305863341568"/>
    <n v="0.10401805225208732"/>
    <n v="3.5165006381328356E-2"/>
  </r>
  <r>
    <n v="14"/>
    <x v="1"/>
    <n v="-2.0488611487842991"/>
    <n v="0.92715153920690085"/>
    <n v="1.050821624831761"/>
    <n v="0.97093042083247871"/>
    <n v="0.67904825618044362"/>
    <n v="0.80200158547202738"/>
    <n v="0.74388782226312944"/>
    <n v="-11.51292546497023"/>
    <n v="0.96965976941242327"/>
    <n v="-1.9236342315961601"/>
    <n v="2.5678029528627571"/>
    <n v="2.5299808907507249"/>
    <n v="-11.51292546497023"/>
    <n v="3.7822060286998749E-2"/>
    <n v="0"/>
    <n v="0"/>
    <n v="0"/>
    <n v="0"/>
    <n v="0"/>
    <n v="0"/>
    <n v="1"/>
    <n v="-1.989555835723877"/>
    <n v="0.12888159700439134"/>
    <n v="0.13675615415597966"/>
    <n v="-7.8745571515883295E-3"/>
    <n v="6.2008650333630907E-5"/>
    <x v="3"/>
    <n v="4.8828349E-2"/>
    <n v="0.94210070000000001"/>
    <n v="-5.587157694794289E-2"/>
    <n v="0.1581924340838472"/>
    <n v="0.1182246534598568"/>
    <n v="3.9967780623990395E-2"/>
  </r>
  <r>
    <n v="14"/>
    <x v="2"/>
    <n v="-1.8916961888322019"/>
    <n v="0.8885906012318765"/>
    <n v="0.92715153920690085"/>
    <n v="1.050821624831761"/>
    <n v="0.6598488951584307"/>
    <n v="0.67904825618044362"/>
    <n v="0.80200158547202738"/>
    <n v="-11.51292546497023"/>
    <n v="0.96965976941242327"/>
    <n v="-1.786369245775409"/>
    <n v="2.613589893895834"/>
    <n v="2.5563049465615411"/>
    <n v="-11.51292546497023"/>
    <n v="5.7284947484731674E-2"/>
    <n v="0"/>
    <n v="0"/>
    <n v="0"/>
    <n v="0"/>
    <n v="0"/>
    <n v="0"/>
    <n v="1"/>
    <n v="-1.8828446865081787"/>
    <n v="0.15081577971961052"/>
    <n v="0.15215665155471741"/>
    <n v="-1.3408718351068938E-3"/>
    <n v="1.7979372781829289E-6"/>
    <x v="3"/>
    <n v="4.8828349E-2"/>
    <n v="0.94210070000000001"/>
    <n v="-8.3390065355138914E-3"/>
    <n v="0.17600693160788242"/>
    <n v="0.13153826614012085"/>
    <n v="4.446866546776157E-2"/>
  </r>
  <r>
    <n v="14"/>
    <x v="3"/>
    <n v="-1.731314898936454"/>
    <n v="0.85010819341370714"/>
    <n v="0.8885906012318765"/>
    <n v="0.92715153920690085"/>
    <n v="0.6269539578251464"/>
    <n v="0.6598488951584307"/>
    <n v="0.67904825618044362"/>
    <n v="-6.0438174049598743"/>
    <n v="0.96965976941242327"/>
    <n v="-1.6727758863447291"/>
    <n v="2.680348433775428"/>
    <n v="2.59269452008478"/>
    <n v="-11.51292546497023"/>
    <n v="8.7653912603855133E-2"/>
    <n v="0"/>
    <n v="0"/>
    <n v="0"/>
    <n v="0"/>
    <n v="0"/>
    <n v="0"/>
    <n v="1"/>
    <n v="-1.7765681743621826"/>
    <n v="0.17705145207936435"/>
    <n v="0.16921787818463815"/>
    <n v="7.8335738947261924E-3"/>
    <n v="6.1364879964135688E-5"/>
    <x v="3"/>
    <n v="4.8828349E-2"/>
    <n v="0.94210070000000001"/>
    <n v="4.2633142455871763E-2"/>
    <n v="0.19574247466772141"/>
    <n v="0.14628756658931211"/>
    <n v="4.9454908078409299E-2"/>
  </r>
  <r>
    <n v="14"/>
    <x v="4"/>
    <n v="-1.6370132101979851"/>
    <n v="0.83971201764178083"/>
    <n v="0.85010819341370714"/>
    <n v="0.8885906012318765"/>
    <n v="0.63668264357881876"/>
    <n v="0.6269539578251464"/>
    <n v="0.6598488951584307"/>
    <n v="-6.0886638504851271"/>
    <n v="0.96965976941242327"/>
    <n v="-1.5818013322830919"/>
    <n v="2.712075371742944"/>
    <n v="2.6355019882501809"/>
    <n v="-11.51292546497023"/>
    <n v="7.6573386788368225E-2"/>
    <n v="0"/>
    <n v="0"/>
    <n v="0"/>
    <n v="0"/>
    <n v="0"/>
    <n v="0"/>
    <n v="1"/>
    <n v="-1.6919289827346802"/>
    <n v="0.19456028600464564"/>
    <n v="0.18416393209257598"/>
    <n v="1.0396353912069667E-2"/>
    <n v="1.0808417466500627E-4"/>
    <x v="3"/>
    <n v="4.8828349E-2"/>
    <n v="0.94210070000000001"/>
    <n v="5.1736187747861234E-2"/>
    <n v="0.21303129550534441"/>
    <n v="0.15920831633372884"/>
    <n v="5.3822979171615576E-2"/>
  </r>
  <r>
    <n v="14"/>
    <x v="5"/>
    <n v="-1.6511480036138131"/>
    <n v="0.78024188741087908"/>
    <n v="0.83971201764178083"/>
    <n v="0.85010819341370714"/>
    <n v="0.63254755843101573"/>
    <n v="0.63668264357881876"/>
    <n v="0.6269539578251464"/>
    <n v="-4.1856749717641"/>
    <n v="0.96965976941242327"/>
    <n v="-1.524027786338819"/>
    <n v="2.6846472020599572"/>
    <n v="2.6691541014086368"/>
    <n v="-11.51292546497023"/>
    <n v="1.5493100509047508E-2"/>
    <n v="0"/>
    <n v="0"/>
    <n v="0"/>
    <n v="0"/>
    <n v="0"/>
    <n v="0"/>
    <n v="1"/>
    <n v="-1.5986220836639404"/>
    <n v="0.19182956113567948"/>
    <n v="0.20217490625881537"/>
    <n v="-1.0345345123135896E-2"/>
    <n v="1.0702616571679168E-4"/>
    <x v="3"/>
    <n v="4.8828349E-2"/>
    <n v="0.94210070000000001"/>
    <n v="-4.9484705952918998E-2"/>
    <n v="0.23386545731080871"/>
    <n v="0.17477866629289357"/>
    <n v="5.9086791017915141E-2"/>
  </r>
  <r>
    <n v="14"/>
    <x v="6"/>
    <n v="-1.552265536560707"/>
    <n v="0.73400117456821146"/>
    <n v="0.78024188741087908"/>
    <n v="0.83971201764178083"/>
    <n v="0.61971590247406239"/>
    <n v="0.63254755843101573"/>
    <n v="0.63668264357881876"/>
    <n v="-3.849134322558645"/>
    <n v="0.96965976941242327"/>
    <n v="-1.457586424516502"/>
    <n v="2.6424033786447718"/>
    <n v="2.6645129073266771"/>
    <n v="-11.51292546497023"/>
    <n v="-2.2109529003500938E-2"/>
    <n v="0"/>
    <n v="0"/>
    <n v="0"/>
    <n v="0"/>
    <n v="0"/>
    <n v="0"/>
    <n v="1"/>
    <n v="-1.5040528774261475"/>
    <n v="0.21176766256889953"/>
    <n v="0.22222767103349519"/>
    <n v="-1.046000846459566E-2"/>
    <n v="1.0941177707941286E-4"/>
    <x v="3"/>
    <n v="4.8828349E-2"/>
    <n v="0.94210070000000001"/>
    <n v="-4.5421179919529917E-2"/>
    <n v="0.25706145671131336"/>
    <n v="0.19211412867870009"/>
    <n v="6.4947328032613272E-2"/>
  </r>
  <r>
    <n v="14"/>
    <x v="7"/>
    <n v="-1.5003883410751231"/>
    <n v="0.72420970601176304"/>
    <n v="0.73400117456821146"/>
    <n v="0.78024188741087908"/>
    <n v="0.61550991083279283"/>
    <n v="0.61971590247406239"/>
    <n v="0.63254755843101573"/>
    <n v="-2.932366397932173"/>
    <n v="0.96965976941242327"/>
    <n v="-1.4167828025081901"/>
    <n v="2.687003829487947"/>
    <n v="2.603659858243808"/>
    <n v="-11.51292546497023"/>
    <n v="8.3343967795372009E-2"/>
    <n v="0"/>
    <n v="0"/>
    <n v="0"/>
    <n v="0"/>
    <n v="0"/>
    <n v="0"/>
    <n v="1"/>
    <n v="-1.4370948076248169"/>
    <n v="0.22304352636496247"/>
    <n v="0.23761708022112291"/>
    <n v="-1.4573553856160437E-2"/>
    <n v="2.1238847199840874E-4"/>
    <x v="3"/>
    <n v="4.8828349E-2"/>
    <n v="0.94210070000000001"/>
    <n v="-5.9628882169006879E-2"/>
    <n v="0.27486312796719303"/>
    <n v="0.20541815568492949"/>
    <n v="6.944497228226354E-2"/>
  </r>
  <r>
    <n v="14"/>
    <x v="8"/>
    <n v="-1.397781435692395"/>
    <n v="0.69154589919297138"/>
    <n v="0.72420970601176304"/>
    <n v="0.73400117456821146"/>
    <n v="0.57537664482543749"/>
    <n v="0.61550991083279283"/>
    <n v="0.61971590247406239"/>
    <n v="-2.2964382397407608"/>
    <n v="0.96965976941242327"/>
    <n v="-1.360431158802089"/>
    <n v="2.6717135384811321"/>
    <n v="2.669005520272695"/>
    <n v="-11.51292546497023"/>
    <n v="2.7080182917416096E-3"/>
    <n v="0"/>
    <n v="0"/>
    <n v="0"/>
    <n v="0"/>
    <n v="0"/>
    <n v="0"/>
    <n v="1"/>
    <n v="-1.3825035095214844"/>
    <n v="0.24714466249174949"/>
    <n v="0.25094951149109468"/>
    <n v="-3.8048489993451895E-3"/>
    <n v="1.447687590781809E-5"/>
    <x v="3"/>
    <n v="4.8828349E-2"/>
    <n v="0.94210070000000001"/>
    <n v="-1.4393344940163212E-2"/>
    <n v="0.29028539373555384"/>
    <n v="0.21694394095139719"/>
    <n v="7.3341452784156658E-2"/>
  </r>
  <r>
    <n v="14"/>
    <x v="9"/>
    <n v="-1.406478382367957"/>
    <n v="0.72851432439723662"/>
    <n v="0.69154589919297138"/>
    <n v="0.72420970601176304"/>
    <n v="0.57391309263624701"/>
    <n v="0.57537664482543749"/>
    <n v="0.61550991083279283"/>
    <n v="-1.895141054409754"/>
    <n v="0.96965976941242327"/>
    <n v="-1.315803727531329"/>
    <n v="2.6312853746276921"/>
    <n v="2.6543003889539531"/>
    <n v="-11.51292546497023"/>
    <n v="-2.3015014827251434E-2"/>
    <n v="1"/>
    <n v="0"/>
    <n v="0"/>
    <n v="0"/>
    <n v="0"/>
    <n v="0"/>
    <n v="1"/>
    <n v="-1.4277093410491943"/>
    <n v="0.24500457812978951"/>
    <n v="0.23985772568929251"/>
    <n v="5.1468524404970073E-3"/>
    <n v="2.6490090044249999E-5"/>
    <x v="3"/>
    <n v="4.8828349E-2"/>
    <n v="0.94210070000000001"/>
    <n v="2.0001701035264798E-2"/>
    <n v="0.27745499056172329"/>
    <n v="0.2073551766229314"/>
    <n v="7.0099813938791888E-2"/>
  </r>
  <r>
    <n v="14"/>
    <x v="10"/>
    <n v="-1.3755681813668039"/>
    <n v="0.75358354936377603"/>
    <n v="0.72851432439723662"/>
    <n v="0.69154589919297138"/>
    <n v="0.70066882195879143"/>
    <n v="0.57391309263624701"/>
    <n v="0.57537664482543749"/>
    <n v="-1.542188325737653"/>
    <n v="0.96965976941242327"/>
    <n v="-1.28585620413132"/>
    <n v="2.6090838390708408"/>
    <n v="2.614491077793708"/>
    <n v="-11.51292546497023"/>
    <n v="-5.407238844782114E-3"/>
    <n v="1"/>
    <n v="0"/>
    <n v="0"/>
    <n v="0"/>
    <n v="0"/>
    <n v="0"/>
    <n v="1"/>
    <n v="-1.3776055574417114"/>
    <n v="0.25269597786200315"/>
    <n v="0.25218166522451818"/>
    <n v="5.1431263748497047E-4"/>
    <n v="2.6451748907674668E-7"/>
    <x v="3"/>
    <n v="4.8828349E-2"/>
    <n v="0.94210070000000001"/>
    <n v="1.9194134263336123E-3"/>
    <n v="0.29171068533912903"/>
    <n v="0.21800912846739817"/>
    <n v="7.3701556871730856E-2"/>
  </r>
  <r>
    <n v="14"/>
    <x v="11"/>
    <n v="-1.3358158736813781"/>
    <n v="0.69309717930990367"/>
    <n v="0.75358354936377603"/>
    <n v="0.72851432439723662"/>
    <n v="0.6661356313130955"/>
    <n v="0.70066882195879143"/>
    <n v="0.57391309263624701"/>
    <n v="-0.87898788351104096"/>
    <n v="0.96965976941242327"/>
    <n v="-1.262937275707122"/>
    <n v="2.651307984761778"/>
    <n v="2.5928672935494101"/>
    <n v="-11.51292546497023"/>
    <n v="5.8440692722797394E-2"/>
    <n v="1"/>
    <n v="0"/>
    <n v="0"/>
    <n v="0"/>
    <n v="0"/>
    <n v="0"/>
    <n v="1"/>
    <n v="-1.3066034317016602"/>
    <n v="0.26294355918842177"/>
    <n v="0.27073807681142348"/>
    <n v="-7.7945176230017066E-3"/>
    <n v="6.0754504975284171E-5"/>
    <x v="3"/>
    <n v="4.8828349E-2"/>
    <n v="0.94210070000000001"/>
    <n v="-2.7521062037801667E-2"/>
    <n v="0.3131757808948738"/>
    <n v="0.23405100492158792"/>
    <n v="7.9124775973285877E-2"/>
  </r>
  <r>
    <n v="14"/>
    <x v="12"/>
    <n v="-1.4085563991275289"/>
    <n v="0.78115805788265869"/>
    <n v="0.69309717930990367"/>
    <n v="0.75358354936377603"/>
    <n v="0.6562757057840406"/>
    <n v="0.6661356313130955"/>
    <n v="0.70066882195879143"/>
    <n v="-0.58565216278882493"/>
    <n v="0.96965976941242327"/>
    <n v="-1.324389958640908"/>
    <n v="2.608562867960984"/>
    <n v="2.5530999358944371"/>
    <n v="3.2580965380214821"/>
    <n v="5.5462930351495743E-2"/>
    <n v="1"/>
    <n v="0"/>
    <n v="0"/>
    <n v="0"/>
    <n v="0"/>
    <n v="0"/>
    <n v="1"/>
    <n v="-1.4244557619094849"/>
    <n v="0.24449598312774889"/>
    <n v="0.240639392700288"/>
    <n v="3.8565904274608931E-3"/>
    <n v="1.4873289725182994E-5"/>
    <x v="3"/>
    <n v="4.8828349E-2"/>
    <n v="0.94210070000000001"/>
    <n v="1.4978800806434617E-2"/>
    <n v="0.27835918246354718"/>
    <n v="0.20803092179919996"/>
    <n v="7.032826066434722E-2"/>
  </r>
  <r>
    <n v="14"/>
    <x v="13"/>
    <n v="-1.3716381828919499"/>
    <n v="0.70309751141311339"/>
    <n v="0.78115805788265869"/>
    <n v="0.69309717930990367"/>
    <n v="0.62202704805681974"/>
    <n v="0.6562757057840406"/>
    <n v="0.6661356313130955"/>
    <n v="8.1198499646209024E-2"/>
    <n v="0.96965976941242327"/>
    <n v="-1.3347112254365761"/>
    <n v="2.5844992376152001"/>
    <n v="2.5591706350414238"/>
    <n v="5.393627546352362"/>
    <n v="2.5328602641820908E-2"/>
    <n v="1"/>
    <n v="0"/>
    <n v="0"/>
    <n v="0"/>
    <n v="0"/>
    <n v="0"/>
    <n v="1"/>
    <n v="-1.380499005317688"/>
    <n v="0.25369102665902882"/>
    <n v="0.25145304534107732"/>
    <n v="2.2379813179514985E-3"/>
    <n v="5.0085603794999258E-6"/>
    <x v="3"/>
    <n v="4.8828349E-2"/>
    <n v="0.94210070000000001"/>
    <n v="8.3477870098635117E-3"/>
    <n v="0.29086785560620215"/>
    <n v="0.21737924212878773"/>
    <n v="7.3488613477414422E-2"/>
  </r>
  <r>
    <n v="14"/>
    <x v="14"/>
    <n v="-1.394184195864542"/>
    <n v="0.62924845470971358"/>
    <n v="0.70309751141311339"/>
    <n v="0.78115805788265869"/>
    <n v="0.55382764031053344"/>
    <n v="0.62202704805681974"/>
    <n v="0.6562757057840406"/>
    <n v="0.69681451263670058"/>
    <n v="0.96965976941242327"/>
    <n v="-1.3391835643458849"/>
    <n v="2.5950645419388749"/>
    <n v="2.543392088769163"/>
    <n v="5.9914645471079817"/>
    <n v="5.1672454923391342E-2"/>
    <n v="1"/>
    <n v="1"/>
    <n v="0"/>
    <n v="0"/>
    <n v="0"/>
    <n v="0"/>
    <n v="1"/>
    <n v="-1.4574438333511353"/>
    <n v="0.24803530207658339"/>
    <n v="0.23283066871126865"/>
    <n v="1.5204633365314746E-2"/>
    <n v="2.3118087577364243E-4"/>
    <x v="3"/>
    <n v="4.8828349E-2"/>
    <n v="0.94210070000000001"/>
    <n v="5.9596948757865739E-2"/>
    <n v="0.26932645510633457"/>
    <n v="0.20128033939752954"/>
    <n v="6.8046115708805033E-2"/>
  </r>
  <r>
    <n v="14"/>
    <x v="15"/>
    <n v="-1.3579953094350481"/>
    <n v="0.85437277405916545"/>
    <n v="0.62924845470971358"/>
    <n v="0.70309751141311339"/>
    <n v="0.74293684506246094"/>
    <n v="0.55382764031053344"/>
    <n v="0.62202704805681974"/>
    <n v="1.1994999048513719"/>
    <n v="0.96965976941242327"/>
    <n v="-1.3385504162023421"/>
    <n v="2.5663181660538141"/>
    <n v="2.56151968691375"/>
    <n v="6.6846117276679271"/>
    <n v="4.7984789125621319E-3"/>
    <n v="1"/>
    <n v="0"/>
    <n v="0"/>
    <n v="0"/>
    <n v="0"/>
    <n v="0"/>
    <n v="1"/>
    <n v="-1.4830880165100098"/>
    <n v="0.25717581846845394"/>
    <n v="0.22693582368640913"/>
    <n v="3.023999478204481E-2"/>
    <n v="9.1445728441809729E-4"/>
    <x v="3"/>
    <n v="4.8828349E-2"/>
    <n v="0.94210070000000001"/>
    <n v="0.11784992690021634"/>
    <n v="0.26250760378088728"/>
    <n v="0.19618429078045088"/>
    <n v="6.6323313000436396E-2"/>
  </r>
  <r>
    <n v="14"/>
    <x v="16"/>
    <n v="-1.256103145630141"/>
    <n v="0.91625073107413368"/>
    <n v="0.85437277405916545"/>
    <n v="0.62924845470971358"/>
    <n v="0.82850814849039722"/>
    <n v="0.74293684506246094"/>
    <n v="0.55382764031053344"/>
    <n v="1.728170888937373"/>
    <n v="0.96965976941242327"/>
    <n v="-1.302099310445449"/>
    <n v="2.6316037050358618"/>
    <n v="2.5663181660538141"/>
    <n v="8.0551577318196781"/>
    <n v="6.5285541117191315E-2"/>
    <n v="1"/>
    <n v="0"/>
    <n v="0"/>
    <n v="0"/>
    <n v="0"/>
    <n v="0"/>
    <n v="1"/>
    <n v="-1.4720734357833862"/>
    <n v="0.28476154144317628"/>
    <n v="0.22944924335726963"/>
    <n v="5.5312298085906653E-2"/>
    <n v="3.0594503195441928E-3"/>
    <x v="3"/>
    <n v="4.8828349E-2"/>
    <n v="0.94210070000000001"/>
    <n v="0.20346576153257542"/>
    <n v="0.26541499744124236"/>
    <n v="0.19835712293868599"/>
    <n v="6.7057874502556375E-2"/>
  </r>
  <r>
    <n v="14"/>
    <x v="17"/>
    <n v="-1.270274722254032"/>
    <n v="0.81801616260581456"/>
    <n v="0.91625073107413368"/>
    <n v="0.85437277405916545"/>
    <n v="0.64752200253366976"/>
    <n v="0.82850814849039722"/>
    <n v="0.74293684506246094"/>
    <n v="2.3604553240936168"/>
    <n v="0.96965976941242327"/>
    <n v="-1.2773671272837059"/>
    <n v="2.7560989929225941"/>
    <n v="2.6316037050358618"/>
    <n v="8.4658998970286863"/>
    <n v="0.12449529021978378"/>
    <n v="1"/>
    <n v="0"/>
    <n v="0"/>
    <n v="0"/>
    <n v="0"/>
    <n v="0"/>
    <n v="1"/>
    <n v="-1.4759992361068726"/>
    <n v="0.28075448167877753"/>
    <n v="0.2285502372573093"/>
    <n v="5.2204244421468232E-2"/>
    <n v="2.7252831356163972E-3"/>
    <x v="3"/>
    <n v="4.8828349E-2"/>
    <n v="0.94210070000000001"/>
    <n v="0.19381320850792075"/>
    <n v="0.2643750737603911"/>
    <n v="0.19757993901389617"/>
    <n v="6.6795134746494927E-2"/>
  </r>
  <r>
    <n v="15"/>
    <x v="0"/>
    <n v="-2.791819724517338"/>
    <n v="0.97832612279360776"/>
    <n v="0.93106111077760501"/>
    <n v="0.94067110059953318"/>
    <n v="0.84156718567821853"/>
    <n v="0.73400117456821146"/>
    <n v="0.7437927652288373"/>
    <n v="-11.51292546497023"/>
    <n v="2.658156590148268"/>
    <n v="-2.8864098341244109"/>
    <n v="2.164708222438771"/>
    <n v="2.1038497784591632"/>
    <n v="-11.51292546497023"/>
    <n v="6.0858443379402161E-2"/>
    <n v="0"/>
    <n v="0"/>
    <n v="0"/>
    <n v="0"/>
    <n v="0"/>
    <n v="0"/>
    <n v="1"/>
    <n v="-2.7555599212646484"/>
    <n v="6.1309545859518297E-2"/>
    <n v="6.3573413595264916E-2"/>
    <n v="-2.2638677357466191E-3"/>
    <n v="5.1250971249545244E-6"/>
    <x v="4"/>
    <n v="2.7161859E-2"/>
    <n v="0.79491878000000005"/>
    <n v="-2.1999397666904948E-2"/>
    <n v="6.648417987015344E-2"/>
    <n v="6.0790084559183812E-2"/>
    <n v="5.6940953109696282E-3"/>
  </r>
  <r>
    <n v="15"/>
    <x v="1"/>
    <n v="-2.6827612243448291"/>
    <n v="0.92334578634783215"/>
    <n v="0.97832612279360776"/>
    <n v="0.93106111077760501"/>
    <n v="0.71250853403856518"/>
    <n v="0.84156718567821853"/>
    <n v="0.73400117456821146"/>
    <n v="-11.51292546497023"/>
    <n v="2.658156590148268"/>
    <n v="-2.761647926588747"/>
    <n v="2.2075982400187821"/>
    <n v="2.149978130984072"/>
    <n v="-11.51292546497023"/>
    <n v="5.7620108127593994E-2"/>
    <n v="0"/>
    <n v="0"/>
    <n v="0"/>
    <n v="0"/>
    <n v="0"/>
    <n v="0"/>
    <n v="1"/>
    <n v="-2.6647601127624512"/>
    <n v="6.8374097038544066E-2"/>
    <n v="6.9616051532661705E-2"/>
    <n v="-1.2419544941176391E-3"/>
    <n v="1.542450965459001E-6"/>
    <x v="4"/>
    <n v="2.7161859E-2"/>
    <n v="0.79491878000000005"/>
    <n v="-1.430942165770774E-2"/>
    <n v="7.2803485454052796E-2"/>
    <n v="6.6568167729508368E-2"/>
    <n v="6.2353177245444286E-3"/>
  </r>
  <r>
    <n v="15"/>
    <x v="2"/>
    <n v="-2.572277832481626"/>
    <n v="0.91063476701799762"/>
    <n v="0.92334578634783215"/>
    <n v="0.97832612279360776"/>
    <n v="0.66449047131014083"/>
    <n v="0.71250853403856518"/>
    <n v="0.84156718567821853"/>
    <n v="-11.51292546497023"/>
    <n v="2.658156590148268"/>
    <n v="-2.6214783804307662"/>
    <n v="2.2708117660566969"/>
    <n v="2.1930821148220612"/>
    <n v="-11.51292546497023"/>
    <n v="7.7729649841785431E-2"/>
    <n v="0"/>
    <n v="0"/>
    <n v="0"/>
    <n v="0"/>
    <n v="0"/>
    <n v="0"/>
    <n v="1"/>
    <n v="-2.5921483039855957"/>
    <n v="7.6361408675010067E-2"/>
    <n v="7.4859047226929765E-2"/>
    <n v="1.5023614480803027E-3"/>
    <n v="2.2570899206779442E-6"/>
    <x v="4"/>
    <n v="2.7161859E-2"/>
    <n v="0.79491878000000005"/>
    <n v="1.579541096596036E-2"/>
    <n v="7.8286536451051963E-2"/>
    <n v="7.1581618063119704E-2"/>
    <n v="6.7049183879322599E-3"/>
  </r>
  <r>
    <n v="15"/>
    <x v="3"/>
    <n v="-2.5411629062929411"/>
    <n v="0.87208802919442241"/>
    <n v="0.91063476701799762"/>
    <n v="0.92334578634783215"/>
    <n v="0.5987815545242241"/>
    <n v="0.66449047131014083"/>
    <n v="0.71250853403856518"/>
    <n v="-11.51292546497023"/>
    <n v="2.658156590148268"/>
    <n v="-2.4867244716184009"/>
    <n v="2.196928113362755"/>
    <n v="2.255962494629093"/>
    <n v="-11.51292546497023"/>
    <n v="-5.9034381061792374E-2"/>
    <n v="0"/>
    <n v="0"/>
    <n v="0"/>
    <n v="0"/>
    <n v="0"/>
    <n v="0"/>
    <n v="1"/>
    <n v="-2.5168836116790771"/>
    <n v="7.8774738864920271E-2"/>
    <n v="8.0710741241362488E-2"/>
    <n v="-1.9360023764422168E-3"/>
    <n v="3.7481052015899113E-6"/>
    <x v="4"/>
    <n v="2.7161859E-2"/>
    <n v="0.79491878000000005"/>
    <n v="-1.9300067253713273E-2"/>
    <n v="8.4406155571671637E-2"/>
    <n v="7.7177117090693248E-2"/>
    <n v="7.2290384809783892E-3"/>
  </r>
  <r>
    <n v="15"/>
    <x v="4"/>
    <n v="-2.415976061203883"/>
    <n v="0.81828091131671099"/>
    <n v="0.87208802919442241"/>
    <n v="0.91063476701799762"/>
    <n v="0.55555039254549876"/>
    <n v="0.5987815545242241"/>
    <n v="0.66449047131014083"/>
    <n v="-8.9306008074694034"/>
    <n v="2.658156590148268"/>
    <n v="-2.3643504076358099"/>
    <n v="2.3921868492462859"/>
    <n v="2.1797457154757458"/>
    <n v="-11.51292546497023"/>
    <n v="0.21244113147258759"/>
    <n v="0"/>
    <n v="0"/>
    <n v="0"/>
    <n v="0"/>
    <n v="0"/>
    <n v="0"/>
    <n v="1"/>
    <n v="-2.391937255859375"/>
    <n v="8.928015348542015E-2"/>
    <n v="9.1452345565824142E-2"/>
    <n v="-2.1721920804039924E-3"/>
    <n v="4.7184184341698243E-6"/>
    <x v="4"/>
    <n v="2.7161859E-2"/>
    <n v="0.79491878000000005"/>
    <n v="-1.9108897817113758E-2"/>
    <n v="9.5639573971194505E-2"/>
    <n v="8.7448439617787393E-2"/>
    <n v="8.1911343534071118E-3"/>
  </r>
  <r>
    <n v="15"/>
    <x v="5"/>
    <n v="-2.3029320827237609"/>
    <n v="0.77320527273052442"/>
    <n v="0.81828091131671099"/>
    <n v="0.87208802919442241"/>
    <n v="0.58661931715011228"/>
    <n v="0.55555039254549876"/>
    <n v="0.5987815545242241"/>
    <n v="-7.155733611642173"/>
    <n v="2.658156590148268"/>
    <n v="-2.244777471879833"/>
    <n v="2.472549286109806"/>
    <n v="2.3752945758448392"/>
    <n v="-11.51292546497023"/>
    <n v="9.7254708409309387E-2"/>
    <n v="0"/>
    <n v="0"/>
    <n v="0"/>
    <n v="0"/>
    <n v="0"/>
    <n v="0"/>
    <n v="1"/>
    <n v="-2.2672727108001709"/>
    <n v="9.9965307046425853E-2"/>
    <n v="0.103594326849079"/>
    <n v="-3.6290198026531495E-3"/>
    <n v="1.3169784728048705E-5"/>
    <x v="4"/>
    <n v="2.7161859E-2"/>
    <n v="0.79491878000000005"/>
    <n v="-2.8346304425066443E-2"/>
    <n v="0.10833748685589885"/>
    <n v="9.9058828728308068E-2"/>
    <n v="9.2786581275907803E-3"/>
  </r>
  <r>
    <n v="15"/>
    <x v="6"/>
    <n v="-2.1460947892716802"/>
    <n v="0.7234823803560182"/>
    <n v="0.77320527273052442"/>
    <n v="0.81828091131671099"/>
    <n v="0.52986325264312839"/>
    <n v="0.58661931715011228"/>
    <n v="0.55555039254549876"/>
    <n v="-6.7617711801891964"/>
    <n v="2.658156590148268"/>
    <n v="-2.1238520324279468"/>
    <n v="2.466003040936068"/>
    <n v="2.4610466094545189"/>
    <n v="-11.51292546497023"/>
    <n v="4.9564316868782043E-3"/>
    <n v="0"/>
    <n v="0"/>
    <n v="0"/>
    <n v="0"/>
    <n v="0"/>
    <n v="0"/>
    <n v="1"/>
    <n v="-2.1491923332214355"/>
    <n v="0.11693994234425953"/>
    <n v="0.11657827616099077"/>
    <n v="3.6166618326875788E-4"/>
    <n v="1.3080242812019077E-7"/>
    <x v="4"/>
    <n v="2.7161859E-2"/>
    <n v="0.79491878000000005"/>
    <n v="2.462295857535917E-3"/>
    <n v="0.12191591803742646"/>
    <n v="0.11147432338159598"/>
    <n v="1.0441594655830486E-2"/>
  </r>
  <r>
    <n v="15"/>
    <x v="7"/>
    <n v="-2.0794751396877462"/>
    <n v="0.71417454775202094"/>
    <n v="0.7234823803560182"/>
    <n v="0.77320527273052442"/>
    <n v="0.55048854682236659"/>
    <n v="0.52986325264312839"/>
    <n v="0.58661931715011228"/>
    <n v="-5.9388739203204928"/>
    <n v="2.658156590148268"/>
    <n v="-2.0273691443881439"/>
    <n v="2.4933019337384188"/>
    <n v="2.4416024404175549"/>
    <n v="-11.51292546497023"/>
    <n v="5.1699493080377579E-2"/>
    <n v="0"/>
    <n v="0"/>
    <n v="0"/>
    <n v="0"/>
    <n v="0"/>
    <n v="0"/>
    <n v="1"/>
    <n v="-2.0472640991210938"/>
    <n v="0.12499580031956206"/>
    <n v="0.12908759176362739"/>
    <n v="-4.0917914440653236E-3"/>
    <n v="1.6742757221726186E-5"/>
    <x v="4"/>
    <n v="2.7161859E-2"/>
    <n v="0.79491878000000005"/>
    <n v="-2.5605161069773893E-2"/>
    <n v="0.13499798397576007"/>
    <n v="0.12343596442392056"/>
    <n v="1.1562019551839511E-2"/>
  </r>
  <r>
    <n v="15"/>
    <x v="8"/>
    <n v="-1.9944988859265049"/>
    <n v="0.69798545720019456"/>
    <n v="0.71417454775202094"/>
    <n v="0.7234823803560182"/>
    <n v="0.54968088553466399"/>
    <n v="0.55048854682236659"/>
    <n v="0.52986325264312839"/>
    <n v="-5.3075154343242641"/>
    <n v="2.658156590148268"/>
    <n v="-1.937401166075847"/>
    <n v="2.4321034362056979"/>
    <n v="2.4803034033441338"/>
    <n v="-11.51292546497023"/>
    <n v="-4.8199966549873352E-2"/>
    <n v="0"/>
    <n v="0"/>
    <n v="0"/>
    <n v="0"/>
    <n v="0"/>
    <n v="0"/>
    <n v="1"/>
    <n v="-1.9713820219039917"/>
    <n v="0.13608182960354839"/>
    <n v="0.13926425690398833"/>
    <n v="-3.1824273004399384E-3"/>
    <n v="1.0127843522585434E-5"/>
    <x v="4"/>
    <n v="2.7161859E-2"/>
    <n v="0.79491878000000005"/>
    <n v="-1.8376029346202111E-2"/>
    <n v="0.14564059693937279"/>
    <n v="0.13316708155963969"/>
    <n v="1.2473515379733097E-2"/>
  </r>
  <r>
    <n v="15"/>
    <x v="9"/>
    <n v="-1.977138365634671"/>
    <n v="0.72290013870929315"/>
    <n v="0.69798545720019456"/>
    <n v="0.71417454775202094"/>
    <n v="0.53719487878605887"/>
    <n v="0.54968088553466399"/>
    <n v="0.55048854682236659"/>
    <n v="-4.914505256077792"/>
    <n v="2.658156590148268"/>
    <n v="-1.8675500656126871"/>
    <n v="2.3961545716299142"/>
    <n v="2.419648506343997"/>
    <n v="-11.51292546497023"/>
    <n v="-2.34939344227314E-2"/>
    <n v="1"/>
    <n v="0"/>
    <n v="0"/>
    <n v="0"/>
    <n v="0"/>
    <n v="0"/>
    <n v="1"/>
    <n v="-1.9800344705581665"/>
    <n v="0.13846490684593599"/>
    <n v="0.13806447806924441"/>
    <n v="4.0042877669158039E-4"/>
    <n v="1.6034320520271555E-7"/>
    <x v="4"/>
    <n v="2.7161859E-2"/>
    <n v="0.79491878000000005"/>
    <n v="2.3021681925370022E-3"/>
    <n v="0.14438588514488987"/>
    <n v="0.13201983064621958"/>
    <n v="1.2366054498670287E-2"/>
  </r>
  <r>
    <n v="15"/>
    <x v="10"/>
    <n v="-1.969222467654441"/>
    <n v="0.77904960956064861"/>
    <n v="0.72290013870929315"/>
    <n v="0.69798545720019456"/>
    <n v="0.66186289052017888"/>
    <n v="0.53719487878605887"/>
    <n v="0.54968088553466399"/>
    <n v="-4.5780678606058327"/>
    <n v="2.658156590148268"/>
    <n v="-1.8200658920119981"/>
    <n v="2.359967969315607"/>
    <n v="2.384285272833663"/>
    <n v="-11.51292546497023"/>
    <n v="-2.4317303672432899E-2"/>
    <n v="1"/>
    <n v="0"/>
    <n v="0"/>
    <n v="0"/>
    <n v="0"/>
    <n v="0"/>
    <n v="1"/>
    <n v="-1.951033353805542"/>
    <n v="0.13956533059727363"/>
    <n v="0.14212712806860717"/>
    <n v="-2.5617974713335323E-3"/>
    <n v="6.5628062841308806E-6"/>
    <x v="4"/>
    <n v="2.7161859E-2"/>
    <n v="0.79491878000000005"/>
    <n v="-1.4458868190047887E-2"/>
    <n v="0.14863454725113912"/>
    <n v="0.13590461239740786"/>
    <n v="1.2729934853731251E-2"/>
  </r>
  <r>
    <n v="15"/>
    <x v="11"/>
    <n v="-1.980966370515546"/>
    <n v="0.75996435359726244"/>
    <n v="0.77904960956064861"/>
    <n v="0.72290013870929315"/>
    <n v="0.64961317853621692"/>
    <n v="0.66186289052017888"/>
    <n v="0.53719487878605887"/>
    <n v="-3.8787146204293661"/>
    <n v="2.658156590148268"/>
    <n v="-1.78349431897405"/>
    <n v="2.429515831059414"/>
    <n v="2.348680871484607"/>
    <n v="-11.51292546497023"/>
    <n v="8.0834962427616119E-2"/>
    <n v="1"/>
    <n v="0"/>
    <n v="0"/>
    <n v="0"/>
    <n v="0"/>
    <n v="0"/>
    <n v="1"/>
    <n v="-1.9021395444869995"/>
    <n v="0.13793587571958507"/>
    <n v="0.1492489526003723"/>
    <n v="-1.1313076880787226E-2"/>
    <n v="1.2798570851060243E-4"/>
    <x v="4"/>
    <n v="2.7161859E-2"/>
    <n v="0.79491878000000005"/>
    <n v="-6.2660924377884439E-2"/>
    <n v="0.15608245096428519"/>
    <n v="0.14271463393027578"/>
    <n v="1.336781703400941E-2"/>
  </r>
  <r>
    <n v="15"/>
    <x v="12"/>
    <n v="-2.0136574169095001"/>
    <n v="0.83373486886959214"/>
    <n v="0.75996435359726244"/>
    <n v="0.77904960956064861"/>
    <n v="0.63747589568948049"/>
    <n v="0.64961317853621692"/>
    <n v="0.66186289052017888"/>
    <n v="-3.4772540333013628"/>
    <n v="2.658156590148268"/>
    <n v="-1.7534362500636049"/>
    <n v="2.4068090466206389"/>
    <n v="2.412113980507431"/>
    <n v="3.2580965380214821"/>
    <n v="-5.3049339912831783E-3"/>
    <n v="1"/>
    <n v="0"/>
    <n v="0"/>
    <n v="0"/>
    <n v="0"/>
    <n v="0"/>
    <n v="1"/>
    <n v="-1.9690959453582764"/>
    <n v="0.1334995172958891"/>
    <n v="0.1395829898404862"/>
    <n v="-6.0834725445970961E-3"/>
    <n v="3.7008638200866668E-5"/>
    <x v="4"/>
    <n v="2.7161859E-2"/>
    <n v="0.79491878000000005"/>
    <n v="-3.5422750600503448E-2"/>
    <n v="0.14597392335181894"/>
    <n v="0.13347185994207572"/>
    <n v="1.2502063409743219E-2"/>
  </r>
  <r>
    <n v="15"/>
    <x v="13"/>
    <n v="-1.989495320601522"/>
    <n v="0.80258437525832049"/>
    <n v="0.83373486886959214"/>
    <n v="0.75996435359726244"/>
    <n v="0.6141039732194925"/>
    <n v="0.63747589568948049"/>
    <n v="0.64961317853621692"/>
    <n v="-2.7020082997897301"/>
    <n v="2.658156590148268"/>
    <n v="-1.7152019280639921"/>
    <n v="2.4553175654782078"/>
    <n v="2.3963665458019352"/>
    <n v="5.393627546352362"/>
    <n v="5.8951020240783691E-2"/>
    <n v="1"/>
    <n v="0"/>
    <n v="0"/>
    <n v="0"/>
    <n v="0"/>
    <n v="0"/>
    <n v="1"/>
    <n v="-1.9325789213180542"/>
    <n v="0.13676443022179224"/>
    <n v="0.14477435496398597"/>
    <n v="-8.0099247421937247E-3"/>
    <n v="6.4158894375607203E-5"/>
    <x v="4"/>
    <n v="2.7161859E-2"/>
    <n v="0.79491878000000005"/>
    <n v="-4.5243914680407109E-2"/>
    <n v="0.15140297982564194"/>
    <n v="0.13843594016032995"/>
    <n v="1.2967039665311986E-2"/>
  </r>
  <r>
    <n v="15"/>
    <x v="14"/>
    <n v="-1.9726510838674469"/>
    <n v="0.72251178918984926"/>
    <n v="0.80258437525832049"/>
    <n v="0.83373486886959214"/>
    <n v="0.59094832823969778"/>
    <n v="0.6141039732194925"/>
    <n v="0.63747589568948049"/>
    <n v="-1.9471472867106581"/>
    <n v="2.658156590148268"/>
    <n v="-1.6794511083473891"/>
    <n v="2.5735186755350341"/>
    <n v="2.4451541864662971"/>
    <n v="5.9914645471079817"/>
    <n v="0.12836448848247528"/>
    <n v="1"/>
    <n v="1"/>
    <n v="0"/>
    <n v="0"/>
    <n v="0"/>
    <n v="0"/>
    <n v="1"/>
    <n v="-1.9553360939025879"/>
    <n v="0.13908763402907337"/>
    <n v="0.14151690573129716"/>
    <n v="-2.4292717022237897E-3"/>
    <n v="5.9013610032252693E-6"/>
    <x v="4"/>
    <n v="2.7161859E-2"/>
    <n v="0.79491878000000005"/>
    <n v="-1.3764010698577982E-2"/>
    <n v="0.14799638533186904"/>
    <n v="0.13532110640980832"/>
    <n v="1.2675278922060718E-2"/>
  </r>
  <r>
    <n v="15"/>
    <x v="15"/>
    <n v="-1.9530323459470831"/>
    <n v="0.91432880856061438"/>
    <n v="0.72251178918984926"/>
    <n v="0.80258437525832049"/>
    <n v="0.80209126754912441"/>
    <n v="0.59094832823969778"/>
    <n v="0.6141039732194925"/>
    <n v="-1.327568907024141"/>
    <n v="2.658156590148268"/>
    <n v="-1.6435472986523569"/>
    <n v="2.637780974935688"/>
    <n v="2.563628550518342"/>
    <n v="6.6846117276679271"/>
    <n v="7.4152424931526184E-2"/>
    <n v="1"/>
    <n v="0"/>
    <n v="0"/>
    <n v="0"/>
    <n v="0"/>
    <n v="0"/>
    <n v="1"/>
    <n v="-1.9189867973327637"/>
    <n v="0.14184330083521651"/>
    <n v="0.14675557997269914"/>
    <n v="-4.912279137482628E-3"/>
    <n v="2.4130486324547071E-5"/>
    <x v="4"/>
    <n v="2.7161859E-2"/>
    <n v="0.79491878000000005"/>
    <n v="-2.7063445968925477E-2"/>
    <n v="0.1534749170143718"/>
    <n v="0.14033042448953725"/>
    <n v="1.3144492524834545E-2"/>
  </r>
  <r>
    <n v="15"/>
    <x v="16"/>
    <n v="-1.908586636941215"/>
    <n v="0.91464938560202946"/>
    <n v="0.91432880856061438"/>
    <n v="0.72251178918984926"/>
    <n v="0.79443943204181766"/>
    <n v="0.80209126754912441"/>
    <n v="0.59094832823969778"/>
    <n v="-1.0537338753800061"/>
    <n v="2.658156590148268"/>
    <n v="-1.5993037542301021"/>
    <n v="2.448217692813218"/>
    <n v="2.637780974935688"/>
    <n v="8.0551577318196781"/>
    <n v="-0.18956328928470612"/>
    <n v="1"/>
    <n v="0"/>
    <n v="0"/>
    <n v="0"/>
    <n v="0"/>
    <n v="0"/>
    <n v="1"/>
    <n v="-1.8971569538116455"/>
    <n v="0.1482898259156416"/>
    <n v="0.14999445476363671"/>
    <n v="-1.7046288479951044E-3"/>
    <n v="2.9057595094171169E-6"/>
    <x v="4"/>
    <n v="2.7161859E-2"/>
    <n v="0.79491878000000005"/>
    <n v="-9.0856697691439614E-3"/>
    <n v="0.15686208661876813"/>
    <n v="0.14342749701219895"/>
    <n v="1.3434589606569181E-2"/>
  </r>
  <r>
    <n v="15"/>
    <x v="17"/>
    <n v="-1.847081082694251"/>
    <n v="0.75832612158491663"/>
    <n v="0.91464938560202946"/>
    <n v="0.91432880856061438"/>
    <n v="0.56326625970542532"/>
    <n v="0.79443943204181766"/>
    <n v="0.80209126754912441"/>
    <n v="-0.52137701541721804"/>
    <n v="2.658156590148268"/>
    <n v="-1.548441725126622"/>
    <n v="2.4729604138669519"/>
    <n v="2.448217692813218"/>
    <n v="8.4658998970286863"/>
    <n v="2.4742720648646355E-2"/>
    <n v="1"/>
    <n v="0"/>
    <n v="0"/>
    <n v="0"/>
    <n v="0"/>
    <n v="0"/>
    <n v="1"/>
    <n v="-1.8249585628509521"/>
    <n v="0.15769679908817513"/>
    <n v="0.16122432466773598"/>
    <n v="-3.5275255795608473E-3"/>
    <n v="1.2443436714456093E-5"/>
    <x v="4"/>
    <n v="2.7161859E-2"/>
    <n v="0.79491878000000005"/>
    <n v="-1.7585606484360895E-2"/>
    <n v="0.16860612627936875"/>
    <n v="0.15416570819911049"/>
    <n v="1.4440418080258255E-2"/>
  </r>
  <r>
    <n v="16"/>
    <x v="0"/>
    <n v="-2.253877144019103"/>
    <n v="0.94778939893352609"/>
    <n v="0.93106111077760501"/>
    <n v="0.91916659261961942"/>
    <n v="0.78390154382840938"/>
    <n v="0.73400117456821146"/>
    <n v="0.71221424327717098"/>
    <n v="-11.51292546497023"/>
    <n v="0.40282887289318459"/>
    <n v="-2.549210999081668"/>
    <n v="2.4470563670874861"/>
    <n v="2.308626042536269"/>
    <n v="-11.51292546497023"/>
    <n v="0.13843032717704773"/>
    <n v="0"/>
    <n v="0"/>
    <n v="0"/>
    <n v="0"/>
    <n v="0"/>
    <n v="0"/>
    <n v="1"/>
    <n v="-2.285679817199707"/>
    <n v="0.10499136775943416"/>
    <n v="0.10170489786056545"/>
    <n v="3.2864698988687019E-3"/>
    <n v="1.0800884396170055E-5"/>
    <x v="5"/>
    <n v="4.0092233999999997E-2"/>
    <n v="0.72732532000000005"/>
    <n v="2.182594728252522E-2"/>
    <n v="0.10782332552019114"/>
    <n v="9.5933659984277164E-2"/>
    <n v="1.1889665535913974E-2"/>
  </r>
  <r>
    <n v="16"/>
    <x v="1"/>
    <n v="-2.139332813232802"/>
    <n v="0.84835444486232792"/>
    <n v="0.94778939893352609"/>
    <n v="0.93106111077760501"/>
    <n v="0.64950872353011579"/>
    <n v="0.78390154382840938"/>
    <n v="0.73400117456821146"/>
    <n v="-11.51292546497023"/>
    <n v="0.40282887289318459"/>
    <n v="-2.398758219080602"/>
    <n v="2.5164897477429151"/>
    <n v="2.4491292773411559"/>
    <n v="-11.51292546497023"/>
    <n v="6.7360468208789825E-2"/>
    <n v="0"/>
    <n v="0"/>
    <n v="0"/>
    <n v="0"/>
    <n v="0"/>
    <n v="0"/>
    <n v="1"/>
    <n v="-2.1503252983093262"/>
    <n v="0.11773336696829627"/>
    <n v="0.11644627183635969"/>
    <n v="1.2870951319365748E-3"/>
    <n v="1.6566138786548288E-6"/>
    <x v="5"/>
    <n v="4.0092233999999997E-2"/>
    <n v="0.72732532000000005"/>
    <n v="7.9951127258781687E-3"/>
    <n v="0.12345152040797371"/>
    <n v="0.1098385356435963"/>
    <n v="1.3612984764377403E-2"/>
  </r>
  <r>
    <n v="16"/>
    <x v="2"/>
    <n v="-2.0057206848228928"/>
    <n v="0.85840734942560504"/>
    <n v="0.84835444486232792"/>
    <n v="0.94778939893352609"/>
    <n v="0.6598488951584307"/>
    <n v="0.64950872353011579"/>
    <n v="0.78390154382840938"/>
    <n v="-11.51292546497023"/>
    <n v="0.40282887289318459"/>
    <n v="-2.2470832121638229"/>
    <n v="2.57937795119713"/>
    <n v="2.5185653329997022"/>
    <n v="-11.51292546497023"/>
    <n v="6.0812618583440781E-2"/>
    <n v="0"/>
    <n v="0"/>
    <n v="0"/>
    <n v="0"/>
    <n v="0"/>
    <n v="0"/>
    <n v="1"/>
    <n v="-2.0598061084747314"/>
    <n v="0.13456328302612999"/>
    <n v="0.12747868453534744"/>
    <n v="7.084598490782551E-3"/>
    <n v="5.0191535775598401E-5"/>
    <x v="5"/>
    <n v="4.0092233999999997E-2"/>
    <n v="0.72732532000000005"/>
    <n v="3.9337698064909124E-2"/>
    <n v="0.13514762797741334"/>
    <n v="0.12024491479479432"/>
    <n v="1.4902713182619015E-2"/>
  </r>
  <r>
    <n v="16"/>
    <x v="3"/>
    <n v="-1.9859295162137669"/>
    <n v="0.85377682648491271"/>
    <n v="0.85840734942560504"/>
    <n v="0.84835444486232792"/>
    <n v="0.55995858631620055"/>
    <n v="0.6598488951584307"/>
    <n v="0.64950872353011579"/>
    <n v="-11.51292546497023"/>
    <n v="0.40282887289318459"/>
    <n v="-2.1205439204507179"/>
    <n v="2.561962092626465"/>
    <n v="2.5576909081762151"/>
    <n v="-11.51292546497023"/>
    <n v="4.2711845599114895E-3"/>
    <n v="0"/>
    <n v="0"/>
    <n v="0"/>
    <n v="0"/>
    <n v="0"/>
    <n v="0"/>
    <n v="1"/>
    <n v="-2.0111427307128906"/>
    <n v="0.1372529759387433"/>
    <n v="0.1338356491452164"/>
    <n v="3.4173267935269092E-3"/>
    <n v="1.1678122413756907E-5"/>
    <x v="5"/>
    <n v="4.0092233999999997E-2"/>
    <n v="0.72732532000000005"/>
    <n v="1.8338209303803806E-2"/>
    <n v="0.14188701889042463"/>
    <n v="0.12624115385745319"/>
    <n v="1.564586503297144E-2"/>
  </r>
  <r>
    <n v="16"/>
    <x v="4"/>
    <n v="-1.886218851799045"/>
    <n v="0.84672626848824584"/>
    <n v="0.85377682648491271"/>
    <n v="0.85840734942560504"/>
    <n v="0.57874592024996996"/>
    <n v="0.55995858631620055"/>
    <n v="0.6598488951584307"/>
    <n v="-6.4853357535740814"/>
    <n v="0.40282887289318459"/>
    <n v="-2.013719817614553"/>
    <n v="2.5311522364316139"/>
    <n v="2.516949080697501"/>
    <n v="-11.51292546497023"/>
    <n v="1.4203155413269997E-2"/>
    <n v="0"/>
    <n v="0"/>
    <n v="0"/>
    <n v="0"/>
    <n v="0"/>
    <n v="0"/>
    <n v="1"/>
    <n v="-1.9620680809020996"/>
    <n v="0.15164411503999473"/>
    <n v="0.14056741532611314"/>
    <n v="1.1076699713881588E-2"/>
    <n v="1.2269327655150446E-4"/>
    <x v="5"/>
    <n v="4.0092233999999997E-2"/>
    <n v="0.72732532000000005"/>
    <n v="5.5167064829132494E-2"/>
    <n v="0.14902375892475173"/>
    <n v="0.1325909264001402"/>
    <n v="1.6432832524611529E-2"/>
  </r>
  <r>
    <n v="16"/>
    <x v="5"/>
    <n v="-1.8323425651355261"/>
    <n v="0.76607231057450187"/>
    <n v="0.84672626848824584"/>
    <n v="0.85377682648491271"/>
    <n v="0.56064383074685153"/>
    <n v="0.57874592024996996"/>
    <n v="0.55995858631620055"/>
    <n v="-4.7366501007701718"/>
    <n v="0.40282887289318459"/>
    <n v="-1.9358485464253019"/>
    <n v="2.5411299922494281"/>
    <n v="2.488078420007426"/>
    <n v="-11.51292546497023"/>
    <n v="5.3051572293043137E-2"/>
    <n v="0"/>
    <n v="0"/>
    <n v="0"/>
    <n v="0"/>
    <n v="0"/>
    <n v="0"/>
    <n v="1"/>
    <n v="-1.8493673801422119"/>
    <n v="0.16003822834421283"/>
    <n v="0.1573366691378327"/>
    <n v="2.7015592063801275E-3"/>
    <n v="7.2984221455772238E-6"/>
    <x v="5"/>
    <n v="4.0092233999999997E-2"/>
    <n v="0.72732532000000005"/>
    <n v="1.2382579022678586E-2"/>
    <n v="0.16680182812797359"/>
    <n v="0.14840860998475064"/>
    <n v="1.839321814322295E-2"/>
  </r>
  <r>
    <n v="16"/>
    <x v="6"/>
    <n v="-1.697172032400051"/>
    <n v="0.67666204430008292"/>
    <n v="0.76607231057450187"/>
    <n v="0.84672626848824584"/>
    <n v="0.50386142996435779"/>
    <n v="0.56064383074685153"/>
    <n v="0.57874592024996996"/>
    <n v="-4.2464961022431877"/>
    <n v="0.40282887289318459"/>
    <n v="-1.8797725681329061"/>
    <n v="2.6120553067830841"/>
    <n v="2.5204583670104239"/>
    <n v="-11.51292546497023"/>
    <n v="9.1596938669681549E-2"/>
    <n v="0"/>
    <n v="0"/>
    <n v="0"/>
    <n v="0"/>
    <n v="0"/>
    <n v="0"/>
    <n v="1"/>
    <n v="-1.729944109916687"/>
    <n v="0.18320087832557019"/>
    <n v="0.17729431868721807"/>
    <n v="5.9065596383521268E-3"/>
    <n v="3.4887446761410405E-5"/>
    <x v="5"/>
    <n v="4.0092233999999997E-2"/>
    <n v="0.72732532000000005"/>
    <n v="2.3835961766852102E-2"/>
    <n v="0.18796010259899726"/>
    <n v="0.1672337639963202"/>
    <n v="2.0726338602677058E-2"/>
  </r>
  <r>
    <n v="16"/>
    <x v="7"/>
    <n v="-1.673337722549276"/>
    <n v="0.66957144403123958"/>
    <n v="0.67666204430008292"/>
    <n v="0.76607231057450187"/>
    <n v="0.50603416302985993"/>
    <n v="0.50386142996435779"/>
    <n v="0.56064383074685153"/>
    <n v="-3.421811226673213"/>
    <n v="0.40282887289318459"/>
    <n v="-1.857649659108747"/>
    <n v="2.625774611983184"/>
    <n v="2.561271444999154"/>
    <n v="-11.51292546497023"/>
    <n v="6.4503170549869537E-2"/>
    <n v="0"/>
    <n v="0"/>
    <n v="0"/>
    <n v="0"/>
    <n v="0"/>
    <n v="0"/>
    <n v="1"/>
    <n v="-1.6836001873016357"/>
    <n v="0.18761979657032152"/>
    <n v="0.18570420119838826"/>
    <n v="1.9155953719332541E-3"/>
    <n v="3.6695056289721023E-6"/>
    <x v="5"/>
    <n v="4.0092233999999997E-2"/>
    <n v="0.72732532000000005"/>
    <n v="7.4641504599987406E-3"/>
    <n v="0.19687591214861835"/>
    <n v="0.17516642826623971"/>
    <n v="2.1709483882378644E-2"/>
  </r>
  <r>
    <n v="16"/>
    <x v="8"/>
    <n v="-1.5816291422594899"/>
    <n v="0.64532155107734079"/>
    <n v="0.66957144403123958"/>
    <n v="0.67666204430008292"/>
    <n v="0.58978466756479209"/>
    <n v="0.50603416302985993"/>
    <n v="0.50386142996435779"/>
    <n v="-2.7926470713120639"/>
    <n v="0.40282887289318459"/>
    <n v="-1.807593059522477"/>
    <n v="2.5774979851936082"/>
    <n v="2.6043512012031829"/>
    <n v="-11.51292546497023"/>
    <n v="-2.685321681201458E-2"/>
    <n v="0"/>
    <n v="0"/>
    <n v="0"/>
    <n v="0"/>
    <n v="0"/>
    <n v="0"/>
    <n v="1"/>
    <n v="-1.5782771110534668"/>
    <n v="0.20563980865933701"/>
    <n v="0.20633027630319395"/>
    <n v="-6.9046764385694015E-4"/>
    <n v="4.7674556721335436E-7"/>
    <x v="5"/>
    <n v="4.0092233999999997E-2"/>
    <n v="0.72732532000000005"/>
    <n v="-2.4380171695707522E-3"/>
    <n v="0.21874282374296827"/>
    <n v="0.19462207806815368"/>
    <n v="2.4120745674814592E-2"/>
  </r>
  <r>
    <n v="16"/>
    <x v="9"/>
    <n v="-1.606719350519505"/>
    <n v="0.66474770603824729"/>
    <n v="0.64532155107734079"/>
    <n v="0.66957144403123958"/>
    <n v="0.50609444939008918"/>
    <n v="0.58978466756479209"/>
    <n v="0.50603416302985993"/>
    <n v="-2.437375580685293"/>
    <n v="0.40282887289318459"/>
    <n v="-1.7745875972242799"/>
    <n v="2.517606577909357"/>
    <n v="2.5567182529185071"/>
    <n v="-11.51292546497023"/>
    <n v="-3.9111673831939697E-2"/>
    <n v="1"/>
    <n v="0"/>
    <n v="0"/>
    <n v="0"/>
    <n v="0"/>
    <n v="0"/>
    <n v="1"/>
    <n v="-1.6275787353515625"/>
    <n v="0.20054445211098773"/>
    <n v="0.19640454626290263"/>
    <n v="4.1399058480851014E-3"/>
    <n v="1.7138820431009223E-5"/>
    <x v="5"/>
    <n v="4.0092233999999997E-2"/>
    <n v="0.72732532000000005"/>
    <n v="1.517155874797938E-2"/>
    <n v="0.20821997534851713"/>
    <n v="0.18525958293948755"/>
    <n v="2.2960392409029584E-2"/>
  </r>
  <r>
    <n v="16"/>
    <x v="10"/>
    <n v="-1.6413975343736871"/>
    <n v="0.6924969692183589"/>
    <n v="0.66474770603824729"/>
    <n v="0.64532155107734079"/>
    <n v="0.69524497864209145"/>
    <n v="0.50609444939008918"/>
    <n v="0.58978466756479209"/>
    <n v="-2.1189371249906608"/>
    <n v="0.40282887289318459"/>
    <n v="-1.7664090653759601"/>
    <n v="2.453624418700683"/>
    <n v="2.4974428707249521"/>
    <n v="-11.51292546497023"/>
    <n v="-4.3818451464176178E-2"/>
    <n v="1"/>
    <n v="0"/>
    <n v="0"/>
    <n v="0"/>
    <n v="0"/>
    <n v="0"/>
    <n v="1"/>
    <n v="-1.5651253461837769"/>
    <n v="0.19370913785720215"/>
    <n v="0.20906180643125005"/>
    <n v="-1.5352668574047906E-2"/>
    <n v="2.3570443234455818E-4"/>
    <x v="5"/>
    <n v="4.0092233999999997E-2"/>
    <n v="0.72732532000000005"/>
    <n v="-5.5474693682326673E-2"/>
    <n v="0.22163867899046466"/>
    <n v="0.19719860769508474"/>
    <n v="2.4440071295379923E-2"/>
  </r>
  <r>
    <n v="16"/>
    <x v="11"/>
    <n v="-1.640089231748751"/>
    <n v="0.67701779863006162"/>
    <n v="0.6924969692183589"/>
    <n v="0.66474770603824729"/>
    <n v="0.68778281806079467"/>
    <n v="0.69524497864209145"/>
    <n v="0.50609444939008918"/>
    <n v="-1.4832631345614169"/>
    <n v="0.40282887289318459"/>
    <n v="-1.7503629032432411"/>
    <n v="2.4745106219275401"/>
    <n v="2.4340961601341049"/>
    <n v="-11.51292546497023"/>
    <n v="4.0414460003376007E-2"/>
    <n v="1"/>
    <n v="0"/>
    <n v="0"/>
    <n v="0"/>
    <n v="0"/>
    <n v="0"/>
    <n v="1"/>
    <n v="-1.5237890481948853"/>
    <n v="0.19396273388473664"/>
    <n v="0.21788474510152486"/>
    <n v="-2.3922011216788219E-2"/>
    <n v="5.7226262065614142E-4"/>
    <x v="5"/>
    <n v="4.0092233999999997E-2"/>
    <n v="0.72732532000000005"/>
    <n v="-8.4588068219374132E-2"/>
    <n v="0.23099239359321622"/>
    <n v="0.20552088927897355"/>
    <n v="2.5471504314242666E-2"/>
  </r>
  <r>
    <n v="16"/>
    <x v="12"/>
    <n v="-1.6581562884260019"/>
    <n v="0.73553594705173186"/>
    <n v="0.67701779863006162"/>
    <n v="0.6924969692183589"/>
    <n v="0.6773226302129739"/>
    <n v="0.68778281806079467"/>
    <n v="0.69524497864209145"/>
    <n v="-1.082461206997537"/>
    <n v="0.40282887289318459"/>
    <n v="-1.7459804863662149"/>
    <n v="2.4729213320469849"/>
    <n v="2.4354549114234989"/>
    <n v="3.2580965380214821"/>
    <n v="3.7466421723365784E-2"/>
    <n v="1"/>
    <n v="0"/>
    <n v="0"/>
    <n v="0"/>
    <n v="0"/>
    <n v="0"/>
    <n v="1"/>
    <n v="-1.5648822784423828"/>
    <n v="0.19048986490559303"/>
    <n v="0.20911262878873865"/>
    <n v="-1.8622763883145627E-2"/>
    <n v="3.4680733464739316E-4"/>
    <x v="5"/>
    <n v="4.0092233999999997E-2"/>
    <n v="0.72732532000000005"/>
    <n v="-6.7840549159018979E-2"/>
    <n v="0.22169255875152308"/>
    <n v="0.19724654614117212"/>
    <n v="2.4446012610350953E-2"/>
  </r>
  <r>
    <n v="16"/>
    <x v="13"/>
    <n v="-1.603972938715956"/>
    <n v="0.6634093622959889"/>
    <n v="0.73553594705173186"/>
    <n v="0.67701779863006162"/>
    <n v="0.60070289016866529"/>
    <n v="0.6773226302129739"/>
    <n v="0.68778281806079467"/>
    <n v="-0.38409368144506473"/>
    <n v="0.40282887289318459"/>
    <n v="-1.713594278535002"/>
    <n v="2.45307765398797"/>
    <n v="2.4535358662373121"/>
    <n v="5.393627546352362"/>
    <n v="-4.5821224921382964E-4"/>
    <n v="1"/>
    <n v="0"/>
    <n v="0"/>
    <n v="0"/>
    <n v="0"/>
    <n v="0"/>
    <n v="1"/>
    <n v="-1.5231668949127197"/>
    <n v="0.20109598678539628"/>
    <n v="0.218020344988407"/>
    <n v="-1.692435820301072E-2"/>
    <n v="2.8643390058381623E-4"/>
    <x v="5"/>
    <n v="4.0092233999999997E-2"/>
    <n v="0.72732532000000005"/>
    <n v="-5.8772281667122866E-2"/>
    <n v="0.23113615098397469"/>
    <n v="0.20564879455901119"/>
    <n v="2.5487356424963498E-2"/>
  </r>
  <r>
    <n v="16"/>
    <x v="14"/>
    <n v="-1.603693240766175"/>
    <n v="0.50675735959003665"/>
    <n v="0.6634093622959889"/>
    <n v="0.73553594705173186"/>
    <n v="0.57784855619648245"/>
    <n v="0.60070289016866529"/>
    <n v="0.6773226302129739"/>
    <n v="0.21548701610898499"/>
    <n v="0.40282887289318459"/>
    <n v="-1.688855747449572"/>
    <n v="2.4256603698466122"/>
    <n v="2.4342871012128651"/>
    <n v="5.9914645471079817"/>
    <n v="-8.6267311125993729E-3"/>
    <n v="1"/>
    <n v="1"/>
    <n v="0"/>
    <n v="0"/>
    <n v="0"/>
    <n v="0"/>
    <n v="1"/>
    <n v="-1.4816429615020752"/>
    <n v="0.20115224078730712"/>
    <n v="0.22726399549095483"/>
    <n v="-2.611175470364771E-2"/>
    <n v="6.8182373370346834E-4"/>
    <x v="5"/>
    <n v="4.0092233999999997E-2"/>
    <n v="0.72732532000000005"/>
    <n v="-8.8770258421850781E-2"/>
    <n v="0.24093588686786019"/>
    <n v="0.21436791470935698"/>
    <n v="2.6567972158503206E-2"/>
  </r>
  <r>
    <n v="16"/>
    <x v="15"/>
    <n v="-1.528306146515986"/>
    <n v="0.76504914984902317"/>
    <n v="0.50675735959003665"/>
    <n v="0.6634093622959889"/>
    <n v="0.81920698022067795"/>
    <n v="0.57784855619648245"/>
    <n v="0.60070289016866529"/>
    <n v="0.70660096568781861"/>
    <n v="0.40282887289318459"/>
    <n v="-1.675913481839175"/>
    <n v="2.3693990305980459"/>
    <n v="2.4074465427846561"/>
    <n v="6.6846117276679271"/>
    <n v="-3.8047511130571365E-2"/>
    <n v="1"/>
    <n v="0"/>
    <n v="0"/>
    <n v="0"/>
    <n v="0"/>
    <n v="0"/>
    <n v="1"/>
    <n v="-1.4892810583114624"/>
    <n v="0.21690275782149993"/>
    <n v="0.22553474359591133"/>
    <n v="-8.6319857744114048E-3"/>
    <n v="7.4511178409640853E-5"/>
    <x v="5"/>
    <n v="4.0092233999999997E-2"/>
    <n v="0.72732532000000005"/>
    <n v="-2.8383934766383317E-2"/>
    <n v="0.23910260554210433"/>
    <n v="0.21273678910168264"/>
    <n v="2.6365816440421685E-2"/>
  </r>
  <r>
    <n v="16"/>
    <x v="16"/>
    <n v="-1.4997510253728921"/>
    <n v="0.79624513856351264"/>
    <n v="0.76504914984902317"/>
    <n v="0.50675735959003665"/>
    <n v="0.85462807148204811"/>
    <n v="0.81920698022067795"/>
    <n v="0.57784855619648245"/>
    <n v="1.24896447296841"/>
    <n v="0.40282887289318459"/>
    <n v="-1.6517963590735101"/>
    <n v="2.4483353558842298"/>
    <n v="2.3693990305980459"/>
    <n v="8.0551577318196781"/>
    <n v="7.8936323523521423E-2"/>
    <n v="1"/>
    <n v="0"/>
    <n v="0"/>
    <n v="0"/>
    <n v="0"/>
    <n v="0"/>
    <n v="1"/>
    <n v="-1.4371792078018188"/>
    <n v="0.22318572081316021"/>
    <n v="0.2375970261437893"/>
    <n v="-1.4411305330629093E-2"/>
    <n v="2.0768572133261852E-4"/>
    <x v="5"/>
    <n v="4.0092233999999997E-2"/>
    <n v="0.72732532000000005"/>
    <n v="-4.5510067237862453E-2"/>
    <n v="0.25189053852306503"/>
    <n v="0.22411459820354976"/>
    <n v="2.7775940319515274E-2"/>
  </r>
  <r>
    <n v="16"/>
    <x v="17"/>
    <n v="-1.4824782413667701"/>
    <n v="0.70255280863404101"/>
    <n v="0.79624513856351264"/>
    <n v="0.76504914984902317"/>
    <n v="0.72338536362055528"/>
    <n v="0.85462807148204811"/>
    <n v="0.81920698022067795"/>
    <n v="1.877485982623855"/>
    <n v="0.40282887289318459"/>
    <n v="-1.6311483237791999"/>
    <n v="2.5690980120587579"/>
    <n v="2.4483353558842298"/>
    <n v="8.4658998970286863"/>
    <n v="0.1207626536488533"/>
    <n v="1"/>
    <n v="0"/>
    <n v="0"/>
    <n v="0"/>
    <n v="0"/>
    <n v="0"/>
    <n v="1"/>
    <n v="-1.433708667755127"/>
    <n v="0.22707424570966919"/>
    <n v="0.23842304868104799"/>
    <n v="-1.1348802971378802E-2"/>
    <n v="1.2879532888317632E-4"/>
    <x v="5"/>
    <n v="4.0092233999999997E-2"/>
    <n v="0.72732532000000005"/>
    <n v="-3.5471345733351901E-2"/>
    <n v="0.2527662534472761"/>
    <n v="0.22489374814515203"/>
    <n v="2.7872505302124068E-2"/>
  </r>
  <r>
    <n v="17"/>
    <x v="0"/>
    <n v="-2.302468246616844"/>
    <n v="1.0116009116784801"/>
    <n v="0.94720783450887658"/>
    <n v="0.8792532337715917"/>
    <n v="0.70309751141311339"/>
    <n v="0.51950782414882457"/>
    <n v="0.40832767372164103"/>
    <n v="-11.51292546497023"/>
    <n v="1.221842963958693"/>
    <n v="-2.1105228304649279"/>
    <n v="2.1691989286444682"/>
    <n v="2.1187108704670079"/>
    <n v="-11.51292546497023"/>
    <n v="5.0488058477640152E-2"/>
    <n v="0"/>
    <n v="0"/>
    <n v="0"/>
    <n v="0"/>
    <n v="0"/>
    <n v="0"/>
    <n v="1"/>
    <n v="-2.2646322250366211"/>
    <n v="0.10001168532040056"/>
    <n v="0.10386822765075213"/>
    <n v="-3.85654233035157E-3"/>
    <n v="1.4872918745793518E-5"/>
    <x v="6"/>
    <n v="4.3023500999999999E-2"/>
    <n v="0.85814005000000004"/>
    <n v="-1.9425606531299953E-2"/>
    <n v="0.11294733263873109"/>
    <n v="9.5518933145738713E-2"/>
    <n v="1.742839949299238E-2"/>
  </r>
  <r>
    <n v="17"/>
    <x v="1"/>
    <n v="-2.11853423260757"/>
    <n v="0.96065205557290867"/>
    <n v="1.0116009116784801"/>
    <n v="0.94720783450887658"/>
    <n v="0.51024545550092504"/>
    <n v="0.70309751141311339"/>
    <n v="0.51950782414882457"/>
    <n v="-11.51292546497023"/>
    <n v="1.221842963958693"/>
    <n v="-1.9746220161420369"/>
    <n v="2.2899529957657978"/>
    <n v="2.1888773255111871"/>
    <n v="-11.51292546497023"/>
    <n v="0.1010756716132164"/>
    <n v="0"/>
    <n v="0"/>
    <n v="0"/>
    <n v="0"/>
    <n v="0"/>
    <n v="0"/>
    <n v="1"/>
    <n v="-2.1895275115966797"/>
    <n v="0.1202076959640315"/>
    <n v="0.11196964047759919"/>
    <n v="8.2380554864323052E-3"/>
    <n v="6.7865558197537402E-5"/>
    <x v="6"/>
    <n v="4.3023500999999999E-2"/>
    <n v="0.85814005000000004"/>
    <n v="6.0922175981378529E-2"/>
    <n v="0.12175688865112688"/>
    <n v="0.1029691258340707"/>
    <n v="1.8787762817056186E-2"/>
  </r>
  <r>
    <n v="17"/>
    <x v="2"/>
    <n v="-1.995429635360918"/>
    <n v="0.90700777827523826"/>
    <n v="0.96065205557290867"/>
    <n v="1.0116009116784801"/>
    <n v="0.4529210492644597"/>
    <n v="0.51024545550092504"/>
    <n v="0.70309751141311339"/>
    <n v="-11.51292546497023"/>
    <n v="1.221842963958693"/>
    <n v="-1.841829783458155"/>
    <n v="2.398755838764338"/>
    <n v="2.3100264184129382"/>
    <n v="-11.51292546497023"/>
    <n v="8.8729418814182281E-2"/>
    <n v="0"/>
    <n v="0"/>
    <n v="0"/>
    <n v="0"/>
    <n v="0"/>
    <n v="0"/>
    <n v="1"/>
    <n v="-2.0961284637451172"/>
    <n v="0.13595523044279897"/>
    <n v="0.12293144167713035"/>
    <n v="1.302378876566862E-2"/>
    <n v="1.6961907381275615E-4"/>
    <x v="6"/>
    <n v="4.3023500999999999E-2"/>
    <n v="0.85814005000000004"/>
    <n v="8.6413697624558111E-2"/>
    <n v="0.13367685912146274"/>
    <n v="0.11304977878846155"/>
    <n v="2.0627080333001188E-2"/>
  </r>
  <r>
    <n v="17"/>
    <x v="3"/>
    <n v="-1.9843049276434861"/>
    <n v="0.86478688900703937"/>
    <n v="0.90700777827523826"/>
    <n v="0.96065205557290867"/>
    <n v="0.40499833251872053"/>
    <n v="0.4529210492644597"/>
    <n v="0.51024545550092504"/>
    <n v="-11.51292546497023"/>
    <n v="1.221842963958693"/>
    <n v="-1.742575435337741"/>
    <n v="2.4412936220622892"/>
    <n v="2.3897857393889552"/>
    <n v="-11.51292546497023"/>
    <n v="5.150788277387619E-2"/>
    <n v="0"/>
    <n v="0"/>
    <n v="0"/>
    <n v="0"/>
    <n v="0"/>
    <n v="0"/>
    <n v="1"/>
    <n v="-2.0267164707183838"/>
    <n v="0.13747613677788259"/>
    <n v="0.13176747395465027"/>
    <n v="5.7086628232323189E-3"/>
    <n v="3.2588831229354791E-5"/>
    <x v="6"/>
    <n v="4.3023500999999999E-2"/>
    <n v="0.85814005000000004"/>
    <n v="3.6395043694869865E-2"/>
    <n v="0.14328524755195871"/>
    <n v="0.12117553962485436"/>
    <n v="2.2109707927104344E-2"/>
  </r>
  <r>
    <n v="17"/>
    <x v="4"/>
    <n v="-1.824144273938767"/>
    <n v="0.83616468739487027"/>
    <n v="0.86478688900703937"/>
    <n v="0.90700777827523826"/>
    <n v="0.43599431314298731"/>
    <n v="0.40499833251872053"/>
    <n v="0.4529210492644597"/>
    <n v="-7.2052431173826657"/>
    <n v="1.221842963958693"/>
    <n v="-1.6607651362205169"/>
    <n v="2.5000871118570078"/>
    <n v="2.4000366619273419"/>
    <n v="-11.51292546497023"/>
    <n v="0.10005044937133789"/>
    <n v="0"/>
    <n v="0"/>
    <n v="0"/>
    <n v="0"/>
    <n v="0"/>
    <n v="0"/>
    <n v="1"/>
    <n v="-1.9331927299499512"/>
    <n v="0.16135566131341755"/>
    <n v="0.14468551848232056"/>
    <n v="1.6670142831096996E-2"/>
    <n v="2.7789366200917456E-4"/>
    <x v="6"/>
    <n v="4.3023500999999999E-2"/>
    <n v="0.85814005000000004"/>
    <n v="9.3578847493860404E-2"/>
    <n v="0.15733245626350689"/>
    <n v="0.13305518616856121"/>
    <n v="2.427727009494568E-2"/>
  </r>
  <r>
    <n v="17"/>
    <x v="5"/>
    <n v="-1.7247077077691031"/>
    <n v="0.80459910585408823"/>
    <n v="0.83616468739487027"/>
    <n v="0.86478688900703937"/>
    <n v="0.48316661577201642"/>
    <n v="0.43599431314298731"/>
    <n v="0.40499833251872053"/>
    <n v="-5.4531049863431234"/>
    <n v="1.221842963958693"/>
    <n v="-1.5932247588185009"/>
    <n v="2.4923787573361502"/>
    <n v="2.460465773668489"/>
    <n v="-11.51292546497023"/>
    <n v="3.191298246383667E-2"/>
    <n v="0"/>
    <n v="0"/>
    <n v="0"/>
    <n v="0"/>
    <n v="0"/>
    <n v="0"/>
    <n v="1"/>
    <n v="-1.831160306930542"/>
    <n v="0.17822513798351336"/>
    <n v="0.16022754674234727"/>
    <n v="1.7997591241166094E-2"/>
    <n v="3.2391329048409853E-4"/>
    <x v="6"/>
    <n v="4.3023500999999999E-2"/>
    <n v="0.85814005000000004"/>
    <n v="9.1351238767027138E-2"/>
    <n v="0.17423301070127278"/>
    <n v="0.14734789137684079"/>
    <n v="2.6885119324431994E-2"/>
  </r>
  <r>
    <n v="17"/>
    <x v="6"/>
    <n v="-1.5657446252089551"/>
    <n v="0.74782474185064107"/>
    <n v="0.80459910585408823"/>
    <n v="0.83616468739487027"/>
    <n v="0.45444573032978619"/>
    <n v="0.48316661577201642"/>
    <n v="0.43599431314298731"/>
    <n v="-5.0595623095713167"/>
    <n v="1.221842963958693"/>
    <n v="-1.5064707603457781"/>
    <n v="2.5240087087748391"/>
    <n v="2.4804563259997732"/>
    <n v="-11.51292546497023"/>
    <n v="4.3552383780479431E-2"/>
    <n v="0"/>
    <n v="0"/>
    <n v="0"/>
    <n v="0"/>
    <n v="0"/>
    <n v="0"/>
    <n v="1"/>
    <n v="-1.7019973993301392"/>
    <n v="0.20893237891956928"/>
    <n v="0.18231899627912312"/>
    <n v="2.6613382640446159E-2"/>
    <n v="7.0827213556680097E-4"/>
    <x v="6"/>
    <n v="4.3023500999999999E-2"/>
    <n v="0.85814005000000004"/>
    <n v="0.11692396239699163"/>
    <n v="0.19825547027083198"/>
    <n v="0.16766355227837224"/>
    <n v="3.059191799245975E-2"/>
  </r>
  <r>
    <n v="17"/>
    <x v="7"/>
    <n v="-1.5546741198978691"/>
    <n v="0.73414515959401738"/>
    <n v="0.74782474185064107"/>
    <n v="0.80459910585408823"/>
    <n v="0.43320996841672321"/>
    <n v="0.45444573032978619"/>
    <n v="0.48316661577201642"/>
    <n v="-4.2075136027519253"/>
    <n v="1.221842963958693"/>
    <n v="-1.4613651130510541"/>
    <n v="2.550040241402205"/>
    <n v="2.4822395395721339"/>
    <n v="-11.51292546497023"/>
    <n v="6.7800700664520264E-2"/>
    <n v="0"/>
    <n v="0"/>
    <n v="0"/>
    <n v="0"/>
    <n v="0"/>
    <n v="0"/>
    <n v="1"/>
    <n v="-1.6463825702667236"/>
    <n v="0.21125821627370164"/>
    <n v="0.19274589375016246"/>
    <n v="1.8512322523539182E-2"/>
    <n v="3.4270608521553609E-4"/>
    <x v="6"/>
    <n v="4.3023500999999999E-2"/>
    <n v="0.85814005000000004"/>
    <n v="7.8698694184951373E-2"/>
    <n v="0.20959378116423921"/>
    <n v="0.1772522989526924"/>
    <n v="3.2341482211546813E-2"/>
  </r>
  <r>
    <n v="17"/>
    <x v="8"/>
    <n v="-1.4522185817100099"/>
    <n v="0.69798545720019456"/>
    <n v="0.73414515959401738"/>
    <n v="0.74782474185064107"/>
    <n v="0.41031997083434663"/>
    <n v="0.43320996841672321"/>
    <n v="0.45444573032978619"/>
    <n v="-3.5044757311156589"/>
    <n v="1.221842963958693"/>
    <n v="-1.396360352554918"/>
    <n v="2.5577241399757078"/>
    <n v="2.5374580766264669"/>
    <n v="-11.51292546497023"/>
    <n v="2.0266063511371613E-2"/>
    <n v="0"/>
    <n v="0"/>
    <n v="0"/>
    <n v="0"/>
    <n v="0"/>
    <n v="0"/>
    <n v="1"/>
    <n v="-1.5731102228164673"/>
    <n v="0.23405045160600713"/>
    <n v="0.20739912070265232"/>
    <n v="2.6651330903354808E-2"/>
    <n v="7.1029343892011507E-4"/>
    <x v="6"/>
    <n v="4.3023500999999999E-2"/>
    <n v="0.85814005000000004"/>
    <n v="0.10374195894367735"/>
    <n v="0.22552784431585693"/>
    <n v="0.19072764783753571"/>
    <n v="3.4800196478321221E-2"/>
  </r>
  <r>
    <n v="17"/>
    <x v="9"/>
    <n v="-1.470524415473089"/>
    <n v="0.71720544565301625"/>
    <n v="0.69798545720019456"/>
    <n v="0.73414515959401738"/>
    <n v="0.4295071025884023"/>
    <n v="0.41031997083434663"/>
    <n v="0.43320996841672321"/>
    <n v="-3.060574005760694"/>
    <n v="1.221842963958693"/>
    <n v="-1.3427466483832651"/>
    <n v="2.5722097934308761"/>
    <n v="2.5456084780596759"/>
    <n v="-11.51292546497023"/>
    <n v="2.6601314544677734E-2"/>
    <n v="1"/>
    <n v="0"/>
    <n v="0"/>
    <n v="0"/>
    <n v="0"/>
    <n v="0"/>
    <n v="1"/>
    <n v="-1.5795097351074219"/>
    <n v="0.22980494031519494"/>
    <n v="0.20607610532237727"/>
    <n v="2.3728834992817666E-2"/>
    <n v="5.6305761011636818E-4"/>
    <x v="6"/>
    <n v="4.3023500999999999E-2"/>
    <n v="0.85814005000000004"/>
    <n v="9.352466764027241E-2"/>
    <n v="0.22408918437506609"/>
    <n v="0.18951098110009804"/>
    <n v="3.457820327496805E-2"/>
  </r>
  <r>
    <n v="17"/>
    <x v="10"/>
    <n v="-1.438978308135985"/>
    <n v="0.74843996630865406"/>
    <n v="0.71720544565301625"/>
    <n v="0.69798545720019456"/>
    <n v="0.57334961710434951"/>
    <n v="0.4295071025884023"/>
    <n v="0.41031997083434663"/>
    <n v="-2.6809575997302382"/>
    <n v="1.221842963958693"/>
    <n v="-1.313431115730904"/>
    <n v="2.5704131665247072"/>
    <n v="2.560545726345123"/>
    <n v="-11.51292546497023"/>
    <n v="9.867439977824688E-3"/>
    <n v="1"/>
    <n v="0"/>
    <n v="0"/>
    <n v="0"/>
    <n v="0"/>
    <n v="0"/>
    <n v="1"/>
    <n v="-1.5206571817398071"/>
    <n v="0.23716994954667683"/>
    <n v="0.21856820071298871"/>
    <n v="1.860174883368812E-2"/>
    <n v="3.4602505967161733E-4"/>
    <x v="6"/>
    <n v="4.3023500999999999E-2"/>
    <n v="0.85814005000000004"/>
    <n v="7.0091912678327567E-2"/>
    <n v="0.23767321180434253"/>
    <n v="0.20099891780080059"/>
    <n v="3.6674294003541941E-2"/>
  </r>
  <r>
    <n v="17"/>
    <x v="11"/>
    <n v="-1.407715696413816"/>
    <n v="0.724500488217941"/>
    <n v="0.74843996630865406"/>
    <n v="0.71720544565301625"/>
    <n v="0.58950740580018557"/>
    <n v="0.57334961710434951"/>
    <n v="0.4295071025884023"/>
    <n v="-2.0182591945820141"/>
    <n v="1.221842963958693"/>
    <n v="-1.2870098313439291"/>
    <n v="2.5999991389301131"/>
    <n v="2.559195753040874"/>
    <n v="-11.51292546497023"/>
    <n v="4.0803384035825729E-2"/>
    <n v="1"/>
    <n v="0"/>
    <n v="0"/>
    <n v="0"/>
    <n v="0"/>
    <n v="0"/>
    <n v="1"/>
    <n v="-1.4531508684158325"/>
    <n v="0.24470161799103857"/>
    <n v="0.23383235116335166"/>
    <n v="1.0869266827686908E-2"/>
    <n v="1.1814096137145501E-4"/>
    <x v="6"/>
    <n v="4.3023500999999999E-2"/>
    <n v="0.85814005000000004"/>
    <n v="3.8989740773569058E-2"/>
    <n v="0.25427159917802272"/>
    <n v="0.21503608199789431"/>
    <n v="3.923551718012841E-2"/>
  </r>
  <r>
    <n v="17"/>
    <x v="12"/>
    <n v="-1.4943806311362959"/>
    <n v="0.86873780201460749"/>
    <n v="0.724500488217941"/>
    <n v="0.74843996630865406"/>
    <n v="0.63206933105135488"/>
    <n v="0.58950740580018557"/>
    <n v="0.57334961710434951"/>
    <n v="-1.5873266978714839"/>
    <n v="1.221842963958693"/>
    <n v="-1.2511554948762029"/>
    <n v="2.5974685645963511"/>
    <n v="2.5967564216500461"/>
    <n v="3.2580965380214821"/>
    <n v="7.12142966222018E-4"/>
    <n v="1"/>
    <n v="0"/>
    <n v="0"/>
    <n v="0"/>
    <n v="0"/>
    <n v="0"/>
    <n v="1"/>
    <n v="-1.5395253896713257"/>
    <n v="0.22438754035579317"/>
    <n v="0.21448287306101174"/>
    <n v="9.9046672947814274E-3"/>
    <n v="9.810243422031284E-5"/>
    <x v="6"/>
    <n v="4.3023500999999999E-2"/>
    <n v="0.85814005000000004"/>
    <n v="3.8740525346488357E-2"/>
    <n v="0.23323078632272598"/>
    <n v="0.19724198319535294"/>
    <n v="3.5988803127373042E-2"/>
  </r>
  <r>
    <n v="17"/>
    <x v="13"/>
    <n v="-1.4596560471649751"/>
    <n v="0.80919537892261229"/>
    <n v="0.86873780201460749"/>
    <n v="0.724500488217941"/>
    <n v="0.59260835518133248"/>
    <n v="0.63206933105135488"/>
    <n v="0.58950740580018557"/>
    <n v="-0.81386930112935651"/>
    <n v="1.221842963958693"/>
    <n v="-1.222852066708241"/>
    <n v="2.6432611633831229"/>
    <n v="2.5861919333581311"/>
    <n v="5.393627546352362"/>
    <n v="5.7069230824708939E-2"/>
    <n v="1"/>
    <n v="0"/>
    <n v="0"/>
    <n v="0"/>
    <n v="0"/>
    <n v="0"/>
    <n v="1"/>
    <n v="-1.4873954057693481"/>
    <n v="0.23231616679361106"/>
    <n v="0.22596042497596383"/>
    <n v="6.3557418176472258E-3"/>
    <n v="4.0395454052589664E-5"/>
    <x v="6"/>
    <n v="4.3023500999999999E-2"/>
    <n v="0.85814005000000004"/>
    <n v="2.3804254579724616E-2"/>
    <n v="0.24571158919514327"/>
    <n v="0.2077969290034912"/>
    <n v="3.7914660191652072E-2"/>
  </r>
  <r>
    <n v="17"/>
    <x v="14"/>
    <n v="-1.5052165785067599"/>
    <n v="0.76057215687473445"/>
    <n v="0.80919537892261229"/>
    <n v="0.86873780201460749"/>
    <n v="0.52915658045071412"/>
    <n v="0.59260835518133248"/>
    <n v="0.63206933105135488"/>
    <n v="-0.14907923907206291"/>
    <n v="1.221842963958693"/>
    <n v="-1.195705225362957"/>
    <n v="2.673105898450244"/>
    <n v="2.63227061737877"/>
    <n v="5.9914645471079817"/>
    <n v="4.083527997136116E-2"/>
    <n v="1"/>
    <n v="1"/>
    <n v="0"/>
    <n v="0"/>
    <n v="0"/>
    <n v="0"/>
    <n v="1"/>
    <n v="-1.5853731632232666"/>
    <n v="0.22196921486459981"/>
    <n v="0.20487132840551284"/>
    <n v="1.7097886459086969E-2"/>
    <n v="2.9233772136782956E-4"/>
    <x v="6"/>
    <n v="4.3023500999999999E-2"/>
    <n v="0.85814005000000004"/>
    <n v="6.8785575616452266E-2"/>
    <n v="0.22277909810265853"/>
    <n v="0.18840304840132854"/>
    <n v="3.4376049701329986E-2"/>
  </r>
  <r>
    <n v="17"/>
    <x v="15"/>
    <n v="-1.472059130755873"/>
    <n v="0.94468380637537297"/>
    <n v="0.76057215687473445"/>
    <n v="0.80919537892261229"/>
    <n v="0.75902854967345812"/>
    <n v="0.52915658045071412"/>
    <n v="0.59260835518133248"/>
    <n v="0.44249546405242501"/>
    <n v="1.221842963958693"/>
    <n v="-1.168648539218301"/>
    <n v="2.7105608839877759"/>
    <n v="2.662400929370047"/>
    <n v="6.6846117276679271"/>
    <n v="4.8159953206777573E-2"/>
    <n v="1"/>
    <n v="0"/>
    <n v="0"/>
    <n v="0"/>
    <n v="0"/>
    <n v="0"/>
    <n v="1"/>
    <n v="-1.5397322177886963"/>
    <n v="0.2294525256584854"/>
    <n v="0.21443851655941226"/>
    <n v="1.5014009099073133E-2"/>
    <n v="2.2542046922705084E-4"/>
    <x v="6"/>
    <n v="4.3023500999999999E-2"/>
    <n v="0.85814005000000004"/>
    <n v="5.8072986290001308E-2"/>
    <n v="0.23318255262649223"/>
    <n v="0.19720119222580734"/>
    <n v="3.5981360400684892E-2"/>
  </r>
  <r>
    <n v="17"/>
    <x v="16"/>
    <n v="-1.4005988251003509"/>
    <n v="0.94491706066247805"/>
    <n v="0.94468380637537297"/>
    <n v="0.76057215687473445"/>
    <n v="0.75155758810636775"/>
    <n v="0.75902854967345812"/>
    <n v="0.52915658045071412"/>
    <n v="0.94077266061330322"/>
    <n v="1.221842963958693"/>
    <n v="-1.132133701084872"/>
    <n v="2.745375215049402"/>
    <n v="2.7105608839877759"/>
    <n v="8.0551577318196781"/>
    <n v="3.481433168053627E-2"/>
    <n v="1"/>
    <n v="0"/>
    <n v="0"/>
    <n v="0"/>
    <n v="0"/>
    <n v="0"/>
    <n v="1"/>
    <n v="-1.5087339878082275"/>
    <n v="0.24644933969489149"/>
    <n v="0.22118982979529847"/>
    <n v="2.5259509899593025E-2"/>
    <n v="6.3804284036763801E-4"/>
    <x v="6"/>
    <n v="4.3023500999999999E-2"/>
    <n v="0.85814005000000004"/>
    <n v="9.2795113932895357E-2"/>
    <n v="0.24052399706093364"/>
    <n v="0.20340981109040279"/>
    <n v="3.7114185970530844E-2"/>
  </r>
  <r>
    <n v="17"/>
    <x v="17"/>
    <n v="-1.3222695926871251"/>
    <n v="0.79908253096861415"/>
    <n v="0.94491706066247805"/>
    <n v="0.94468380637537297"/>
    <n v="0.538829820175588"/>
    <n v="0.75155758810636775"/>
    <n v="0.75902854967345812"/>
    <n v="1.498096223740661"/>
    <n v="1.221842963958693"/>
    <n v="-1.0940140857053751"/>
    <n v="2.794865533481202"/>
    <n v="2.745375215049402"/>
    <n v="8.4658998970286863"/>
    <n v="4.9490317702293396E-2"/>
    <n v="1"/>
    <n v="0"/>
    <n v="0"/>
    <n v="0"/>
    <n v="0"/>
    <n v="0"/>
    <n v="1"/>
    <n v="-1.4622253179550171"/>
    <n v="0.26652970113160479"/>
    <n v="0.23172004977315933"/>
    <n v="3.4809651358445465E-2"/>
    <n v="1.2117118276965242E-3"/>
    <x v="6"/>
    <n v="4.3023500999999999E-2"/>
    <n v="0.85814005000000004"/>
    <n v="0.12010161307917512"/>
    <n v="0.2519746618647809"/>
    <n v="0.21309357484400457"/>
    <n v="3.8881087020776334E-2"/>
  </r>
  <r>
    <n v="21"/>
    <x v="0"/>
    <n v="-3.005073666255865"/>
    <n v="1.004301609196868"/>
    <n v="0.88533655655224996"/>
    <n v="0.83768033129224362"/>
    <n v="0.72754860727727766"/>
    <n v="0.62972803269029043"/>
    <n v="0.59305056402166012"/>
    <n v="-11.51292546497023"/>
    <n v="1.9117730239483881"/>
    <n v="-2.9883568839150541"/>
    <n v="1.86745654039763"/>
    <n v="1.7645335624207239"/>
    <n v="-11.51292546497023"/>
    <n v="0.10292297601699829"/>
    <n v="0"/>
    <n v="0"/>
    <n v="0"/>
    <n v="0"/>
    <n v="0"/>
    <n v="1"/>
    <n v="0"/>
    <n v="-3.1047773361206055"/>
    <n v="4.9535105128305383E-2"/>
    <n v="4.4834500471725706E-2"/>
    <n v="4.7006046565796766E-3"/>
    <n v="2.2095684137458538E-5"/>
    <x v="7"/>
    <n v="3.0837322E-2"/>
    <n v="0.88261568999999995"/>
    <n v="4.6870221578454163E-2"/>
    <n v="4.7874163379323376E-2"/>
    <n v="4.1987834160614051E-2"/>
    <n v="5.8863292187093241E-3"/>
  </r>
  <r>
    <n v="21"/>
    <x v="1"/>
    <n v="-2.9476599042238991"/>
    <n v="0.96065205557290867"/>
    <n v="1.004301609196868"/>
    <n v="0.88533655655224996"/>
    <n v="0.58232734545470155"/>
    <n v="0.72754860727727766"/>
    <n v="0.62972803269029043"/>
    <n v="-11.51292546497023"/>
    <n v="1.9117730239483881"/>
    <n v="-2.8345867363429988"/>
    <n v="1.829081620106173"/>
    <n v="1.857721618177999"/>
    <n v="-11.51292546497023"/>
    <n v="-2.8639998286962509E-2"/>
    <n v="0"/>
    <n v="0"/>
    <n v="0"/>
    <n v="0"/>
    <n v="0"/>
    <n v="1"/>
    <n v="0"/>
    <n v="-3.0536923408508301"/>
    <n v="5.2462329292471792E-2"/>
    <n v="4.718438153412146E-2"/>
    <n v="5.277947758350332E-3"/>
    <n v="2.7856732539875295E-5"/>
    <x v="7"/>
    <n v="3.0837322E-2"/>
    <n v="0.88261568999999995"/>
    <n v="9.3585892215859931E-2"/>
    <n v="5.038336028615762E-2"/>
    <n v="4.4188514781718854E-2"/>
    <n v="6.194845504438766E-3"/>
  </r>
  <r>
    <n v="21"/>
    <x v="2"/>
    <n v="-2.8313528680447839"/>
    <n v="0.87359197734103988"/>
    <n v="0.96065205557290867"/>
    <n v="1.004301609196868"/>
    <n v="0.48679928916313631"/>
    <n v="0.58232734545470155"/>
    <n v="0.72754860727727766"/>
    <n v="-11.51292546497023"/>
    <n v="1.9117730239483881"/>
    <n v="-2.681932127359647"/>
    <n v="1.945834833156987"/>
    <n v="1.81944071224341"/>
    <n v="-11.51292546497023"/>
    <n v="0.126394122838974"/>
    <n v="0"/>
    <n v="0"/>
    <n v="0"/>
    <n v="0"/>
    <n v="0"/>
    <n v="1"/>
    <n v="0"/>
    <n v="-2.9362850189208984"/>
    <n v="5.8933071045336807E-2"/>
    <n v="5.3062489174703104E-2"/>
    <n v="5.8705818706337037E-3"/>
    <n v="3.4463731499813114E-5"/>
    <x v="7"/>
    <n v="3.0837322E-2"/>
    <n v="0.88261568999999995"/>
    <n v="9.261476274870592E-2"/>
    <n v="5.6659988386964087E-2"/>
    <n v="4.9693405127193474E-2"/>
    <n v="6.9665832597706132E-3"/>
  </r>
  <r>
    <n v="21"/>
    <x v="3"/>
    <n v="-2.786799355345857"/>
    <n v="0.81235142803842186"/>
    <n v="0.87359197734103988"/>
    <n v="0.96065205557290867"/>
    <n v="0.43346930451776172"/>
    <n v="0.48679928916313631"/>
    <n v="0.58232734545470155"/>
    <n v="-11.51292546497023"/>
    <n v="1.9117730239483881"/>
    <n v="-2.5194505085653351"/>
    <n v="1.9431627463908681"/>
    <n v="1.936112894388776"/>
    <n v="-11.51292546497023"/>
    <n v="7.0498520508408546E-3"/>
    <n v="0"/>
    <n v="0"/>
    <n v="0"/>
    <n v="0"/>
    <n v="0"/>
    <n v="1"/>
    <n v="0"/>
    <n v="-2.8130433559417725"/>
    <n v="6.1618116334214795E-2"/>
    <n v="6.002204569821077E-2"/>
    <n v="1.5960706360040253E-3"/>
    <n v="2.5474414751142937E-6"/>
    <x v="7"/>
    <n v="3.0837322E-2"/>
    <n v="0.88261568999999995"/>
    <n v="2.3163366694324346E-2"/>
    <n v="6.4091384801521212E-2"/>
    <n v="5.6211080178011595E-2"/>
    <n v="7.8803046235096166E-3"/>
  </r>
  <r>
    <n v="21"/>
    <x v="4"/>
    <n v="-2.5223313753588679"/>
    <n v="0.74720913865847582"/>
    <n v="0.81235142803842186"/>
    <n v="0.87359197734103988"/>
    <n v="0.44654306986601078"/>
    <n v="0.43346930451776172"/>
    <n v="0.48679928916313631"/>
    <n v="-11.51292546497023"/>
    <n v="1.9117730239483881"/>
    <n v="-2.357243868179896"/>
    <n v="1.9625560030249369"/>
    <n v="1.921518828866686"/>
    <n v="-11.51292546497023"/>
    <n v="4.1037175804376602E-2"/>
    <n v="0"/>
    <n v="0"/>
    <n v="0"/>
    <n v="0"/>
    <n v="0"/>
    <n v="1"/>
    <n v="0"/>
    <n v="-2.61635422706604"/>
    <n v="8.0272243696639406E-2"/>
    <n v="7.3068769958227975E-2"/>
    <n v="7.2034737384114311E-3"/>
    <n v="5.1890033899983162E-5"/>
    <x v="7"/>
    <n v="3.0837322E-2"/>
    <n v="0.88261568999999995"/>
    <n v="8.2986044135293438E-2"/>
    <n v="7.8022643145370538E-2"/>
    <n v="6.8429431867116017E-2"/>
    <n v="9.5932112782545209E-3"/>
  </r>
  <r>
    <n v="21"/>
    <x v="5"/>
    <n v="-2.3577793505236322"/>
    <n v="0.71098709868827636"/>
    <n v="0.74720913865847582"/>
    <n v="0.81235142803842186"/>
    <n v="0.52034021613457626"/>
    <n v="0.44654306986601078"/>
    <n v="0.43346930451776172"/>
    <n v="-7.7031221981193232"/>
    <n v="1.9117730239483881"/>
    <n v="-2.2084365600939542"/>
    <n v="1.98011437004853"/>
    <n v="1.941370787801832"/>
    <n v="-11.51292546497023"/>
    <n v="3.8743581622838974E-2"/>
    <n v="0"/>
    <n v="0"/>
    <n v="0"/>
    <n v="0"/>
    <n v="0"/>
    <n v="1"/>
    <n v="0"/>
    <n v="-2.4355599880218506"/>
    <n v="9.4630130394397174E-2"/>
    <n v="8.7548707091145372E-2"/>
    <n v="7.081423303251802E-3"/>
    <n v="5.0146555999837666E-5"/>
    <x v="7"/>
    <n v="3.0837322E-2"/>
    <n v="0.88261568999999995"/>
    <n v="6.8650411034129902E-2"/>
    <n v="9.3484282479587857E-2"/>
    <n v="8.1989997783902979E-2"/>
    <n v="1.1494284695684878E-2"/>
  </r>
  <r>
    <n v="21"/>
    <x v="6"/>
    <n v="-2.190907054860967"/>
    <n v="0.65044842602683006"/>
    <n v="0.71098709868827636"/>
    <n v="0.74720913865847582"/>
    <n v="0.46360822215687519"/>
    <n v="0.52034021613457626"/>
    <n v="0.44654306986601078"/>
    <n v="-7.2025590319598756"/>
    <n v="1.9117730239483881"/>
    <n v="-2.0839929282431999"/>
    <n v="2.0418972720225601"/>
    <n v="1.969851912441885"/>
    <n v="-11.51292546497023"/>
    <n v="7.2045356035232544E-2"/>
    <n v="0"/>
    <n v="0"/>
    <n v="0"/>
    <n v="0"/>
    <n v="0"/>
    <n v="1"/>
    <n v="0"/>
    <n v="-2.2737891674041748"/>
    <n v="0.11181528001222457"/>
    <n v="0.10292145366926789"/>
    <n v="8.8938263429566844E-3"/>
    <n v="7.9100147018670267E-5"/>
    <x v="7"/>
    <n v="3.0837322E-2"/>
    <n v="0.88261568999999995"/>
    <n v="7.3153052950980971E-2"/>
    <n v="0.10989926142496706"/>
    <n v="9.6386686207417624E-2"/>
    <n v="1.3512575217549436E-2"/>
  </r>
  <r>
    <n v="21"/>
    <x v="7"/>
    <n v="-2.135224945684894"/>
    <n v="0.65902146583056942"/>
    <n v="0.65044842602683006"/>
    <n v="0.71098709868827636"/>
    <n v="0.47666886711449652"/>
    <n v="0.46360822215687519"/>
    <n v="0.52034021613457626"/>
    <n v="-6.1847821219213737"/>
    <n v="1.9117730239483881"/>
    <n v="-1.9804072502349901"/>
    <n v="2.0702218116349851"/>
    <n v="2.030054764879913"/>
    <n v="-11.51292546497023"/>
    <n v="4.0167048573493958E-2"/>
    <n v="0"/>
    <n v="0"/>
    <n v="0"/>
    <n v="0"/>
    <n v="0"/>
    <n v="1"/>
    <n v="0"/>
    <n v="-2.1914551258087158"/>
    <n v="0.11821799475766515"/>
    <n v="0.11175401409630338"/>
    <n v="6.4639806613617651E-3"/>
    <n v="4.1783045990458881E-5"/>
    <x v="7"/>
    <n v="3.0837322E-2"/>
    <n v="0.88261568999999995"/>
    <n v="4.9629639228811313E-2"/>
    <n v="0.11933064655232693"/>
    <n v="0.10465844296888409"/>
    <n v="1.4672203583442844E-2"/>
  </r>
  <r>
    <n v="21"/>
    <x v="8"/>
    <n v="-2.044258364194691"/>
    <n v="0.6553933909480294"/>
    <n v="0.65902146583056942"/>
    <n v="0.65044842602683006"/>
    <n v="0.49231536100689388"/>
    <n v="0.47666886711449652"/>
    <n v="0.46360822215687519"/>
    <n v="-5.464837144038321"/>
    <n v="1.9117730239483881"/>
    <n v="-1.891020291388652"/>
    <n v="2.1131293082677032"/>
    <n v="2.0619282891468131"/>
    <n v="-11.51292546497023"/>
    <n v="5.1201019436120987E-2"/>
    <n v="0"/>
    <n v="0"/>
    <n v="0"/>
    <n v="0"/>
    <n v="0"/>
    <n v="1"/>
    <n v="0"/>
    <n v="-2.1114985942840576"/>
    <n v="0.12947617854863699"/>
    <n v="0.1210564159790873"/>
    <n v="8.4197625695496964E-3"/>
    <n v="7.0892401727590102E-5"/>
    <x v="7"/>
    <n v="3.0837322E-2"/>
    <n v="0.88261568999999995"/>
    <n v="5.9347282076085091E-2"/>
    <n v="0.12926372716816595"/>
    <n v="0.11337020965391796"/>
    <n v="1.5893517514247987E-2"/>
  </r>
  <r>
    <n v="21"/>
    <x v="9"/>
    <n v="-2.0487350496512291"/>
    <n v="0.65570488508407532"/>
    <n v="0.6553933909480294"/>
    <n v="0.65902146583056942"/>
    <n v="0.46304195291218431"/>
    <n v="0.49231536100689388"/>
    <n v="0.47666886711449652"/>
    <n v="-5.1022215211707733"/>
    <n v="1.9117730239483881"/>
    <n v="-1.8198934792654149"/>
    <n v="2.05347612818084"/>
    <n v="2.1053711428383539"/>
    <n v="-11.51292546497023"/>
    <n v="-5.1895014941692352E-2"/>
    <n v="1"/>
    <n v="0"/>
    <n v="0"/>
    <n v="0"/>
    <n v="0"/>
    <n v="1"/>
    <n v="0"/>
    <n v="-2.1215579509735107"/>
    <n v="0.12889784988675793"/>
    <n v="0.11984477071440393"/>
    <n v="9.0530791723539977E-3"/>
    <n v="8.1958242500909751E-5"/>
    <x v="7"/>
    <n v="3.0837322E-2"/>
    <n v="0.88261568999999995"/>
    <n v="6.4274635298367522E-2"/>
    <n v="0.12796993549548261"/>
    <n v="0.11223549509482296"/>
    <n v="1.5734440400659647E-2"/>
  </r>
  <r>
    <n v="21"/>
    <x v="10"/>
    <n v="-2.0136726042920658"/>
    <n v="0.67309752275424151"/>
    <n v="0.65570488508407532"/>
    <n v="0.6553933909480294"/>
    <n v="0.56713033997645834"/>
    <n v="0.46304195291218431"/>
    <n v="0.49231536100689388"/>
    <n v="-4.7039427630394961"/>
    <n v="1.9117730239483881"/>
    <n v="-1.7743265505814669"/>
    <n v="2.0518692545532669"/>
    <n v="2.04628977820395"/>
    <n v="-11.51292546497023"/>
    <n v="5.5794762447476387E-3"/>
    <n v="1"/>
    <n v="0"/>
    <n v="0"/>
    <n v="0"/>
    <n v="0"/>
    <n v="1"/>
    <n v="0"/>
    <n v="-2.0589790344238281"/>
    <n v="0.13349748980304377"/>
    <n v="0.12758416246038459"/>
    <n v="5.9133273426591748E-3"/>
    <n v="3.4967440261440618E-5"/>
    <x v="7"/>
    <n v="3.0837322E-2"/>
    <n v="0.88261568999999995"/>
    <n v="3.9988166092182149E-2"/>
    <n v="0.13623403793903111"/>
    <n v="0.11948349147518172"/>
    <n v="1.6750546463849381E-2"/>
  </r>
  <r>
    <n v="21"/>
    <x v="11"/>
    <n v="-1.9919801311725109"/>
    <n v="0.64684142768343389"/>
    <n v="0.67309752275424151"/>
    <n v="0.65570488508407532"/>
    <n v="0.55652530301698111"/>
    <n v="0.56713033997645834"/>
    <n v="0.46304195291218431"/>
    <n v="-4.0745746486765393"/>
    <n v="1.9117730239483881"/>
    <n v="-1.7337510635998139"/>
    <n v="2.0576167726293"/>
    <n v="2.0452486021962279"/>
    <n v="-11.51292546497023"/>
    <n v="1.2368170544505119E-2"/>
    <n v="1"/>
    <n v="0"/>
    <n v="0"/>
    <n v="0"/>
    <n v="0"/>
    <n v="1"/>
    <n v="0"/>
    <n v="-2.0003714561462402"/>
    <n v="0.13642501838154156"/>
    <n v="0.13528502144945409"/>
    <n v="1.139996932087467E-3"/>
    <n v="1.2995930051688369E-6"/>
    <x v="7"/>
    <n v="3.0837322E-2"/>
    <n v="0.88261568999999995"/>
    <n v="7.4063150817023152E-3"/>
    <n v="0.14445699520463828"/>
    <n v="0.12669540164983029"/>
    <n v="1.7761593554807997E-2"/>
  </r>
  <r>
    <n v="21"/>
    <x v="12"/>
    <n v="-2.0092145665183549"/>
    <n v="0.75738878262140996"/>
    <n v="0.64684142768343389"/>
    <n v="0.67309752275424151"/>
    <n v="0.59597526880767171"/>
    <n v="0.55652530301698111"/>
    <n v="0.56713033997645834"/>
    <n v="-3.5959705986656392"/>
    <n v="1.9117730239483881"/>
    <n v="-1.694604976055627"/>
    <n v="2.1007802679097818"/>
    <n v="2.052654126846841"/>
    <n v="3.2580965380214821"/>
    <n v="4.8126142472028732E-2"/>
    <n v="1"/>
    <n v="0"/>
    <n v="0"/>
    <n v="0"/>
    <n v="0"/>
    <n v="1"/>
    <n v="0"/>
    <n v="-2.0511739253997803"/>
    <n v="0.13409395520006584"/>
    <n v="0.12858386708478312"/>
    <n v="5.5100881152827241E-3"/>
    <n v="3.0361071038179922E-5"/>
    <x v="7"/>
    <n v="3.0837322E-2"/>
    <n v="0.88261568999999995"/>
    <n v="3.7033988491086842E-2"/>
    <n v="0.13730151994543158"/>
    <n v="0.12041972209082817"/>
    <n v="1.6881797854603406E-2"/>
  </r>
  <r>
    <n v="21"/>
    <x v="13"/>
    <n v="-2.0085411139061842"/>
    <n v="0.76216005184689939"/>
    <n v="0.75738878262140996"/>
    <n v="0.64684142768343389"/>
    <n v="0.58439202072290786"/>
    <n v="0.59597526880767171"/>
    <n v="0.55652530301698111"/>
    <n v="-2.9163133160424231"/>
    <n v="1.9117730239483881"/>
    <n v="-1.6580637480208309"/>
    <n v="2.045129995645639"/>
    <n v="2.095092750257237"/>
    <n v="5.393627546352362"/>
    <n v="-4.9962755292654037E-2"/>
    <n v="1"/>
    <n v="0"/>
    <n v="0"/>
    <n v="0"/>
    <n v="0"/>
    <n v="1"/>
    <n v="0"/>
    <n v="-2.0571084022521973"/>
    <n v="0.13418429153967934"/>
    <n v="0.12782304886390888"/>
    <n v="6.3612426757704565E-3"/>
    <n v="4.0465408380043276E-5"/>
    <x v="7"/>
    <n v="3.0837322E-2"/>
    <n v="0.88261568999999995"/>
    <n v="4.2866250714945306E-2"/>
    <n v="0.13648912022144963"/>
    <n v="0.11970721032091147"/>
    <n v="1.6781909900538156E-2"/>
  </r>
  <r>
    <n v="21"/>
    <x v="14"/>
    <n v="-2.0383230366867711"/>
    <n v="0.67818581541978507"/>
    <n v="0.76216005184689939"/>
    <n v="0.75738878262140996"/>
    <n v="0.53192153206072357"/>
    <n v="0.58439202072290786"/>
    <n v="0.59597526880767171"/>
    <n v="-2.2498308020460218"/>
    <n v="1.9117730239483881"/>
    <n v="-1.624555692732911"/>
    <n v="2.0706915026668651"/>
    <n v="2.039574292292329"/>
    <n v="5.9914645471079817"/>
    <n v="3.1117210164666176E-2"/>
    <n v="1"/>
    <n v="1"/>
    <n v="0"/>
    <n v="0"/>
    <n v="0"/>
    <n v="1"/>
    <n v="0"/>
    <n v="-2.098198413848877"/>
    <n v="0.13024694719223764"/>
    <n v="0.12267724290682457"/>
    <n v="7.5697042854130786E-3"/>
    <n v="5.7300422968601126E-5"/>
    <x v="7"/>
    <n v="3.0837322E-2"/>
    <n v="0.88261568999999995"/>
    <n v="5.2846947327942331E-2"/>
    <n v="0.1309944419599374"/>
    <n v="0.11488812580172489"/>
    <n v="1.6106316158212508E-2"/>
  </r>
  <r>
    <n v="21"/>
    <x v="15"/>
    <n v="-2.0070508998401348"/>
    <n v="0.87771620989437926"/>
    <n v="0.67818581541978507"/>
    <n v="0.76216005184689939"/>
    <n v="0.73476885525076474"/>
    <n v="0.53192153206072357"/>
    <n v="0.58439202072290786"/>
    <n v="-1.662292095590983"/>
    <n v="1.9117730239483881"/>
    <n v="-1.5916949111130609"/>
    <n v="2.0987281041157519"/>
    <n v="2.0652717558173901"/>
    <n v="6.6846117276679271"/>
    <n v="3.345634788274765E-2"/>
    <n v="1"/>
    <n v="0"/>
    <n v="0"/>
    <n v="0"/>
    <n v="0"/>
    <n v="1"/>
    <n v="0"/>
    <n v="-2.0837917327880859"/>
    <n v="0.13438440392648834"/>
    <n v="0.12445740715842216"/>
    <n v="9.9269967680661875E-3"/>
    <n v="9.8545264833196537E-5"/>
    <x v="7"/>
    <n v="3.0837322E-2"/>
    <n v="0.88261568999999995"/>
    <n v="6.7732663223530581E-2"/>
    <n v="0.13289529673307712"/>
    <n v="0.11655526250645679"/>
    <n v="1.6340034226620337E-2"/>
  </r>
  <r>
    <n v="21"/>
    <x v="16"/>
    <n v="-1.96379964741039"/>
    <n v="0.8950262365694307"/>
    <n v="0.87771620989437926"/>
    <n v="0.67818581541978507"/>
    <n v="0.75155758810636775"/>
    <n v="0.73476885525076474"/>
    <n v="0.53192153206072357"/>
    <n v="-1.1691607852262771"/>
    <n v="1.9117730239483881"/>
    <n v="-1.553505106231033"/>
    <n v="2.1285004102261289"/>
    <n v="2.0987281041157519"/>
    <n v="8.0551577318196781"/>
    <n v="2.9772305861115456E-2"/>
    <n v="1"/>
    <n v="0"/>
    <n v="0"/>
    <n v="0"/>
    <n v="0"/>
    <n v="1"/>
    <n v="0"/>
    <n v="-2.0520899295806885"/>
    <n v="0.14032422410922443"/>
    <n v="0.12846613765349363"/>
    <n v="1.1858086455730804E-2"/>
    <n v="1.4061421439158633E-4"/>
    <x v="7"/>
    <n v="3.0837322E-2"/>
    <n v="0.88261568999999995"/>
    <n v="7.7926388318032655E-2"/>
    <n v="0.13717580876389043"/>
    <n v="0.12030946762641356"/>
    <n v="1.686634113747687E-2"/>
  </r>
  <r>
    <n v="21"/>
    <x v="17"/>
    <n v="-1.8928906138512589"/>
    <n v="0.71397869013987836"/>
    <n v="0.8950262365694307"/>
    <n v="0.87771620989437926"/>
    <n v="0.538829820175588"/>
    <n v="0.75155758810636775"/>
    <n v="0.73476885525076474"/>
    <n v="-0.64634611206753934"/>
    <n v="1.9117730239483881"/>
    <n v="-1.512016901871964"/>
    <n v="2.1435270983319512"/>
    <n v="2.1285004102261289"/>
    <n v="8.4658998970286863"/>
    <n v="1.5026687644422054E-2"/>
    <n v="1"/>
    <n v="0"/>
    <n v="0"/>
    <n v="0"/>
    <n v="0"/>
    <n v="1"/>
    <n v="0"/>
    <n v="-1.9788413047790527"/>
    <n v="0.15063574911697622"/>
    <n v="0.13822931019625925"/>
    <n v="1.2406438920716967E-2"/>
    <n v="1.5391972669348078E-4"/>
    <x v="7"/>
    <n v="3.0837322E-2"/>
    <n v="0.88261568999999995"/>
    <n v="7.586142837921149E-2"/>
    <n v="0.14760089909600305"/>
    <n v="0.12945274936913365"/>
    <n v="1.81481497268694E-2"/>
  </r>
  <r>
    <n v="22"/>
    <x v="0"/>
    <n v="-2.7417032668890182"/>
    <n v="0.9242589015233319"/>
    <n v="0.91880756199842939"/>
    <n v="0.86558673749944925"/>
    <n v="0.75141608868392118"/>
    <n v="0.6832483483806977"/>
    <n v="0.58700858449827797"/>
    <n v="-11.51292546497023"/>
    <n v="1.090797042355631"/>
    <n v="-2.4851958602947479"/>
    <n v="1.7796680853385549"/>
    <n v="1.624263083542117"/>
    <n v="-11.51292546497023"/>
    <n v="0.15540499985218048"/>
    <n v="0"/>
    <n v="0"/>
    <n v="0"/>
    <n v="0"/>
    <n v="0"/>
    <n v="1"/>
    <n v="0"/>
    <n v="-2.5972445011138916"/>
    <n v="6.4460459969238715E-2"/>
    <n v="7.4478521206790674E-2"/>
    <n v="-1.0018061237551959E-2"/>
    <n v="1.0036155095934109E-4"/>
    <x v="8"/>
    <n v="2.9989333999999999E-2"/>
    <n v="0.87431186000000005"/>
    <n v="-7.0115167574283974E-2"/>
    <n v="7.9225483670930227E-2"/>
    <n v="7.0015983041397528E-2"/>
    <n v="9.2095006295326992E-3"/>
  </r>
  <r>
    <n v="22"/>
    <x v="1"/>
    <n v="-2.6679518417291561"/>
    <n v="0.89637369803379618"/>
    <n v="0.9242589015233319"/>
    <n v="0.91880756199842939"/>
    <n v="0.60867802393349535"/>
    <n v="0.75141608868392118"/>
    <n v="0.6832483483806977"/>
    <n v="-11.51292546497023"/>
    <n v="1.090797042355631"/>
    <n v="-2.364682292812764"/>
    <n v="1.732619982246111"/>
    <n v="1.767296839428945"/>
    <n v="-11.51292546497023"/>
    <n v="-3.467685729265213E-2"/>
    <n v="0"/>
    <n v="0"/>
    <n v="0"/>
    <n v="0"/>
    <n v="0"/>
    <n v="1"/>
    <n v="0"/>
    <n v="-2.5649220943450928"/>
    <n v="6.9394210181497801E-2"/>
    <n v="7.6925174114468156E-2"/>
    <n v="-7.5309639329703554E-3"/>
    <n v="5.6715417759700322E-5"/>
    <x v="8"/>
    <n v="2.9989333999999999E-2"/>
    <n v="0.87431186000000005"/>
    <n v="-9.0080130070690559E-2"/>
    <n v="8.1828076429820332E-2"/>
    <n v="7.2316039563955256E-2"/>
    <n v="9.5120368658650756E-3"/>
  </r>
  <r>
    <n v="22"/>
    <x v="2"/>
    <n v="-2.5370566115124791"/>
    <n v="0.8545429795827455"/>
    <n v="0.89637369803379618"/>
    <n v="0.9242589015233319"/>
    <n v="0.54615415681928514"/>
    <n v="0.60867802393349535"/>
    <n v="0.75141608868392118"/>
    <n v="-11.51292546497023"/>
    <n v="1.090797042355631"/>
    <n v="-2.2254787055347012"/>
    <n v="1.8014473158845341"/>
    <n v="1.7204002370384639"/>
    <n v="-11.51292546497023"/>
    <n v="8.1047080457210541E-2"/>
    <n v="0"/>
    <n v="0"/>
    <n v="0"/>
    <n v="0"/>
    <n v="0"/>
    <n v="1"/>
    <n v="0"/>
    <n v="-2.4615867137908936"/>
    <n v="7.9098876210240573E-2"/>
    <n v="8.5299497643644209E-2"/>
    <n v="-6.2006214334036358E-3"/>
    <n v="3.8447706160384561E-5"/>
    <x v="8"/>
    <n v="2.9989333999999999E-2"/>
    <n v="0.87431186000000005"/>
    <n v="-6.5984226650969202E-2"/>
    <n v="9.0736145780092717E-2"/>
    <n v="8.0188597782102411E-2"/>
    <n v="1.0547547997990306E-2"/>
  </r>
  <r>
    <n v="22"/>
    <x v="3"/>
    <n v="-2.4214216906929669"/>
    <n v="0.80074519115796339"/>
    <n v="0.8545429795827455"/>
    <n v="0.89637369803379618"/>
    <n v="0.49341493350619681"/>
    <n v="0.54615415681928514"/>
    <n v="0.60867802393349535"/>
    <n v="-11.51292546497023"/>
    <n v="1.090797042355631"/>
    <n v="-2.0901934209052611"/>
    <n v="1.8765724808055899"/>
    <n v="1.790757458948911"/>
    <n v="-11.51292546497023"/>
    <n v="8.5815019905567169E-2"/>
    <n v="0"/>
    <n v="0"/>
    <n v="0"/>
    <n v="0"/>
    <n v="0"/>
    <n v="1"/>
    <n v="0"/>
    <n v="-2.358004093170166"/>
    <n v="8.8795288245252846E-2"/>
    <n v="9.460886535812027E-2"/>
    <n v="-5.8135771128674241E-3"/>
    <n v="3.3797678847255937E-5"/>
    <x v="8"/>
    <n v="2.9989333999999999E-2"/>
    <n v="0.87431186000000005"/>
    <n v="-5.5446757646891408E-2"/>
    <n v="0.10063885528478496"/>
    <n v="8.8940175035001207E-2"/>
    <n v="1.1698680249783752E-2"/>
  </r>
  <r>
    <n v="22"/>
    <x v="4"/>
    <n v="-2.2082007102813228"/>
    <n v="0.7236763855947681"/>
    <n v="0.80074519115796339"/>
    <n v="0.8545429795827455"/>
    <n v="0.49255981495909817"/>
    <n v="0.49341493350619681"/>
    <n v="0.54615415681928514"/>
    <n v="-11.51292546497023"/>
    <n v="1.090797042355631"/>
    <n v="-1.931148313878714"/>
    <n v="1.95807987253376"/>
    <n v="1.8773673090886771"/>
    <n v="-11.51292546497023"/>
    <n v="8.0712564289569855E-2"/>
    <n v="0"/>
    <n v="0"/>
    <n v="0"/>
    <n v="0"/>
    <n v="0"/>
    <n v="1"/>
    <n v="0"/>
    <n v="-2.1726603507995605"/>
    <n v="0.10989820944589365"/>
    <n v="0.11387426808245663"/>
    <n v="-3.9760586365629735E-3"/>
    <n v="1.5809042281387014E-5"/>
    <x v="8"/>
    <n v="2.9989333999999999E-2"/>
    <n v="0.87431186000000005"/>
    <n v="-3.1073357803568201E-2"/>
    <n v="0.12113215757139965"/>
    <n v="0.10705125039708616"/>
    <n v="1.4080907174313498E-2"/>
  </r>
  <r>
    <n v="22"/>
    <x v="5"/>
    <n v="-2.127864435876516"/>
    <n v="0.71476189053235328"/>
    <n v="0.7236763855947681"/>
    <n v="0.80074519115796339"/>
    <n v="0.56064383074685153"/>
    <n v="0.49255981495909817"/>
    <n v="0.49341493350619681"/>
    <n v="-6.6657881709257252"/>
    <n v="1.090797042355631"/>
    <n v="-1.7876086576556209"/>
    <n v="2.0316048036389418"/>
    <n v="1.9588750146332901"/>
    <n v="-11.51292546497023"/>
    <n v="7.2729788720607758E-2"/>
    <n v="0"/>
    <n v="0"/>
    <n v="0"/>
    <n v="0"/>
    <n v="0"/>
    <n v="1"/>
    <n v="0"/>
    <n v="-2.0319442749023438"/>
    <n v="0.11909134969340784"/>
    <n v="0.13108041686772531"/>
    <n v="-1.1989067174317469E-2"/>
    <n v="1.4373773171029667E-4"/>
    <x v="8"/>
    <n v="2.9989333999999999E-2"/>
    <n v="0.87431186000000005"/>
    <n v="-8.3864134352827926E-2"/>
    <n v="0.1394349573254664"/>
    <n v="0.12322645637643494"/>
    <n v="1.6208500949031465E-2"/>
  </r>
  <r>
    <n v="22"/>
    <x v="6"/>
    <n v="-1.9384638846484969"/>
    <n v="0.62748803175367107"/>
    <n v="0.71476189053235328"/>
    <n v="0.7236763855947681"/>
    <n v="0.50386142996435779"/>
    <n v="0.56064383074685153"/>
    <n v="0.49255981495909817"/>
    <n v="-6.4491260749965029"/>
    <n v="1.090797042355631"/>
    <n v="-1.669451473269018"/>
    <n v="2.047573872737356"/>
    <n v="2.025123348253953"/>
    <n v="-11.51292546497023"/>
    <n v="2.2450525313615799E-2"/>
    <n v="0"/>
    <n v="0"/>
    <n v="0"/>
    <n v="0"/>
    <n v="0"/>
    <n v="1"/>
    <n v="0"/>
    <n v="-1.8601638078689575"/>
    <n v="0.14392486525341461"/>
    <n v="0.15564713205463093"/>
    <n v="-1.1722266801216324E-2"/>
    <n v="1.3741153895889839E-4"/>
    <x v="8"/>
    <n v="2.9989333999999999E-2"/>
    <n v="0.87431186000000005"/>
    <n v="-6.8458685767261926E-2"/>
    <n v="0.16556745648565552"/>
    <n v="0.14632120484939998"/>
    <n v="1.924625163625554E-2"/>
  </r>
  <r>
    <n v="22"/>
    <x v="7"/>
    <n v="-1.851334602865897"/>
    <n v="0.62288564751927877"/>
    <n v="0.62748803175367107"/>
    <n v="0.71476189053235328"/>
    <n v="0.5019261405789579"/>
    <n v="0.50386142996435779"/>
    <n v="0.56064383074685153"/>
    <n v="-5.5009963238221262"/>
    <n v="1.090797042355631"/>
    <n v="-1.5648872687125539"/>
    <n v="2.056199324434782"/>
    <n v="2.0401921788843018"/>
    <n v="-11.51292546497023"/>
    <n v="1.6007145866751671E-2"/>
    <n v="0"/>
    <n v="0"/>
    <n v="0"/>
    <n v="0"/>
    <n v="0"/>
    <n v="1"/>
    <n v="0"/>
    <n v="-1.7722241878509521"/>
    <n v="0.1570274571112184"/>
    <n v="0.16995455726849201"/>
    <n v="-1.2927100157273608E-2"/>
    <n v="1.6710991847618332E-4"/>
    <x v="8"/>
    <n v="2.9989333999999999E-2"/>
    <n v="0.87431186000000005"/>
    <n v="-6.9167174097088377E-2"/>
    <n v="0.1807867796446988"/>
    <n v="0.15977137041268222"/>
    <n v="2.1015409232016585E-2"/>
  </r>
  <r>
    <n v="22"/>
    <x v="8"/>
    <n v="-1.7250043316309409"/>
    <n v="0.60042863955673875"/>
    <n v="0.62288564751927877"/>
    <n v="0.62748803175367107"/>
    <n v="0.49621947137662858"/>
    <n v="0.5019261405789579"/>
    <n v="0.50386142996435779"/>
    <n v="-4.6680567183432871"/>
    <n v="1.090797042355631"/>
    <n v="-1.4703241790521"/>
    <n v="2.1645396151373499"/>
    <n v="2.052890905712994"/>
    <n v="-11.51292546497023"/>
    <n v="0.11164870858192444"/>
    <n v="0"/>
    <n v="0"/>
    <n v="0"/>
    <n v="0"/>
    <n v="0"/>
    <n v="1"/>
    <n v="0"/>
    <n v="-1.663596510887146"/>
    <n v="0.17817227999466606"/>
    <n v="0.18945637143006272"/>
    <n v="-1.1284091435396659E-2"/>
    <n v="1.2733071952239223E-4"/>
    <x v="8"/>
    <n v="2.9989333999999999E-2"/>
    <n v="0.87431186000000005"/>
    <n v="-5.368958597305392E-2"/>
    <n v="0.20153156128612279"/>
    <n v="0.17810469212058591"/>
    <n v="2.3426869165536879E-2"/>
  </r>
  <r>
    <n v="22"/>
    <x v="9"/>
    <n v="-1.709276608751034"/>
    <n v="0.64048452797663935"/>
    <n v="0.60042863955673875"/>
    <n v="0.62288564751927877"/>
    <n v="0.46304195291218431"/>
    <n v="0.49621947137662858"/>
    <n v="0.5019261405789579"/>
    <n v="-4.2655015574558997"/>
    <n v="1.090797042355631"/>
    <n v="-1.3976885176837111"/>
    <n v="2.1258028532792732"/>
    <n v="2.1616296679165679"/>
    <n v="-11.51292546497023"/>
    <n v="-3.582681342959404E-2"/>
    <n v="1"/>
    <n v="0"/>
    <n v="0"/>
    <n v="0"/>
    <n v="0"/>
    <n v="1"/>
    <n v="0"/>
    <n v="-1.716910719871521"/>
    <n v="0.18099667668322506"/>
    <n v="0.17962018875697564"/>
    <n v="1.3764879262494201E-3"/>
    <n v="1.8947190111104288E-6"/>
    <x v="8"/>
    <n v="2.9989333999999999E-2"/>
    <n v="0.87431186000000005"/>
    <n v="6.6745938931996318E-3"/>
    <n v="0.19106845974860331"/>
    <n v="0.16885786514185475"/>
    <n v="2.2210594606748568E-2"/>
  </r>
  <r>
    <n v="22"/>
    <x v="10"/>
    <n v="-1.684419044627796"/>
    <n v="0.69524497864209145"/>
    <n v="0.64048452797663935"/>
    <n v="0.60042863955673875"/>
    <n v="0.52591126118403153"/>
    <n v="0.46304195291218431"/>
    <n v="0.49621947137662858"/>
    <n v="-3.8850503713206179"/>
    <n v="1.090797042355631"/>
    <n v="-1.3445155182719659"/>
    <n v="2.1016394077339058"/>
    <n v="2.1232617871584529"/>
    <n v="-11.51292546497023"/>
    <n v="-2.1622380241751671E-2"/>
    <n v="1"/>
    <n v="0"/>
    <n v="0"/>
    <n v="0"/>
    <n v="0"/>
    <n v="1"/>
    <n v="0"/>
    <n v="-1.7152915000915527"/>
    <n v="0.18555219819561794"/>
    <n v="0.17991126891727119"/>
    <n v="5.6409292783467513E-3"/>
    <n v="3.1820083123309604E-5"/>
    <x v="8"/>
    <n v="2.9989333999999999E-2"/>
    <n v="0.87431186000000005"/>
    <n v="2.6992153959284303E-2"/>
    <n v="0.19137809219179319"/>
    <n v="0.16913150461853493"/>
    <n v="2.2246587573258259E-2"/>
  </r>
  <r>
    <n v="22"/>
    <x v="11"/>
    <n v="-1.667094603337729"/>
    <n v="0.6634093622959889"/>
    <n v="0.69524497864209145"/>
    <n v="0.64048452797663935"/>
    <n v="0.49035757512612699"/>
    <n v="0.52591126118403153"/>
    <n v="0.46304195291218431"/>
    <n v="-3.1941039439846679"/>
    <n v="1.090797042355631"/>
    <n v="-1.29862280126731"/>
    <n v="2.1544456128443699"/>
    <n v="2.0994386545099091"/>
    <n v="-11.51292546497023"/>
    <n v="5.5006958544254303E-2"/>
    <n v="1"/>
    <n v="0"/>
    <n v="0"/>
    <n v="0"/>
    <n v="0"/>
    <n v="1"/>
    <n v="0"/>
    <n v="-1.6804401874542236"/>
    <n v="0.1887947933327471"/>
    <n v="0.1862919546070908"/>
    <n v="2.5028387256562923E-3"/>
    <n v="6.2642016866448128E-6"/>
    <x v="8"/>
    <n v="2.9989333999999999E-2"/>
    <n v="0.87431186000000005"/>
    <n v="1.1668202471678912E-2"/>
    <n v="0.19816545721646356"/>
    <n v="0.17512987802622504"/>
    <n v="2.303557919023852E-2"/>
  </r>
  <r>
    <n v="22"/>
    <x v="12"/>
    <n v="-1.7671186474372851"/>
    <n v="0.81801616260581456"/>
    <n v="0.6634093622959889"/>
    <n v="0.69524497864209145"/>
    <n v="0.55566513723868272"/>
    <n v="0.49035757512612699"/>
    <n v="0.52591126118403153"/>
    <n v="-2.7248953716540978"/>
    <n v="1.090797042355631"/>
    <n v="-1.2680772242681011"/>
    <n v="2.2013351426972991"/>
    <n v="2.1404800927394581"/>
    <n v="3.2580965380214821"/>
    <n v="6.0855049639940262E-2"/>
    <n v="1"/>
    <n v="0"/>
    <n v="0"/>
    <n v="0"/>
    <n v="0"/>
    <n v="1"/>
    <n v="0"/>
    <n v="-1.7932174205780029"/>
    <n v="0.17082448596750946"/>
    <n v="0.16642385182413347"/>
    <n v="4.4006341433759921E-3"/>
    <n v="1.9365580863846553E-5"/>
    <x v="8"/>
    <n v="2.9989333999999999E-2"/>
    <n v="0.87431186000000005"/>
    <n v="2.2818466888379064E-2"/>
    <n v="0.17703104118485155"/>
    <n v="0.1564522146546079"/>
    <n v="2.0578826530243649E-2"/>
  </r>
  <r>
    <n v="22"/>
    <x v="13"/>
    <n v="-1.764018016116248"/>
    <n v="0.80258437525832049"/>
    <n v="0.81801616260581456"/>
    <n v="0.6634093622959889"/>
    <n v="0.52514264436078373"/>
    <n v="0.55566513723868272"/>
    <n v="0.49035757512612699"/>
    <n v="-1.986508739685457"/>
    <n v="1.090797042355631"/>
    <n v="-1.22934168582551"/>
    <n v="2.2038845100015569"/>
    <n v="2.1986749019455369"/>
    <n v="5.393627546352362"/>
    <n v="5.2096080034971237E-3"/>
    <n v="1"/>
    <n v="0"/>
    <n v="0"/>
    <n v="0"/>
    <n v="0"/>
    <n v="1"/>
    <n v="0"/>
    <n v="-1.7878562211990356"/>
    <n v="0.1713549717144579"/>
    <n v="0.16731847927041804"/>
    <n v="4.0364924440398631E-3"/>
    <n v="1.6293271250790907E-5"/>
    <x v="8"/>
    <n v="2.9989333999999999E-2"/>
    <n v="0.87431186000000005"/>
    <n v="2.084202542499354E-2"/>
    <n v="0.1779826885992839"/>
    <n v="0.15729323860476818"/>
    <n v="2.0689449994515718E-2"/>
  </r>
  <r>
    <n v="22"/>
    <x v="14"/>
    <n v="-1.8427194394348461"/>
    <n v="0.72479118589440672"/>
    <n v="0.80258437525832049"/>
    <n v="0.81801616260581456"/>
    <n v="0.47803380094099979"/>
    <n v="0.52514264436078373"/>
    <n v="0.55566513723868272"/>
    <n v="-1.3426119005236929"/>
    <n v="1.090797042355631"/>
    <n v="-1.202562850060513"/>
    <n v="2.2048166968771068"/>
    <n v="2.2013663183077949"/>
    <n v="5.9914645471079817"/>
    <n v="3.450378542765975E-3"/>
    <n v="1"/>
    <n v="1"/>
    <n v="0"/>
    <n v="0"/>
    <n v="0"/>
    <n v="1"/>
    <n v="0"/>
    <n v="-1.8551267385482788"/>
    <n v="0.1583861184587442"/>
    <n v="0.15643311531259826"/>
    <n v="1.9530031461459374E-3"/>
    <n v="3.8142212888559297E-6"/>
    <x v="8"/>
    <n v="2.9989333999999999E-2"/>
    <n v="0.87431186000000005"/>
    <n v="1.0847848765441736E-2"/>
    <n v="0.16640353516660597"/>
    <n v="0.14706009425763444"/>
    <n v="1.9343440908971526E-2"/>
  </r>
  <r>
    <n v="22"/>
    <x v="15"/>
    <n v="-1.814326231350831"/>
    <n v="0.95789322172866853"/>
    <n v="0.72479118589440672"/>
    <n v="0.80258437525832049"/>
    <n v="0.74088917654536646"/>
    <n v="0.47803380094099979"/>
    <n v="0.52514264436078373"/>
    <n v="-0.77723845825946336"/>
    <n v="1.090797042355631"/>
    <n v="-1.1732130300297841"/>
    <n v="2.2067905766247828"/>
    <n v="2.2024395009996378"/>
    <n v="6.6846117276679271"/>
    <n v="4.3510757386684418E-3"/>
    <n v="1"/>
    <n v="0"/>
    <n v="0"/>
    <n v="0"/>
    <n v="0"/>
    <n v="1"/>
    <n v="0"/>
    <n v="-1.8456289768218994"/>
    <n v="0.16294766043735884"/>
    <n v="0.15792595787732661"/>
    <n v="5.0217025600322318E-3"/>
    <n v="2.521749660143427E-5"/>
    <x v="8"/>
    <n v="2.9989333999999999E-2"/>
    <n v="0.87431186000000005"/>
    <n v="2.7368361615916367E-2"/>
    <n v="0.16799152553374516"/>
    <n v="0.14846349000182876"/>
    <n v="1.9528035531916399E-2"/>
  </r>
  <r>
    <n v="22"/>
    <x v="16"/>
    <n v="-1.784177638624346"/>
    <n v="0.9681998366115846"/>
    <n v="0.95789322172866853"/>
    <n v="0.72479118589440672"/>
    <n v="0.71074148896089639"/>
    <n v="0.74088917654536646"/>
    <n v="0.47803380094099979"/>
    <n v="-0.26720680039464911"/>
    <n v="1.090797042355631"/>
    <n v="-1.1438969346607319"/>
    <n v="2.2534517562846741"/>
    <n v="2.2067905766247828"/>
    <n v="8.0551577318196781"/>
    <n v="4.6661179512739182E-2"/>
    <n v="1"/>
    <n v="0"/>
    <n v="0"/>
    <n v="0"/>
    <n v="0"/>
    <n v="1"/>
    <n v="0"/>
    <n v="-1.8259328603744507"/>
    <n v="0.16793510757640703"/>
    <n v="0.16106732070419066"/>
    <n v="6.8677868722163693E-3"/>
    <n v="4.7166496522187503E-5"/>
    <x v="8"/>
    <n v="2.9989333999999999E-2"/>
    <n v="0.87431186000000005"/>
    <n v="3.6507085593046509E-2"/>
    <n v="0.17133310623797501"/>
    <n v="0.15141663142903175"/>
    <n v="1.9916474808943263E-2"/>
  </r>
  <r>
    <n v="22"/>
    <x v="17"/>
    <n v="-1.665849576435277"/>
    <n v="0.7437927652288373"/>
    <n v="0.9681998366115846"/>
    <n v="0.95789322172866853"/>
    <n v="0.49743638664697459"/>
    <n v="0.71074148896089639"/>
    <n v="0.74088917654536646"/>
    <n v="0.29546796007280218"/>
    <n v="1.090797042355631"/>
    <n v="-1.1046766252508049"/>
    <n v="2.3083760538358988"/>
    <n v="2.2534517562846741"/>
    <n v="8.4658998970286863"/>
    <n v="5.4924298077821732E-2"/>
    <n v="1"/>
    <n v="0"/>
    <n v="0"/>
    <n v="0"/>
    <n v="0"/>
    <n v="1"/>
    <n v="0"/>
    <n v="-1.7186822891235352"/>
    <n v="0.18902999431488243"/>
    <n v="0.17930226085233317"/>
    <n v="9.7277334625492651E-3"/>
    <n v="9.4628798318400714E-5"/>
    <x v="8"/>
    <n v="2.9989333999999999E-2"/>
    <n v="0.87431186000000005"/>
    <n v="4.6192267299316608E-2"/>
    <n v="0.19073026839343596"/>
    <n v="0.16855898656022947"/>
    <n v="2.2171281833206491E-2"/>
  </r>
  <r>
    <n v="23"/>
    <x v="0"/>
    <n v="-2.7400225207029112"/>
    <n v="0.99325177301028345"/>
    <n v="0.92290878417573041"/>
    <n v="0.88826155915265215"/>
    <n v="0.65232518603969014"/>
    <n v="0.54371866706801619"/>
    <n v="0.47828177068996119"/>
    <n v="-11.51292546497023"/>
    <n v="0.94240070955773636"/>
    <n v="-2.275966422923585"/>
    <n v="2.031247207311957"/>
    <n v="1.9723560596672469"/>
    <n v="-11.51292546497023"/>
    <n v="5.8891147375106812E-2"/>
    <n v="0"/>
    <n v="0"/>
    <n v="0"/>
    <n v="0"/>
    <n v="0"/>
    <n v="1"/>
    <n v="0"/>
    <n v="-2.6172523498535156"/>
    <n v="6.4568892739943567E-2"/>
    <n v="7.3003174691586778E-2"/>
    <n v="-8.4342819516432105E-3"/>
    <n v="7.1137112039814404E-5"/>
    <x v="9"/>
    <n v="3.5185254999999999E-2"/>
    <n v="0.94621211000000005"/>
    <n v="-3.9721916992105817E-2"/>
    <n v="8.1389921530809595E-2"/>
    <n v="6.5480632181625878E-2"/>
    <n v="1.5909289349183717E-2"/>
  </r>
  <r>
    <n v="23"/>
    <x v="1"/>
    <n v="-2.713468700183479"/>
    <n v="0.91573057501559185"/>
    <n v="0.99325177301028345"/>
    <n v="0.92290878417573041"/>
    <n v="0.50446544061330811"/>
    <n v="0.65232518603969014"/>
    <n v="0.54371866706801619"/>
    <n v="-11.51292546497023"/>
    <n v="0.94240070955773636"/>
    <n v="-2.176155426655149"/>
    <n v="2.0435463985610518"/>
    <n v="2.0171424760238659"/>
    <n v="-11.51292546497023"/>
    <n v="2.6403922587633133E-2"/>
    <n v="0"/>
    <n v="0"/>
    <n v="0"/>
    <n v="0"/>
    <n v="0"/>
    <n v="1"/>
    <n v="0"/>
    <n v="-2.5394856929779053"/>
    <n v="6.6306410300407653E-2"/>
    <n v="7.8906971766226269E-2"/>
    <n v="-1.2600561465818616E-2"/>
    <n v="1.58774149253873E-4"/>
    <x v="9"/>
    <n v="3.5185254999999999E-2"/>
    <n v="0.94621211000000005"/>
    <n v="-0.1646248283521311"/>
    <n v="8.7971958307548684E-2"/>
    <n v="7.077607811740351E-2"/>
    <n v="1.7195880190145174E-2"/>
  </r>
  <r>
    <n v="23"/>
    <x v="2"/>
    <n v="-2.6194848246392071"/>
    <n v="0.8429455456483399"/>
    <n v="0.91573057501559185"/>
    <n v="0.99325177301028345"/>
    <n v="0.49786195737413202"/>
    <n v="0.50446544061330811"/>
    <n v="0.65232518603969014"/>
    <n v="-11.51292546497023"/>
    <n v="0.94240070955773636"/>
    <n v="-2.0768434254588288"/>
    <n v="2.1184752833322422"/>
    <n v="2.0296377285285612"/>
    <n v="-11.51292546497023"/>
    <n v="8.8837556540966034E-2"/>
    <n v="0"/>
    <n v="0"/>
    <n v="0"/>
    <n v="0"/>
    <n v="0"/>
    <n v="1"/>
    <n v="0"/>
    <n v="-2.4174468517303467"/>
    <n v="7.2840378731364397E-2"/>
    <n v="8.9148937600666792E-2"/>
    <n v="-1.6308558869302395E-2"/>
    <n v="2.6596909239350183E-4"/>
    <x v="9"/>
    <n v="3.5185254999999999E-2"/>
    <n v="0.94621211000000005"/>
    <n v="-0.19117077664621562"/>
    <n v="9.9390541117241396E-2"/>
    <n v="7.9962670350618645E-2"/>
    <n v="1.9427870766622751E-2"/>
  </r>
  <r>
    <n v="23"/>
    <x v="3"/>
    <n v="-2.5522791844167401"/>
    <n v="0.78900266620346671"/>
    <n v="0.8429455456483399"/>
    <n v="0.91573057501559185"/>
    <n v="0.44462171664268602"/>
    <n v="0.49786195737413202"/>
    <n v="0.50446544061330811"/>
    <n v="-11.51292546497023"/>
    <n v="0.94240070955773636"/>
    <n v="-1.96366765203261"/>
    <n v="2.142870807876518"/>
    <n v="2.1070292151570942"/>
    <n v="-11.51292546497023"/>
    <n v="3.5841591656208038E-2"/>
    <n v="0"/>
    <n v="0"/>
    <n v="0"/>
    <n v="0"/>
    <n v="0"/>
    <n v="1"/>
    <n v="0"/>
    <n v="-2.3028264045715332"/>
    <n v="7.7903906135478596E-2"/>
    <n v="9.9975871753580942E-2"/>
    <n v="-2.2071965618102346E-2"/>
    <n v="4.8717166624669209E-4"/>
    <x v="9"/>
    <n v="3.5185254999999999E-2"/>
    <n v="0.94621211000000005"/>
    <n v="-0.23603524116269867"/>
    <n v="0.11146129454471498"/>
    <n v="8.9673953399838649E-2"/>
    <n v="2.1787341144876335E-2"/>
  </r>
  <r>
    <n v="23"/>
    <x v="4"/>
    <n v="-2.3428914998236441"/>
    <n v="0.766397642299538"/>
    <n v="0.78900266620346671"/>
    <n v="0.8429455456483399"/>
    <n v="0.44654306986601078"/>
    <n v="0.44462171664268602"/>
    <n v="0.49786195737413202"/>
    <n v="-9.0523970759305676"/>
    <n v="0.94240070955773636"/>
    <n v="-1.822121436694923"/>
    <n v="2.2290539697095291"/>
    <n v="2.1439040037276569"/>
    <n v="-11.51292546497023"/>
    <n v="8.5149966180324554E-2"/>
    <n v="0"/>
    <n v="0"/>
    <n v="0"/>
    <n v="0"/>
    <n v="0"/>
    <n v="1"/>
    <n v="0"/>
    <n v="-2.1674211025238037"/>
    <n v="9.6049509180368281E-2"/>
    <n v="0.11447244928675727"/>
    <n v="-1.8422940106388994E-2"/>
    <n v="3.3940472216359609E-4"/>
    <x v="9"/>
    <n v="3.5185254999999999E-2"/>
    <n v="0.94621211000000005"/>
    <n v="-0.16603221487162026"/>
    <n v="0.12762326712844282"/>
    <n v="0.10267674492709174"/>
    <n v="2.4946522201351087E-2"/>
  </r>
  <r>
    <n v="23"/>
    <x v="5"/>
    <n v="-2.2019487102344648"/>
    <n v="0.73706836761787342"/>
    <n v="0.766397642299538"/>
    <n v="0.78900266620346671"/>
    <n v="0.49255981495909817"/>
    <n v="0.44654306986601078"/>
    <n v="0.44462171664268602"/>
    <n v="-7.441924899047299"/>
    <n v="0.94240070955773636"/>
    <n v="-1.6897625030897661"/>
    <n v="2.272910098304564"/>
    <n v="2.2300882341585"/>
    <n v="-11.51292546497023"/>
    <n v="4.2821865528821945E-2"/>
    <n v="0"/>
    <n v="0"/>
    <n v="0"/>
    <n v="0"/>
    <n v="0"/>
    <n v="1"/>
    <n v="0"/>
    <n v="-2.0259048938751221"/>
    <n v="0.11058744536295065"/>
    <n v="0.13187445679173149"/>
    <n v="-2.1287011428780839E-2"/>
    <n v="4.5313685556904604E-4"/>
    <x v="9"/>
    <n v="3.5185254999999999E-2"/>
    <n v="0.94621211000000005"/>
    <n v="-0.16657479092982622"/>
    <n v="0.14702445113574103"/>
    <n v="0.11828557916572698"/>
    <n v="2.8738871970014054E-2"/>
  </r>
  <r>
    <n v="23"/>
    <x v="6"/>
    <n v="-2.0384463184817809"/>
    <n v="0.67666204430008292"/>
    <n v="0.73706836761787342"/>
    <n v="0.766397642299538"/>
    <n v="0.44980092192821608"/>
    <n v="0.49255981495909817"/>
    <n v="0.44654306986601078"/>
    <n v="-7.1143053453331477"/>
    <n v="0.94240070955773636"/>
    <n v="-1.5917296205276319"/>
    <n v="2.2656392122203219"/>
    <n v="2.2640574153974211"/>
    <n v="-11.51292546497023"/>
    <n v="1.5817967941984534E-3"/>
    <n v="0"/>
    <n v="0"/>
    <n v="0"/>
    <n v="0"/>
    <n v="0"/>
    <n v="1"/>
    <n v="0"/>
    <n v="-1.9040180444717407"/>
    <n v="0.13023089110452521"/>
    <n v="0.14896885161240814"/>
    <n v="-1.8737960507882928E-2"/>
    <n v="3.5111116399498023E-4"/>
    <x v="9"/>
    <n v="3.5185254999999999E-2"/>
    <n v="0.94621211000000005"/>
    <n v="-0.1271976607946983"/>
    <n v="0.16608268331467521"/>
    <n v="0.13361849837573522"/>
    <n v="3.2464184938939988E-2"/>
  </r>
  <r>
    <n v="23"/>
    <x v="7"/>
    <n v="-1.9764717302603569"/>
    <n v="0.6660842610102562"/>
    <n v="0.67666204430008292"/>
    <n v="0.73706836761787342"/>
    <n v="0.46812686923287539"/>
    <n v="0.44980092192821608"/>
    <n v="0.49255981495909817"/>
    <n v="-6.2468561426310938"/>
    <n v="0.94240070955773636"/>
    <n v="-1.5165408069304569"/>
    <n v="2.290664946370319"/>
    <n v="2.2457852199213981"/>
    <n v="-11.51292546497023"/>
    <n v="4.4879727065563202E-2"/>
    <n v="0"/>
    <n v="0"/>
    <n v="0"/>
    <n v="0"/>
    <n v="0"/>
    <n v="1"/>
    <n v="0"/>
    <n v="-1.8144582509994507"/>
    <n v="0.13855724322486931"/>
    <n v="0.16292614956444471"/>
    <n v="-2.4368906339575391E-2"/>
    <n v="5.9384359618699771E-4"/>
    <x v="9"/>
    <n v="3.5185254999999999E-2"/>
    <n v="0.94621211000000005"/>
    <n v="-0.15329911605990335"/>
    <n v="0.1816434228290528"/>
    <n v="0.14613757987195394"/>
    <n v="3.5505842957098854E-2"/>
  </r>
  <r>
    <n v="23"/>
    <x v="8"/>
    <n v="-1.8804784092060529"/>
    <n v="0.6553933909480294"/>
    <n v="0.6660842610102562"/>
    <n v="0.67666204430008292"/>
    <n v="0.46033200954900449"/>
    <n v="0.46812686923287539"/>
    <n v="0.44980092192821608"/>
    <n v="-5.4764399171390501"/>
    <n v="0.94240070955773636"/>
    <n v="-1.440590910345094"/>
    <n v="2.3528668534425492"/>
    <n v="2.2833766032743652"/>
    <n v="-11.51292546497023"/>
    <n v="6.9490246474742889E-2"/>
    <n v="0"/>
    <n v="0"/>
    <n v="0"/>
    <n v="0"/>
    <n v="0"/>
    <n v="1"/>
    <n v="0"/>
    <n v="-1.7390984296798706"/>
    <n v="0.15251712270481119"/>
    <n v="0.17567871595625231"/>
    <n v="-2.3161593251441126E-2"/>
    <n v="5.3645940194520312E-4"/>
    <x v="9"/>
    <n v="3.5185254999999999E-2"/>
    <n v="0.94621211000000005"/>
    <n v="-0.13377544873922578"/>
    <n v="0.19586102887605772"/>
    <n v="0.1575760702225654"/>
    <n v="3.8284958653492324E-2"/>
  </r>
  <r>
    <n v="23"/>
    <x v="9"/>
    <n v="-1.900325340922125"/>
    <n v="0.69713920182948275"/>
    <n v="0.6553933909480294"/>
    <n v="0.6660842610102562"/>
    <n v="0.44455760791426069"/>
    <n v="0.46033200954900449"/>
    <n v="0.46812686923287539"/>
    <n v="-5.0869742562594968"/>
    <n v="0.94240070955773636"/>
    <n v="-1.3804406487253209"/>
    <n v="2.308634800602293"/>
    <n v="2.345917241733849"/>
    <n v="-11.51292546497023"/>
    <n v="-3.7282440811395645E-2"/>
    <n v="1"/>
    <n v="0"/>
    <n v="0"/>
    <n v="0"/>
    <n v="0"/>
    <n v="1"/>
    <n v="0"/>
    <n v="-1.7881240844726563"/>
    <n v="0.14951996634495138"/>
    <n v="0.16727366679689931"/>
    <n v="-1.7753700451947935E-2"/>
    <n v="3.151938797374963E-4"/>
    <x v="9"/>
    <n v="3.5185254999999999E-2"/>
    <n v="0.94621211000000005"/>
    <n v="-0.10616618760970295"/>
    <n v="0.1864903913053991"/>
    <n v="0.15003711133759645"/>
    <n v="3.6453279967802649E-2"/>
  </r>
  <r>
    <n v="23"/>
    <x v="10"/>
    <n v="-1.876780802351339"/>
    <n v="0.76127300960754574"/>
    <n v="0.69713920182948275"/>
    <n v="0.6553933909480294"/>
    <n v="0.56713033997645834"/>
    <n v="0.44455760791426069"/>
    <n v="0.46033200954900449"/>
    <n v="-4.7314863869233648"/>
    <n v="0.94240070955773636"/>
    <n v="-1.34328618401536"/>
    <n v="2.282031132172003"/>
    <n v="2.3020080027038801"/>
    <n v="-11.51292546497023"/>
    <n v="-1.9976871088147163E-2"/>
    <n v="1"/>
    <n v="0"/>
    <n v="0"/>
    <n v="0"/>
    <n v="0"/>
    <n v="1"/>
    <n v="0"/>
    <n v="-1.779757022857666"/>
    <n v="0.15308211497911053"/>
    <n v="0.16867912746213087"/>
    <n v="-1.5597012483020339E-2"/>
    <n v="2.4326679839549228E-4"/>
    <x v="9"/>
    <n v="3.5185254999999999E-2"/>
    <n v="0.94621211000000005"/>
    <n v="-9.1805075114883089E-2"/>
    <n v="0.1880573140281587"/>
    <n v="0.15129774764902493"/>
    <n v="3.6759566379133773E-2"/>
  </r>
  <r>
    <n v="23"/>
    <x v="11"/>
    <n v="-1.8762247898236599"/>
    <n v="0.73730759634559995"/>
    <n v="0.76127300960754574"/>
    <n v="0.69713920182948275"/>
    <n v="0.55348273343197063"/>
    <n v="0.56713033997645834"/>
    <n v="0.44455760791426069"/>
    <n v="-4.0768126881465969"/>
    <n v="0.94240070955773636"/>
    <n v="-1.3129630208470151"/>
    <n v="2.306030019327109"/>
    <n v="2.275714762023346"/>
    <n v="-11.51292546497023"/>
    <n v="3.0315257608890533E-2"/>
    <n v="1"/>
    <n v="0"/>
    <n v="0"/>
    <n v="0"/>
    <n v="0"/>
    <n v="1"/>
    <n v="0"/>
    <n v="-1.7439790964126587"/>
    <n v="0.15316725421985136"/>
    <n v="0.17482337570489515"/>
    <n v="-2.1656121485043783E-2"/>
    <n v="4.6898759777497495E-4"/>
    <x v="9"/>
    <n v="3.5185254999999999E-2"/>
    <n v="0.94621211000000005"/>
    <n v="-0.12513247660083657"/>
    <n v="0.19490742547135367"/>
    <n v="0.1568088676916361"/>
    <n v="3.8098557779717573E-2"/>
  </r>
  <r>
    <n v="23"/>
    <x v="12"/>
    <n v="-1.9205895670859261"/>
    <n v="0.83594797919161656"/>
    <n v="0.73730759634559995"/>
    <n v="0.76127300960754574"/>
    <n v="0.61003727383693873"/>
    <n v="0.55348273343197063"/>
    <n v="0.56713033997645834"/>
    <n v="-3.6410794980560079"/>
    <n v="0.94240070955773636"/>
    <n v="-1.2814082160523841"/>
    <n v="2.3085327992865792"/>
    <n v="2.299930457138661"/>
    <n v="3.2580965380214821"/>
    <n v="8.6023425683379173E-3"/>
    <n v="1"/>
    <n v="0"/>
    <n v="0"/>
    <n v="0"/>
    <n v="0"/>
    <n v="1"/>
    <n v="0"/>
    <n v="-1.7989150285720825"/>
    <n v="0.14652055296541316"/>
    <n v="0.16547833011943686"/>
    <n v="-1.8957777154023692E-2"/>
    <n v="3.5939731462162261E-4"/>
    <x v="9"/>
    <n v="3.5185254999999999E-2"/>
    <n v="0.94621211000000005"/>
    <n v="-0.1151299218204602"/>
    <n v="0.1844888028550698"/>
    <n v="0.14842677341577662"/>
    <n v="3.6062029439293181E-2"/>
  </r>
  <r>
    <n v="23"/>
    <x v="13"/>
    <n v="-1.885905559529534"/>
    <n v="0.79818264339382605"/>
    <n v="0.83594797919161656"/>
    <n v="0.73730759634559995"/>
    <n v="0.59801198544490664"/>
    <n v="0.61003727383693873"/>
    <n v="0.55348273343197063"/>
    <n v="-2.908948471981462"/>
    <n v="0.94240070955773636"/>
    <n v="-1.2479508548670499"/>
    <n v="2.308993984237167"/>
    <n v="2.302334422007946"/>
    <n v="5.393627546352362"/>
    <n v="6.6595622338354588E-3"/>
    <n v="1"/>
    <n v="0"/>
    <n v="0"/>
    <n v="0"/>
    <n v="0"/>
    <n v="1"/>
    <n v="0"/>
    <n v="-1.7508558034896851"/>
    <n v="0.15169163141182093"/>
    <n v="0.17362529072105895"/>
    <n v="-2.1933659309238018E-2"/>
    <n v="4.8108541069372357E-4"/>
    <x v="9"/>
    <n v="3.5185254999999999E-2"/>
    <n v="0.94621211000000005"/>
    <n v="-0.1277857146174507"/>
    <n v="0.19357170215201003"/>
    <n v="0.15573423823229632"/>
    <n v="3.783746391971371E-2"/>
  </r>
  <r>
    <n v="23"/>
    <x v="14"/>
    <n v="-1.972287231124215"/>
    <n v="0.72706539876340592"/>
    <n v="0.79818264339382605"/>
    <n v="0.83594797919161656"/>
    <n v="0.53467885978815022"/>
    <n v="0.59801198544490664"/>
    <n v="0.61003727383693873"/>
    <n v="-2.3165166256601419"/>
    <n v="0.94240070955773636"/>
    <n v="-1.2230636868595159"/>
    <n v="2.2604783764800769"/>
    <n v="2.3029866015401592"/>
    <n v="5.9914645471079817"/>
    <n v="-4.250822588801384E-2"/>
    <n v="1"/>
    <n v="1"/>
    <n v="0"/>
    <n v="0"/>
    <n v="0"/>
    <n v="1"/>
    <n v="0"/>
    <n v="-1.8138076066970825"/>
    <n v="0.13913825065420501"/>
    <n v="0.16303219102926209"/>
    <n v="-2.3893940375057071E-2"/>
    <n v="5.7092038664678245E-4"/>
    <x v="9"/>
    <n v="3.5185254999999999E-2"/>
    <n v="0.94621211000000005"/>
    <n v="-0.14995533982120457"/>
    <n v="0.18176164654380167"/>
    <n v="0.14623269439516531"/>
    <n v="3.5528952148636356E-2"/>
  </r>
  <r>
    <n v="23"/>
    <x v="15"/>
    <n v="-1.941188736177095"/>
    <n v="0.91776963775355425"/>
    <n v="0.72706539876340592"/>
    <n v="0.79818264339382605"/>
    <n v="0.75902854967345812"/>
    <n v="0.53467885978815022"/>
    <n v="0.59801198544490664"/>
    <n v="-1.7301286688154971"/>
    <n v="0.94240070955773636"/>
    <n v="-1.199099363373487"/>
    <n v="2.2869410639737482"/>
    <n v="2.2546743749546869"/>
    <n v="6.6846117276679271"/>
    <n v="3.2266687601804733E-2"/>
    <n v="1"/>
    <n v="0"/>
    <n v="0"/>
    <n v="0"/>
    <n v="0"/>
    <n v="1"/>
    <n v="0"/>
    <n v="-1.7707105875015259"/>
    <n v="0.14353322518716344"/>
    <n v="0.17021199532577799"/>
    <n v="-2.6678770138614555E-2"/>
    <n v="7.1175677610903166E-4"/>
    <x v="9"/>
    <n v="3.5185254999999999E-2"/>
    <n v="0.94621211000000005"/>
    <n v="-0.16130848876720394"/>
    <n v="0.18976628073633828"/>
    <n v="0.15267266260562173"/>
    <n v="3.7093618130716544E-2"/>
  </r>
  <r>
    <n v="23"/>
    <x v="16"/>
    <n v="-1.865273851998017"/>
    <n v="0.92271008367633833"/>
    <n v="0.91776963775355425"/>
    <n v="0.72706539876340592"/>
    <n v="0.75724810596646897"/>
    <n v="0.75902854967345812"/>
    <n v="0.53467885978815022"/>
    <n v="-1.2570011084986299"/>
    <n v="0.94240070955773636"/>
    <n v="-1.1721363853870821"/>
    <n v="2.2964373068991701"/>
    <n v="2.2869410639737482"/>
    <n v="8.0551577318196781"/>
    <n v="9.4962427392601967E-3"/>
    <n v="1"/>
    <n v="0"/>
    <n v="0"/>
    <n v="0"/>
    <n v="0"/>
    <n v="1"/>
    <n v="0"/>
    <n v="-1.7442765235900879"/>
    <n v="0.15485379705602884"/>
    <n v="0.17477138621363766"/>
    <n v="-1.9917589157608828E-2"/>
    <n v="3.9671035785129676E-4"/>
    <x v="9"/>
    <n v="3.5185254999999999E-2"/>
    <n v="0.94621211000000005"/>
    <n v="-0.11448913741722953"/>
    <n v="0.19484946332612163"/>
    <n v="0.15676223540792075"/>
    <n v="3.8087227918200878E-2"/>
  </r>
  <r>
    <n v="23"/>
    <x v="17"/>
    <n v="-1.8008710027392021"/>
    <n v="0.79908253096861415"/>
    <n v="0.92271008367633833"/>
    <n v="0.91776963775355425"/>
    <n v="0.56984896421545173"/>
    <n v="0.75724810596646897"/>
    <n v="0.75902854967345812"/>
    <n v="-0.7159780079589585"/>
    <n v="0.94240070955773636"/>
    <n v="-1.1419418669119821"/>
    <n v="2.329789097685202"/>
    <n v="2.2964373068991701"/>
    <n v="8.4658998970286863"/>
    <n v="3.335179015994072E-2"/>
    <n v="1"/>
    <n v="0"/>
    <n v="0"/>
    <n v="0"/>
    <n v="0"/>
    <n v="1"/>
    <n v="0"/>
    <n v="-1.715182900428772"/>
    <n v="0.16515497512060931"/>
    <n v="0.17993080828137104"/>
    <n v="-1.4775833160761725E-2"/>
    <n v="2.1832524559466584E-4"/>
    <x v="9"/>
    <n v="3.5185254999999999E-2"/>
    <n v="0.94621211000000005"/>
    <n v="-8.1079120089047954E-2"/>
    <n v="0.20060160984592965"/>
    <n v="0.16139000974943779"/>
    <n v="3.9211600096491855E-2"/>
  </r>
  <r>
    <n v="24"/>
    <x v="0"/>
    <n v="-2.4349504883525261"/>
    <n v="0.96317431777300555"/>
    <n v="0.88107797611841054"/>
    <n v="0.82342955082286751"/>
    <n v="0.636576829071551"/>
    <n v="0.53168651443331993"/>
    <n v="0.42983246455645868"/>
    <n v="-11.51292546497023"/>
    <n v="0.60360268067701006"/>
    <n v="-2.1371338032071021"/>
    <n v="2.315615472719339"/>
    <n v="2.2445335580631198"/>
    <n v="-11.51292546497023"/>
    <n v="7.1081914007663727E-2"/>
    <n v="0"/>
    <n v="0"/>
    <n v="0"/>
    <n v="0"/>
    <n v="0"/>
    <n v="1"/>
    <n v="0"/>
    <n v="-2.4472589492797852"/>
    <n v="8.7602084264199451E-2"/>
    <n v="8.6530446070542708E-2"/>
    <n v="1.0716381936567432E-3"/>
    <n v="1.1484084181038875E-6"/>
    <x v="10"/>
    <n v="2.5197596999999999E-2"/>
    <n v="0.49093872"/>
    <n v="1.0723058634073123E-2"/>
    <n v="8.9069715818123341E-2"/>
    <n v="8.4063567828781452E-2"/>
    <n v="5.0061479893418886E-3"/>
  </r>
  <r>
    <n v="24"/>
    <x v="1"/>
    <n v="-2.424065218979786"/>
    <n v="0.8924487573885842"/>
    <n v="0.96317431777300555"/>
    <n v="0.88107797611841054"/>
    <n v="0.45717165043035718"/>
    <n v="0.636576829071551"/>
    <n v="0.53168651443331993"/>
    <n v="-11.51292546497023"/>
    <n v="0.60360268067701006"/>
    <n v="-2.008082809411563"/>
    <n v="2.3825274780410539"/>
    <n v="2.3053722953143039"/>
    <n v="-11.51292546497023"/>
    <n v="7.7155180275440216E-2"/>
    <n v="0"/>
    <n v="0"/>
    <n v="0"/>
    <n v="0"/>
    <n v="0"/>
    <n v="1"/>
    <n v="0"/>
    <n v="-2.3722426891326904"/>
    <n v="8.8560865377298487E-2"/>
    <n v="9.3271312981354076E-2"/>
    <n v="-4.7104476040555898E-3"/>
    <n v="2.2188316630553047E-5"/>
    <x v="10"/>
    <n v="2.5197596999999999E-2"/>
    <n v="0.49093872"/>
    <n v="-2.5441686470294891E-2"/>
    <n v="9.600839610210439E-2"/>
    <n v="9.0612260786169171E-2"/>
    <n v="5.3961353159352188E-3"/>
  </r>
  <r>
    <n v="24"/>
    <x v="2"/>
    <n v="-2.32403325281124"/>
    <n v="0.85070633066131007"/>
    <n v="0.8924487573885842"/>
    <n v="0.96317431777300555"/>
    <n v="0.49237648009746082"/>
    <n v="0.45717165043035718"/>
    <n v="0.636576829071551"/>
    <n v="-11.51292546497023"/>
    <n v="0.60360268067701006"/>
    <n v="-1.8931114226758019"/>
    <n v="2.3817833481987249"/>
    <n v="2.3723881603646371"/>
    <n v="-11.51292546497023"/>
    <n v="9.395187720656395E-3"/>
    <n v="0"/>
    <n v="0"/>
    <n v="0"/>
    <n v="0"/>
    <n v="0"/>
    <n v="1"/>
    <n v="0"/>
    <n v="-2.2764260768890381"/>
    <n v="9.7878021629932074E-2"/>
    <n v="0.1026504166190257"/>
    <n v="-4.7723949890936257E-3"/>
    <n v="2.2775753931925948E-5"/>
    <x v="10"/>
    <n v="2.5197596999999999E-2"/>
    <n v="0.49093872"/>
    <n v="-2.3372206010060605E-2"/>
    <n v="0.10566273320046043"/>
    <n v="9.972397753585302E-2"/>
    <n v="5.9387556646074147E-3"/>
  </r>
  <r>
    <n v="24"/>
    <x v="3"/>
    <n v="-2.2391758099955328"/>
    <n v="0.80848277923984968"/>
    <n v="0.85070633066131007"/>
    <n v="0.8924487573885842"/>
    <n v="0.46115206952241822"/>
    <n v="0.49237648009746082"/>
    <n v="0.45717165043035718"/>
    <n v="-11.51292546497023"/>
    <n v="0.60360268067701006"/>
    <n v="-1.793837456195611"/>
    <n v="2.3695177165425099"/>
    <n v="2.3718200644428848"/>
    <n v="-11.51292546497023"/>
    <n v="-2.3023479152470827E-3"/>
    <n v="0"/>
    <n v="0"/>
    <n v="0"/>
    <n v="0"/>
    <n v="0"/>
    <n v="1"/>
    <n v="0"/>
    <n v="-2.1732268333435059"/>
    <n v="0.10654628258244267"/>
    <n v="0.11380977856520083"/>
    <n v="-7.2634959827581613E-3"/>
    <n v="5.2758373891543945E-5"/>
    <x v="10"/>
    <n v="2.5197596999999999E-2"/>
    <n v="0.49093872"/>
    <n v="-3.2376906182855984E-2"/>
    <n v="0.11714957098293398"/>
    <n v="0.11056519958529729"/>
    <n v="6.584371397636693E-3"/>
  </r>
  <r>
    <n v="24"/>
    <x v="4"/>
    <n v="-2.0605872757379622"/>
    <n v="0.78522486876085318"/>
    <n v="0.80848277923984968"/>
    <n v="0.85070633066131007"/>
    <n v="0.47237581339079121"/>
    <n v="0.46115206952241822"/>
    <n v="0.49237648009746082"/>
    <n v="-8.0608870024461652"/>
    <n v="0.60360268067701006"/>
    <n v="-1.6886326266371581"/>
    <n v="2.4354991821506609"/>
    <n v="2.359825365180205"/>
    <n v="-11.51292546497023"/>
    <n v="7.5673818588256836E-2"/>
    <n v="0"/>
    <n v="0"/>
    <n v="0"/>
    <n v="0"/>
    <n v="0"/>
    <n v="1"/>
    <n v="0"/>
    <n v="-2.0594396591186523"/>
    <n v="0.12737914124527039"/>
    <n v="0.12752540757750072"/>
    <n v="-1.4626633223033259E-4"/>
    <n v="2.1393839944114028E-8"/>
    <x v="10"/>
    <n v="2.5197596999999999E-2"/>
    <n v="0.49093872"/>
    <n v="-5.6340943413470189E-4"/>
    <n v="0.131267690487327"/>
    <n v="0.12388981262207652"/>
    <n v="7.3778778652504873E-3"/>
  </r>
  <r>
    <n v="24"/>
    <x v="5"/>
    <n v="-1.887333588368725"/>
    <n v="0.73706836761787342"/>
    <n v="0.78522486876085318"/>
    <n v="0.80848277923984968"/>
    <n v="0.53397558366469022"/>
    <n v="0.47237581339079121"/>
    <n v="0.46115206952241822"/>
    <n v="-6.2787268439663473"/>
    <n v="0.60360268067701006"/>
    <n v="-1.598679576902704"/>
    <n v="2.4707618300385872"/>
    <n v="2.4258998714023359"/>
    <n v="-11.51292546497023"/>
    <n v="4.4861957430839539E-2"/>
    <n v="0"/>
    <n v="0"/>
    <n v="0"/>
    <n v="0"/>
    <n v="0"/>
    <n v="1"/>
    <n v="0"/>
    <n v="-1.9182623624801636"/>
    <n v="0.15147516598372382"/>
    <n v="0.14686193334803957"/>
    <n v="4.6132326356842501E-3"/>
    <n v="2.1281915350942252E-5"/>
    <x v="10"/>
    <n v="2.5197596999999999E-2"/>
    <n v="0.49093872"/>
    <n v="1.518413277343879E-2"/>
    <n v="0.15117165416142661"/>
    <n v="0.14267507745660085"/>
    <n v="8.496576704825759E-3"/>
  </r>
  <r>
    <n v="24"/>
    <x v="6"/>
    <n v="-1.7483490252738081"/>
    <n v="0.67294447324242579"/>
    <n v="0.73706836761787342"/>
    <n v="0.78522486876085318"/>
    <n v="0.48168513401957352"/>
    <n v="0.53397558366469022"/>
    <n v="0.47237581339079121"/>
    <n v="-5.8824547884624812"/>
    <n v="0.60360268067701006"/>
    <n v="-1.51478770487112"/>
    <n v="2.509297514626756"/>
    <n v="2.4615687774342709"/>
    <n v="-11.51292546497023"/>
    <n v="4.7728735953569412E-2"/>
    <n v="0"/>
    <n v="0"/>
    <n v="0"/>
    <n v="0"/>
    <n v="0"/>
    <n v="1"/>
    <n v="0"/>
    <n v="-1.7938796281814575"/>
    <n v="0.1740610767988828"/>
    <n v="0.16631368116600906"/>
    <n v="7.7473956328737437E-3"/>
    <n v="6.0022139092271157E-5"/>
    <x v="10"/>
    <n v="2.5197596999999999E-2"/>
    <n v="0.49093872"/>
    <n v="2.2352735912309688E-2"/>
    <n v="0.17119422111895619"/>
    <n v="0.16157227949750064"/>
    <n v="9.6219416214555487E-3"/>
  </r>
  <r>
    <n v="24"/>
    <x v="7"/>
    <n v="-1.7176212697949069"/>
    <n v="0.68006194101128981"/>
    <n v="0.67294447324242579"/>
    <n v="0.73706836761787342"/>
    <n v="0.50603416302985993"/>
    <n v="0.48168513401957352"/>
    <n v="0.53397558366469022"/>
    <n v="-5.079319673559997"/>
    <n v="0.60360268067701006"/>
    <n v="-1.475912521678826"/>
    <n v="2.497149251437806"/>
    <n v="2.4651347691420278"/>
    <n v="-11.51292546497023"/>
    <n v="3.2014481723308563E-2"/>
    <n v="0"/>
    <n v="0"/>
    <n v="0"/>
    <n v="0"/>
    <n v="0"/>
    <n v="1"/>
    <n v="0"/>
    <n v="-1.7418699264526367"/>
    <n v="0.17949260497830577"/>
    <n v="0.17519249705022877"/>
    <n v="4.3001079280770016E-3"/>
    <n v="1.8490928193110684E-5"/>
    <x v="10"/>
    <n v="2.5197596999999999E-2"/>
    <n v="0.49093872"/>
    <n v="1.1904604461265343E-2"/>
    <n v="0.18033358932427174"/>
    <n v="0.17019797109180823"/>
    <n v="1.0135618232463506E-2"/>
  </r>
  <r>
    <n v="24"/>
    <x v="8"/>
    <n v="-1.6534556585645781"/>
    <n v="0.66870078765501906"/>
    <n v="0.68006194101128981"/>
    <n v="0.67294447324242579"/>
    <n v="0.52330740126804653"/>
    <n v="0.50603416302985993"/>
    <n v="0.48168513401957352"/>
    <n v="-4.4204584579360944"/>
    <n v="0.60360268067701006"/>
    <n v="-1.413824844881286"/>
    <n v="2.458882208951175"/>
    <n v="2.4869608380808188"/>
    <n v="-11.51292546497023"/>
    <n v="-2.8078628703951836E-2"/>
    <n v="0"/>
    <n v="0"/>
    <n v="0"/>
    <n v="0"/>
    <n v="0"/>
    <n v="1"/>
    <n v="0"/>
    <n v="-1.6744083166122437"/>
    <n v="0.19138739507878794"/>
    <n v="0.1874190394139032"/>
    <n v="3.9683556648847373E-3"/>
    <n v="1.5747846683022785E-5"/>
    <x v="10"/>
    <n v="2.5197596999999999E-2"/>
    <n v="0.49093872"/>
    <n v="1.0286471122518624E-2"/>
    <n v="0.19291892435054589"/>
    <n v="0.18207594953724823"/>
    <n v="1.0842974813297657E-2"/>
  </r>
  <r>
    <n v="24"/>
    <x v="9"/>
    <n v="-1.674943828750509"/>
    <n v="0.67365850397608285"/>
    <n v="0.66870078765501906"/>
    <n v="0.68006194101128981"/>
    <n v="0.45203057725548518"/>
    <n v="0.52330740126804653"/>
    <n v="0.50603416302985993"/>
    <n v="-4.0167244329673659"/>
    <n v="0.60360268067701006"/>
    <n v="-1.3656918586521201"/>
    <n v="2.4341584669458749"/>
    <n v="2.4490539155791202"/>
    <n v="-11.51292546497023"/>
    <n v="-1.4895448461174965E-2"/>
    <n v="1"/>
    <n v="0"/>
    <n v="0"/>
    <n v="0"/>
    <n v="0"/>
    <n v="1"/>
    <n v="0"/>
    <n v="-1.707797646522522"/>
    <n v="0.18731870111194221"/>
    <n v="0.18126456197881319"/>
    <n v="6.0541391331290217E-3"/>
    <n v="3.6652600643284222E-5"/>
    <x v="10"/>
    <n v="2.5197596999999999E-2"/>
    <n v="0.49093872"/>
    <n v="1.612921124410532E-2"/>
    <n v="0.18658384137055492"/>
    <n v="0.17609692880166092"/>
    <n v="1.0486912568894002E-2"/>
  </r>
  <r>
    <n v="24"/>
    <x v="10"/>
    <n v="-1.6737951702802141"/>
    <n v="0.74060312171624065"/>
    <n v="0.67365850397608285"/>
    <n v="0.66870078765501906"/>
    <n v="0.55778554262926883"/>
    <n v="0.45203057725548518"/>
    <n v="0.52330740126804653"/>
    <n v="-3.676012367980952"/>
    <n v="0.60360268067701006"/>
    <n v="-1.3317652697381079"/>
    <n v="2.3882586401077348"/>
    <n v="2.4246681024991741"/>
    <n v="-11.51292546497023"/>
    <n v="-3.6409463733434677E-2"/>
    <n v="1"/>
    <n v="0"/>
    <n v="0"/>
    <n v="0"/>
    <n v="0"/>
    <n v="1"/>
    <n v="0"/>
    <n v="-1.7154290676116943"/>
    <n v="0.18753398994762011"/>
    <n v="0.17988652067247707"/>
    <n v="7.6474692751430373E-3"/>
    <n v="5.8483786314256771E-5"/>
    <x v="10"/>
    <n v="2.5197596999999999E-2"/>
    <n v="0.49093872"/>
    <n v="2.0439692264528336E-2"/>
    <n v="0.18516536090368055"/>
    <n v="0.17475817378436206"/>
    <n v="1.0407187119318484E-2"/>
  </r>
  <r>
    <n v="24"/>
    <x v="11"/>
    <n v="-1.6687327971979049"/>
    <n v="0.71935084605658173"/>
    <n v="0.74060312171624065"/>
    <n v="0.67365850397608285"/>
    <n v="0.53807107265618603"/>
    <n v="0.55778554262926883"/>
    <n v="0.45203057725548518"/>
    <n v="-3.0208535490691468"/>
    <n v="0.60360268067701006"/>
    <n v="-1.298643706120147"/>
    <n v="2.4177344275341879"/>
    <n v="2.3790907169950879"/>
    <n v="-11.51292546497023"/>
    <n v="3.8643710315227509E-2"/>
    <n v="1"/>
    <n v="0"/>
    <n v="0"/>
    <n v="0"/>
    <n v="0"/>
    <n v="1"/>
    <n v="0"/>
    <n v="-1.6810705661773682"/>
    <n v="0.18848576405551978"/>
    <n v="0.18617455712893727"/>
    <n v="2.3112069265825153E-3"/>
    <n v="5.3416774574829959E-6"/>
    <x v="10"/>
    <n v="2.5197596999999999E-2"/>
    <n v="0.49093872"/>
    <n v="6.0570885104333991E-3"/>
    <n v="0.19163792224670559"/>
    <n v="0.18086694593534069"/>
    <n v="1.0770976311364894E-2"/>
  </r>
  <r>
    <n v="24"/>
    <x v="12"/>
    <n v="-1.744181599365112"/>
    <n v="0.81801616260581456"/>
    <n v="0.71935084605658173"/>
    <n v="0.74060312171624065"/>
    <n v="0.57605140868369809"/>
    <n v="0.53807107265618603"/>
    <n v="0.55778554262926883"/>
    <n v="-2.5672543911367551"/>
    <n v="0.60360268067701006"/>
    <n v="-1.2524127864998951"/>
    <n v="2.422378828415336"/>
    <n v="2.4257484835689902"/>
    <n v="3.2580965380214821"/>
    <n v="-3.3696552272886038E-3"/>
    <n v="1"/>
    <n v="0"/>
    <n v="0"/>
    <n v="0"/>
    <n v="0"/>
    <n v="1"/>
    <n v="0"/>
    <n v="-1.7419494390487671"/>
    <n v="0.17478797703944515"/>
    <n v="0.17517856759375672"/>
    <n v="-3.9059055431156509E-4"/>
    <n v="1.5256098111741568E-7"/>
    <x v="10"/>
    <n v="2.5197596999999999E-2"/>
    <n v="0.49093872"/>
    <n v="-1.0958539285411493E-3"/>
    <n v="0.18031925110245722"/>
    <n v="0.17018443874727365"/>
    <n v="1.013481235518357E-2"/>
  </r>
  <r>
    <n v="24"/>
    <x v="13"/>
    <n v="-1.7319081974415671"/>
    <n v="0.79154350241613858"/>
    <n v="0.81801616260581456"/>
    <n v="0.71935084605658173"/>
    <n v="0.57340597894739664"/>
    <n v="0.57605140868369809"/>
    <n v="0.53807107265618603"/>
    <n v="-1.8238802548908231"/>
    <n v="0.60360268067701006"/>
    <n v="-1.223270775918895"/>
    <n v="2.4362066432551361"/>
    <n v="2.4144075448583329"/>
    <n v="5.393627546352362"/>
    <n v="2.1799098700284958E-2"/>
    <n v="1"/>
    <n v="0"/>
    <n v="0"/>
    <n v="0"/>
    <n v="0"/>
    <n v="1"/>
    <n v="0"/>
    <n v="-1.7062360048294067"/>
    <n v="0.17694643887268721"/>
    <n v="0.18154785341857288"/>
    <n v="-4.6014145458856681E-3"/>
    <n v="2.117301582308821E-5"/>
    <x v="10"/>
    <n v="2.5197596999999999E-2"/>
    <n v="0.49093872"/>
    <n v="-1.2603473380607464E-2"/>
    <n v="0.18687544610829698"/>
    <n v="0.17637214394549755"/>
    <n v="1.0503302162799433E-2"/>
  </r>
  <r>
    <n v="24"/>
    <x v="14"/>
    <n v="-1.81103430428288"/>
    <n v="0.74507527342030444"/>
    <n v="0.79154350241613858"/>
    <n v="0.81801616260581456"/>
    <n v="0.52915658045071412"/>
    <n v="0.57340597894739664"/>
    <n v="0.57605140868369809"/>
    <n v="-1.2525267312583299"/>
    <n v="0.60360268067701006"/>
    <n v="-1.2030013353163891"/>
    <n v="2.3690953343502521"/>
    <n v="2.4284486352555081"/>
    <n v="5.9914645471079817"/>
    <n v="-5.93532994389534E-2"/>
    <n v="1"/>
    <n v="1"/>
    <n v="0"/>
    <n v="0"/>
    <n v="0"/>
    <n v="1"/>
    <n v="0"/>
    <n v="-1.794303297996521"/>
    <n v="0.16348495613532465"/>
    <n v="0.16624323400368879"/>
    <n v="-2.758277868364134E-3"/>
    <n v="7.6080967991073911E-6"/>
    <x v="10"/>
    <n v="2.5197596999999999E-2"/>
    <n v="0.49093872"/>
    <n v="-8.2138988105370601E-3"/>
    <n v="0.17112170665713378"/>
    <n v="0.16150384069847692"/>
    <n v="9.6178659586568516E-3"/>
  </r>
  <r>
    <n v="24"/>
    <x v="15"/>
    <n v="-1.788809764201982"/>
    <n v="0.95624194737638279"/>
    <n v="0.74507527342030444"/>
    <n v="0.79154350241613858"/>
    <n v="0.78472312404715483"/>
    <n v="0.52915658045071412"/>
    <n v="0.57340597894739664"/>
    <n v="-0.71096996834871751"/>
    <n v="0.60360268067701006"/>
    <n v="-1.179439725978024"/>
    <n v="2.3524061814011019"/>
    <n v="2.3615582320765669"/>
    <n v="6.6846117276679271"/>
    <n v="-9.1520510613918304E-3"/>
    <n v="1"/>
    <n v="0"/>
    <n v="0"/>
    <n v="0"/>
    <n v="0"/>
    <n v="1"/>
    <n v="0"/>
    <n v="-1.76324462890625"/>
    <n v="0.16715900994775756"/>
    <n v="0.17148754671724911"/>
    <n v="-4.3285367694915478E-3"/>
    <n v="1.8736230564840323E-5"/>
    <x v="10"/>
    <n v="2.5197596999999999E-2"/>
    <n v="0.49093872"/>
    <n v="-1.2550914798713494E-2"/>
    <n v="0.17651991577623832"/>
    <n v="0.16659864440666905"/>
    <n v="9.9212713695692734E-3"/>
  </r>
  <r>
    <n v="24"/>
    <x v="16"/>
    <n v="-1.752015770360724"/>
    <n v="0.95896700615459141"/>
    <n v="0.95624194737638279"/>
    <n v="0.74507527342030444"/>
    <n v="0.75912216948347822"/>
    <n v="0.78472312404715483"/>
    <n v="0.52915658045071412"/>
    <n v="-0.1727360987302094"/>
    <n v="0.60360268067701006"/>
    <n v="-1.1500920847820439"/>
    <n v="2.4272900357337601"/>
    <n v="2.3524061814011019"/>
    <n v="8.0551577318196781"/>
    <n v="7.4883855879306793E-2"/>
    <n v="1"/>
    <n v="0"/>
    <n v="0"/>
    <n v="0"/>
    <n v="0"/>
    <n v="1"/>
    <n v="0"/>
    <n v="-1.7362431287765503"/>
    <n v="0.17342400789911983"/>
    <n v="0.1761810483664264"/>
    <n v="-2.7570404673065707E-3"/>
    <n v="7.6012721383660342E-6"/>
    <x v="10"/>
    <n v="2.5197596999999999E-2"/>
    <n v="0.49093872"/>
    <n v="-7.7434004703530014E-3"/>
    <n v="0.18135115006507241"/>
    <n v="0.17115834000697208"/>
    <n v="1.0192810058100327E-2"/>
  </r>
  <r>
    <n v="24"/>
    <x v="17"/>
    <n v="-1.667685180494805"/>
    <n v="0.79389708366008849"/>
    <n v="0.95896700615459141"/>
    <n v="0.95624194737638279"/>
    <n v="0.56326625970542532"/>
    <n v="0.75912216948347822"/>
    <n v="0.78472312404715483"/>
    <n v="0.36587091806376609"/>
    <n v="0.60360268067701006"/>
    <n v="-1.1176948748155009"/>
    <n v="2.4580347094703971"/>
    <n v="2.4272900357337601"/>
    <n v="8.4658998970286863"/>
    <n v="3.0744673684239388E-2"/>
    <n v="1"/>
    <n v="0"/>
    <n v="0"/>
    <n v="0"/>
    <n v="0"/>
    <n v="1"/>
    <n v="0"/>
    <n v="-1.6814143657684326"/>
    <n v="0.18868332835800358"/>
    <n v="0.18611056139381385"/>
    <n v="2.5727669641897322E-3"/>
    <n v="6.6191298520260507E-6"/>
    <x v="10"/>
    <n v="2.5197596999999999E-2"/>
    <n v="0.49093872"/>
    <n v="6.7401886448776099E-3"/>
    <n v="0.19157204853173171"/>
    <n v="0.1808047746411362"/>
    <n v="1.0767273890595508E-2"/>
  </r>
  <r>
    <n v="25"/>
    <x v="0"/>
    <n v="-2.5567321498197288"/>
    <n v="0.95165787571144633"/>
    <n v="0.88107797611841054"/>
    <n v="0.80897274606553571"/>
    <n v="0.636576829071551"/>
    <n v="0.52561570923862611"/>
    <n v="0.42271546151469203"/>
    <n v="-11.51292546497023"/>
    <n v="0.66290777834686254"/>
    <n v="-2.3834282850965671"/>
    <n v="2.0474207723978028"/>
    <n v="1.941654197132562"/>
    <n v="-11.51292546497023"/>
    <n v="0.10576657205820084"/>
    <n v="0"/>
    <n v="0"/>
    <n v="0"/>
    <n v="0"/>
    <n v="0"/>
    <n v="1"/>
    <n v="0"/>
    <n v="-2.5992724895477295"/>
    <n v="7.7557773965939047E-2"/>
    <n v="7.4327632679022246E-2"/>
    <n v="3.2301412869168017E-3"/>
    <n v="1.0433812733444533E-5"/>
    <x v="11"/>
    <n v="2.6058932999999999E-2"/>
    <n v="0.63557993999999995"/>
    <n v="3.2842633899642877E-2"/>
    <n v="7.6879276275126571E-2"/>
    <n v="7.1860678811502765E-2"/>
    <n v="5.0185974636238057E-3"/>
  </r>
  <r>
    <n v="25"/>
    <x v="1"/>
    <n v="-2.5042752606476011"/>
    <n v="0.88459364513090055"/>
    <n v="0.95165787571144633"/>
    <n v="0.88107797611841054"/>
    <n v="0.50446544061330811"/>
    <n v="0.636576829071551"/>
    <n v="0.52561570923862611"/>
    <n v="-11.51292546497023"/>
    <n v="0.66290777834686254"/>
    <n v="-2.270006468399421"/>
    <n v="2.06346333805116"/>
    <n v="2.0310793250721"/>
    <n v="-11.51292546497023"/>
    <n v="3.2384011894464493E-2"/>
    <n v="0"/>
    <n v="0"/>
    <n v="0"/>
    <n v="0"/>
    <n v="0"/>
    <n v="1"/>
    <n v="0"/>
    <n v="-2.5257129669189453"/>
    <n v="8.1734812960403594E-2"/>
    <n v="8.0001254200976077E-2"/>
    <n v="1.733558759427517E-3"/>
    <n v="3.0052259723878719E-6"/>
    <x v="11"/>
    <n v="2.6058932999999999E-2"/>
    <n v="0.63557993999999995"/>
    <n v="1.3625376065678586E-2"/>
    <n v="8.2747671389369185E-2"/>
    <n v="7.7345991328421168E-2"/>
    <n v="5.4016800609480164E-3"/>
  </r>
  <r>
    <n v="25"/>
    <x v="2"/>
    <n v="-2.394683198451248"/>
    <n v="0.79511695414366257"/>
    <n v="0.88459364513090055"/>
    <n v="0.95165787571144633"/>
    <n v="0.46436274935564981"/>
    <n v="0.50446544061330811"/>
    <n v="0.636576829071551"/>
    <n v="-11.51292546497023"/>
    <n v="0.66290777834686254"/>
    <n v="-2.1509158248815639"/>
    <n v="2.123414253380127"/>
    <n v="2.047384912778214"/>
    <n v="-11.51292546497023"/>
    <n v="7.602933794260025E-2"/>
    <n v="0"/>
    <n v="0"/>
    <n v="0"/>
    <n v="0"/>
    <n v="0"/>
    <n v="1"/>
    <n v="0"/>
    <n v="-2.3900094032287598"/>
    <n v="9.1201567144159459E-2"/>
    <n v="9.1628822266677137E-2"/>
    <n v="-4.2725512251767794E-4"/>
    <n v="1.8254693971759598E-7"/>
    <x v="11"/>
    <n v="2.6058932999999999E-2"/>
    <n v="0.63557993999999995"/>
    <n v="-2.9705704870813562E-3"/>
    <n v="9.4774410107003118E-2"/>
    <n v="8.8587637322133192E-2"/>
    <n v="6.1867727848699261E-3"/>
  </r>
  <r>
    <n v="25"/>
    <x v="3"/>
    <n v="-2.3512659415167949"/>
    <n v="0.74060312171624065"/>
    <n v="0.79511695414366257"/>
    <n v="0.88459364513090055"/>
    <n v="0.38158216764483233"/>
    <n v="0.46436274935564981"/>
    <n v="0.50446544061330811"/>
    <n v="-11.51292546497023"/>
    <n v="0.66290777834686254"/>
    <n v="-2.0323858331525919"/>
    <n v="2.1626525165686892"/>
    <n v="2.1161269785712711"/>
    <n v="-11.51292546497023"/>
    <n v="4.6525537967681885E-2"/>
    <n v="0"/>
    <n v="0"/>
    <n v="0"/>
    <n v="0"/>
    <n v="0"/>
    <n v="1"/>
    <n v="0"/>
    <n v="-2.2864522933959961"/>
    <n v="9.524850682112912E-2"/>
    <n v="0.10162636358475673"/>
    <n v="-6.3778567636276068E-3"/>
    <n v="4.0677056897350408E-5"/>
    <x v="11"/>
    <n v="2.6058932999999999E-2"/>
    <n v="0.63557993999999995"/>
    <n v="-4.1194254583798419E-2"/>
    <n v="0.1051151637858373"/>
    <n v="9.825335758885724E-2"/>
    <n v="6.8618061969800553E-3"/>
  </r>
  <r>
    <n v="25"/>
    <x v="4"/>
    <n v="-2.1399677883229629"/>
    <n v="0.6954944236282935"/>
    <n v="0.74060312171624065"/>
    <n v="0.79511695414366257"/>
    <n v="0.41462304589292998"/>
    <n v="0.38158216764483233"/>
    <n v="0.46436274935564981"/>
    <n v="-8.2376501734829866"/>
    <n v="0.66290777834686254"/>
    <n v="-1.900139721059356"/>
    <n v="2.1823217220252009"/>
    <n v="2.1598265227134981"/>
    <n v="-11.51292546497023"/>
    <n v="2.2495198994874954E-2"/>
    <n v="0"/>
    <n v="0"/>
    <n v="0"/>
    <n v="0"/>
    <n v="0"/>
    <n v="1"/>
    <n v="0"/>
    <n v="-2.1363918781280518"/>
    <n v="0.11765863294262399"/>
    <n v="0.11808012280349092"/>
    <n v="-4.2148986086693041E-4"/>
    <n v="1.7765370281362437E-7"/>
    <x v="11"/>
    <n v="2.6058932999999999E-2"/>
    <n v="0.63557993999999995"/>
    <n v="-2.2727767871269866E-3"/>
    <n v="0.12213377523824386"/>
    <n v="0.11416101216956026"/>
    <n v="7.9727630686835943E-3"/>
  </r>
  <r>
    <n v="25"/>
    <x v="5"/>
    <n v="-2.0027505400651182"/>
    <n v="0.67645869927370994"/>
    <n v="0.6954944236282935"/>
    <n v="0.74060312171624065"/>
    <n v="0.47840573250987939"/>
    <n v="0.41462304589292998"/>
    <n v="0.38158216764483233"/>
    <n v="-6.8541738424771443"/>
    <n v="0.66290777834686254"/>
    <n v="-1.7739440801117641"/>
    <n v="2.2012436684120029"/>
    <n v="2.1795036919110808"/>
    <n v="-11.51292546497023"/>
    <n v="2.1739976480603218E-2"/>
    <n v="0"/>
    <n v="0"/>
    <n v="0"/>
    <n v="0"/>
    <n v="0"/>
    <n v="1"/>
    <n v="0"/>
    <n v="-1.989683985710144"/>
    <n v="0.1349635495863572"/>
    <n v="0.13673862997958811"/>
    <n v="-1.7750803932309045E-3"/>
    <n v="3.1509104024327826E-6"/>
    <x v="11"/>
    <n v="2.6058932999999999E-2"/>
    <n v="0.63557993999999995"/>
    <n v="-8.3048398329412208E-3"/>
    <n v="0.1414328229324866"/>
    <n v="0.132200238537415"/>
    <n v="9.2325843950716024E-3"/>
  </r>
  <r>
    <n v="25"/>
    <x v="6"/>
    <n v="-1.869420099610005"/>
    <n v="0.63520022060509562"/>
    <n v="0.67645869927370994"/>
    <n v="0.6954944236282935"/>
    <n v="0.45444573032978619"/>
    <n v="0.47840573250987939"/>
    <n v="0.41462304589292998"/>
    <n v="-6.3008306167255776"/>
    <n v="0.66290777834686254"/>
    <n v="-1.679318968441075"/>
    <n v="2.2539034837379779"/>
    <n v="2.1949711062281301"/>
    <n v="-11.51292546497023"/>
    <n v="5.8932378888130188E-2"/>
    <n v="0"/>
    <n v="0"/>
    <n v="0"/>
    <n v="0"/>
    <n v="0"/>
    <n v="1"/>
    <n v="0"/>
    <n v="-1.8603119850158691"/>
    <n v="0.1542130641064319"/>
    <n v="0.15562407041532425"/>
    <n v="-1.4110063088923486E-3"/>
    <n v="1.9909388037340096E-6"/>
    <x v="11"/>
    <n v="2.6058932999999999E-2"/>
    <n v="0.63557993999999995"/>
    <n v="-5.7889349272539888E-3"/>
    <n v="0.16096659443179306"/>
    <n v="0.15045886618975551"/>
    <n v="1.0507728242037551E-2"/>
  </r>
  <r>
    <n v="25"/>
    <x v="7"/>
    <n v="-1.8343803932772089"/>
    <n v="0.64474444133177788"/>
    <n v="0.63520022060509562"/>
    <n v="0.67645869927370994"/>
    <n v="0.43760956143473151"/>
    <n v="0.45444573032978619"/>
    <n v="0.47840573250987939"/>
    <n v="-5.4998339825276146"/>
    <n v="0.66290777834686254"/>
    <n v="-1.620454268991969"/>
    <n v="2.2434386199640328"/>
    <n v="2.2282215447514639"/>
    <n v="-11.51292546497023"/>
    <n v="1.5217075124382973E-2"/>
    <n v="0"/>
    <n v="0"/>
    <n v="0"/>
    <n v="0"/>
    <n v="0"/>
    <n v="1"/>
    <n v="0"/>
    <n v="-1.8269968032836914"/>
    <n v="0.15971243001199928"/>
    <n v="0.16089604540014626"/>
    <n v="-1.1836153881469857E-3"/>
    <n v="1.4009453870583398E-6"/>
    <x v="11"/>
    <n v="2.6058932999999999E-2"/>
    <n v="0.63557993999999995"/>
    <n v="-4.6928616850644613E-3"/>
    <n v="0.16641955461315613"/>
    <n v="0.15555586292477322"/>
    <n v="1.0863691688382915E-2"/>
  </r>
  <r>
    <n v="25"/>
    <x v="8"/>
    <n v="-1.7486504936429701"/>
    <n v="0.61096050957199821"/>
    <n v="0.64474444133177788"/>
    <n v="0.63520022060509562"/>
    <n v="0.38872578410386638"/>
    <n v="0.43760956143473151"/>
    <n v="0.45444573032978619"/>
    <n v="-4.7535610324662514"/>
    <n v="0.66290777834686254"/>
    <n v="-1.553078029137535"/>
    <n v="2.292681756046643"/>
    <n v="2.235939767649016"/>
    <n v="-11.51292546497023"/>
    <n v="5.6741990149021149E-2"/>
    <n v="0"/>
    <n v="0"/>
    <n v="0"/>
    <n v="0"/>
    <n v="0"/>
    <n v="1"/>
    <n v="0"/>
    <n v="-1.7653533220291138"/>
    <n v="0.17400861079874277"/>
    <n v="0.17112631310610016"/>
    <n v="2.8822976926426158E-3"/>
    <n v="8.3076399890129469E-6"/>
    <x v="11"/>
    <n v="2.6058932999999999E-2"/>
    <n v="0.63557993999999995"/>
    <n v="1.0615982663495494E-2"/>
    <n v="0.17700102410150848"/>
    <n v="0.16544658532875378"/>
    <n v="1.1554438772754694E-2"/>
  </r>
  <r>
    <n v="25"/>
    <x v="9"/>
    <n v="-1.7912111832058371"/>
    <n v="0.61880071843128848"/>
    <n v="0.61096050957199821"/>
    <n v="0.64474444133177788"/>
    <n v="0.3342554957513682"/>
    <n v="0.38872578410386638"/>
    <n v="0.43760956143473151"/>
    <n v="-4.316783966311764"/>
    <n v="0.66290777834686254"/>
    <n v="-1.4964916988102199"/>
    <n v="2.2713808548730379"/>
    <n v="2.2855274332651661"/>
    <n v="-11.51292546497023"/>
    <n v="-1.4146578498184681E-2"/>
    <n v="1"/>
    <n v="0"/>
    <n v="0"/>
    <n v="0"/>
    <n v="0"/>
    <n v="1"/>
    <n v="0"/>
    <n v="-1.8120498657226563"/>
    <n v="0.16675807272641224"/>
    <n v="0.16331901139569194"/>
    <n v="3.4390613307203055E-3"/>
    <n v="1.1827142836455719E-5"/>
    <x v="11"/>
    <n v="2.6058932999999999E-2"/>
    <n v="0.63557993999999995"/>
    <n v="1.3244648583718993E-2"/>
    <n v="0.16892570024786524"/>
    <n v="0.15789841003546901"/>
    <n v="1.1027290212396235E-2"/>
  </r>
  <r>
    <n v="25"/>
    <x v="10"/>
    <n v="-1.7505820678848021"/>
    <n v="0.69524497864209145"/>
    <n v="0.61880071843128848"/>
    <n v="0.61096050957199821"/>
    <n v="0.50301520167401359"/>
    <n v="0.3342554957513682"/>
    <n v="0.38872578410386638"/>
    <n v="-3.9631700391201239"/>
    <n v="0.66290777834686254"/>
    <n v="-1.4557608068263881"/>
    <n v="2.238063056147455"/>
    <n v="2.2645533553304689"/>
    <n v="-11.51292546497023"/>
    <n v="-2.649029903113842E-2"/>
    <n v="1"/>
    <n v="0"/>
    <n v="0"/>
    <n v="0"/>
    <n v="0"/>
    <n v="1"/>
    <n v="0"/>
    <n v="-1.7949267625808716"/>
    <n v="0.17367282465060513"/>
    <n v="0.16613961953823073"/>
    <n v="7.5332051123744026E-3"/>
    <n v="5.6749179265103834E-5"/>
    <x v="11"/>
    <n v="2.6058932999999999E-2"/>
    <n v="0.63557993999999995"/>
    <n v="2.8184598394246169E-2"/>
    <n v="0.17184313895589651"/>
    <n v="0.16062540144469889"/>
    <n v="1.1217737511197617E-2"/>
  </r>
  <r>
    <n v="25"/>
    <x v="11"/>
    <n v="-1.730906748678263"/>
    <n v="0.6634093622959889"/>
    <n v="0.69524497864209145"/>
    <n v="0.61880071843128848"/>
    <n v="0.46731251143424452"/>
    <n v="0.50301520167401359"/>
    <n v="0.3342554957513682"/>
    <n v="-3.3236850713637218"/>
    <n v="0.66290777834686254"/>
    <n v="-1.419417244995647"/>
    <n v="2.2496934649603402"/>
    <n v="2.231547621769614"/>
    <n v="-11.51292546497023"/>
    <n v="1.8145842477679253E-2"/>
    <n v="1"/>
    <n v="0"/>
    <n v="0"/>
    <n v="0"/>
    <n v="0"/>
    <n v="1"/>
    <n v="0"/>
    <n v="-1.7465355396270752"/>
    <n v="0.17712373042445284"/>
    <n v="0.17437702045636869"/>
    <n v="2.7467099680841545E-3"/>
    <n v="7.5444156487728567E-6"/>
    <x v="11"/>
    <n v="2.6058932999999999E-2"/>
    <n v="0.63557993999999995"/>
    <n v="9.9333460135186003E-3"/>
    <n v="0.18036332718399872"/>
    <n v="0.16858940083878909"/>
    <n v="1.1773926345209629E-2"/>
  </r>
  <r>
    <n v="25"/>
    <x v="12"/>
    <n v="-1.8351671753535841"/>
    <n v="0.77408179805594457"/>
    <n v="0.6634093622959889"/>
    <n v="0.69524497864209145"/>
    <n v="0.4856308851314346"/>
    <n v="0.46731251143424452"/>
    <n v="0.50301520167401359"/>
    <n v="-2.8860014847296882"/>
    <n v="0.66290777834686254"/>
    <n v="-1.368520546302926"/>
    <n v="2.2441739376064671"/>
    <n v="2.2569390225548291"/>
    <n v="3.2580965380214821"/>
    <n v="-1.2765085324645042E-2"/>
    <n v="1"/>
    <n v="0"/>
    <n v="0"/>
    <n v="0"/>
    <n v="0"/>
    <n v="1"/>
    <n v="0"/>
    <n v="-1.818757176399231"/>
    <n v="0.15958682055480591"/>
    <n v="0.16222724554626769"/>
    <n v="-2.6404249914617761E-3"/>
    <n v="6.9718441355359207E-6"/>
    <x v="11"/>
    <n v="2.6058932999999999E-2"/>
    <n v="0.63557993999999995"/>
    <n v="-1.0429866150807826E-2"/>
    <n v="0.16779645442985164"/>
    <n v="0.15684288018452319"/>
    <n v="1.0953574245328446E-2"/>
  </r>
  <r>
    <n v="25"/>
    <x v="13"/>
    <n v="-1.816851935449769"/>
    <n v="0.7412704557416735"/>
    <n v="0.77408179805594457"/>
    <n v="0.6634093622959889"/>
    <n v="0.4775376768998158"/>
    <n v="0.4856308851314346"/>
    <n v="0.46731251143424452"/>
    <n v="-2.1437130586240052"/>
    <n v="0.66290777834686254"/>
    <n v="-1.329750878232308"/>
    <n v="2.2520006708502098"/>
    <n v="2.2387760411558508"/>
    <n v="5.393627546352362"/>
    <n v="1.3224629685282707E-2"/>
    <n v="1"/>
    <n v="0"/>
    <n v="0"/>
    <n v="0"/>
    <n v="0"/>
    <n v="1"/>
    <n v="0"/>
    <n v="-1.7779452800750732"/>
    <n v="0.16253662216251494"/>
    <n v="0.1689850076583346"/>
    <n v="-6.448385495819664E-3"/>
    <n v="4.1581675502697412E-5"/>
    <x v="11"/>
    <n v="2.6058932999999999E-2"/>
    <n v="0.63557993999999995"/>
    <n v="-2.4728289688649787E-2"/>
    <n v="0.17478620833011013"/>
    <n v="0.16337635037745779"/>
    <n v="1.1409857952652341E-2"/>
  </r>
  <r>
    <n v="25"/>
    <x v="14"/>
    <n v="-1.8714313104864531"/>
    <n v="0.64909079436302541"/>
    <n v="0.7412704557416735"/>
    <n v="0.77408179805594457"/>
    <n v="0.38328766316346141"/>
    <n v="0.4775376768998158"/>
    <n v="0.4856308851314346"/>
    <n v="-1.5376292798834841"/>
    <n v="0.66290777834686254"/>
    <n v="-1.2965751946622699"/>
    <n v="2.2173898707255222"/>
    <n v="2.2467508289467988"/>
    <n v="5.9914645471079817"/>
    <n v="-2.9360957443714142E-2"/>
    <n v="1"/>
    <n v="1"/>
    <n v="0"/>
    <n v="0"/>
    <n v="0"/>
    <n v="1"/>
    <n v="0"/>
    <n v="-1.8375890254974365"/>
    <n v="0.15390322079916766"/>
    <n v="0.1592007928298215"/>
    <n v="-5.297572030653841E-3"/>
    <n v="2.8064269419965861E-5"/>
    <x v="11"/>
    <n v="2.6058932999999999E-2"/>
    <n v="0.63557993999999995"/>
    <n v="-2.1509477462782031E-2"/>
    <n v="0.16466610457025035"/>
    <n v="0.15391687623745923"/>
    <n v="1.0749228332791128E-2"/>
  </r>
  <r>
    <n v="25"/>
    <x v="15"/>
    <n v="-1.8120219515211859"/>
    <n v="0.8723806407546667"/>
    <n v="0.64909079436302541"/>
    <n v="0.7412704557416735"/>
    <n v="0.68001128116680476"/>
    <n v="0.38328766316346141"/>
    <n v="0.4775376768998158"/>
    <n v="-1.007767047451207"/>
    <n v="0.66290777834686254"/>
    <n v="-1.2641710395091319"/>
    <n v="2.1868725588788012"/>
    <n v="2.2122960119621169"/>
    <n v="6.6846117276679271"/>
    <n v="-2.5423452258110046E-2"/>
    <n v="1"/>
    <n v="0"/>
    <n v="0"/>
    <n v="0"/>
    <n v="0"/>
    <n v="1"/>
    <n v="0"/>
    <n v="-1.7979391813278198"/>
    <n v="0.16332357037910988"/>
    <n v="0.16563989050817832"/>
    <n v="-2.3163201290684332E-3"/>
    <n v="5.365338940327603E-6"/>
    <x v="11"/>
    <n v="2.6058932999999999E-2"/>
    <n v="0.63557993999999995"/>
    <n v="-8.9507262345334283E-3"/>
    <n v="0.17132625438982929"/>
    <n v="0.16014225855386505"/>
    <n v="1.1183995835964244E-2"/>
  </r>
  <r>
    <n v="25"/>
    <x v="16"/>
    <n v="-1.7595164175781499"/>
    <n v="0.88508898073089048"/>
    <n v="0.8723806407546667"/>
    <n v="0.64909079436302541"/>
    <n v="0.63662973772477349"/>
    <n v="0.68001128116680476"/>
    <n v="0.38328766316346141"/>
    <n v="-0.52111797512606772"/>
    <n v="0.66290777834686243"/>
    <n v="-1.234433158724195"/>
    <n v="2.210215857827595"/>
    <n v="2.1868725588788012"/>
    <n v="8.0551577318196781"/>
    <n v="2.3343298584222794E-2"/>
    <n v="1"/>
    <n v="0"/>
    <n v="0"/>
    <n v="0"/>
    <n v="0"/>
    <n v="1"/>
    <n v="0"/>
    <n v="-1.7795575857162476"/>
    <n v="0.17212808181472219"/>
    <n v="0.16871277169997267"/>
    <n v="3.4153101147495202E-3"/>
    <n v="1.1664343179910381E-5"/>
    <x v="11"/>
    <n v="2.6058932999999999E-2"/>
    <n v="0.63557993999999995"/>
    <n v="1.273776444274201E-2"/>
    <n v="0.17450462659932486"/>
    <n v="0.16311315000285054"/>
    <n v="1.1391476596474326E-2"/>
  </r>
  <r>
    <n v="25"/>
    <x v="17"/>
    <n v="-1.675578578080767"/>
    <n v="0.72899683345364252"/>
    <n v="0.88508898073089048"/>
    <n v="0.8723806407546667"/>
    <n v="0.44192560511093881"/>
    <n v="0.63662973772477349"/>
    <n v="0.68001128116680476"/>
    <n v="5.5360231684286013E-2"/>
    <n v="0.66290777834686243"/>
    <n v="-1.196518951281881"/>
    <n v="2.2787973141068578"/>
    <n v="2.210215857827595"/>
    <n v="8.4658998970286863"/>
    <n v="6.8581454455852509E-2"/>
    <n v="1"/>
    <n v="0"/>
    <n v="0"/>
    <n v="0"/>
    <n v="0"/>
    <n v="1"/>
    <n v="0"/>
    <n v="-1.7236460447311401"/>
    <n v="0.18719983841986457"/>
    <n v="0.17841445350180854"/>
    <n v="8.7853849180560273E-3"/>
    <n v="7.7182988158406305E-5"/>
    <x v="11"/>
    <n v="2.6058932999999999E-2"/>
    <n v="0.63557993999999995"/>
    <n v="3.0550717569596129E-2"/>
    <n v="0.18453936400038853"/>
    <n v="0.17249283040924526"/>
    <n v="1.2046533591143271E-2"/>
  </r>
  <r>
    <n v="26"/>
    <x v="0"/>
    <n v="-2.5903450348282231"/>
    <n v="0.97077891715822484"/>
    <n v="0.89379969403862336"/>
    <n v="0.82820241155281016"/>
    <n v="0.61518563909023349"/>
    <n v="0.48833458593045898"/>
    <n v="0.37891577287462791"/>
    <n v="-11.51292546497023"/>
    <n v="0.77993525432492927"/>
    <n v="-2.2336802376436262"/>
    <n v="2.1737491575544028"/>
    <n v="2.1399959864850908"/>
    <n v="-11.51292546497023"/>
    <n v="3.3753171563148499E-2"/>
    <n v="0"/>
    <n v="0"/>
    <n v="0"/>
    <n v="0"/>
    <n v="0"/>
    <n v="1"/>
    <n v="0"/>
    <n v="-2.5702526569366455"/>
    <n v="7.4994160023700893E-2"/>
    <n v="7.6516210630097947E-2"/>
    <n v="-1.5220506063970546E-3"/>
    <n v="2.3166380484336414E-6"/>
    <x v="12"/>
    <n v="4.2090777000000003E-2"/>
    <n v="0.83489769999999996"/>
    <n v="-1.1058948292608133E-2"/>
    <n v="8.2597133373937565E-2"/>
    <n v="7.0882974384640043E-2"/>
    <n v="1.1714158989297521E-2"/>
  </r>
  <r>
    <n v="26"/>
    <x v="1"/>
    <n v="-2.6287785958699339"/>
    <n v="0.91188102338545496"/>
    <n v="0.97077891715822484"/>
    <n v="0.89379969403862336"/>
    <n v="0.43877092681463697"/>
    <n v="0.61518563909023349"/>
    <n v="0.48833458593045898"/>
    <n v="-11.51292546497023"/>
    <n v="0.77993525432492927"/>
    <n v="-2.1466279541391269"/>
    <n v="2.2162173841391639"/>
    <n v="2.160222056866488"/>
    <n v="-11.51292546497023"/>
    <n v="5.5995326489210129E-2"/>
    <n v="0"/>
    <n v="0"/>
    <n v="0"/>
    <n v="0"/>
    <n v="0"/>
    <n v="1"/>
    <n v="0"/>
    <n v="-2.5279278755187988"/>
    <n v="7.2166552956465194E-2"/>
    <n v="7.9824254826126623E-2"/>
    <n v="-7.6577018696614291E-3"/>
    <n v="5.8640397924616144E-5"/>
    <x v="12"/>
    <n v="4.2090777000000003E-2"/>
    <n v="0.83489769999999996"/>
    <n v="-8.4200034464505857E-2"/>
    <n v="8.6168075601946725E-2"/>
    <n v="7.3947475489431064E-2"/>
    <n v="1.2220600112515662E-2"/>
  </r>
  <r>
    <n v="26"/>
    <x v="2"/>
    <n v="-2.5574184730470502"/>
    <n v="0.8545429795827455"/>
    <n v="0.91188102338545496"/>
    <n v="0.97077891715822484"/>
    <n v="0.4296372600791496"/>
    <n v="0.43877092681463697"/>
    <n v="0.61518563909023349"/>
    <n v="-11.51292546497023"/>
    <n v="0.77993525432492927"/>
    <n v="-2.0506173040819982"/>
    <n v="2.2386026334478739"/>
    <n v="2.202870940890401"/>
    <n v="-11.51292546497023"/>
    <n v="3.5731691867113113E-2"/>
    <n v="0"/>
    <n v="0"/>
    <n v="0"/>
    <n v="0"/>
    <n v="0"/>
    <n v="1"/>
    <n v="0"/>
    <n v="-2.441558837890625"/>
    <n v="7.750456252641906E-2"/>
    <n v="8.7025087668507833E-2"/>
    <n v="-9.5205251420887732E-3"/>
    <n v="9.0640398981144455E-5"/>
    <x v="12"/>
    <n v="4.2090777000000003E-2"/>
    <n v="0.83489769999999996"/>
    <n v="-9.6730942914938514E-2"/>
    <n v="9.3941175521398787E-2"/>
    <n v="8.0618172400731158E-2"/>
    <n v="1.3323003120667629E-2"/>
  </r>
  <r>
    <n v="26"/>
    <x v="3"/>
    <n v="-2.5307005302531782"/>
    <n v="0.80074519115796339"/>
    <n v="0.8545429795827455"/>
    <n v="0.91188102338545496"/>
    <n v="0.37562426609714311"/>
    <n v="0.4296372600791496"/>
    <n v="0.43877092681463697"/>
    <n v="-11.51292546497023"/>
    <n v="0.77993525432492927"/>
    <n v="-1.94468018103902"/>
    <n v="2.2839908173468459"/>
    <n v="2.229932031879803"/>
    <n v="-11.51292546497023"/>
    <n v="5.4058786481618881E-2"/>
    <n v="0"/>
    <n v="0"/>
    <n v="0"/>
    <n v="0"/>
    <n v="0"/>
    <n v="1"/>
    <n v="0"/>
    <n v="-2.3384950160980225"/>
    <n v="7.9603236273724606E-2"/>
    <n v="9.6472718920012843E-2"/>
    <n v="-1.6869482646288236E-2"/>
    <n v="2.8457944475341994E-4"/>
    <x v="12"/>
    <n v="4.2090777000000003E-2"/>
    <n v="0.83489769999999996"/>
    <n v="-0.16047194169545698"/>
    <n v="0.10413963218989182"/>
    <n v="8.9370255109496866E-2"/>
    <n v="1.4769377080394955E-2"/>
  </r>
  <r>
    <n v="26"/>
    <x v="4"/>
    <n v="-2.285560171446392"/>
    <n v="0.76257995527528211"/>
    <n v="0.80074519115796339"/>
    <n v="0.8545429795827455"/>
    <n v="0.42002525943949409"/>
    <n v="0.37562426609714311"/>
    <n v="0.4296372600791496"/>
    <n v="-9.0867684756508957"/>
    <n v="0.77993525432492927"/>
    <n v="-1.822801359947529"/>
    <n v="2.3976521594538101"/>
    <n v="2.280894118092859"/>
    <n v="-11.51292546497023"/>
    <n v="0.11675804108381271"/>
    <n v="0"/>
    <n v="0"/>
    <n v="0"/>
    <n v="0"/>
    <n v="0"/>
    <n v="1"/>
    <n v="0"/>
    <n v="-2.1852269172668457"/>
    <n v="0.10171706714767305"/>
    <n v="0.1124522134099893"/>
    <n v="-1.0735146262316253E-2"/>
    <n v="1.1524336527332262E-4"/>
    <x v="12"/>
    <n v="4.2090777000000003E-2"/>
    <n v="0.83489769999999996"/>
    <n v="-8.3768003148018591E-2"/>
    <n v="0.12138905459029378"/>
    <n v="0.10417331565425098"/>
    <n v="1.7215738936042807E-2"/>
  </r>
  <r>
    <n v="26"/>
    <x v="5"/>
    <n v="-2.0805677645541389"/>
    <n v="0.7185224868911736"/>
    <n v="0.76257995527528211"/>
    <n v="0.80074519115796339"/>
    <n v="0.48316661577201642"/>
    <n v="0.42002525943949409"/>
    <n v="0.37562426609714311"/>
    <n v="-7.2980961457272429"/>
    <n v="0.77993525432492927"/>
    <n v="-1.70989039242969"/>
    <n v="2.4399410439007672"/>
    <n v="2.39456502014942"/>
    <n v="-11.51292546497023"/>
    <n v="4.5376025140285492E-2"/>
    <n v="0"/>
    <n v="0"/>
    <n v="0"/>
    <n v="0"/>
    <n v="0"/>
    <n v="1"/>
    <n v="0"/>
    <n v="-2.0267400741577148"/>
    <n v="0.12485930138458325"/>
    <n v="0.131764363825778"/>
    <n v="-6.9050624411947509E-3"/>
    <n v="4.7679887316798415E-5"/>
    <x v="12"/>
    <n v="4.2090777000000003E-2"/>
    <n v="0.83489769999999996"/>
    <n v="-4.4940614908286568E-2"/>
    <n v="0.14223598690038644"/>
    <n v="0.12206367708174438"/>
    <n v="2.0172309818642056E-2"/>
  </r>
  <r>
    <n v="26"/>
    <x v="6"/>
    <n v="-1.934713985007412"/>
    <n v="0.68031520174456706"/>
    <n v="0.7185224868911736"/>
    <n v="0.76257995527528211"/>
    <n v="0.4405104498509651"/>
    <n v="0.48316661577201642"/>
    <n v="0.42002525943949409"/>
    <n v="-6.90006220749002"/>
    <n v="0.77993525432492927"/>
    <n v="-1.6203292439081409"/>
    <n v="2.5060722262164208"/>
    <n v="2.4325098740297491"/>
    <n v="-11.51292546497023"/>
    <n v="7.3562353849411011E-2"/>
    <n v="0"/>
    <n v="0"/>
    <n v="0"/>
    <n v="0"/>
    <n v="0"/>
    <n v="1"/>
    <n v="0"/>
    <n v="-1.9083118438720703"/>
    <n v="0.14446558223756534"/>
    <n v="0.1483305805313144"/>
    <n v="-3.8649982937490612E-3"/>
    <n v="1.4938211810683154E-5"/>
    <x v="12"/>
    <n v="4.2090777000000003E-2"/>
    <n v="0.83489769999999996"/>
    <n v="-2.2043086908972151E-2"/>
    <n v="0.16011875970710079"/>
    <n v="0.13741026448745983"/>
    <n v="2.2708495219640967E-2"/>
  </r>
  <r>
    <n v="26"/>
    <x v="7"/>
    <n v="-1.8984148666435801"/>
    <n v="0.66253332194210901"/>
    <n v="0.68031520174456706"/>
    <n v="0.7185224868911736"/>
    <n v="0.44205415633877998"/>
    <n v="0.4405104498509651"/>
    <n v="0.48316661577201642"/>
    <n v="-6.0833652415634818"/>
    <n v="0.77993525432492927"/>
    <n v="-1.569575443327718"/>
    <n v="2.5009884916538612"/>
    <n v="2.475471331755736"/>
    <n v="-11.51292546497023"/>
    <n v="2.5517160072922707E-2"/>
    <n v="0"/>
    <n v="0"/>
    <n v="0"/>
    <n v="0"/>
    <n v="0"/>
    <n v="1"/>
    <n v="0"/>
    <n v="-1.8418581485748291"/>
    <n v="0.14980589343599143"/>
    <n v="0.15852259373894531"/>
    <n v="-8.7167003029538781E-3"/>
    <n v="7.5980864171516235E-5"/>
    <x v="12"/>
    <n v="4.2090777000000003E-2"/>
    <n v="0.83489769999999996"/>
    <n v="-4.721907383514861E-2"/>
    <n v="0.17112075611187946"/>
    <n v="0.14685192665519189"/>
    <n v="2.4268829456687568E-2"/>
  </r>
  <r>
    <n v="26"/>
    <x v="8"/>
    <n v="-1.824005337354704"/>
    <n v="0.63514723626195657"/>
    <n v="0.66253332194210901"/>
    <n v="0.68031520174456706"/>
    <n v="0.43145768838241799"/>
    <n v="0.44205415633877998"/>
    <n v="0.4405104498509651"/>
    <n v="-5.3741717447402957"/>
    <n v="0.77993525432492927"/>
    <n v="-1.510841257086355"/>
    <n v="2.5124836951737342"/>
    <n v="2.493504310506899"/>
    <n v="-11.51292546497023"/>
    <n v="1.8979385495185852E-2"/>
    <n v="0"/>
    <n v="0"/>
    <n v="0"/>
    <n v="0"/>
    <n v="0"/>
    <n v="1"/>
    <n v="0"/>
    <n v="-1.7743328809738159"/>
    <n v="0.16137808107524615"/>
    <n v="0.16959655285576025"/>
    <n v="-8.2184717805141028E-3"/>
    <n v="6.7543278407106641E-5"/>
    <x v="12"/>
    <n v="4.2090777000000003E-2"/>
    <n v="0.83489769999999996"/>
    <n v="-4.1471419585753823E-2"/>
    <n v="0.18307478873603694"/>
    <n v="0.157110604573894"/>
    <n v="2.5964184162142939E-2"/>
  </r>
  <r>
    <n v="26"/>
    <x v="9"/>
    <n v="-1.9144271128298549"/>
    <n v="0.67661121191984575"/>
    <n v="0.63514723626195657"/>
    <n v="0.66253332194210901"/>
    <n v="0.37101168003878521"/>
    <n v="0.43145768838241799"/>
    <n v="0.44205415633877998"/>
    <n v="-4.9994805059003449"/>
    <n v="0.77993525432492927"/>
    <n v="-1.471134558582889"/>
    <n v="2.44397363079668"/>
    <n v="2.5052403233157161"/>
    <n v="-11.51292546497023"/>
    <n v="-6.1266694217920303E-2"/>
    <n v="1"/>
    <n v="0"/>
    <n v="0"/>
    <n v="0"/>
    <n v="0"/>
    <n v="1"/>
    <n v="0"/>
    <n v="-1.8516548871994019"/>
    <n v="0.14742626701506745"/>
    <n v="0.15697717173001535"/>
    <n v="-9.5509047149479054E-3"/>
    <n v="9.1219780874014127E-5"/>
    <x v="12"/>
    <n v="4.2090777000000003E-2"/>
    <n v="0.83489769999999996"/>
    <n v="-5.2408386802746287E-2"/>
    <n v="0.16945251579078344"/>
    <n v="0.14542028089319761"/>
    <n v="2.4032234897585825E-2"/>
  </r>
  <r>
    <n v="26"/>
    <x v="10"/>
    <n v="-1.8763673993929531"/>
    <n v="0.7061127629499685"/>
    <n v="0.67661121191984575"/>
    <n v="0.63514723626195657"/>
    <n v="0.48291985451228192"/>
    <n v="0.37101168003878521"/>
    <n v="0.43145768838241799"/>
    <n v="-4.6387044321201172"/>
    <n v="0.77993525432492927"/>
    <n v="-1.447700929104593"/>
    <n v="2.4231484139469588"/>
    <n v="2.4370249244515949"/>
    <n v="-11.51292546497023"/>
    <n v="-1.3876510784029961E-2"/>
    <n v="1"/>
    <n v="0"/>
    <n v="0"/>
    <n v="0"/>
    <n v="0"/>
    <n v="1"/>
    <n v="0"/>
    <n v="-1.8235706090927124"/>
    <n v="0.15314541266114193"/>
    <n v="0.16144825193947934"/>
    <n v="-8.302839278337415E-3"/>
    <n v="6.893714008190256E-5"/>
    <x v="12"/>
    <n v="4.2090777000000003E-2"/>
    <n v="0.83489769999999996"/>
    <n v="-4.4079918789053221E-2"/>
    <n v="0.17427892323236424"/>
    <n v="0.14956219358528333"/>
    <n v="2.4716729647080909E-2"/>
  </r>
  <r>
    <n v="26"/>
    <x v="11"/>
    <n v="-1.8463595529795001"/>
    <n v="0.66885448799090075"/>
    <n v="0.7061127629499685"/>
    <n v="0.67661121191984575"/>
    <n v="0.45387424731585202"/>
    <n v="0.48291985451228192"/>
    <n v="0.37101168003878521"/>
    <n v="-3.968843199446316"/>
    <n v="0.77993525432492927"/>
    <n v="-1.4235809967904469"/>
    <n v="2.46222844916471"/>
    <n v="2.416483347296853"/>
    <n v="-11.51292546497023"/>
    <n v="4.5745100826025009E-2"/>
    <n v="1"/>
    <n v="0"/>
    <n v="0"/>
    <n v="0"/>
    <n v="0"/>
    <n v="1"/>
    <n v="0"/>
    <n v="-1.7864711284637451"/>
    <n v="0.15781062307339405"/>
    <n v="0.16755039145339867"/>
    <n v="-9.7397683800046209E-3"/>
    <n v="9.4863088096137837E-5"/>
    <x v="12"/>
    <n v="4.2090777000000003E-2"/>
    <n v="0.83489769999999996"/>
    <n v="-5.0000707884827404E-2"/>
    <n v="0.18086601408732239"/>
    <n v="0.15521508459092476"/>
    <n v="2.5650929496397634E-2"/>
  </r>
  <r>
    <n v="26"/>
    <x v="12"/>
    <n v="-1.98000640652259"/>
    <n v="0.79050072581585518"/>
    <n v="0.66885448799090075"/>
    <n v="0.7061127629499685"/>
    <n v="0.50126001889628968"/>
    <n v="0.45387424731585202"/>
    <n v="0.48291985451228192"/>
    <n v="-3.5528548299186249"/>
    <n v="0.77993525432492927"/>
    <n v="-1.3924857911114339"/>
    <n v="2.441623988283482"/>
    <n v="2.4598005582371569"/>
    <n v="3.2580965380214821"/>
    <n v="-1.8176570534706116E-2"/>
    <n v="1"/>
    <n v="0"/>
    <n v="0"/>
    <n v="0"/>
    <n v="0"/>
    <n v="1"/>
    <n v="0"/>
    <n v="-1.8639422655105591"/>
    <n v="0.13806835277003843"/>
    <n v="0.15506013562805873"/>
    <n v="-1.6991782858020305E-2"/>
    <n v="2.8872068469411267E-4"/>
    <x v="12"/>
    <n v="4.2090777000000003E-2"/>
    <n v="0.83489769999999996"/>
    <n v="-9.6901684383420256E-2"/>
    <n v="0.16738312833298791"/>
    <n v="0.1436443798156295"/>
    <n v="2.373874851735841E-2"/>
  </r>
  <r>
    <n v="26"/>
    <x v="13"/>
    <n v="-1.9440290434043119"/>
    <n v="0.75292438459580613"/>
    <n v="0.79050072581585518"/>
    <n v="0.66885448799090075"/>
    <n v="0.50458619897597168"/>
    <n v="0.50126001889628968"/>
    <n v="0.45387424731585202"/>
    <n v="-2.8089289176522461"/>
    <n v="0.77993525432492927"/>
    <n v="-1.361739138051314"/>
    <n v="2.4537585962841439"/>
    <n v="2.4352443061499658"/>
    <n v="5.393627546352362"/>
    <n v="1.8514290452003479E-2"/>
    <n v="1"/>
    <n v="0"/>
    <n v="0"/>
    <n v="0"/>
    <n v="0"/>
    <n v="1"/>
    <n v="0"/>
    <n v="-1.8113584518432617"/>
    <n v="0.1431261251485941"/>
    <n v="0.16343197147352265"/>
    <n v="-2.0305846324928545E-2"/>
    <n v="4.123273949716141E-4"/>
    <x v="12"/>
    <n v="4.2090777000000003E-2"/>
    <n v="0.83489769999999996"/>
    <n v="-0.11076637175196023"/>
    <n v="0.17642029361101458"/>
    <n v="0.15139986876234696"/>
    <n v="2.5020424848667622E-2"/>
  </r>
  <r>
    <n v="26"/>
    <x v="14"/>
    <n v="-2.0220584994331561"/>
    <n v="0.69708939979256901"/>
    <n v="0.75292438459580613"/>
    <n v="0.79050072581585518"/>
    <n v="0.4633565865239419"/>
    <n v="0.50458619897597168"/>
    <n v="0.50126001889628968"/>
    <n v="-2.2604974465947518"/>
    <n v="0.77993525432492927"/>
    <n v="-1.3408826344356339"/>
    <n v="2.3615853912594869"/>
    <n v="2.4475469400755929"/>
    <n v="5.9914645471079817"/>
    <n v="-8.596155047416687E-2"/>
    <n v="1"/>
    <n v="1"/>
    <n v="0"/>
    <n v="0"/>
    <n v="0"/>
    <n v="1"/>
    <n v="0"/>
    <n v="-1.8931639194488525"/>
    <n v="0.13238267474615042"/>
    <n v="0.1505945851489725"/>
    <n v="-1.8211910402822079E-2"/>
    <n v="3.3167368052041904E-4"/>
    <x v="12"/>
    <n v="4.2090777000000003E-2"/>
    <n v="0.83489769999999996"/>
    <n v="-0.10761378837136105"/>
    <n v="0.16256269008242916"/>
    <n v="0.13950758974701785"/>
    <n v="2.3055100335411305E-2"/>
  </r>
  <r>
    <n v="26"/>
    <x v="15"/>
    <n v="-1.993919182597867"/>
    <n v="0.89881898596211529"/>
    <n v="0.69708939979256901"/>
    <n v="0.75292438459580613"/>
    <n v="0.7098567941228926"/>
    <n v="0.4633565865239419"/>
    <n v="0.50458619897597168"/>
    <n v="-1.6968508162460541"/>
    <n v="0.77993525432492927"/>
    <n v="-1.316936669827935"/>
    <n v="2.3659318077915592"/>
    <n v="2.3555545034959131"/>
    <n v="6.6846117276679271"/>
    <n v="1.0377304628491402E-2"/>
    <n v="1"/>
    <n v="0"/>
    <n v="0"/>
    <n v="0"/>
    <n v="0"/>
    <n v="1"/>
    <n v="0"/>
    <n v="-1.8452234268188477"/>
    <n v="0.13616073956310998"/>
    <n v="0.15799001773888624"/>
    <n v="-2.1829278175776262E-2"/>
    <n v="4.7651738567542181E-4"/>
    <x v="12"/>
    <n v="4.2090777000000003E-2"/>
    <n v="0.83489769999999996"/>
    <n v="-0.12414574449966499"/>
    <n v="0.17054585504782527"/>
    <n v="0.14635855968551068"/>
    <n v="2.4187295362314593E-2"/>
  </r>
  <r>
    <n v="26"/>
    <x v="16"/>
    <n v="-1.9661456224685481"/>
    <n v="0.90490617300751686"/>
    <n v="0.89881898596211529"/>
    <n v="0.69708939979256901"/>
    <n v="0.67849029121631166"/>
    <n v="0.7098567941228926"/>
    <n v="0.4633565865239419"/>
    <n v="-1.2086134218540261"/>
    <n v="0.77993525432492927"/>
    <n v="-1.290538163663894"/>
    <n v="2.391042028589438"/>
    <n v="2.3659318077915592"/>
    <n v="8.0551577318196781"/>
    <n v="2.5110220536589622E-2"/>
    <n v="1"/>
    <n v="0"/>
    <n v="0"/>
    <n v="0"/>
    <n v="0"/>
    <n v="1"/>
    <n v="0"/>
    <n v="-1.8295209407806396"/>
    <n v="0.13999541282175224"/>
    <n v="0.16049043378394098"/>
    <n v="-2.0495020962188748E-2"/>
    <n v="4.2004588424055618E-4"/>
    <x v="12"/>
    <n v="4.2090777000000003E-2"/>
    <n v="0.83489769999999996"/>
    <n v="-0.11406763250446686"/>
    <n v="0.17324498502123881"/>
    <n v="0.14867489141460496"/>
    <n v="2.4570093606633842E-2"/>
  </r>
  <r>
    <n v="26"/>
    <x v="17"/>
    <n v="-1.8882860952337699"/>
    <n v="0.74007847524437753"/>
    <n v="0.90490617300751686"/>
    <n v="0.89881898596211529"/>
    <n v="0.47604782623004671"/>
    <n v="0.67849029121631166"/>
    <n v="0.7098567941228926"/>
    <n v="-0.65549647857021687"/>
    <n v="0.77993525432492927"/>
    <n v="-1.2581451381638631"/>
    <n v="2.4362811612601512"/>
    <n v="2.391042028589438"/>
    <n v="8.4658998970286863"/>
    <n v="4.5239131897687912E-2"/>
    <n v="1"/>
    <n v="0"/>
    <n v="0"/>
    <n v="0"/>
    <n v="0"/>
    <n v="1"/>
    <n v="0"/>
    <n v="-1.7715681791305542"/>
    <n v="0.15133095354081474"/>
    <n v="0.17006608551788394"/>
    <n v="-1.8735131977069192E-2"/>
    <n v="3.5100517019820058E-4"/>
    <x v="12"/>
    <n v="4.2090777000000003E-2"/>
    <n v="0.83489769999999996"/>
    <n v="-9.7447519703367735E-2"/>
    <n v="0.18358163626020843"/>
    <n v="0.15754556954913251"/>
    <n v="2.6036066711075917E-2"/>
  </r>
  <r>
    <n v="27"/>
    <x v="0"/>
    <n v="-2.893807405044873"/>
    <n v="1.0296194171811579"/>
    <n v="0.97093042083247871"/>
    <n v="0.87016302023036873"/>
    <n v="0.66782937257565544"/>
    <n v="0.54371866706801619"/>
    <n v="0.37891577287462791"/>
    <n v="-11.51292546497023"/>
    <n v="0.83755816851655263"/>
    <n v="-2.6698411578857231"/>
    <n v="2.0388695587168271"/>
    <n v="1.9880358888256391"/>
    <n v="-11.51292546497023"/>
    <n v="5.0833668559789658E-2"/>
    <n v="0"/>
    <n v="0"/>
    <n v="0"/>
    <n v="0"/>
    <n v="0"/>
    <n v="1"/>
    <n v="0"/>
    <n v="-2.9155046939849854"/>
    <n v="5.5365013774104625E-2"/>
    <n v="5.4176681486705437E-2"/>
    <n v="1.1883322873991881E-3"/>
    <n v="1.4121336252753864E-6"/>
    <x v="13"/>
    <n v="5.0784107000000002E-2"/>
    <n v="0.42666452999999999"/>
    <n v="1.962324425953297E-2"/>
    <n v="5.7305822328814454E-2"/>
    <n v="5.1218405000290894E-2"/>
    <n v="6.0874173285235603E-3"/>
  </r>
  <r>
    <n v="27"/>
    <x v="1"/>
    <n v="-2.9388830404534758"/>
    <n v="0.98600334428545533"/>
    <n v="1.0296194171811579"/>
    <n v="0.97093042083247871"/>
    <n v="0.52732869586500486"/>
    <n v="0.66782937257565544"/>
    <n v="0.54371866706801619"/>
    <n v="-11.51292546497023"/>
    <n v="0.83755816851655263"/>
    <n v="-2.576804968778645"/>
    <n v="2.0969943318717892"/>
    <n v="2.026343168322208"/>
    <n v="-11.51292546497023"/>
    <n v="7.0651166141033173E-2"/>
    <n v="0"/>
    <n v="0"/>
    <n v="0"/>
    <n v="0"/>
    <n v="0"/>
    <n v="1"/>
    <n v="0"/>
    <n v="-2.8680763244628906"/>
    <n v="5.2924810608635603E-2"/>
    <n v="5.6808101893161475E-2"/>
    <n v="-3.8832912845258721E-3"/>
    <n v="1.5079951200474598E-5"/>
    <x v="13"/>
    <n v="5.0784107000000002E-2"/>
    <n v="0.42666452999999999"/>
    <n v="-3.0210714198966513E-2"/>
    <n v="6.0089228512926911E-2"/>
    <n v="5.3706138696880797E-2"/>
    <n v="6.3830898160461141E-3"/>
  </r>
  <r>
    <n v="27"/>
    <x v="2"/>
    <n v="-2.898338237181119"/>
    <n v="0.91428872920348203"/>
    <n v="0.98600334428545533"/>
    <n v="1.0296194171811579"/>
    <n v="0.48679928916313631"/>
    <n v="0.52732869586500486"/>
    <n v="0.66782937257565544"/>
    <n v="-11.51292546497023"/>
    <n v="0.83755816851655263"/>
    <n v="-2.4762575176998389"/>
    <n v="2.1140985810061821"/>
    <n v="2.0846229127046909"/>
    <n v="-11.51292546497023"/>
    <n v="2.947566844522953E-2"/>
    <n v="0"/>
    <n v="0"/>
    <n v="0"/>
    <n v="0"/>
    <n v="0"/>
    <n v="1"/>
    <n v="0"/>
    <n v="-2.7717149257659912"/>
    <n v="5.5114731611863491E-2"/>
    <n v="6.2554636146571668E-2"/>
    <n v="-7.4399045347081777E-3"/>
    <n v="5.5352179485571304E-5"/>
    <x v="13"/>
    <n v="5.0784107000000002E-2"/>
    <n v="0.42666452999999999"/>
    <n v="-5.4025675651979153E-2"/>
    <n v="6.6167671523748472E-2"/>
    <n v="5.9138887818132035E-2"/>
    <n v="7.0287837056164371E-3"/>
  </r>
  <r>
    <n v="27"/>
    <x v="3"/>
    <n v="-2.8674743324473879"/>
    <n v="0.84638315645880335"/>
    <n v="0.91428872920348203"/>
    <n v="0.98600334428545533"/>
    <n v="0.42781351177192622"/>
    <n v="0.48679928916313631"/>
    <n v="0.52732869586500486"/>
    <n v="-11.51292546497023"/>
    <n v="0.83755816851655263"/>
    <n v="-2.3629823640902869"/>
    <n v="2.117158154833088"/>
    <n v="2.1050121059029281"/>
    <n v="-11.51292546497023"/>
    <n v="1.2146049179136753E-2"/>
    <n v="0"/>
    <n v="0"/>
    <n v="0"/>
    <n v="0"/>
    <n v="0"/>
    <n v="1"/>
    <n v="0"/>
    <n v="-2.6584494113922119"/>
    <n v="5.6842310212451487E-2"/>
    <n v="7.0056766793037253E-2"/>
    <n v="-1.3214456580585766E-2"/>
    <n v="1.7462186272018646E-4"/>
    <x v="13"/>
    <n v="5.0784107000000002E-2"/>
    <n v="0.42666452999999999"/>
    <n v="-8.918351970029377E-2"/>
    <n v="7.4103110796074692E-2"/>
    <n v="6.6231370326682512E-2"/>
    <n v="7.87174046939218E-3"/>
  </r>
  <r>
    <n v="27"/>
    <x v="4"/>
    <n v="-2.552481695903928"/>
    <n v="0.80370417112458914"/>
    <n v="0.84638315645880335"/>
    <n v="0.91428872920348203"/>
    <n v="0.47237581339079121"/>
    <n v="0.42781351177192622"/>
    <n v="0.48679928916313631"/>
    <n v="-8.0550770936479079"/>
    <n v="0.83755816851655263"/>
    <n v="-2.233167938684173"/>
    <n v="2.1534302850945268"/>
    <n v="2.119175963097788"/>
    <n v="-11.51292546497023"/>
    <n v="3.4254323691129684E-2"/>
    <n v="0"/>
    <n v="0"/>
    <n v="0"/>
    <n v="0"/>
    <n v="0"/>
    <n v="1"/>
    <n v="0"/>
    <n v="-2.5015242099761963"/>
    <n v="7.7888131296936267E-2"/>
    <n v="8.1959979152267062E-2"/>
    <n v="-4.0718478553307957E-3"/>
    <n v="1.6579944956962002E-5"/>
    <x v="13"/>
    <n v="5.0784107000000002E-2"/>
    <n v="0.42666452999999999"/>
    <n v="-2.1741751783337281E-2"/>
    <n v="8.6693829789587784E-2"/>
    <n v="7.7484616828484357E-2"/>
    <n v="9.2092129611034274E-3"/>
  </r>
  <r>
    <n v="27"/>
    <x v="5"/>
    <n v="-2.3390053546446499"/>
    <n v="0.77320527273052442"/>
    <n v="0.80370417112458914"/>
    <n v="0.84638315645880335"/>
    <n v="0.55181400444330142"/>
    <n v="0.47237581339079121"/>
    <n v="0.42781351177192622"/>
    <n v="-6.6667608444795556"/>
    <n v="0.83755816851655263"/>
    <n v="-2.1089469761102739"/>
    <n v="2.2297628798534999"/>
    <n v="2.1554521731430301"/>
    <n v="-11.51292546497023"/>
    <n v="7.4310705065727234E-2"/>
    <n v="0"/>
    <n v="0"/>
    <n v="0"/>
    <n v="0"/>
    <n v="0"/>
    <n v="1"/>
    <n v="0"/>
    <n v="-2.3240859508514404"/>
    <n v="9.6423497733652649E-2"/>
    <n v="9.7872863785918807E-2"/>
    <n v="-1.4493660522661572E-3"/>
    <n v="2.1006619534615851E-6"/>
    <x v="13"/>
    <n v="5.0784107000000002E-2"/>
    <n v="0.42666452999999999"/>
    <n v="-6.3655804073099228E-3"/>
    <n v="0.10352581201018102"/>
    <n v="9.2528590499874386E-2"/>
    <n v="1.0997221510306632E-2"/>
  </r>
  <r>
    <n v="27"/>
    <x v="6"/>
    <n v="-2.16336344541019"/>
    <n v="0.69494556250132467"/>
    <n v="0.77320527273052442"/>
    <n v="0.80370417112458914"/>
    <n v="0.49944106489935253"/>
    <n v="0.55181400444330142"/>
    <n v="0.47237581339079121"/>
    <n v="-6.1141473055257016"/>
    <n v="0.83755816851655263"/>
    <n v="-1.997829271382167"/>
    <n v="2.236666080771669"/>
    <n v="2.2227606308718921"/>
    <n v="-11.51292546497023"/>
    <n v="1.3905449770390987E-2"/>
    <n v="0"/>
    <n v="0"/>
    <n v="0"/>
    <n v="0"/>
    <n v="0"/>
    <n v="1"/>
    <n v="0"/>
    <n v="-2.1638550758361816"/>
    <n v="0.11493788288128909"/>
    <n v="0.11488138980896007"/>
    <n v="5.6493072329022453E-5"/>
    <n v="3.1914672211721625E-9"/>
    <x v="13"/>
    <n v="5.0784107000000002E-2"/>
    <n v="0.42666452999999999"/>
    <n v="2.0976126463942776E-4"/>
    <n v="0.12151671775789834"/>
    <n v="0.10860837889591868"/>
    <n v="1.290833886197966E-2"/>
  </r>
  <r>
    <n v="27"/>
    <x v="7"/>
    <n v="-2.1092024062409052"/>
    <n v="0.68355128688649835"/>
    <n v="0.69494556250132467"/>
    <n v="0.77320527273052442"/>
    <n v="0.51018541887856739"/>
    <n v="0.49944106489935253"/>
    <n v="0.55181400444330142"/>
    <n v="-5.3293723184168256"/>
    <n v="0.83755816851655263"/>
    <n v="-1.9389473345789749"/>
    <n v="2.1956150157495049"/>
    <n v="2.194762494696052"/>
    <n v="-11.51292546497023"/>
    <n v="8.5252104327082634E-4"/>
    <n v="0"/>
    <n v="0"/>
    <n v="0"/>
    <n v="0"/>
    <n v="0"/>
    <n v="1"/>
    <n v="0"/>
    <n v="-2.0862669944763184"/>
    <n v="0.12133470365214694"/>
    <n v="0.12414972346259448"/>
    <n v="-2.8150198104475443E-3"/>
    <n v="7.9243365332121292E-6"/>
    <x v="13"/>
    <n v="5.0784107000000002E-2"/>
    <n v="0.42666452999999999"/>
    <n v="-9.7857266808938966E-3"/>
    <n v="0.13132037252345796"/>
    <n v="0.11737062223978542"/>
    <n v="1.3949750283672541E-2"/>
  </r>
  <r>
    <n v="27"/>
    <x v="8"/>
    <n v="-2.0178092740909261"/>
    <n v="0.65876275369811454"/>
    <n v="0.68355128688649835"/>
    <n v="0.69494556250132467"/>
    <n v="0.48833458593045898"/>
    <n v="0.51018541887856739"/>
    <n v="0.49944106489935253"/>
    <n v="-4.6425051077308606"/>
    <n v="0.83755816851655263"/>
    <n v="-1.856258132411662"/>
    <n v="2.2082315199032889"/>
    <n v="2.189335045875517"/>
    <n v="-11.51292546497023"/>
    <n v="1.8896473571658134E-2"/>
    <n v="0"/>
    <n v="0"/>
    <n v="0"/>
    <n v="0"/>
    <n v="0"/>
    <n v="1"/>
    <n v="0"/>
    <n v="-1.9963494539260864"/>
    <n v="0.1329463954023957"/>
    <n v="0.1358302337937381"/>
    <n v="-2.8838383913424026E-3"/>
    <n v="8.3165238673803358E-6"/>
    <x v="13"/>
    <n v="5.0784107000000002E-2"/>
    <n v="0.42666452999999999"/>
    <n v="-9.1561440845158593E-3"/>
    <n v="0.14367552664840474"/>
    <n v="0.1284133271883601"/>
    <n v="1.5262199460044645E-2"/>
  </r>
  <r>
    <n v="27"/>
    <x v="9"/>
    <n v="-2.0598646371223368"/>
    <n v="0.67661121191984575"/>
    <n v="0.65876275369811454"/>
    <n v="0.68355128688649835"/>
    <n v="0.4295071025884023"/>
    <n v="0.48833458593045898"/>
    <n v="0.51018541887856739"/>
    <n v="-4.1627613703805331"/>
    <n v="0.83755816851655263"/>
    <n v="-1.794602835233692"/>
    <n v="2.2531619595182182"/>
    <n v="2.202467441471915"/>
    <n v="-11.51292546497023"/>
    <n v="5.069451779127121E-2"/>
    <n v="1"/>
    <n v="0"/>
    <n v="0"/>
    <n v="0"/>
    <n v="0"/>
    <n v="1"/>
    <n v="0"/>
    <n v="-2.0272789001464844"/>
    <n v="0.12747122359868446"/>
    <n v="0.13169338488652085"/>
    <n v="-4.2221612878363957E-3"/>
    <n v="1.7826645940504289E-5"/>
    <x v="13"/>
    <n v="5.0784107000000002E-2"/>
    <n v="0.42666452999999999"/>
    <n v="-1.3903178151505699E-2"/>
    <n v="0.13929974131101164"/>
    <n v="0.12450236776928127"/>
    <n v="1.4797373541730371E-2"/>
  </r>
  <r>
    <n v="27"/>
    <x v="10"/>
    <n v="-2.001373485507532"/>
    <n v="0.72750029693160778"/>
    <n v="0.67661121191984575"/>
    <n v="0.65876275369811454"/>
    <n v="0.56713033997645834"/>
    <n v="0.4295071025884023"/>
    <n v="0.48833458593045898"/>
    <n v="-3.8018994608322281"/>
    <n v="0.8375581685165524"/>
    <n v="-1.7494814545672011"/>
    <n v="2.2346080184088182"/>
    <n v="2.2477794741116419"/>
    <n v="-11.51292546497023"/>
    <n v="-1.3171455822885036E-2"/>
    <n v="1"/>
    <n v="0"/>
    <n v="0"/>
    <n v="0"/>
    <n v="0"/>
    <n v="1"/>
    <n v="0"/>
    <n v="-2.0031101703643799"/>
    <n v="0.13514952978047087"/>
    <n v="0.13491502133126851"/>
    <n v="2.3450844920236413E-4"/>
    <n v="5.49942127472978E-8"/>
    <x v="13"/>
    <n v="5.0784107000000002E-2"/>
    <n v="0.42666452999999999"/>
    <n v="7.4098182820510892E-4"/>
    <n v="0.14270745327572559"/>
    <n v="0.12754808920630348"/>
    <n v="1.5159364069422115E-2"/>
  </r>
  <r>
    <n v="27"/>
    <x v="11"/>
    <n v="-2.0026459718285721"/>
    <n v="0.724500488217941"/>
    <n v="0.72750029693160778"/>
    <n v="0.67661121191984575"/>
    <n v="0.53807107265618603"/>
    <n v="0.56713033997645834"/>
    <n v="0.4295071025884023"/>
    <n v="-3.1407878037231169"/>
    <n v="0.8375581685165524"/>
    <n v="-1.7048882160364009"/>
    <n v="2.2596821472676689"/>
    <n v="2.2296011673459009"/>
    <n v="-11.51292546497023"/>
    <n v="3.0080979689955711E-2"/>
    <n v="1"/>
    <n v="0"/>
    <n v="0"/>
    <n v="0"/>
    <n v="0"/>
    <n v="1"/>
    <n v="0"/>
    <n v="-1.9796953201293945"/>
    <n v="0.13497766322464172"/>
    <n v="0.13811131063737364"/>
    <n v="-3.1336474127319214E-3"/>
    <n v="9.8197461073214641E-6"/>
    <x v="13"/>
    <n v="5.0784107000000002E-2"/>
    <n v="0.42666452999999999"/>
    <n v="-9.7922290204232858E-3"/>
    <n v="0.14608835409985779"/>
    <n v="0.13056984756591"/>
    <n v="1.551850653394779E-2"/>
  </r>
  <r>
    <n v="27"/>
    <x v="12"/>
    <n v="-2.073760835553375"/>
    <n v="0.84479473016908513"/>
    <n v="0.724500488217941"/>
    <n v="0.72750029693160778"/>
    <n v="0.57605140868369809"/>
    <n v="0.53807107265618603"/>
    <n v="0.56713033997645834"/>
    <n v="-2.6836190814855039"/>
    <n v="0.83755816851655263"/>
    <n v="-1.640373601863762"/>
    <n v="2.2606785209916982"/>
    <n v="2.275507473732215"/>
    <n v="3.2580965380214821"/>
    <n v="-1.4828952960669994E-2"/>
    <n v="1"/>
    <n v="0"/>
    <n v="0"/>
    <n v="0"/>
    <n v="0"/>
    <n v="1"/>
    <n v="0"/>
    <n v="-2.0459256172180176"/>
    <n v="0.12571210899175994"/>
    <n v="0.12926048885311478"/>
    <n v="-3.548379861354839E-3"/>
    <n v="1.2590999640468587E-5"/>
    <x v="13"/>
    <n v="5.0784107000000002E-2"/>
    <n v="0.42666452999999999"/>
    <n v="-1.1876300348502648E-2"/>
    <n v="0.13672632588561209"/>
    <n v="0.12220231817334633"/>
    <n v="1.4524007712265766E-2"/>
  </r>
  <r>
    <n v="27"/>
    <x v="13"/>
    <n v="-2.032838298703612"/>
    <n v="0.79818264339382605"/>
    <n v="0.84479473016908513"/>
    <n v="0.724500488217941"/>
    <n v="0.55382764031053344"/>
    <n v="0.57605140868369809"/>
    <n v="0.53807107265618603"/>
    <n v="-1.9144557388563139"/>
    <n v="0.83755816851655263"/>
    <n v="-1.5886572799625751"/>
    <n v="2.295256970206228"/>
    <n v="2.2563131646099812"/>
    <n v="5.393627546352362"/>
    <n v="3.8943804800510406E-2"/>
    <n v="1"/>
    <n v="0"/>
    <n v="0"/>
    <n v="0"/>
    <n v="0"/>
    <n v="1"/>
    <n v="0"/>
    <n v="-1.9927734136581421"/>
    <n v="0.13096328022444101"/>
    <n v="0.13631683771844338"/>
    <n v="-5.3535574940023756E-3"/>
    <n v="2.8660577841588997E-5"/>
    <x v="13"/>
    <n v="5.0784107000000002E-2"/>
    <n v="0.42666452999999999"/>
    <n v="-1.7094265347429444E-2"/>
    <n v="0.14419023587917421"/>
    <n v="0.12887336047586223"/>
    <n v="1.5316875403311975E-2"/>
  </r>
  <r>
    <n v="27"/>
    <x v="14"/>
    <n v="-2.0677555160978001"/>
    <n v="0.72933445132165775"/>
    <n v="0.79818264339382605"/>
    <n v="0.84479473016908513"/>
    <n v="0.4924987070731065"/>
    <n v="0.55382764031053344"/>
    <n v="0.57605140868369809"/>
    <n v="-1.270232976206414"/>
    <n v="0.83755816851655263"/>
    <n v="-1.5508103434110101"/>
    <n v="2.297717739630567"/>
    <n v="2.2910153097630568"/>
    <n v="5.9914645471079817"/>
    <n v="6.7024300806224346E-3"/>
    <n v="1"/>
    <n v="1"/>
    <n v="0"/>
    <n v="0"/>
    <n v="0"/>
    <n v="1"/>
    <n v="0"/>
    <n v="-2.056633472442627"/>
    <n v="0.12646932174225414"/>
    <n v="0.12788377025822331"/>
    <n v="-1.4144485159691689E-3"/>
    <n v="2.0006646043273843E-6"/>
    <x v="13"/>
    <n v="5.0784107000000002E-2"/>
    <n v="0.42666452999999999"/>
    <n v="-4.7453815287739161E-3"/>
    <n v="0.13527009067462034"/>
    <n v="0.12090077425021241"/>
    <n v="1.4369316424407932E-2"/>
  </r>
  <r>
    <n v="27"/>
    <x v="15"/>
    <n v="-2.0350303845228228"/>
    <n v="0.91776963775355425"/>
    <n v="0.72933445132165775"/>
    <n v="0.79818264339382605"/>
    <n v="0.72445203038835781"/>
    <n v="0.4924987070731065"/>
    <n v="0.55382764031053344"/>
    <n v="-0.64821845767071162"/>
    <n v="0.83755816851655263"/>
    <n v="-1.505719137222969"/>
    <n v="2.358827079517972"/>
    <n v="2.2936063097194519"/>
    <n v="6.6846117276679271"/>
    <n v="6.5220773220062256E-2"/>
    <n v="1"/>
    <n v="0"/>
    <n v="0"/>
    <n v="0"/>
    <n v="0"/>
    <n v="1"/>
    <n v="0"/>
    <n v="-1.9943921566009521"/>
    <n v="0.13067651190024468"/>
    <n v="0.13609635430053374"/>
    <n v="-5.4198424002890599E-3"/>
    <n v="2.937469164397108E-5"/>
    <x v="13"/>
    <n v="5.0784107000000002E-2"/>
    <n v="0.42666452999999999"/>
    <n v="-1.7338890416317823E-2"/>
    <n v="0.14395701776343783"/>
    <n v="0.12866491638729038"/>
    <n v="1.5292101376147449E-2"/>
  </r>
  <r>
    <n v="27"/>
    <x v="16"/>
    <n v="-1.975073198276198"/>
    <n v="0.9065231843151027"/>
    <n v="0.91776963775355425"/>
    <n v="0.72933445132165775"/>
    <n v="0.67023672897683917"/>
    <n v="0.72445203038835781"/>
    <n v="0.4924987070731065"/>
    <n v="-0.26962636781364357"/>
    <n v="0.83755816851655263"/>
    <n v="-1.4599073422849631"/>
    <n v="2.274000264712583"/>
    <n v="2.358827079517972"/>
    <n v="8.0551577318196781"/>
    <n v="-8.4826812148094177E-2"/>
    <n v="1"/>
    <n v="0"/>
    <n v="0"/>
    <n v="0"/>
    <n v="0"/>
    <n v="1"/>
    <n v="0"/>
    <n v="-1.9745020866394043"/>
    <n v="0.13875115552582773"/>
    <n v="0.1388304205578037"/>
    <n v="-7.9265031975972455E-5"/>
    <n v="6.2829452941519355E-9"/>
    <x v="13"/>
    <n v="5.0784107000000002E-2"/>
    <n v="0.42666452999999999"/>
    <n v="-2.4367307809010889E-4"/>
    <n v="0.14684899842513202"/>
    <n v="0.13124969103608178"/>
    <n v="1.5599307389050243E-2"/>
  </r>
  <r>
    <n v="27"/>
    <x v="17"/>
    <n v="-1.896478949702052"/>
    <n v="0.76197337148979782"/>
    <n v="0.9065231843151027"/>
    <n v="0.91776963775355425"/>
    <n v="0.4879663296199081"/>
    <n v="0.67023672897683917"/>
    <n v="0.72445203038835781"/>
    <n v="0.35258052097495479"/>
    <n v="0.83755816851655263"/>
    <n v="-1.4096688125484551"/>
    <n v="2.3884407371539851"/>
    <n v="2.274000264712583"/>
    <n v="8.4658998970286863"/>
    <n v="0.11444047093391418"/>
    <n v="1"/>
    <n v="0"/>
    <n v="0"/>
    <n v="0"/>
    <n v="0"/>
    <n v="1"/>
    <n v="0"/>
    <n v="-1.8964900970458984"/>
    <n v="0.15009618610361891"/>
    <n v="0.15009451293914808"/>
    <n v="1.6731644708334326E-6"/>
    <n v="2.7994793464593206E-12"/>
    <x v="13"/>
    <n v="5.0784107000000002E-2"/>
    <n v="0.42666452999999999"/>
    <n v="4.756176222989906E-6"/>
    <n v="0.15876368310103034"/>
    <n v="0.14189871622028327"/>
    <n v="1.6864966880747068E-2"/>
  </r>
  <r>
    <n v="28"/>
    <x v="0"/>
    <n v="-2.4606930434845151"/>
    <n v="0.93609335917033476"/>
    <n v="0.87246422833360116"/>
    <n v="0.80897274606553571"/>
    <n v="0.71783979315031676"/>
    <n v="0.58478215588182025"/>
    <n v="0.4439162944824171"/>
    <n v="-11.51292546497023"/>
    <n v="0.72379967174414939"/>
    <n v="-2.2437468778448921"/>
    <n v="2.40297520420207"/>
    <n v="2.339351784970658"/>
    <n v="-11.51292546497023"/>
    <n v="6.3623420894145966E-2"/>
    <n v="0"/>
    <n v="0"/>
    <n v="0"/>
    <n v="0"/>
    <n v="0"/>
    <n v="1"/>
    <n v="0"/>
    <n v="-2.448681116104126"/>
    <n v="8.5375761344063938E-2"/>
    <n v="8.6407472805821173E-2"/>
    <n v="-1.0317114617572343E-3"/>
    <n v="1.064428540321249E-6"/>
    <x v="14"/>
    <n v="2.7699662E-2"/>
    <n v="0.51734590999999996"/>
    <n v="-1.027952370823754E-2"/>
    <n v="8.9250054999555267E-2"/>
    <n v="8.3655425833921673E-2"/>
    <n v="5.5946291656335939E-3"/>
  </r>
  <r>
    <n v="28"/>
    <x v="1"/>
    <n v="-2.4282767174428939"/>
    <n v="0.88062210259469464"/>
    <n v="0.93609335917033476"/>
    <n v="0.87246422833360116"/>
    <n v="0.59823192276365766"/>
    <n v="0.71783979315031676"/>
    <n v="0.58478215588182025"/>
    <n v="-11.51292546497023"/>
    <n v="0.72379967174414939"/>
    <n v="-2.141127947275046"/>
    <n v="2.4448609285518201"/>
    <n v="2.403316136530306"/>
    <n v="-11.51292546497023"/>
    <n v="4.154479131102562E-2"/>
    <n v="0"/>
    <n v="0"/>
    <n v="0"/>
    <n v="0"/>
    <n v="0"/>
    <n v="1"/>
    <n v="0"/>
    <n v="-2.3689761161804199"/>
    <n v="8.8188675717079945E-2"/>
    <n v="9.3576488697567156E-2"/>
    <n v="-5.387812980487211E-3"/>
    <n v="2.9028528712706483E-5"/>
    <x v="14"/>
    <n v="2.7699662E-2"/>
    <n v="0.51734590999999996"/>
    <n v="-3.0678923523681727E-2"/>
    <n v="9.6654912957487682E-2"/>
    <n v="9.0596111144576413E-2"/>
    <n v="6.0588018129112686E-3"/>
  </r>
  <r>
    <n v="28"/>
    <x v="2"/>
    <n v="-2.31569538527746"/>
    <n v="0.82329786502499036"/>
    <n v="0.88062210259469464"/>
    <n v="0.93609335917033476"/>
    <n v="0.50337795863083334"/>
    <n v="0.59823192276365766"/>
    <n v="0.71783979315031676"/>
    <n v="-11.51292546497023"/>
    <n v="0.72379967174414939"/>
    <n v="-2.0325922953629618"/>
    <n v="2.5228724955326638"/>
    <n v="2.445201977154551"/>
    <n v="-11.51292546497023"/>
    <n v="7.7670522034168243E-2"/>
    <n v="0"/>
    <n v="0"/>
    <n v="0"/>
    <n v="0"/>
    <n v="0"/>
    <n v="1"/>
    <n v="0"/>
    <n v="-2.2923519611358643"/>
    <n v="9.8697527326053053E-2"/>
    <n v="0.10102856694069573"/>
    <n v="-2.3310396146426771E-3"/>
    <n v="5.4337456850334804E-6"/>
    <x v="14"/>
    <n v="2.7699662E-2"/>
    <n v="0.51734590999999996"/>
    <n v="-1.2076625005049814E-2"/>
    <n v="0.10435214528546995"/>
    <n v="9.7810843372396247E-2"/>
    <n v="6.5413019130736993E-3"/>
  </r>
  <r>
    <n v="28"/>
    <x v="3"/>
    <n v="-2.2632473460036282"/>
    <n v="0.79294726563712226"/>
    <n v="0.82329786502499036"/>
    <n v="0.88062210259469464"/>
    <n v="0.42781351177192622"/>
    <n v="0.50337795863083334"/>
    <n v="0.59823192276365766"/>
    <n v="-11.51292546497023"/>
    <n v="0.72379967174414939"/>
    <n v="-1.9110700273691461"/>
    <n v="2.4555805739085121"/>
    <n v="2.512768039203535"/>
    <n v="-11.51292546497023"/>
    <n v="-5.7187464088201523E-2"/>
    <n v="0"/>
    <n v="0"/>
    <n v="0"/>
    <n v="0"/>
    <n v="0"/>
    <n v="1"/>
    <n v="0"/>
    <n v="-2.2368922233581543"/>
    <n v="0.10401217223132973"/>
    <n v="0.10678986826826534"/>
    <n v="-2.7776960369356035E-3"/>
    <n v="7.7155952736077584E-6"/>
    <x v="14"/>
    <n v="2.7699662E-2"/>
    <n v="0.51734590999999996"/>
    <n v="-1.3634714908184305E-2"/>
    <n v="0.11030297851386588"/>
    <n v="0.1033886493221023"/>
    <n v="6.9143291917635741E-3"/>
  </r>
  <r>
    <n v="28"/>
    <x v="4"/>
    <n v="-2.0708365835691378"/>
    <n v="0.75879446179580023"/>
    <n v="0.79294726563712226"/>
    <n v="0.82329786502499036"/>
    <n v="0.45691838969707999"/>
    <n v="0.42781351177192622"/>
    <n v="0.50337795863083334"/>
    <n v="-7.6279089783512841"/>
    <n v="0.72379967174414939"/>
    <n v="-1.8006353459649711"/>
    <n v="2.553395634518715"/>
    <n v="2.4383654624337199"/>
    <n v="-11.51292546497023"/>
    <n v="0.11503016948699951"/>
    <n v="0"/>
    <n v="0"/>
    <n v="0"/>
    <n v="0"/>
    <n v="0"/>
    <n v="1"/>
    <n v="0"/>
    <n v="-2.1175906658172607"/>
    <n v="0.12608026089804641"/>
    <n v="0.12032117348227232"/>
    <n v="5.7590874157740918E-3"/>
    <n v="3.3167087862527505E-5"/>
    <x v="14"/>
    <n v="2.7699662E-2"/>
    <n v="0.51734590999999996"/>
    <n v="2.4188033226870007E-2"/>
    <n v="0.12427942864428253"/>
    <n v="0.1164889873253943"/>
    <n v="7.7904413188882304E-3"/>
  </r>
  <r>
    <n v="28"/>
    <x v="5"/>
    <n v="-1.9463940161282189"/>
    <n v="0.74074615935922428"/>
    <n v="0.75879446179580023"/>
    <n v="0.79294726563712226"/>
    <n v="0.53397558366469022"/>
    <n v="0.45691838969707999"/>
    <n v="0.42781351177192622"/>
    <n v="-5.8530732691097702"/>
    <n v="0.72379967174414939"/>
    <n v="-1.702760661749307"/>
    <n v="2.5540383090066419"/>
    <n v="2.5364718745321961"/>
    <n v="-11.51292546497023"/>
    <n v="1.7566435039043427E-2"/>
    <n v="0"/>
    <n v="0"/>
    <n v="0"/>
    <n v="0"/>
    <n v="0"/>
    <n v="1"/>
    <n v="0"/>
    <n v="-2.0053169727325439"/>
    <n v="0.14278803571026966"/>
    <n v="0.13461761881767467"/>
    <n v="8.1704168925949838E-3"/>
    <n v="6.6755712198801473E-5"/>
    <x v="14"/>
    <n v="2.7699662E-2"/>
    <n v="0.51734590999999996"/>
    <n v="3.0483550604355026E-2"/>
    <n v="0.13904619002556018"/>
    <n v="0.13033009601204826"/>
    <n v="8.7160940135119214E-3"/>
  </r>
  <r>
    <n v="28"/>
    <x v="6"/>
    <n v="-1.8256375204588191"/>
    <n v="0.69129546719647095"/>
    <n v="0.74074615935922428"/>
    <n v="0.75879446179580023"/>
    <n v="0.508262341362826"/>
    <n v="0.53397558366469022"/>
    <n v="0.45691838969707999"/>
    <n v="-5.3522689495535296"/>
    <n v="0.72379967174414939"/>
    <n v="-1.617474890301374"/>
    <n v="2.5886088841378729"/>
    <n v="2.544017004796876"/>
    <n v="-11.51292546497023"/>
    <n v="4.4591877609491348E-2"/>
    <n v="0"/>
    <n v="0"/>
    <n v="0"/>
    <n v="0"/>
    <n v="0"/>
    <n v="1"/>
    <n v="0"/>
    <n v="-1.8773186206817627"/>
    <n v="0.16111489733839218"/>
    <n v="0.1529998067470367"/>
    <n v="8.1150905913554838E-3"/>
    <n v="6.5854695305906299E-5"/>
    <x v="14"/>
    <n v="2.7699662E-2"/>
    <n v="0.51734590999999996"/>
    <n v="2.6737005824639951E-2"/>
    <n v="0.15803310435639101"/>
    <n v="0.14812681785861467"/>
    <n v="9.9062864977763343E-3"/>
  </r>
  <r>
    <n v="28"/>
    <x v="7"/>
    <n v="-1.789157529069664"/>
    <n v="0.68006194101128981"/>
    <n v="0.69129546719647095"/>
    <n v="0.74074615935922428"/>
    <n v="0.53051059708238879"/>
    <n v="0.508262341362826"/>
    <n v="0.53397558366469022"/>
    <n v="-4.6031964212135046"/>
    <n v="0.72379967174414939"/>
    <n v="-1.578786139204712"/>
    <n v="2.5497142344349002"/>
    <n v="2.5492240521136251"/>
    <n v="-11.51292546497023"/>
    <n v="4.9018231220543385E-4"/>
    <n v="0"/>
    <n v="0"/>
    <n v="0"/>
    <n v="0"/>
    <n v="0"/>
    <n v="1"/>
    <n v="0"/>
    <n v="-1.8159003257751465"/>
    <n v="0.16710088802374862"/>
    <n v="0.1626913672014057"/>
    <n v="4.4095208223429161E-3"/>
    <n v="1.9443873882675746E-5"/>
    <x v="14"/>
    <n v="2.7699662E-2"/>
    <n v="0.51734590999999996"/>
    <n v="1.3835276497542855E-2"/>
    <n v="0.16804349206357178"/>
    <n v="0.15750970559365346"/>
    <n v="1.0533786469918316E-2"/>
  </r>
  <r>
    <n v="28"/>
    <x v="8"/>
    <n v="-1.705889690029134"/>
    <n v="0.63853258728672235"/>
    <n v="0.68006194101128981"/>
    <n v="0.69129546719647095"/>
    <n v="0.47642049704181327"/>
    <n v="0.53051059708238879"/>
    <n v="0.508262341362826"/>
    <n v="-3.94387044886727"/>
    <n v="0.72379967174414939"/>
    <n v="-1.5149088590435631"/>
    <n v="2.522045503632826"/>
    <n v="2.538882544445884"/>
    <n v="-11.51292546497023"/>
    <n v="-1.6837039962410927E-2"/>
    <n v="0"/>
    <n v="0"/>
    <n v="0"/>
    <n v="0"/>
    <n v="0"/>
    <n v="1"/>
    <n v="0"/>
    <n v="-1.743040919303894"/>
    <n v="0.18161073701530112"/>
    <n v="0.17498746795581938"/>
    <n v="6.6232690594817401E-3"/>
    <n v="4.3867693034288132E-5"/>
    <x v="14"/>
    <n v="2.7699662E-2"/>
    <n v="0.51734590999999996"/>
    <n v="1.9220036516769352E-2"/>
    <n v="0.18074410270494168"/>
    <n v="0.16941417995571328"/>
    <n v="1.1329922749228394E-2"/>
  </r>
  <r>
    <n v="28"/>
    <x v="9"/>
    <n v="-1.7474812573818881"/>
    <n v="0.67365850397608285"/>
    <n v="0.63853258728672235"/>
    <n v="0.68006194101128981"/>
    <n v="0.43333964487414411"/>
    <n v="0.47642049704181327"/>
    <n v="0.53051059708238879"/>
    <n v="-3.556658363383113"/>
    <n v="0.72379967174414939"/>
    <n v="-1.4676281744427999"/>
    <n v="2.46715852785516"/>
    <n v="2.511574621450873"/>
    <n v="-11.51292546497023"/>
    <n v="-4.4416092336177826E-2"/>
    <n v="1"/>
    <n v="0"/>
    <n v="0"/>
    <n v="0"/>
    <n v="0"/>
    <n v="1"/>
    <n v="0"/>
    <n v="-1.8003939390182495"/>
    <n v="0.17421218696735563"/>
    <n v="0.16523378336435651"/>
    <n v="8.9784036029991188E-3"/>
    <n v="8.0611731258347554E-5"/>
    <x v="14"/>
    <n v="2.7699662E-2"/>
    <n v="0.51734590999999996"/>
    <n v="2.7374159431703689E-2"/>
    <n v="0.17066954713736202"/>
    <n v="0.15997114671503254"/>
    <n v="1.0698400422329474E-2"/>
  </r>
  <r>
    <n v="28"/>
    <x v="10"/>
    <n v="-1.7385889625078721"/>
    <n v="0.70066882195879143"/>
    <n v="0.67365850397608285"/>
    <n v="0.63853258728672235"/>
    <n v="0.54197539275820672"/>
    <n v="0.43333964487414411"/>
    <n v="0.47642049704181327"/>
    <n v="-3.248337093668606"/>
    <n v="0.72379967174414939"/>
    <n v="-1.43682327519625"/>
    <n v="2.3873947918417349"/>
    <n v="2.457026066451129"/>
    <n v="-11.51292546497023"/>
    <n v="-6.9631271064281464E-2"/>
    <n v="1"/>
    <n v="0"/>
    <n v="0"/>
    <n v="0"/>
    <n v="0"/>
    <n v="1"/>
    <n v="0"/>
    <n v="-1.7709906101226807"/>
    <n v="0.17576824129802582"/>
    <n v="0.17016433878946041"/>
    <n v="5.6039025085654059E-3"/>
    <n v="3.1403723325505649E-5"/>
    <x v="14"/>
    <n v="2.7699662E-2"/>
    <n v="0.51734590999999996"/>
    <n v="1.6762859870782468E-2"/>
    <n v="0.17576230507344681"/>
    <n v="0.16474466572086824"/>
    <n v="1.1017639352578573E-2"/>
  </r>
  <r>
    <n v="28"/>
    <x v="11"/>
    <n v="-1.740456109842007"/>
    <n v="0.67970726819324312"/>
    <n v="0.70066882195879143"/>
    <n v="0.67365850397608285"/>
    <n v="0.5192698705486537"/>
    <n v="0.54197539275820672"/>
    <n v="0.43333964487414411"/>
    <n v="-2.623496262158679"/>
    <n v="0.72379967174414939"/>
    <n v="-1.4074115617086631"/>
    <n v="2.3876248847915611"/>
    <n v="2.3775846494733259"/>
    <n v="-11.51292546497023"/>
    <n v="1.0040235705673695E-2"/>
    <n v="1"/>
    <n v="0"/>
    <n v="0"/>
    <n v="0"/>
    <n v="0"/>
    <n v="1"/>
    <n v="0"/>
    <n v="-1.7370442152023315"/>
    <n v="0.1754403622893245"/>
    <n v="0.17603996863617327"/>
    <n v="-5.9960634684877445E-4"/>
    <n v="3.5952777118133282E-7"/>
    <x v="14"/>
    <n v="2.7699662E-2"/>
    <n v="0.51734590999999996"/>
    <n v="-1.7651297371870465E-3"/>
    <n v="0.18183122793333195"/>
    <n v="0.17043315886744886"/>
    <n v="1.1398069065883087E-2"/>
  </r>
  <r>
    <n v="28"/>
    <x v="12"/>
    <n v="-1.8173717630980011"/>
    <n v="0.81801616260581456"/>
    <n v="0.67970726819324312"/>
    <n v="0.70066882195879143"/>
    <n v="0.5875088485369484"/>
    <n v="0.5192698705486537"/>
    <n v="0.54197539275820672"/>
    <n v="-2.186010896709349"/>
    <n v="0.72379967174414939"/>
    <n v="-1.365776873222653"/>
    <n v="2.3795529648176008"/>
    <n v="2.3919205941178721"/>
    <n v="3.2580965380214821"/>
    <n v="-1.2367629446089268E-2"/>
    <n v="1"/>
    <n v="0"/>
    <n v="0"/>
    <n v="0"/>
    <n v="0"/>
    <n v="1"/>
    <n v="0"/>
    <n v="-1.8120787143707275"/>
    <n v="0.16245215308904662"/>
    <n v="0.16331429993096885"/>
    <n v="-8.6214684192223445E-4"/>
    <n v="7.4329717703648231E-7"/>
    <x v="14"/>
    <n v="2.7699662E-2"/>
    <n v="0.51734590999999996"/>
    <n v="-2.7383371104856718E-3"/>
    <n v="0.16868691766750621"/>
    <n v="0.15811279813953313"/>
    <n v="1.0574119527973075E-2"/>
  </r>
  <r>
    <n v="28"/>
    <x v="13"/>
    <n v="-1.7997144227063051"/>
    <n v="0.76899649284338312"/>
    <n v="0.81801616260581456"/>
    <n v="0.67970726819324312"/>
    <n v="0.53672726128864368"/>
    <n v="0.5875088485369484"/>
    <n v="0.5192698705486537"/>
    <n v="-1.4466780057683979"/>
    <n v="0.72379967174414939"/>
    <n v="-1.3360778215868709"/>
    <n v="2.390909843085292"/>
    <n v="2.370644021391632"/>
    <n v="5.393627546352362"/>
    <n v="2.0265821367502213E-2"/>
    <n v="1"/>
    <n v="0"/>
    <n v="0"/>
    <n v="0"/>
    <n v="0"/>
    <n v="1"/>
    <n v="0"/>
    <n v="-1.7774075269699097"/>
    <n v="0.16534610057180238"/>
    <n v="0.16907590430871652"/>
    <n v="-3.7298037369141446E-3"/>
    <n v="1.3911435915898717E-5"/>
    <x v="14"/>
    <n v="2.7699662E-2"/>
    <n v="0.51734590999999996"/>
    <n v="-1.1540381274020618E-2"/>
    <n v="0.17463806391564662"/>
    <n v="0.16369089748737792"/>
    <n v="1.0947166428268706E-2"/>
  </r>
  <r>
    <n v="28"/>
    <x v="14"/>
    <n v="-1.869611748696973"/>
    <n v="0.731598366934198"/>
    <n v="0.76899649284338312"/>
    <n v="0.81801616260581456"/>
    <n v="0.50675735959003665"/>
    <n v="0.53672726128864368"/>
    <n v="0.5875088485369484"/>
    <n v="-0.86432792504382172"/>
    <n v="0.72379967174414939"/>
    <n v="-1.3133711893383231"/>
    <n v="2.3354626018328828"/>
    <n v="2.3821925506135671"/>
    <n v="5.9914645471079817"/>
    <n v="-4.6729948371648788E-2"/>
    <n v="1"/>
    <n v="1"/>
    <n v="0"/>
    <n v="0"/>
    <n v="0"/>
    <n v="1"/>
    <n v="0"/>
    <n v="-1.8777117729187012"/>
    <n v="0.15418351214539097"/>
    <n v="0.15293966635370268"/>
    <n v="1.2438457916882917E-3"/>
    <n v="1.5471523535006732E-6"/>
    <x v="14"/>
    <n v="2.7699662E-2"/>
    <n v="0.51734590999999996"/>
    <n v="4.1905144020120038E-3"/>
    <n v="0.1579709854997868"/>
    <n v="0.14806859291520635"/>
    <n v="9.9023925845804495E-3"/>
  </r>
  <r>
    <n v="28"/>
    <x v="15"/>
    <n v="-1.8545011063658161"/>
    <n v="0.91091631553670016"/>
    <n v="0.731598366934198"/>
    <n v="0.76899649284338312"/>
    <n v="0.73063562497093693"/>
    <n v="0.50675735959003665"/>
    <n v="0.53672726128864368"/>
    <n v="-0.30543162233801641"/>
    <n v="0.72379967174414939"/>
    <n v="-1.2881167267698941"/>
    <n v="2.3372132310973339"/>
    <n v="2.3270233200535411"/>
    <n v="6.6846117276679271"/>
    <n v="1.0189911350607872E-2"/>
    <n v="1"/>
    <n v="0"/>
    <n v="0"/>
    <n v="0"/>
    <n v="0"/>
    <n v="1"/>
    <n v="0"/>
    <n v="-1.8268163204193115"/>
    <n v="0.15653101552550935"/>
    <n v="0.16092508699996422"/>
    <n v="-4.3940714744548637E-3"/>
    <n v="1.930786412261794E-5"/>
    <x v="14"/>
    <n v="2.7699662E-2"/>
    <n v="0.51734590999999996"/>
    <n v="-1.4322610778649625E-2"/>
    <n v="0.166219105815434"/>
    <n v="0.15579968078219225"/>
    <n v="1.0419425033241753E-2"/>
  </r>
  <r>
    <n v="28"/>
    <x v="16"/>
    <n v="-1.812582902906464"/>
    <n v="0.89833040649716212"/>
    <n v="0.91091631553670016"/>
    <n v="0.731598366934198"/>
    <n v="0.68868724983785201"/>
    <n v="0.73063562497093693"/>
    <n v="0.50675735959003665"/>
    <n v="0.17654301594946539"/>
    <n v="0.72379967174414939"/>
    <n v="-1.255833566226364"/>
    <n v="2.3559957060864791"/>
    <n v="2.3372132310973339"/>
    <n v="8.0551577318196781"/>
    <n v="1.8782474100589752E-2"/>
    <n v="1"/>
    <n v="0"/>
    <n v="0"/>
    <n v="0"/>
    <n v="0"/>
    <n v="1"/>
    <n v="0"/>
    <n v="-1.7981840372085571"/>
    <n v="0.16323197948747764"/>
    <n v="0.16559933757191778"/>
    <n v="-2.3673580844401354E-3"/>
    <n v="5.6043842999640675E-6"/>
    <x v="14"/>
    <n v="2.7699662E-2"/>
    <n v="0.51734590999999996"/>
    <n v="-7.4491942774513919E-3"/>
    <n v="0.17104712713213258"/>
    <n v="0.16032505815238751"/>
    <n v="1.0722068979745064E-2"/>
  </r>
  <r>
    <n v="28"/>
    <x v="17"/>
    <n v="-1.719655696902602"/>
    <n v="0.77094120799996546"/>
    <n v="0.89833040649716212"/>
    <n v="0.91091631553670016"/>
    <n v="0.53203902016518811"/>
    <n v="0.68868724983785201"/>
    <n v="0.73063562497093693"/>
    <n v="0.69230268383448001"/>
    <n v="0.72379967174414939"/>
    <n v="-1.2171116995767179"/>
    <n v="2.3639908490931592"/>
    <n v="2.3559957060864791"/>
    <n v="8.4658998970286863"/>
    <n v="7.9951426014304161E-3"/>
    <n v="1"/>
    <n v="0"/>
    <n v="0"/>
    <n v="0"/>
    <n v="0"/>
    <n v="1"/>
    <n v="0"/>
    <n v="-1.7498687505722046"/>
    <n v="0.17912781155574098"/>
    <n v="0.17379675267790504"/>
    <n v="5.3310588778359425E-3"/>
    <n v="2.8420188758953416E-5"/>
    <x v="14"/>
    <n v="2.7699662E-2"/>
    <n v="0.51734590999999996"/>
    <n v="1.5630599744579386E-2"/>
    <n v="0.17951421597649303"/>
    <n v="0.16826138853170383"/>
    <n v="1.1252827444789198E-2"/>
  </r>
  <r>
    <n v="29"/>
    <x v="0"/>
    <n v="-2.629085297957777"/>
    <n v="0.97077891715822484"/>
    <n v="0.89379969403862336"/>
    <n v="0.85637086166195941"/>
    <n v="0.62057648772510998"/>
    <n v="0.56741387509418195"/>
    <n v="0.49834810225487802"/>
    <n v="-11.51292546497023"/>
    <n v="1.382848308078898"/>
    <n v="-2.5561013264933559"/>
    <n v="2.220044820524175"/>
    <n v="2.2087085512740452"/>
    <n v="-11.51292546497023"/>
    <n v="1.1336268857121468E-2"/>
    <n v="0"/>
    <n v="0"/>
    <n v="0"/>
    <n v="0"/>
    <n v="0"/>
    <n v="1"/>
    <n v="0"/>
    <n v="-2.8220891952514648"/>
    <n v="7.214442271786968E-2"/>
    <n v="5.9481544248056843E-2"/>
    <n v="1.2662878469812837E-2"/>
    <n v="1.6034849114124949E-4"/>
    <x v="15"/>
    <n v="4.8521090000000003E-2"/>
    <n v="0.869367"/>
    <n v="9.5376156019928576E-2"/>
    <n v="6.5618241019826884E-2"/>
    <n v="5.3918758734549183E-2"/>
    <n v="1.1699482285277701E-2"/>
  </r>
  <r>
    <n v="29"/>
    <x v="1"/>
    <n v="-2.6662463024562171"/>
    <n v="0.91573057501559185"/>
    <n v="0.97077891715822484"/>
    <n v="0.89379969403862336"/>
    <n v="0.48106720160171512"/>
    <n v="0.62057648772510998"/>
    <n v="0.56741387509418195"/>
    <n v="-11.51292546497023"/>
    <n v="1.382848308078898"/>
    <n v="-2.4598937520601778"/>
    <n v="2.274871646071611"/>
    <n v="2.2004386346696978"/>
    <n v="-11.51292546497023"/>
    <n v="7.4433013796806335E-2"/>
    <n v="0"/>
    <n v="0"/>
    <n v="0"/>
    <n v="0"/>
    <n v="0"/>
    <n v="1"/>
    <n v="0"/>
    <n v="-2.7677023410797119"/>
    <n v="6.9512665718848204E-2"/>
    <n v="6.2806146186837122E-2"/>
    <n v="6.7065195320110821E-3"/>
    <n v="4.4977404233246146E-5"/>
    <x v="15"/>
    <n v="4.8521090000000003E-2"/>
    <n v="0.869367"/>
    <n v="8.8202531929991834E-2"/>
    <n v="6.9285841349840074E-2"/>
    <n v="5.693243990392071E-2"/>
    <n v="1.2353401445919364E-2"/>
  </r>
  <r>
    <n v="29"/>
    <x v="2"/>
    <n v="-2.625445327537109"/>
    <n v="0.86221462167548391"/>
    <n v="0.91573057501559185"/>
    <n v="0.97077891715822484"/>
    <n v="0.4296372600791496"/>
    <n v="0.48106720160171512"/>
    <n v="0.62057648772510998"/>
    <n v="-11.51292546497023"/>
    <n v="1.382848308078898"/>
    <n v="-2.3518702232055779"/>
    <n v="2.2784234404880701"/>
    <n v="2.2556424136612621"/>
    <n v="-11.51292546497023"/>
    <n v="2.2781027480959892E-2"/>
    <n v="0"/>
    <n v="0"/>
    <n v="0"/>
    <n v="0"/>
    <n v="0"/>
    <n v="1"/>
    <n v="0"/>
    <n v="-2.7040789127349854"/>
    <n v="7.2407504797600192E-2"/>
    <n v="6.6931945625457526E-2"/>
    <n v="5.4755591721426661E-3"/>
    <n v="2.9981748247635679E-5"/>
    <x v="15"/>
    <n v="4.8521090000000003E-2"/>
    <n v="0.869367"/>
    <n v="6.8361444062722154E-2"/>
    <n v="7.3837298535178772E-2"/>
    <n v="6.0672389619926603E-2"/>
    <n v="1.3164908915252169E-2"/>
  </r>
  <r>
    <n v="29"/>
    <x v="3"/>
    <n v="-2.6286510813579991"/>
    <n v="0.82763436626869735"/>
    <n v="0.86221462167548391"/>
    <n v="0.91573057501559185"/>
    <n v="0.40499833251872053"/>
    <n v="0.4296372600791496"/>
    <n v="0.48106720160171512"/>
    <n v="-11.51292546497023"/>
    <n v="1.382848308078898"/>
    <n v="-2.232301838313691"/>
    <n v="2.3241325343923962"/>
    <n v="2.2691713952387511"/>
    <n v="-11.51292546497023"/>
    <n v="5.4961137473583221E-2"/>
    <n v="0"/>
    <n v="0"/>
    <n v="0"/>
    <n v="0"/>
    <n v="0"/>
    <n v="1"/>
    <n v="0"/>
    <n v="-2.6009092330932617"/>
    <n v="7.2175755825980695E-2"/>
    <n v="7.4206076910926191E-2"/>
    <n v="-2.0303210849454967E-3"/>
    <n v="4.1222037079742591E-6"/>
    <x v="15"/>
    <n v="4.8521090000000003E-2"/>
    <n v="0.869367"/>
    <n v="-2.4117847400369923E-2"/>
    <n v="8.1861900215141711E-2"/>
    <n v="6.7266235404242036E-2"/>
    <n v="1.4595664810899675E-2"/>
  </r>
  <r>
    <n v="29"/>
    <x v="4"/>
    <n v="-2.4232699220657108"/>
    <n v="0.7963804352015974"/>
    <n v="0.82763436626869735"/>
    <n v="0.86221462167548391"/>
    <n v="0.43067791057956828"/>
    <n v="0.40499833251872053"/>
    <n v="0.4296372600791496"/>
    <n v="-9.5727204406975037"/>
    <n v="1.382848308078898"/>
    <n v="-2.089347798874174"/>
    <n v="2.3747080676031711"/>
    <n v="2.342744810353603"/>
    <n v="-11.51292546497023"/>
    <n v="3.1963258981704712E-2"/>
    <n v="0"/>
    <n v="0"/>
    <n v="0"/>
    <n v="0"/>
    <n v="0"/>
    <n v="1"/>
    <n v="0"/>
    <n v="-2.4615674018859863"/>
    <n v="8.8631325574915917E-2"/>
    <n v="8.5301144955337652E-2"/>
    <n v="3.3301806195782657E-3"/>
    <n v="1.1090102959014682E-5"/>
    <x v="15"/>
    <n v="4.8521090000000003E-2"/>
    <n v="0.869367"/>
    <n v="3.3294565138913483E-2"/>
    <n v="9.4101643790618125E-2"/>
    <n v="7.7323679349127011E-2"/>
    <n v="1.6777964441491114E-2"/>
  </r>
  <r>
    <n v="29"/>
    <x v="5"/>
    <n v="-2.1830046985633729"/>
    <n v="0.74806141143733718"/>
    <n v="0.7963804352015974"/>
    <n v="0.82763436626869735"/>
    <n v="0.47840573250987939"/>
    <n v="0.43067791057956828"/>
    <n v="0.40499833251872053"/>
    <n v="-7.9443172550196612"/>
    <n v="1.382848308078898"/>
    <n v="-1.958855689807649"/>
    <n v="2.389706123292918"/>
    <n v="2.393673340847108"/>
    <n v="-11.51292546497023"/>
    <n v="-3.9672176353633404E-3"/>
    <n v="0"/>
    <n v="0"/>
    <n v="0"/>
    <n v="0"/>
    <n v="0"/>
    <n v="1"/>
    <n v="0"/>
    <n v="-2.2967362403869629"/>
    <n v="0.11270238468657003"/>
    <n v="0.10058659905416184"/>
    <n v="1.2115785632408185E-2"/>
    <n v="1.467922614904686E-4"/>
    <x v="15"/>
    <n v="4.8521090000000003E-2"/>
    <n v="0.869367"/>
    <n v="9.8874449320548979E-2"/>
    <n v="0.11096409455301429"/>
    <n v="9.1179619407869728E-2"/>
    <n v="1.9784475145144559E-2"/>
  </r>
  <r>
    <n v="29"/>
    <x v="6"/>
    <n v="-2.0402557814915272"/>
    <n v="0.6840055226426619"/>
    <n v="0.74806141143733718"/>
    <n v="0.7963804352015974"/>
    <n v="0.4263782296883713"/>
    <n v="0.47840573250987939"/>
    <n v="0.43067791057956828"/>
    <n v="-7.4798176430643304"/>
    <n v="1.382848308078898"/>
    <n v="-1.85830010033828"/>
    <n v="2.3993026863329461"/>
    <n v="2.384202106002494"/>
    <n v="-11.51292546497023"/>
    <n v="1.5100580640137196E-2"/>
    <n v="0"/>
    <n v="0"/>
    <n v="0"/>
    <n v="0"/>
    <n v="0"/>
    <n v="1"/>
    <n v="0"/>
    <n v="-2.1578717231750488"/>
    <n v="0.12999545619396377"/>
    <n v="0.11557082619205029"/>
    <n v="1.4424630001913477E-2"/>
    <n v="2.080699506921024E-4"/>
    <x v="15"/>
    <n v="4.8521090000000003E-2"/>
    <n v="0.869367"/>
    <n v="0.10225141837357815"/>
    <n v="0.1274942408405649"/>
    <n v="0.10476250361313119"/>
    <n v="2.2731737227433713E-2"/>
  </r>
  <r>
    <n v="29"/>
    <x v="7"/>
    <n v="-2.0463788297089032"/>
    <n v="0.68697819141441629"/>
    <n v="0.6840055226426619"/>
    <n v="0.74806141143733718"/>
    <n v="0.4287258016827164"/>
    <n v="0.4263782296883713"/>
    <n v="0.47840573250987939"/>
    <n v="-6.674304647002967"/>
    <n v="1.382848308078898"/>
    <n v="-1.828241575759683"/>
    <n v="2.382557656180655"/>
    <n v="2.3398182449075948"/>
    <n v="-11.51292546497023"/>
    <n v="4.2739409953355789E-2"/>
    <n v="0"/>
    <n v="0"/>
    <n v="0"/>
    <n v="0"/>
    <n v="0"/>
    <n v="1"/>
    <n v="0"/>
    <n v="-2.1151494979858398"/>
    <n v="0.12920191965813646"/>
    <n v="0.12061525646733345"/>
    <n v="8.5866631908030067E-3"/>
    <n v="7.3730784752291267E-5"/>
    <x v="15"/>
    <n v="4.8521090000000003E-2"/>
    <n v="0.869367"/>
    <n v="5.9786949567915609E-2"/>
    <n v="0.13305910378747898"/>
    <n v="0.10933517270578227"/>
    <n v="2.3723931081696709E-2"/>
  </r>
  <r>
    <n v="29"/>
    <x v="8"/>
    <n v="-1.953292082765113"/>
    <n v="0.66541620682163427"/>
    <n v="0.68697819141441629"/>
    <n v="0.6840055226426619"/>
    <n v="0.42304304038223289"/>
    <n v="0.4287258016827164"/>
    <n v="0.4263782296883713"/>
    <n v="-5.9866087636928187"/>
    <n v="1.382848308078898"/>
    <n v="-1.7551732524677071"/>
    <n v="2.3906489800003539"/>
    <n v="2.3771063589308312"/>
    <n v="-11.51292546497023"/>
    <n v="1.3542621396481991E-2"/>
    <n v="0"/>
    <n v="0"/>
    <n v="0"/>
    <n v="0"/>
    <n v="0"/>
    <n v="1"/>
    <n v="0"/>
    <n v="-2.0411107540130615"/>
    <n v="0.14180646369178704"/>
    <n v="0.12988436114936616"/>
    <n v="1.1922102542420876E-2"/>
    <n v="1.4213652903199831E-4"/>
    <x v="15"/>
    <n v="4.8521090000000003E-2"/>
    <n v="0.869367"/>
    <n v="7.634665476681525E-2"/>
    <n v="0.14328449979480434"/>
    <n v="0.11773741957670357"/>
    <n v="2.5547080218100773E-2"/>
  </r>
  <r>
    <n v="29"/>
    <x v="9"/>
    <n v="-2.0032879398494932"/>
    <n v="0.71720544565301625"/>
    <n v="0.66541620682163427"/>
    <n v="0.68697819141441629"/>
    <n v="0.40653120629016198"/>
    <n v="0.42304304038223289"/>
    <n v="0.4287258016827164"/>
    <n v="-5.5349254626655782"/>
    <n v="1.382848308078898"/>
    <n v="-1.701241367198965"/>
    <n v="2.4027409948229188"/>
    <n v="2.3855738785318512"/>
    <n v="-11.51292546497023"/>
    <n v="1.7167115584015846E-2"/>
    <n v="1"/>
    <n v="0"/>
    <n v="0"/>
    <n v="0"/>
    <n v="0"/>
    <n v="1"/>
    <n v="0"/>
    <n v="-2.0975210666656494"/>
    <n v="0.13489103968905766"/>
    <n v="0.12276036614021955"/>
    <n v="1.2130673548838108E-2"/>
    <n v="1.4715324074848055E-4"/>
    <x v="15"/>
    <n v="4.8521090000000003E-2"/>
    <n v="0.869367"/>
    <n v="8.1923170760781316E-2"/>
    <n v="0.13542552391508017"/>
    <n v="0.11127966914368825"/>
    <n v="2.4145854771391917E-2"/>
  </r>
  <r>
    <n v="29"/>
    <x v="10"/>
    <n v="-1.933059323500631"/>
    <n v="0.72750029693160778"/>
    <n v="0.71720544565301625"/>
    <n v="0.66541620682163427"/>
    <n v="0.49968378334714619"/>
    <n v="0.40653120629016198"/>
    <n v="0.42304304038223289"/>
    <n v="-5.1681671805886298"/>
    <n v="1.382848308078898"/>
    <n v="-1.6646193261471509"/>
    <n v="2.374399034037272"/>
    <n v="2.3979357204673888"/>
    <n v="-11.51292546497023"/>
    <n v="-2.3536685854196548E-2"/>
    <n v="1"/>
    <n v="0"/>
    <n v="0"/>
    <n v="0"/>
    <n v="0"/>
    <n v="1"/>
    <n v="0"/>
    <n v="-2.0539631843566895"/>
    <n v="0.144704821751171"/>
    <n v="0.12822571310610148"/>
    <n v="1.6479108645069518E-2"/>
    <n v="2.7156102173600495E-4"/>
    <x v="15"/>
    <n v="4.8521090000000003E-2"/>
    <n v="0.869367"/>
    <n v="0.10510982680084895"/>
    <n v="0.14145472942744269"/>
    <n v="0.11623389029210127"/>
    <n v="2.5220839135341427E-2"/>
  </r>
  <r>
    <n v="29"/>
    <x v="11"/>
    <n v="-1.9193188007571429"/>
    <n v="0.7089220996753075"/>
    <n v="0.72750029693160778"/>
    <n v="0.71720544565301625"/>
    <n v="0.47393339758158343"/>
    <n v="0.49968378334714619"/>
    <n v="0.40653120629016198"/>
    <n v="-4.5386425007829434"/>
    <n v="1.382848308078898"/>
    <n v="-1.631185817633853"/>
    <n v="2.371774908255234"/>
    <n v="2.369965404673338"/>
    <n v="-11.51292546497023"/>
    <n v="1.8095035338774323E-3"/>
    <n v="1"/>
    <n v="0"/>
    <n v="0"/>
    <n v="0"/>
    <n v="0"/>
    <n v="1"/>
    <n v="0"/>
    <n v="-2.0276730060577393"/>
    <n v="0.1467068647048668"/>
    <n v="0.13164149397099381"/>
    <n v="1.5065370733872985E-2"/>
    <n v="2.2696539534903664E-4"/>
    <x v="15"/>
    <n v="4.8521090000000003E-2"/>
    <n v="0.869367"/>
    <n v="9.4199570399563559E-2"/>
    <n v="0.14522291559168707"/>
    <n v="0.11933022322481993"/>
    <n v="2.5892692366867143E-2"/>
  </r>
  <r>
    <n v="29"/>
    <x v="12"/>
    <n v="-1.996961763344304"/>
    <n v="0.83815620246992029"/>
    <n v="0.7089220996753075"/>
    <n v="0.72750029693160778"/>
    <n v="0.55267748778855108"/>
    <n v="0.47393339758158343"/>
    <n v="0.49968378334714619"/>
    <n v="-4.0122476160696179"/>
    <n v="1.382848308078898"/>
    <n v="-1.556783547043304"/>
    <n v="2.426238079922038"/>
    <n v="2.407049240281895"/>
    <n v="3.2580965380214821"/>
    <n v="1.9188839942216873E-2"/>
    <n v="1"/>
    <n v="0"/>
    <n v="0"/>
    <n v="0"/>
    <n v="0"/>
    <n v="1"/>
    <n v="0"/>
    <n v="-2.0615553855895996"/>
    <n v="0.13574708912003863"/>
    <n v="0.12725588391668155"/>
    <n v="8.4912052033570828E-3"/>
    <n v="7.2100565805518395E-5"/>
    <x v="15"/>
    <n v="4.8521090000000003E-2"/>
    <n v="0.869367"/>
    <n v="5.6155563590525932E-2"/>
    <n v="0.14038484319123426"/>
    <n v="0.11535476069418799"/>
    <n v="2.5030082497046274E-2"/>
  </r>
  <r>
    <n v="29"/>
    <x v="13"/>
    <n v="-1.984798248808102"/>
    <n v="0.80482271445053444"/>
    <n v="0.83815620246992029"/>
    <n v="0.7089220996753075"/>
    <n v="0.52514264436078373"/>
    <n v="0.55267748778855108"/>
    <n v="0.47393339758158343"/>
    <n v="-3.2992086291733882"/>
    <n v="1.382848308078898"/>
    <n v="-1.51963451544666"/>
    <n v="2.404954967805796"/>
    <n v="2.4221656058195919"/>
    <n v="5.393627546352362"/>
    <n v="-1.7210638150572777E-2"/>
    <n v="1"/>
    <n v="0"/>
    <n v="0"/>
    <n v="0"/>
    <n v="0"/>
    <n v="1"/>
    <n v="0"/>
    <n v="-2.0312151908874512"/>
    <n v="0.13740833361572297"/>
    <n v="0.13117602035158002"/>
    <n v="6.2323132641429468E-3"/>
    <n v="3.884172862241211E-5"/>
    <x v="15"/>
    <n v="4.8521090000000003E-2"/>
    <n v="0.869367"/>
    <n v="4.0353357684697583E-2"/>
    <n v="0.14470941916967608"/>
    <n v="0.11890828125778213"/>
    <n v="2.5801137911893951E-2"/>
  </r>
  <r>
    <n v="29"/>
    <x v="14"/>
    <n v="-2.009730139541797"/>
    <n v="0.71564225838731621"/>
    <n v="0.80482271445053444"/>
    <n v="0.83815620246992029"/>
    <n v="0.44846073856926022"/>
    <n v="0.52514264436078373"/>
    <n v="0.55267748778855108"/>
    <n v="-2.6836124481892152"/>
    <n v="1.382848308078898"/>
    <n v="-1.488372962634988"/>
    <n v="2.3787451024793471"/>
    <n v="2.4010916840211798"/>
    <n v="5.9914645471079817"/>
    <n v="-2.2346582263708115E-2"/>
    <n v="1"/>
    <n v="1"/>
    <n v="0"/>
    <n v="0"/>
    <n v="0"/>
    <n v="1"/>
    <n v="0"/>
    <n v="-2.0839333534240723"/>
    <n v="0.1340248377932243"/>
    <n v="0.12443978266929231"/>
    <n v="9.5850551239319848E-3"/>
    <n v="9.187328172881479E-5"/>
    <x v="15"/>
    <n v="4.8521090000000003E-2"/>
    <n v="0.869367"/>
    <n v="6.4509825443191976E-2"/>
    <n v="0.13727820544799074"/>
    <n v="0.11280202462034263"/>
    <n v="2.4476180827648117E-2"/>
  </r>
  <r>
    <n v="29"/>
    <x v="15"/>
    <n v="-1.982345753960298"/>
    <n v="0.92115886327101559"/>
    <n v="0.71564225838731621"/>
    <n v="0.80482271445053444"/>
    <n v="0.71402765813930047"/>
    <n v="0.44846073856926022"/>
    <n v="0.52514264436078373"/>
    <n v="-2.1038461798426962"/>
    <n v="1.382848308078898"/>
    <n v="-1.4567183066990961"/>
    <n v="2.396453340283081"/>
    <n v="2.3750915250900881"/>
    <n v="6.6846117276679271"/>
    <n v="2.1361814811825752E-2"/>
    <n v="1"/>
    <n v="0"/>
    <n v="0"/>
    <n v="0"/>
    <n v="0"/>
    <n v="1"/>
    <n v="0"/>
    <n v="-2.0373992919921875"/>
    <n v="0.13774574042106913"/>
    <n v="0.13036731770594451"/>
    <n v="7.3784227151246218E-3"/>
    <n v="5.4441121763066998E-5"/>
    <x v="15"/>
    <n v="4.8521090000000003E-2"/>
    <n v="0.869367"/>
    <n v="4.7861729198169681E-2"/>
    <n v="0.14381728286444867"/>
    <n v="0.11817520945560818"/>
    <n v="2.5642073408840491E-2"/>
  </r>
  <r>
    <n v="29"/>
    <x v="16"/>
    <n v="-1.9422258804690751"/>
    <n v="0.96202862354800878"/>
    <n v="0.92115886327101559"/>
    <n v="0.71564225838731621"/>
    <n v="0.7067541839661623"/>
    <n v="0.71402765813930047"/>
    <n v="0.44846073856926022"/>
    <n v="-1.589961781570379"/>
    <n v="1.382848308078898"/>
    <n v="-1.422763275197988"/>
    <n v="2.44692431473355"/>
    <n v="2.396453340283081"/>
    <n v="8.0551577318196781"/>
    <n v="5.0470974296331406E-2"/>
    <n v="1"/>
    <n v="0"/>
    <n v="0"/>
    <n v="0"/>
    <n v="0"/>
    <n v="1"/>
    <n v="0"/>
    <n v="-2.0305976867675781"/>
    <n v="0.14338443769233872"/>
    <n v="0.13125704709917618"/>
    <n v="1.2127390593162535E-2"/>
    <n v="1.4707360259912712E-4"/>
    <x v="15"/>
    <n v="4.8521090000000003E-2"/>
    <n v="0.869367"/>
    <n v="7.6827532126310702E-2"/>
    <n v="0.14479880542754869"/>
    <n v="0.11898173028655086"/>
    <n v="2.5817075140997833E-2"/>
  </r>
  <r>
    <n v="29"/>
    <x v="17"/>
    <n v="-1.8582235971545269"/>
    <n v="0.80083498597686265"/>
    <n v="0.96202862354800878"/>
    <n v="0.92115886327101559"/>
    <n v="0.52063733114998356"/>
    <n v="0.7067541839661623"/>
    <n v="0.71402765813930047"/>
    <n v="-1.0645828863943529"/>
    <n v="1.382848308078898"/>
    <n v="-1.3833903952551321"/>
    <n v="2.4646368850346452"/>
    <n v="2.44692431473355"/>
    <n v="8.4658998970286863"/>
    <n v="1.771257072687149E-2"/>
    <n v="1"/>
    <n v="0"/>
    <n v="0"/>
    <n v="0"/>
    <n v="0"/>
    <n v="1"/>
    <n v="0"/>
    <n v="-1.9701449871063232"/>
    <n v="0.15594941343787688"/>
    <n v="0.13943663823472002"/>
    <n v="1.651277520315686E-2"/>
    <n v="2.7267174490999208E-4"/>
    <x v="15"/>
    <n v="4.8521090000000003E-2"/>
    <n v="0.869367"/>
    <n v="9.7300763018223338E-2"/>
    <n v="0.15382228303494605"/>
    <n v="0.12639635622742079"/>
    <n v="2.7425926807525258E-2"/>
  </r>
  <r>
    <n v="31"/>
    <x v="0"/>
    <n v="-1.976825740702415"/>
    <n v="0.91228271047661635"/>
    <n v="0.84629736005362011"/>
    <n v="0.80897274606553571"/>
    <n v="0.64710324205853842"/>
    <n v="0.48199395709728798"/>
    <n v="0.38635024424848219"/>
    <n v="-11.51292546497023"/>
    <n v="1.665048632597683"/>
    <n v="-1.6316084705918179"/>
    <n v="2.688340792759726"/>
    <n v="2.632573684932809"/>
    <n v="-11.51292546497023"/>
    <n v="5.5767107754945755E-2"/>
    <n v="0"/>
    <n v="0"/>
    <n v="0"/>
    <n v="0"/>
    <n v="1"/>
    <n v="0"/>
    <n v="0"/>
    <n v="-2.1133871078491211"/>
    <n v="0.13850820119515242"/>
    <n v="0.12082801503239822"/>
    <n v="1.76801861627542E-2"/>
    <n v="3.1258898274964505E-4"/>
    <x v="16"/>
    <n v="5.9558894000000001E-2"/>
    <n v="0.8888064"/>
    <n v="6.2583734430315494E-2"/>
    <n v="0.13759700504896236"/>
    <n v="0.10610266707094688"/>
    <n v="3.1494337978015471E-2"/>
  </r>
  <r>
    <n v="31"/>
    <x v="1"/>
    <n v="-1.939408501019503"/>
    <n v="0.85654072746838106"/>
    <n v="0.91228271047661635"/>
    <n v="0.84629736005362011"/>
    <n v="0.48106720160171512"/>
    <n v="0.64710324205853842"/>
    <n v="0.48199395709728798"/>
    <n v="-11.51292546497023"/>
    <n v="1.665048632597683"/>
    <n v="-1.543054838681122"/>
    <n v="2.7388937262800388"/>
    <n v="2.6788704738218438"/>
    <n v="-11.51292546497023"/>
    <n v="6.0023251920938492E-2"/>
    <n v="0"/>
    <n v="0"/>
    <n v="0"/>
    <n v="0"/>
    <n v="1"/>
    <n v="0"/>
    <n v="0"/>
    <n v="-2.0539278984069824"/>
    <n v="0.14378897566137255"/>
    <n v="0.12823023775199302"/>
    <n v="1.5558737909379533E-2"/>
    <n v="2.4207432533276379E-4"/>
    <x v="16"/>
    <n v="5.9558894000000001E-2"/>
    <n v="0.8888064"/>
    <n v="0.10178557332213498"/>
    <n v="0.14602653752657965"/>
    <n v="0.11260277859385466"/>
    <n v="3.3423758932724992E-2"/>
  </r>
  <r>
    <n v="31"/>
    <x v="2"/>
    <n v="-1.914953380717666"/>
    <n v="0.79511695414366257"/>
    <n v="0.85654072746838106"/>
    <n v="0.91228271047661635"/>
    <n v="0.38764052319561237"/>
    <n v="0.48106720160171512"/>
    <n v="0.64710324205853842"/>
    <n v="-11.51292546497023"/>
    <n v="1.665048632597683"/>
    <n v="-1.447732346433706"/>
    <n v="2.7930546671945402"/>
    <n v="2.7295122535389189"/>
    <n v="-11.51292546497023"/>
    <n v="6.3542410731315613E-2"/>
    <n v="0"/>
    <n v="0"/>
    <n v="0"/>
    <n v="0"/>
    <n v="1"/>
    <n v="0"/>
    <n v="0"/>
    <n v="-1.9895919561386108"/>
    <n v="0.14734870171677061"/>
    <n v="0.13675121455618489"/>
    <n v="1.0597487160585728E-2"/>
    <n v="1.1230673411877935E-4"/>
    <x v="16"/>
    <n v="5.9558894000000001E-2"/>
    <n v="0.8888064"/>
    <n v="6.6339243521018498E-2"/>
    <n v="0.15573008920732273"/>
    <n v="0.12008530129135994"/>
    <n v="3.5644787915962789E-2"/>
  </r>
  <r>
    <n v="31"/>
    <x v="3"/>
    <n v="-1.896107555932413"/>
    <n v="0.74881837793040629"/>
    <n v="0.79511695414366257"/>
    <n v="0.85654072746838106"/>
    <n v="0.35760451175666452"/>
    <n v="0.38764052319561237"/>
    <n v="0.48106720160171512"/>
    <n v="-9.905169387458578"/>
    <n v="1.665048632597683"/>
    <n v="-1.365071522325926"/>
    <n v="2.7444865995273799"/>
    <n v="2.783847588516756"/>
    <n v="-11.51292546497023"/>
    <n v="-3.9360988885164261E-2"/>
    <n v="0"/>
    <n v="0"/>
    <n v="0"/>
    <n v="0"/>
    <n v="1"/>
    <n v="0"/>
    <n v="0"/>
    <n v="-1.9315309524536133"/>
    <n v="0.15015194124489956"/>
    <n v="0.14492615350653829"/>
    <n v="5.2257877383612705E-3"/>
    <n v="2.7308857486407004E-5"/>
    <x v="16"/>
    <n v="5.9558894000000001E-2"/>
    <n v="0.8888064"/>
    <n v="3.1484541537780561E-2"/>
    <n v="0.16503957853167459"/>
    <n v="0.12726395787644154"/>
    <n v="3.7775620655233044E-2"/>
  </r>
  <r>
    <n v="31"/>
    <x v="4"/>
    <n v="-1.6874307470552039"/>
    <n v="0.7236763855947681"/>
    <n v="0.74881837793040629"/>
    <n v="0.79511695414366257"/>
    <n v="0.41462304589292998"/>
    <n v="0.35760451175666452"/>
    <n v="0.38764052319561237"/>
    <n v="-9.2043818049227788"/>
    <n v="1.665048632597683"/>
    <n v="-1.2660821794952271"/>
    <n v="2.8713640733960721"/>
    <n v="2.7521270015036121"/>
    <n v="-11.51292546497023"/>
    <n v="0.11923707276582718"/>
    <n v="0"/>
    <n v="0"/>
    <n v="0"/>
    <n v="0"/>
    <n v="1"/>
    <n v="0"/>
    <n v="0"/>
    <n v="-1.792374849319458"/>
    <n v="0.18499421085757325"/>
    <n v="0.16656413486934857"/>
    <n v="1.8430075988224687E-2"/>
    <n v="3.3966770093173614E-4"/>
    <x v="16"/>
    <n v="5.9558894000000001E-2"/>
    <n v="0.8888064"/>
    <n v="9.3274989734723535E-2"/>
    <n v="0.18968056456483615"/>
    <n v="0.1462649116867811"/>
    <n v="4.3415652878055044E-2"/>
  </r>
  <r>
    <n v="31"/>
    <x v="5"/>
    <n v="-1.571107417726038"/>
    <n v="0.76248665863855825"/>
    <n v="0.7236763855947681"/>
    <n v="0.74881837793040629"/>
    <n v="0.5019261405789579"/>
    <n v="0.41462304589292998"/>
    <n v="0.35760451175666452"/>
    <n v="-7.6926051806889442"/>
    <n v="1.665048632597683"/>
    <n v="-1.1720532749662791"/>
    <n v="2.9297951104025599"/>
    <n v="2.8790633008533519"/>
    <n v="-11.51292546497023"/>
    <n v="5.0731807947158813E-2"/>
    <n v="0"/>
    <n v="0"/>
    <n v="0"/>
    <n v="0"/>
    <n v="1"/>
    <n v="0"/>
    <n v="0"/>
    <n v="-1.7151821851730347"/>
    <n v="0.20781491695778653"/>
    <n v="0.17993093697796"/>
    <n v="2.7883979979826529E-2"/>
    <n v="7.7751633951536668E-4"/>
    <x v="16"/>
    <n v="5.9558894000000001E-2"/>
    <n v="0.8888064"/>
    <n v="0.1280545753854023"/>
    <n v="0.20490246435963064"/>
    <n v="0.15800269744410689"/>
    <n v="4.689976691552375E-2"/>
  </r>
  <r>
    <n v="31"/>
    <x v="6"/>
    <n v="-1.4934795514968711"/>
    <n v="0.71285176383428073"/>
    <n v="0.76248665863855825"/>
    <n v="0.7236763855947681"/>
    <n v="0.43580030790423729"/>
    <n v="0.5019261405789579"/>
    <n v="0.41462304589292998"/>
    <n v="-7.2571705350392399"/>
    <n v="1.665048632597683"/>
    <n v="-1.1022677043832061"/>
    <n v="2.9471360520100429"/>
    <n v="2.9233970037731618"/>
    <n v="-11.51292546497023"/>
    <n v="2.3739047348499298E-2"/>
    <n v="0"/>
    <n v="0"/>
    <n v="0"/>
    <n v="0"/>
    <n v="1"/>
    <n v="0"/>
    <n v="0"/>
    <n v="-1.6290228366851807"/>
    <n v="0.22458982252223236"/>
    <n v="0.19612112289100531"/>
    <n v="2.8468699631227057E-2"/>
    <n v="8.1046685869302752E-4"/>
    <x v="16"/>
    <n v="5.9558894000000001E-2"/>
    <n v="0.8888064"/>
    <n v="0.12047173935239477"/>
    <n v="0.22333958833475848"/>
    <n v="0.17221978033906277"/>
    <n v="5.111980799569571E-2"/>
  </r>
  <r>
    <n v="31"/>
    <x v="7"/>
    <n v="-1.4869349667615681"/>
    <n v="0.68355128688649835"/>
    <n v="0.71285176383428073"/>
    <n v="0.76248665863855825"/>
    <n v="0.35942116960675757"/>
    <n v="0.43580030790423729"/>
    <n v="0.5019261405789579"/>
    <n v="-6.4362162170172619"/>
    <n v="1.665048632597683"/>
    <n v="-1.0743911160916"/>
    <n v="2.9366529053581152"/>
    <n v="2.9106401381808178"/>
    <n v="-11.51292546497023"/>
    <n v="2.6012767106294632E-2"/>
    <n v="0"/>
    <n v="0"/>
    <n v="0"/>
    <n v="0"/>
    <n v="1"/>
    <n v="0"/>
    <n v="0"/>
    <n v="-1.6214196681976318"/>
    <n v="0.22606448992577993"/>
    <n v="0.19761794792806994"/>
    <n v="2.844654199770999E-2"/>
    <n v="8.0920575162747826E-4"/>
    <x v="16"/>
    <n v="5.9558894000000001E-2"/>
    <n v="0.8888064"/>
    <n v="0.11953086333846263"/>
    <n v="0.22504414867308042"/>
    <n v="0.17353418684097"/>
    <n v="5.1509961832110429E-2"/>
  </r>
  <r>
    <n v="31"/>
    <x v="8"/>
    <n v="-1.425130660492147"/>
    <n v="0.65206473545871535"/>
    <n v="0.68355128688649835"/>
    <n v="0.71285176383428073"/>
    <n v="0.34861252984868768"/>
    <n v="0.35942116960675757"/>
    <n v="0.43580030790423729"/>
    <n v="-5.7806517388186291"/>
    <n v="1.665048632597683"/>
    <n v="-1.0264351275750001"/>
    <n v="2.911310392527914"/>
    <n v="2.929841861663526"/>
    <n v="-11.51292546497023"/>
    <n v="-1.8531469628214836E-2"/>
    <n v="0"/>
    <n v="0"/>
    <n v="0"/>
    <n v="0"/>
    <n v="1"/>
    <n v="0"/>
    <n v="0"/>
    <n v="-1.5732595920562744"/>
    <n v="0.24047704030708439"/>
    <n v="0.2073681439671996"/>
    <n v="3.3108896339884786E-2"/>
    <n v="1.0961990168452361E-3"/>
    <x v="16"/>
    <n v="5.9558894000000001E-2"/>
    <n v="0.8888064"/>
    <n v="0.13165794239935846"/>
    <n v="0.23614751549794108"/>
    <n v="0.18209612344101134"/>
    <n v="5.4051392056929742E-2"/>
  </r>
  <r>
    <n v="31"/>
    <x v="9"/>
    <n v="-1.580485424436801"/>
    <n v="0.67365850397608285"/>
    <n v="0.65206473545871535"/>
    <n v="0.68355128688649835"/>
    <n v="0.30032678998485968"/>
    <n v="0.34861252984868768"/>
    <n v="0.35942116960675757"/>
    <n v="-5.4134254298042874"/>
    <n v="1.665048632597683"/>
    <n v="-0.99061680141015673"/>
    <n v="2.8370914305315349"/>
    <n v="2.9048202917486639"/>
    <n v="-11.51292546497023"/>
    <n v="-6.7728862166404724E-2"/>
    <n v="1"/>
    <n v="0"/>
    <n v="0"/>
    <n v="0"/>
    <n v="1"/>
    <n v="0"/>
    <n v="0"/>
    <n v="-1.6317098140716553"/>
    <n v="0.20587513712258126"/>
    <n v="0.19559485721739908"/>
    <n v="1.0280279905182182E-2"/>
    <n v="1.0568415492889258E-4"/>
    <x v="16"/>
    <n v="5.9558894000000001E-2"/>
    <n v="0.8888064"/>
    <n v="4.552856534355218E-2"/>
    <n v="0.22274028542864951"/>
    <n v="0.17175765082760355"/>
    <n v="5.0982634601045962E-2"/>
  </r>
  <r>
    <n v="31"/>
    <x v="10"/>
    <n v="-1.537501426855469"/>
    <n v="0.70877443644564431"/>
    <n v="0.67365850397608285"/>
    <n v="0.65206473545871535"/>
    <n v="0.39467375702994367"/>
    <n v="0.30032678998485968"/>
    <n v="0.34861252984868768"/>
    <n v="-5.0618123912569919"/>
    <n v="1.665048632597683"/>
    <n v="-0.9609825132529638"/>
    <n v="2.800931067191438"/>
    <n v="2.8309548340103299"/>
    <n v="-11.51292546497023"/>
    <n v="-3.0023766681551933E-2"/>
    <n v="1"/>
    <n v="0"/>
    <n v="0"/>
    <n v="0"/>
    <n v="1"/>
    <n v="0"/>
    <n v="0"/>
    <n v="-1.6065216064453125"/>
    <n v="0.21491741802380851"/>
    <n v="0.20058411250917998"/>
    <n v="1.4333305514628525E-2"/>
    <n v="2.0544364697568047E-4"/>
    <x v="16"/>
    <n v="5.9558894000000001E-2"/>
    <n v="0.8888064"/>
    <n v="6.1345577348602298E-2"/>
    <n v="0.22842196931122974"/>
    <n v="0.17613886401739107"/>
    <n v="5.2283105293838672E-2"/>
  </r>
  <r>
    <n v="31"/>
    <x v="11"/>
    <n v="-1.5306391406381299"/>
    <n v="0.71676604615857931"/>
    <n v="0.70877443644564431"/>
    <n v="0.67365850397608285"/>
    <n v="0.38028404291090551"/>
    <n v="0.39467375702994367"/>
    <n v="0.30032678998485968"/>
    <n v="-4.4166902227234708"/>
    <n v="1.665048632597683"/>
    <n v="-0.92806234712043212"/>
    <n v="2.8154043395803452"/>
    <n v="2.79513881878828"/>
    <n v="-11.51292546497023"/>
    <n v="2.0265521481633186E-2"/>
    <n v="1"/>
    <n v="0"/>
    <n v="0"/>
    <n v="0"/>
    <n v="1"/>
    <n v="0"/>
    <n v="0"/>
    <n v="-1.5990782976150513"/>
    <n v="0.21639731478949162"/>
    <n v="0.20208269228226625"/>
    <n v="1.4314622507225372E-2"/>
    <n v="2.0490841752436318E-4"/>
    <x v="16"/>
    <n v="5.9558894000000001E-2"/>
    <n v="0.8888064"/>
    <n v="6.0829160731692374E-2"/>
    <n v="0.23012852791478153"/>
    <n v="0.17745481140509245"/>
    <n v="5.2673716509689078E-2"/>
  </r>
  <r>
    <n v="31"/>
    <x v="12"/>
    <n v="-1.773131054291377"/>
    <n v="0.87304914583513249"/>
    <n v="0.71676604615857931"/>
    <n v="0.70877443644564431"/>
    <n v="0.45031099589999951"/>
    <n v="0.38028404291090551"/>
    <n v="0.39467375702994367"/>
    <n v="-3.950325063128457"/>
    <n v="1.665048632597683"/>
    <n v="-0.88429864165826255"/>
    <n v="2.839851858776707"/>
    <n v="2.8191459772272398"/>
    <n v="3.2580965380214821"/>
    <n v="2.0705882459878922E-2"/>
    <n v="1"/>
    <n v="0"/>
    <n v="0"/>
    <n v="0"/>
    <n v="1"/>
    <n v="0"/>
    <n v="0"/>
    <n v="-1.6962287425994873"/>
    <n v="0.16980050104887379"/>
    <n v="0.18337377137685498"/>
    <n v="-1.3573270327981196E-2"/>
    <n v="1.8423366739645476E-4"/>
    <x v="16"/>
    <n v="5.9558894000000001E-2"/>
    <n v="0.8888064"/>
    <n v="-6.8351266806546351E-2"/>
    <n v="0.20882310893895664"/>
    <n v="0.16102595253861796"/>
    <n v="4.7797156400338686E-2"/>
  </r>
  <r>
    <n v="31"/>
    <x v="13"/>
    <n v="-1.858401975125525"/>
    <n v="0.82868281335263771"/>
    <n v="0.87304914583513249"/>
    <n v="0.71676604615857931"/>
    <n v="0.38831894927319383"/>
    <n v="0.45031099589999951"/>
    <n v="0.38028404291090551"/>
    <n v="-3.206845334783671"/>
    <n v="1.665048632597683"/>
    <n v="-0.84793328981547011"/>
    <n v="2.8508349529448558"/>
    <n v="2.833780735630254"/>
    <n v="5.393627546352362"/>
    <n v="1.7054216936230659E-2"/>
    <n v="1"/>
    <n v="0"/>
    <n v="0"/>
    <n v="0"/>
    <n v="1"/>
    <n v="0"/>
    <n v="0"/>
    <n v="-1.6816600561141968"/>
    <n v="0.15592159797883581"/>
    <n v="0.18606484144233998"/>
    <n v="-3.0143243463504166E-2"/>
    <n v="9.0861512650008665E-4"/>
    <x v="16"/>
    <n v="5.9558894000000001E-2"/>
    <n v="0.8888064"/>
    <n v="-0.15708934876555017"/>
    <n v="0.21188765635611287"/>
    <n v="0.16338906105402462"/>
    <n v="4.8498595302088249E-2"/>
  </r>
  <r>
    <n v="31"/>
    <x v="14"/>
    <n v="-1.8829612093822541"/>
    <n v="0.73835952338149324"/>
    <n v="0.82868281335263771"/>
    <n v="0.87304914583513249"/>
    <n v="0.34074879338847308"/>
    <n v="0.38831894927319383"/>
    <n v="0.45031099589999951"/>
    <n v="-2.5883590649293349"/>
    <n v="1.665048632597683"/>
    <n v="-0.83191594082884701"/>
    <n v="2.828616070877128"/>
    <n v="2.845000233169098"/>
    <n v="5.9914645471079817"/>
    <n v="-1.638416200876236E-2"/>
    <n v="1"/>
    <n v="1"/>
    <n v="0"/>
    <n v="0"/>
    <n v="1"/>
    <n v="0"/>
    <n v="0"/>
    <n v="-1.7471423149108887"/>
    <n v="0.152138922857288"/>
    <n v="0.17427124488453738"/>
    <n v="-2.2132322027249379E-2"/>
    <n v="4.8983967831786807E-4"/>
    <x v="16"/>
    <n v="5.9558894000000001E-2"/>
    <n v="0.8888064"/>
    <n v="-0.12071670264707419"/>
    <n v="0.19845729780330318"/>
    <n v="0.15303275379526457"/>
    <n v="4.5424544008038609E-2"/>
  </r>
  <r>
    <n v="31"/>
    <x v="15"/>
    <n v="-1.7583049679789671"/>
    <n v="0.94137351224161814"/>
    <n v="0.73835952338149324"/>
    <n v="0.82868281335263771"/>
    <n v="0.63350332763243034"/>
    <n v="0.34074879338847308"/>
    <n v="0.38831894927319383"/>
    <n v="-1.9290036984948411"/>
    <n v="1.665048632597683"/>
    <n v="-0.80830727196723884"/>
    <n v="2.9283190562134078"/>
    <n v="2.8230308486418569"/>
    <n v="6.6846117276679271"/>
    <n v="0.10528820753097534"/>
    <n v="1"/>
    <n v="0"/>
    <n v="0"/>
    <n v="0"/>
    <n v="1"/>
    <n v="0"/>
    <n v="0"/>
    <n v="-1.6791495084762573"/>
    <n v="0.17233673266992403"/>
    <n v="0.18653255295087853"/>
    <n v="-1.4195820280954508E-2"/>
    <n v="2.0152131344915931E-4"/>
    <x v="16"/>
    <n v="5.9558894000000001E-2"/>
    <n v="0.8888064"/>
    <n v="-7.0353879000949235E-2"/>
    <n v="0.21242027871843988"/>
    <n v="0.16379977241481633"/>
    <n v="4.8620506303623551E-2"/>
  </r>
  <r>
    <n v="31"/>
    <x v="16"/>
    <n v="-1.6094302601847861"/>
    <n v="0.92107924860595225"/>
    <n v="0.94137351224161814"/>
    <n v="0.73835952338149324"/>
    <n v="0.59960543615158113"/>
    <n v="0.63350332763243034"/>
    <n v="0.34074879338847308"/>
    <n v="-1.492004208403821"/>
    <n v="1.665048632597683"/>
    <n v="-0.77348469736340553"/>
    <n v="2.9018312435238851"/>
    <n v="2.9283190562134078"/>
    <n v="8.0551577318196781"/>
    <n v="-2.6487812399864197E-2"/>
    <n v="1"/>
    <n v="0"/>
    <n v="0"/>
    <n v="0"/>
    <n v="1"/>
    <n v="0"/>
    <n v="0"/>
    <n v="-1.629146933555603"/>
    <n v="0.20000153045571856"/>
    <n v="0.19609678638350425"/>
    <n v="3.9047440722143056E-3"/>
    <n v="1.5247026269492759E-5"/>
    <x v="16"/>
    <n v="5.9558894000000001E-2"/>
    <n v="0.8888064"/>
    <n v="1.752430547869168E-2"/>
    <n v="0.2233118743104521"/>
    <n v="0.17219840972933817"/>
    <n v="5.1113464581113932E-2"/>
  </r>
  <r>
    <n v="31"/>
    <x v="17"/>
    <n v="-1.4965861262527229"/>
    <n v="0.72149165356908784"/>
    <n v="0.92107924860595225"/>
    <n v="0.94137351224161814"/>
    <n v="0.35107931758157263"/>
    <n v="0.59960543615158113"/>
    <n v="0.63350332763243034"/>
    <n v="-0.96519406369813177"/>
    <n v="1.665048632597683"/>
    <n v="-0.7452298622928164"/>
    <n v="2.9210104236017731"/>
    <n v="2.9018312435238851"/>
    <n v="8.4658998970286863"/>
    <n v="1.9179180264472961E-2"/>
    <n v="1"/>
    <n v="0"/>
    <n v="0"/>
    <n v="0"/>
    <n v="1"/>
    <n v="0"/>
    <n v="0"/>
    <n v="-1.5467343330383301"/>
    <n v="0.22389320006428198"/>
    <n v="0.21294223802337231"/>
    <n v="1.0950962040909673E-2"/>
    <n v="1.1992356962144455E-4"/>
    <x v="16"/>
    <n v="5.9558894000000001E-2"/>
    <n v="0.8888064"/>
    <n v="4.4572047139571074E-2"/>
    <n v="0.24249520438271613"/>
    <n v="0.18699090091216033"/>
    <n v="5.5504303470555794E-2"/>
  </r>
  <r>
    <n v="32"/>
    <x v="0"/>
    <n v="-2.0154650404173702"/>
    <n v="0.96317431777300555"/>
    <n v="0.88957707835573163"/>
    <n v="0.8423858160261829"/>
    <n v="0.67803354274989713"/>
    <n v="0.46919079898870919"/>
    <n v="0.31736222655319152"/>
    <n v="-11.51292546497023"/>
    <n v="0.1210771896579252"/>
    <n v="-1.72030015686339"/>
    <n v="3.0345033139311699"/>
    <n v="2.9716296335152319"/>
    <n v="-11.51292546497023"/>
    <n v="6.2873683869838715E-2"/>
    <n v="0"/>
    <n v="0"/>
    <n v="0"/>
    <n v="0"/>
    <n v="1"/>
    <n v="0"/>
    <n v="0"/>
    <n v="-2.080146312713623"/>
    <n v="0.13325841840379754"/>
    <n v="0.12491193465737307"/>
    <n v="8.3464837464244657E-3"/>
    <n v="6.9663790929327783E-5"/>
    <x v="17"/>
    <n v="4.3489425999999998E-2"/>
    <n v="0.78261179000000003"/>
    <n v="4.0264743287764894E-2"/>
    <n v="0.13395050525719193"/>
    <n v="0.11648325917016354"/>
    <n v="1.746724608702839E-2"/>
  </r>
  <r>
    <n v="32"/>
    <x v="1"/>
    <n v="-1.9854443444285541"/>
    <n v="0.91952549438408449"/>
    <n v="0.96317431777300555"/>
    <n v="0.88957707835573163"/>
    <n v="0.54412499416691684"/>
    <n v="0.67803354274989713"/>
    <n v="0.46919079898870919"/>
    <n v="-11.51292546497023"/>
    <n v="0.1210771896579252"/>
    <n v="-1.601206695277904"/>
    <n v="3.0998896343384841"/>
    <n v="3.0360398755975089"/>
    <n v="-11.51292546497023"/>
    <n v="6.3849762082099915E-2"/>
    <n v="0"/>
    <n v="0"/>
    <n v="0"/>
    <n v="0"/>
    <n v="1"/>
    <n v="0"/>
    <n v="0"/>
    <n v="-1.9861364364624023"/>
    <n v="0.1373195833668211"/>
    <n v="0.13722457845694444"/>
    <n v="9.5004909876655885E-5"/>
    <n v="9.0259329006715062E-9"/>
    <x v="17"/>
    <n v="4.3489425999999998E-2"/>
    <n v="0.78261179000000003"/>
    <n v="5.4163938545470787E-4"/>
    <n v="0.14715408634436597"/>
    <n v="0.1279650834066495"/>
    <n v="1.9189002937716471E-2"/>
  </r>
  <r>
    <n v="32"/>
    <x v="2"/>
    <n v="-1.962435383477668"/>
    <n v="0.86600745356438702"/>
    <n v="0.91952549438408449"/>
    <n v="0.96317431777300555"/>
    <n v="0.47000362924573558"/>
    <n v="0.54412499416691684"/>
    <n v="0.67803354274989713"/>
    <n v="-11.51292546497023"/>
    <n v="0.1210771896579252"/>
    <n v="-1.4792777697496631"/>
    <n v="3.1899582055058429"/>
    <n v="3.1014288502095142"/>
    <n v="-11.51292546497023"/>
    <n v="8.8529355823993683E-2"/>
    <n v="0"/>
    <n v="0"/>
    <n v="0"/>
    <n v="0"/>
    <n v="1"/>
    <n v="0"/>
    <n v="0"/>
    <n v="-1.8932827711105347"/>
    <n v="0.14051579403332012"/>
    <n v="0.15057668779587338"/>
    <n v="-1.0060893762553258E-2"/>
    <n v="1.0122158330138305E-4"/>
    <x v="17"/>
    <n v="4.3489425999999998E-2"/>
    <n v="0.78261179000000003"/>
    <n v="-5.4119649747818355E-2"/>
    <n v="0.16147234822306172"/>
    <n v="0.14041623322560734"/>
    <n v="2.1056114997454384E-2"/>
  </r>
  <r>
    <n v="32"/>
    <x v="3"/>
    <n v="-1.920097925506407"/>
    <n v="0.82382450420156139"/>
    <n v="0.86600745356438702"/>
    <n v="0.91952549438408449"/>
    <n v="0.46662292108625802"/>
    <n v="0.47000362924573558"/>
    <n v="0.54412499416691684"/>
    <n v="-8.1568541141611828"/>
    <n v="0.1210771896579252"/>
    <n v="-1.3854822910721349"/>
    <n v="3.0689971607260609"/>
    <n v="3.1802898549320782"/>
    <n v="-11.51292546497023"/>
    <n v="-0.11129269748926163"/>
    <n v="0"/>
    <n v="0"/>
    <n v="0"/>
    <n v="0"/>
    <n v="1"/>
    <n v="0"/>
    <n v="0"/>
    <n v="-1.8330172300338745"/>
    <n v="0.14659260627225454"/>
    <n v="0.15993029258348376"/>
    <n v="-1.3337686311229224E-2"/>
    <n v="1.7789387613675143E-4"/>
    <x v="17"/>
    <n v="4.3489425999999998E-2"/>
    <n v="0.78261179000000003"/>
    <n v="-6.8150378958203556E-2"/>
    <n v="0.17150277558545265"/>
    <n v="0.14913868535669514"/>
    <n v="2.2364090228757516E-2"/>
  </r>
  <r>
    <n v="32"/>
    <x v="4"/>
    <n v="-1.706711018642455"/>
    <n v="0.78895723540592111"/>
    <n v="0.82382450420156139"/>
    <n v="0.86600745356438702"/>
    <n v="0.50748003351489412"/>
    <n v="0.46662292108625802"/>
    <n v="0.47000362924573558"/>
    <n v="-7.4722525615834847"/>
    <n v="0.1210771896579252"/>
    <n v="-1.3149918360292321"/>
    <n v="3.1886505585110809"/>
    <n v="3.0604515327438668"/>
    <n v="-11.51292546497023"/>
    <n v="0.1281990259885788"/>
    <n v="0"/>
    <n v="0"/>
    <n v="0"/>
    <n v="0"/>
    <n v="1"/>
    <n v="0"/>
    <n v="0"/>
    <n v="-1.6975280046463013"/>
    <n v="0.18146163615928551"/>
    <n v="0.18313567550328369"/>
    <n v="-1.6740393439981793E-3"/>
    <n v="2.8024077252538545E-6"/>
    <x v="17"/>
    <n v="4.3489425999999998E-2"/>
    <n v="0.78261179000000003"/>
    <n v="-7.1867350211249261E-3"/>
    <n v="0.19638728942570269"/>
    <n v="0.17077823997735037"/>
    <n v="2.5609049448352322E-2"/>
  </r>
  <r>
    <n v="32"/>
    <x v="5"/>
    <n v="-1.60053839816128"/>
    <n v="0.79077285934438513"/>
    <n v="0.78895723540592111"/>
    <n v="0.82382450420156139"/>
    <n v="0.60355064674818915"/>
    <n v="0.50748003351489412"/>
    <n v="0.46662292108625802"/>
    <n v="-5.5348156310996162"/>
    <n v="0.1210771896579252"/>
    <n v="-1.2476551676735821"/>
    <n v="3.317190439872213"/>
    <n v="3.1801773399395339"/>
    <n v="-11.51292546497023"/>
    <n v="0.13701309263706207"/>
    <n v="0"/>
    <n v="0"/>
    <n v="0"/>
    <n v="0"/>
    <n v="1"/>
    <n v="0"/>
    <n v="0"/>
    <n v="-1.5896147489547729"/>
    <n v="0.20178784653747969"/>
    <n v="0.20400418942437937"/>
    <n v="-2.2163428868996748E-3"/>
    <n v="4.9121757923107853E-6"/>
    <x v="17"/>
    <n v="4.3489425999999998E-2"/>
    <n v="0.78261179000000003"/>
    <n v="-8.5489766588365337E-3"/>
    <n v="0.21876583949271594"/>
    <n v="0.19023861037538162"/>
    <n v="2.8527229117334324E-2"/>
  </r>
  <r>
    <n v="32"/>
    <x v="6"/>
    <n v="-1.471108373131875"/>
    <n v="0.71998383451350489"/>
    <n v="0.79077285934438513"/>
    <n v="0.78895723540592111"/>
    <n v="0.57986649410097901"/>
    <n v="0.60355064674818915"/>
    <n v="0.50748003351489412"/>
    <n v="-5.1380555517149187"/>
    <n v="0.1210771896579252"/>
    <n v="-1.179704367233158"/>
    <n v="3.329732396070292"/>
    <n v="3.3084854111487361"/>
    <n v="-11.51292546497023"/>
    <n v="2.1246984601020813E-2"/>
    <n v="0"/>
    <n v="0"/>
    <n v="0"/>
    <n v="0"/>
    <n v="1"/>
    <n v="0"/>
    <n v="0"/>
    <n v="-1.4635783433914185"/>
    <n v="0.22967078313513978"/>
    <n v="0.23140673865844355"/>
    <n v="-1.7359555233037727E-3"/>
    <n v="3.0135415788888754E-6"/>
    <x v="17"/>
    <n v="4.3489425999999998E-2"/>
    <n v="0.78261179000000003"/>
    <n v="-5.8930900539319589E-3"/>
    <n v="0.24815122468674242"/>
    <n v="0.21579211935841022"/>
    <n v="3.2359105328332194E-2"/>
  </r>
  <r>
    <n v="32"/>
    <x v="7"/>
    <n v="-1.494133934603429"/>
    <n v="0.68355128688649835"/>
    <n v="0.71998383451350489"/>
    <n v="0.79077285934438513"/>
    <n v="0.53456168144257443"/>
    <n v="0.57986649410097901"/>
    <n v="0.60355064674818915"/>
    <n v="-4.491862412090355"/>
    <n v="0.1210771896579252"/>
    <n v="-1.1875772680358909"/>
    <n v="3.190504739213627"/>
    <n v="3.2592478577247208"/>
    <n v="-11.51292546497023"/>
    <n v="-6.8743117153644562E-2"/>
    <n v="0"/>
    <n v="0"/>
    <n v="0"/>
    <n v="0"/>
    <n v="1"/>
    <n v="0"/>
    <n v="0"/>
    <n v="-1.4419981241226196"/>
    <n v="0.22444290281259976"/>
    <n v="0.23645482026436188"/>
    <n v="-1.2011917451762111E-2"/>
    <n v="1.4428616086794717E-4"/>
    <x v="17"/>
    <n v="4.3489425999999998E-2"/>
    <n v="0.78261179000000003"/>
    <n v="-4.0802099963487007E-2"/>
    <n v="0.25356458317444064"/>
    <n v="0.22049957184985725"/>
    <n v="3.3065011324583393E-2"/>
  </r>
  <r>
    <n v="32"/>
    <x v="8"/>
    <n v="-1.4244153753066211"/>
    <n v="0.65876275369811454"/>
    <n v="0.68355128688649835"/>
    <n v="0.71998383451350489"/>
    <n v="0.51950782414882457"/>
    <n v="0.53456168144257443"/>
    <n v="0.57986649410097901"/>
    <n v="-3.810543579081318"/>
    <n v="0.1210771896579252"/>
    <n v="-1.1445370486744579"/>
    <n v="3.1967545587293689"/>
    <n v="3.1786763916627172"/>
    <n v="-11.51292546497023"/>
    <n v="1.8078166991472244E-2"/>
    <n v="0"/>
    <n v="0"/>
    <n v="0"/>
    <n v="0"/>
    <n v="1"/>
    <n v="0"/>
    <n v="0"/>
    <n v="-1.3721628189086914"/>
    <n v="0.24064911150412777"/>
    <n v="0.25355796611654791"/>
    <n v="-1.290885461242014E-2"/>
    <n v="1.6663852740460072E-4"/>
    <x v="17"/>
    <n v="4.3489425999999998E-2"/>
    <n v="0.78261179000000003"/>
    <n v="-4.0893466694659715E-2"/>
    <n v="0.27190530485705477"/>
    <n v="0.23644864970530696"/>
    <n v="3.5456655151747812E-2"/>
  </r>
  <r>
    <n v="32"/>
    <x v="9"/>
    <n v="-1.455241445631601"/>
    <n v="0.67661121191984575"/>
    <n v="0.65876275369811454"/>
    <n v="0.68355128688649835"/>
    <n v="0.48839594879980602"/>
    <n v="0.51950782414882457"/>
    <n v="0.53456168144257443"/>
    <n v="-3.5314399299331951"/>
    <n v="0.1210771896579252"/>
    <n v="-1.1171376979228"/>
    <n v="3.0447393750450531"/>
    <n v="3.185273375767748"/>
    <n v="-11.51292546497023"/>
    <n v="-0.14053399860858917"/>
    <n v="1"/>
    <n v="0"/>
    <n v="0"/>
    <n v="0"/>
    <n v="1"/>
    <n v="0"/>
    <n v="0"/>
    <n v="-1.4308685064315796"/>
    <n v="0.23334401720547882"/>
    <n v="0.23910117113529733"/>
    <n v="-5.7571539298185148E-3"/>
    <n v="3.3144821371624768E-5"/>
    <x v="17"/>
    <n v="4.3489425999999998E-2"/>
    <n v="0.78261179000000003"/>
    <n v="-1.9074549574889892E-2"/>
    <n v="0.25640242278697994"/>
    <n v="0.22296735505407941"/>
    <n v="3.3435067732900531E-2"/>
  </r>
  <r>
    <n v="32"/>
    <x v="10"/>
    <n v="-1.4339957442757869"/>
    <n v="0.70066882195879143"/>
    <n v="0.67661121191984575"/>
    <n v="0.65876275369811454"/>
    <n v="0.56092921073223634"/>
    <n v="0.48839594879980602"/>
    <n v="0.51950782414882457"/>
    <n v="-3.3386922842303748"/>
    <n v="0.1210771896579252"/>
    <n v="-1.100672190265807"/>
    <n v="2.858973286589729"/>
    <n v="3.0336592587329538"/>
    <n v="-11.51292546497023"/>
    <n v="-0.17468596994876862"/>
    <n v="1"/>
    <n v="0"/>
    <n v="0"/>
    <n v="0"/>
    <n v="1"/>
    <n v="0"/>
    <n v="0"/>
    <n v="-1.4188328981399536"/>
    <n v="0.23835461284541828"/>
    <n v="0.24199628646238305"/>
    <n v="-3.641673616964769E-3"/>
    <n v="1.3261786732497263E-5"/>
    <x v="17"/>
    <n v="4.3489425999999998E-2"/>
    <n v="0.78261179000000003"/>
    <n v="-1.1866622155859079E-2"/>
    <n v="0.25950702733821596"/>
    <n v="0.2256671168494391"/>
    <n v="3.3839910488776853E-2"/>
  </r>
  <r>
    <n v="32"/>
    <x v="11"/>
    <n v="-1.4548490777612779"/>
    <n v="0.69574380640721123"/>
    <n v="0.70066882195879143"/>
    <n v="0.67661121191984575"/>
    <n v="0.57464513647894466"/>
    <n v="0.56092921073223634"/>
    <n v="0.48839594879980602"/>
    <n v="-2.7221811997148042"/>
    <n v="0.1210771896579252"/>
    <n v="-1.0829756218864179"/>
    <n v="2.8493892042478808"/>
    <n v="2.848295158337153"/>
    <n v="-11.51292546497023"/>
    <n v="1.0940459324046969E-3"/>
    <n v="1"/>
    <n v="0"/>
    <n v="0"/>
    <n v="0"/>
    <n v="1"/>
    <n v="0"/>
    <n v="0"/>
    <n v="-1.3812669515609741"/>
    <n v="0.23343559186486454"/>
    <n v="0.25126001704670792"/>
    <n v="-1.7824425181843379E-2"/>
    <n v="3.1771013306313236E-4"/>
    <x v="17"/>
    <n v="4.3489425999999998E-2"/>
    <n v="0.78261179000000003"/>
    <n v="-5.758623949762566E-2"/>
    <n v="0.26944107724097738"/>
    <n v="0.23430575921372812"/>
    <n v="3.5135318027249257E-2"/>
  </r>
  <r>
    <n v="32"/>
    <x v="12"/>
    <n v="-1.474068202726299"/>
    <n v="0.80892821354565558"/>
    <n v="0.69574380640721123"/>
    <n v="0.70066882195879143"/>
    <n v="0.60163478005383786"/>
    <n v="0.57464513647894466"/>
    <n v="0.56092921073223634"/>
    <n v="-2.1175119716893631"/>
    <n v="0.1210771896579252"/>
    <n v="-1.0407638899801599"/>
    <n v="3.0056482580876702"/>
    <n v="2.860396802928181"/>
    <n v="3.2580965380214821"/>
    <n v="0.14525145292282104"/>
    <n v="1"/>
    <n v="0"/>
    <n v="0"/>
    <n v="0"/>
    <n v="1"/>
    <n v="0"/>
    <n v="0"/>
    <n v="-1.4339783191680908"/>
    <n v="0.22899200178834481"/>
    <n v="0.23835876623640354"/>
    <n v="-9.3667644480587287E-3"/>
    <n v="8.7736276225416945E-5"/>
    <x v="17"/>
    <n v="4.3489425999999998E-2"/>
    <n v="0.78261179000000003"/>
    <n v="-3.1374815532380883E-2"/>
    <n v="0.25560629780832989"/>
    <n v="0.22227504536818551"/>
    <n v="3.3331252440144371E-2"/>
  </r>
  <r>
    <n v="32"/>
    <x v="13"/>
    <n v="-1.4606561361193731"/>
    <n v="0.78481436908576918"/>
    <n v="0.80892821354565558"/>
    <n v="0.69574380640721123"/>
    <n v="0.56781068924864764"/>
    <n v="0.60163478005383786"/>
    <n v="0.57464513647894466"/>
    <n v="-1.4401362695257149"/>
    <n v="0.1210771896579252"/>
    <n v="-1.019930205089437"/>
    <n v="2.9550679697659179"/>
    <n v="2.994069657951409"/>
    <n v="5.393627546352362"/>
    <n v="-3.9001688361167908E-2"/>
    <n v="1"/>
    <n v="0"/>
    <n v="0"/>
    <n v="0"/>
    <n v="1"/>
    <n v="0"/>
    <n v="0"/>
    <n v="-1.4466843605041504"/>
    <n v="0.23208394610130254"/>
    <n v="0.23534932940192249"/>
    <n v="-3.2653833006199562E-3"/>
    <n v="1.0662728099967679E-5"/>
    <x v="17"/>
    <n v="4.3489425999999998E-2"/>
    <n v="0.78261179000000003"/>
    <n v="-1.0934476323707766E-2"/>
    <n v="0.25237909949758347"/>
    <n v="0.2194686761312617"/>
    <n v="3.2910423366321773E-2"/>
  </r>
  <r>
    <n v="32"/>
    <x v="14"/>
    <n v="-1.5028086365445701"/>
    <n v="0.68056839835308525"/>
    <n v="0.78481436908576918"/>
    <n v="0.80892821354565558"/>
    <n v="0.52360363612520588"/>
    <n v="0.56781068924864764"/>
    <n v="0.60163478005383786"/>
    <n v="-0.87155225440774209"/>
    <n v="0.1210771896579252"/>
    <n v="-1.002540329386377"/>
    <n v="2.8890963972944359"/>
    <n v="2.9438334896309488"/>
    <n v="5.9914645471079817"/>
    <n v="-5.4737091064453125E-2"/>
    <n v="1"/>
    <n v="1"/>
    <n v="0"/>
    <n v="0"/>
    <n v="1"/>
    <n v="0"/>
    <n v="0"/>
    <n v="-1.4853149652481079"/>
    <n v="0.22250434787743847"/>
    <n v="0.22643101154422918"/>
    <n v="-3.9266636667907029E-3"/>
    <n v="1.5418687552094208E-5"/>
    <x v="17"/>
    <n v="4.3489425999999998E-2"/>
    <n v="0.78261179000000003"/>
    <n v="-1.3690753406995885E-2"/>
    <n v="0.24281545622875558"/>
    <n v="0.2111521390987591"/>
    <n v="3.1663317129996482E-2"/>
  </r>
  <r>
    <n v="32"/>
    <x v="15"/>
    <n v="-1.3732322435946691"/>
    <n v="0.91605070306954628"/>
    <n v="0.68056839835308525"/>
    <n v="0.78481436908576918"/>
    <n v="0.7530185775973357"/>
    <n v="0.52360363612520588"/>
    <n v="0.56781068924864764"/>
    <n v="-0.1537470462107792"/>
    <n v="0.1210771896579252"/>
    <n v="-0.98375136577726552"/>
    <n v="3.0526313545272359"/>
    <n v="2.8782169571944691"/>
    <n v="6.6846117276679271"/>
    <n v="0.17441439628601074"/>
    <n v="1"/>
    <n v="0"/>
    <n v="0"/>
    <n v="0"/>
    <n v="1"/>
    <n v="0"/>
    <n v="0"/>
    <n v="-1.4696497917175293"/>
    <n v="0.25328694990979683"/>
    <n v="0.23000602109733567"/>
    <n v="2.328092881246116E-2"/>
    <n v="5.4200164637088419E-4"/>
    <x v="17"/>
    <n v="4.3489425999999998E-2"/>
    <n v="0.78261179000000003"/>
    <n v="7.5457509923842758E-2"/>
    <n v="0.24664915184200045"/>
    <n v="0.21448591793624613"/>
    <n v="3.2163233905754318E-2"/>
  </r>
  <r>
    <n v="32"/>
    <x v="16"/>
    <n v="-1.408030673586286"/>
    <n v="0.91948562277067425"/>
    <n v="0.91605070306954628"/>
    <n v="0.68056839835308525"/>
    <n v="0.73620667002039231"/>
    <n v="0.7530185775973357"/>
    <n v="0.52360363612520588"/>
    <n v="0.2069221807398918"/>
    <n v="0.1210771896579252"/>
    <n v="-0.95235125574320523"/>
    <n v="2.9498901365852981"/>
    <n v="3.0526313545272359"/>
    <n v="8.0551577318196781"/>
    <n v="-0.10274121910333633"/>
    <n v="1"/>
    <n v="0"/>
    <n v="0"/>
    <n v="0"/>
    <n v="1"/>
    <n v="0"/>
    <n v="0"/>
    <n v="-1.4659150838851929"/>
    <n v="0.24462455470453007"/>
    <n v="0.23086663245147479"/>
    <n v="1.3757922253055277E-2"/>
    <n v="1.8928042472111359E-4"/>
    <x v="17"/>
    <n v="4.3489425999999998E-2"/>
    <n v="0.78261179000000003"/>
    <n v="4.5301021957121962E-2"/>
    <n v="0.24757203664106484"/>
    <n v="0.21528845786714981"/>
    <n v="3.2283578773915023E-2"/>
  </r>
  <r>
    <n v="32"/>
    <x v="17"/>
    <n v="-1.409933029471633"/>
    <n v="0.77094120799996546"/>
    <n v="0.91948562277067425"/>
    <n v="0.91605070306954628"/>
    <n v="0.51372142687801625"/>
    <n v="0.73620667002039231"/>
    <n v="0.7530185775973357"/>
    <n v="0.80364040826699634"/>
    <n v="0.1210771896579252"/>
    <n v="-0.91589480276000479"/>
    <n v="3.038862087768913"/>
    <n v="2.9498901365852981"/>
    <n v="8.4658998970286863"/>
    <n v="8.8971950113773346E-2"/>
    <n v="1"/>
    <n v="0"/>
    <n v="0"/>
    <n v="0"/>
    <n v="1"/>
    <n v="0"/>
    <n v="0"/>
    <n v="-1.4229415655136108"/>
    <n v="0.24415963410561697"/>
    <n v="0.24100404400859607"/>
    <n v="3.155590097020905E-3"/>
    <n v="9.9577488604164041E-6"/>
    <x v="17"/>
    <n v="4.3489425999999998E-2"/>
    <n v="0.78261179000000003"/>
    <n v="1.0180633677091782E-2"/>
    <n v="0.25844298667319082"/>
    <n v="0.22474182788308741"/>
    <n v="3.3701158790103408E-2"/>
  </r>
  <r>
    <n v="33"/>
    <x v="0"/>
    <n v="-2.237512838161928"/>
    <n v="0.94000725849147115"/>
    <n v="0.88107797611841054"/>
    <n v="0.83768033129224362"/>
    <n v="0.63127177684185776"/>
    <n v="0.47561286801024621"/>
    <n v="0.34089103078292382"/>
    <n v="-11.51292546497023"/>
    <n v="0.82647109558213605"/>
    <n v="-1.70570799043904"/>
    <n v="3.2560988326107489"/>
    <n v="3.2165286519569731"/>
    <n v="-11.51292546497023"/>
    <n v="3.9570178836584091E-2"/>
    <n v="0"/>
    <n v="0"/>
    <n v="0"/>
    <n v="0"/>
    <n v="1"/>
    <n v="0"/>
    <n v="0"/>
    <n v="-2.1361193656921387"/>
    <n v="0.10672361345661004"/>
    <n v="0.11811230549028104"/>
    <n v="-1.1388692033671002E-2"/>
    <n v="1.2970230623780135E-4"/>
    <x v="18"/>
    <n v="6.5305524000000004E-2"/>
    <n v="0.99124586999999997"/>
    <n v="-1.3386866630189448E-2"/>
    <n v="0.19369146598193149"/>
    <n v="7.20244262570187E-2"/>
    <n v="0.12166703972491279"/>
  </r>
  <r>
    <n v="33"/>
    <x v="1"/>
    <n v="-2.2630099486957058"/>
    <n v="0.88459364513090055"/>
    <n v="0.94000725849147115"/>
    <n v="0.88107797611841054"/>
    <n v="0.48698364928041982"/>
    <n v="0.63127177684185776"/>
    <n v="0.47561286801024621"/>
    <n v="-11.51292546497023"/>
    <n v="0.82647109558213605"/>
    <n v="-1.646945585204012"/>
    <n v="3.2606676200173892"/>
    <n v="3.2461673473665589"/>
    <n v="-11.51292546497023"/>
    <n v="1.4500272460281849E-2"/>
    <n v="0"/>
    <n v="0"/>
    <n v="0"/>
    <n v="0"/>
    <n v="1"/>
    <n v="0"/>
    <n v="0"/>
    <n v="-2.0864202976226807"/>
    <n v="0.10403686737217262"/>
    <n v="0.12413069237816748"/>
    <n v="-2.0093825005994867E-2"/>
    <n v="4.0376180337154462E-4"/>
    <x v="18"/>
    <n v="6.5305524000000004E-2"/>
    <n v="0.99124586999999997"/>
    <n v="-0.17504376231087726"/>
    <n v="0.2035609725868727"/>
    <n v="7.5694415262765893E-2"/>
    <n v="0.12786655732410679"/>
  </r>
  <r>
    <n v="33"/>
    <x v="2"/>
    <n v="-2.2843596656263521"/>
    <n v="0.83512405945549484"/>
    <n v="0.88459364513090055"/>
    <n v="0.94000725849147115"/>
    <n v="0.41785470575408717"/>
    <n v="0.48698364928041982"/>
    <n v="0.63127177684185776"/>
    <n v="-11.51292546497023"/>
    <n v="0.82647109558213605"/>
    <n v="-1.584602466258185"/>
    <n v="3.3225279254154221"/>
    <n v="3.2508338000063959"/>
    <n v="-11.51292546497023"/>
    <n v="7.1694128215312958E-2"/>
    <n v="0"/>
    <n v="0"/>
    <n v="0"/>
    <n v="0"/>
    <n v="1"/>
    <n v="0"/>
    <n v="0"/>
    <n v="-2.0342776775360107"/>
    <n v="0.10183925240616361"/>
    <n v="0.13077491005160646"/>
    <n v="-2.8935657645442855E-2"/>
    <n v="8.3727228337427556E-4"/>
    <x v="18"/>
    <n v="6.5305524000000004E-2"/>
    <n v="0.99124586999999997"/>
    <n v="-0.24789273785594002"/>
    <n v="0.21445677430820434"/>
    <n v="7.9746033456736073E-2"/>
    <n v="0.13471074085146828"/>
  </r>
  <r>
    <n v="33"/>
    <x v="3"/>
    <n v="-2.2804418069396069"/>
    <n v="0.80074519115796339"/>
    <n v="0.83512405945549484"/>
    <n v="0.88459364513090055"/>
    <n v="0.39332504821399572"/>
    <n v="0.41785470575408717"/>
    <n v="0.48698364928041982"/>
    <n v="-9.6809956013844154"/>
    <n v="0.82647109558213605"/>
    <n v="-1.5249243700995121"/>
    <n v="3.2780036200734699"/>
    <n v="3.3138669607552518"/>
    <n v="-11.51292546497023"/>
    <n v="-3.5863339900970459E-2"/>
    <n v="0"/>
    <n v="0"/>
    <n v="0"/>
    <n v="0"/>
    <n v="1"/>
    <n v="0"/>
    <n v="0"/>
    <n v="-1.9966739416122437"/>
    <n v="0.10223902682432799"/>
    <n v="0.13578616570562682"/>
    <n v="-3.354713888129883E-2"/>
    <n v="1.1254105271211517E-3"/>
    <x v="18"/>
    <n v="6.5305524000000004E-2"/>
    <n v="0.99124586999999997"/>
    <n v="-0.28128372454446499"/>
    <n v="0.22267469410926449"/>
    <n v="8.2801877738242852E-2"/>
    <n v="0.13987281637102164"/>
  </r>
  <r>
    <n v="33"/>
    <x v="4"/>
    <n v="-2.1519550381873729"/>
    <n v="0.77398956840404609"/>
    <n v="0.80074519115796339"/>
    <n v="0.83512405945549484"/>
    <n v="0.42533309274563069"/>
    <n v="0.39332504821399572"/>
    <n v="0.41785470575408717"/>
    <n v="-8.5855714562939589"/>
    <n v="0.82647109558213605"/>
    <n v="-1.4550788418249221"/>
    <n v="3.3325037359465162"/>
    <n v="3.2748154764963191"/>
    <n v="-11.51292546497023"/>
    <n v="5.7688258588314056E-2"/>
    <n v="0"/>
    <n v="0"/>
    <n v="0"/>
    <n v="0"/>
    <n v="1"/>
    <n v="0"/>
    <n v="0"/>
    <n v="-1.8962235450744629"/>
    <n v="0.11625664926320335"/>
    <n v="0.15013452626005153"/>
    <n v="-3.3877876996848175E-2"/>
    <n v="1.1477105498135748E-3"/>
    <x v="18"/>
    <n v="6.5305524000000004E-2"/>
    <n v="0.99124586999999997"/>
    <n v="-0.25349278637710548"/>
    <n v="0.24620446078926997"/>
    <n v="9.155145241102168E-2"/>
    <n v="0.1546530083782483"/>
  </r>
  <r>
    <n v="33"/>
    <x v="5"/>
    <n v="-1.9553968459507789"/>
    <n v="0.77670677365887608"/>
    <n v="0.77398956840404609"/>
    <n v="0.80074519115796339"/>
    <n v="0.54290551722940239"/>
    <n v="0.42533309274563069"/>
    <n v="0.39332504821399572"/>
    <n v="-6.9793114934077973"/>
    <n v="0.82647109558213605"/>
    <n v="-1.3877135055700109"/>
    <n v="3.3803102737778499"/>
    <n v="3.329325786398154"/>
    <n v="-11.51292546497023"/>
    <n v="5.0984486937522888E-2"/>
    <n v="0"/>
    <n v="0"/>
    <n v="0"/>
    <n v="0"/>
    <n v="1"/>
    <n v="0"/>
    <n v="0"/>
    <n v="-1.7885845899581909"/>
    <n v="0.14150830855057114"/>
    <n v="0.16719665408950193"/>
    <n v="-2.568834553893079E-2"/>
    <n v="6.598910965275054E-4"/>
    <x v="18"/>
    <n v="6.5305524000000004E-2"/>
    <n v="0.99124586999999997"/>
    <n v="-0.16535195981803558"/>
    <n v="0.27418451365792973"/>
    <n v="0.10195587185350896"/>
    <n v="0.17222864180442077"/>
  </r>
  <r>
    <n v="33"/>
    <x v="6"/>
    <n v="-1.8824604353078249"/>
    <n v="0.72701706506756059"/>
    <n v="0.77670677365887608"/>
    <n v="0.77398956840404609"/>
    <n v="0.48168513401957352"/>
    <n v="0.54290551722940239"/>
    <n v="0.42533309274563069"/>
    <n v="-6.5592065445550389"/>
    <n v="0.82647109558213605"/>
    <n v="-1.32546433749687"/>
    <n v="3.410883565693982"/>
    <n v="3.3729712078036278"/>
    <n v="-11.51292546497023"/>
    <n v="3.7912357598543167E-2"/>
    <n v="0"/>
    <n v="0"/>
    <n v="0"/>
    <n v="0"/>
    <n v="1"/>
    <n v="0"/>
    <n v="0"/>
    <n v="-1.6938371658325195"/>
    <n v="0.15221512916504559"/>
    <n v="0.18381284866238834"/>
    <n v="-3.1597719497342747E-2"/>
    <n v="9.9841587743275395E-4"/>
    <x v="18"/>
    <n v="6.5305524000000004E-2"/>
    <n v="0.99124586999999997"/>
    <n v="-0.18697203685329353"/>
    <n v="0.30143328399141722"/>
    <n v="0.11208836292393014"/>
    <n v="0.18934492106748707"/>
  </r>
  <r>
    <n v="33"/>
    <x v="7"/>
    <n v="-1.833439934878303"/>
    <n v="0.72090825134533554"/>
    <n v="0.72701706506756059"/>
    <n v="0.77670677365887608"/>
    <n v="0.45082080982896172"/>
    <n v="0.48168513401957352"/>
    <n v="0.54290551722940239"/>
    <n v="-5.7141714698248407"/>
    <n v="0.82647109558213605"/>
    <n v="-1.2719662823073969"/>
    <n v="3.4187957986930062"/>
    <n v="3.402428809789027"/>
    <n v="-11.51292546497023"/>
    <n v="1.636698842048645E-2"/>
    <n v="0"/>
    <n v="0"/>
    <n v="0"/>
    <n v="0"/>
    <n v="1"/>
    <n v="0"/>
    <n v="0"/>
    <n v="-1.6573200225830078"/>
    <n v="0.15986270356014803"/>
    <n v="0.19064923170026593"/>
    <n v="-3.0786528140117897E-2"/>
    <n v="9.4781031492227109E-4"/>
    <x v="18"/>
    <n v="6.5305524000000004E-2"/>
    <n v="0.99124586999999997"/>
    <n v="-0.1745781356874736"/>
    <n v="0.31264421622344857"/>
    <n v="0.11625716281258243"/>
    <n v="0.19638705341086615"/>
  </r>
  <r>
    <n v="33"/>
    <x v="8"/>
    <n v="-1.749828565635781"/>
    <n v="0.70116495215352848"/>
    <n v="0.72090825134533554"/>
    <n v="0.72701706506756059"/>
    <n v="0.45622159177194999"/>
    <n v="0.45082080982896172"/>
    <n v="0.48168513401957352"/>
    <n v="-5.0547993852039159"/>
    <n v="0.82647109558213605"/>
    <n v="-1.2217981484674389"/>
    <n v="3.4036344688988498"/>
    <n v="3.413191579720682"/>
    <n v="-11.51292546497023"/>
    <n v="-9.5571111887693405E-3"/>
    <n v="0"/>
    <n v="0"/>
    <n v="0"/>
    <n v="0"/>
    <n v="1"/>
    <n v="0"/>
    <n v="0"/>
    <n v="-1.6051784753799438"/>
    <n v="0.17380373682968991"/>
    <n v="0.20085370426991622"/>
    <n v="-2.7049967440226308E-2"/>
    <n v="7.3170073851730336E-4"/>
    <x v="18"/>
    <n v="6.5305524000000004E-2"/>
    <n v="0.99124586999999997"/>
    <n v="-0.14338380456122585"/>
    <n v="0.32937845270612065"/>
    <n v="0.12247981064790915"/>
    <n v="0.20689864205821151"/>
  </r>
  <r>
    <n v="33"/>
    <x v="9"/>
    <n v="-1.8007779194908979"/>
    <n v="0.72571117143320785"/>
    <n v="0.70116495215352848"/>
    <n v="0.72090825134533554"/>
    <n v="0.46304195291218431"/>
    <n v="0.45622159177194999"/>
    <n v="0.45082080982896172"/>
    <n v="-4.7101965250097608"/>
    <n v="0.82647109558213605"/>
    <n v="-1.186573062907786"/>
    <n v="3.3073660326615402"/>
    <n v="3.398251373305063"/>
    <n v="-11.51292546497023"/>
    <n v="-9.0885341167449951E-2"/>
    <n v="1"/>
    <n v="0"/>
    <n v="0"/>
    <n v="0"/>
    <n v="1"/>
    <n v="0"/>
    <n v="0"/>
    <n v="-1.6448615789413452"/>
    <n v="0.16517034899768124"/>
    <n v="0.19303928164622056"/>
    <n v="-2.7868932648539319E-2"/>
    <n v="7.7667740696882076E-4"/>
    <x v="18"/>
    <n v="6.5305524000000004E-2"/>
    <n v="0.99124586999999997"/>
    <n v="-0.15455142863525767"/>
    <n v="0.3165636408412339"/>
    <n v="0.11771460600927937"/>
    <n v="0.19884903483195454"/>
  </r>
  <r>
    <n v="33"/>
    <x v="10"/>
    <n v="-1.823923987083893"/>
    <n v="0.76383860868247833"/>
    <n v="0.72571117143320785"/>
    <n v="0.70116495215352848"/>
    <n v="0.57334961710434951"/>
    <n v="0.46304195291218431"/>
    <n v="0.45622159177194999"/>
    <n v="-4.4310570297258298"/>
    <n v="0.82647109558213583"/>
    <n v="-1.164044452768576"/>
    <n v="3.19542542152741"/>
    <n v="3.3021848031963952"/>
    <n v="-11.51292546497023"/>
    <n v="-0.10675938427448273"/>
    <n v="1"/>
    <n v="0"/>
    <n v="0"/>
    <n v="0"/>
    <n v="1"/>
    <n v="0"/>
    <n v="0"/>
    <n v="-1.6166203022003174"/>
    <n v="0.16139120975984836"/>
    <n v="0.1985686683906451"/>
    <n v="-3.7177458630796745E-2"/>
    <n v="1.3821634302446035E-3"/>
    <x v="18"/>
    <n v="6.5305524000000004E-2"/>
    <n v="0.99124586999999997"/>
    <n v="-0.20548892147662579"/>
    <n v="0.32563123985272535"/>
    <n v="0.12108640462219453"/>
    <n v="0.20454483523053082"/>
  </r>
  <r>
    <n v="33"/>
    <x v="11"/>
    <n v="-1.8911561148776641"/>
    <n v="0.78211913436220926"/>
    <n v="0.76383860868247833"/>
    <n v="0.72571117143320785"/>
    <n v="0.56565466004466869"/>
    <n v="0.57334961710434951"/>
    <n v="0.46304195291218431"/>
    <n v="-3.794709301107944"/>
    <n v="0.82647109558213583"/>
    <n v="-1.1451991938333961"/>
    <n v="3.201971591587994"/>
    <n v="3.1904510374499342"/>
    <n v="-11.51292546497023"/>
    <n v="1.1520554311573505E-2"/>
    <n v="1"/>
    <n v="0"/>
    <n v="0"/>
    <n v="0"/>
    <n v="1"/>
    <n v="0"/>
    <n v="0"/>
    <n v="-1.6090970039367676"/>
    <n v="0.15089725339309457"/>
    <n v="0.20006819332264769"/>
    <n v="-4.9170939929553126E-2"/>
    <n v="2.417781333555722E-3"/>
    <x v="18"/>
    <n v="6.5305524000000004E-2"/>
    <n v="0.99124586999999997"/>
    <n v="-0.2795899288160355"/>
    <n v="0.32809029931439959"/>
    <n v="0.12200080911575908"/>
    <n v="0.20608949019864051"/>
  </r>
  <r>
    <n v="33"/>
    <x v="12"/>
    <n v="-2.1486303885364362"/>
    <n v="0.9108358811911913"/>
    <n v="0.78211913436220926"/>
    <n v="0.76383860868247833"/>
    <n v="0.59316108568401837"/>
    <n v="0.56565466004466869"/>
    <n v="0.57334961710434951"/>
    <n v="-3.3303391138897651"/>
    <n v="0.82647109558213605"/>
    <n v="-1.144966067317355"/>
    <n v="3.2541256695778928"/>
    <n v="3.175935994048924"/>
    <n v="3.2580965380214821"/>
    <n v="7.8189678490161896E-2"/>
    <n v="1"/>
    <n v="0"/>
    <n v="0"/>
    <n v="0"/>
    <n v="1"/>
    <n v="0"/>
    <n v="0"/>
    <n v="-1.7197731733322144"/>
    <n v="0.11664380511376478"/>
    <n v="0.17910676949599236"/>
    <n v="-6.2462964382227579E-2"/>
    <n v="3.901621919415431E-3"/>
    <x v="18"/>
    <n v="6.5305524000000004E-2"/>
    <n v="0.99124586999999997"/>
    <n v="-0.42510294339088606"/>
    <n v="0.29371582077721159"/>
    <n v="0.10921861408215794"/>
    <n v="0.18449720669505365"/>
  </r>
  <r>
    <n v="33"/>
    <x v="13"/>
    <n v="-2.13907748087883"/>
    <n v="0.87070742025218939"/>
    <n v="0.9108358811911913"/>
    <n v="0.78211913436220926"/>
    <n v="0.63254755843101573"/>
    <n v="0.59316108568401837"/>
    <n v="0.56565466004466869"/>
    <n v="-2.6191548710812809"/>
    <n v="0.82647109558213605"/>
    <n v="-1.1202000938310921"/>
    <n v="3.2340371263750378"/>
    <n v="3.2480264032731321"/>
    <n v="5.393627546352362"/>
    <n v="-1.3989277184009552E-2"/>
    <n v="1"/>
    <n v="0"/>
    <n v="0"/>
    <n v="0"/>
    <n v="1"/>
    <n v="0"/>
    <n v="0"/>
    <n v="-1.6847186088562012"/>
    <n v="0.11776343194414252"/>
    <n v="0.18549662171931433"/>
    <n v="-6.7733189775171815E-2"/>
    <n v="4.5877849971194401E-3"/>
    <x v="18"/>
    <n v="6.5305524000000004E-2"/>
    <n v="0.99124586999999997"/>
    <n v="-0.45038135539028934"/>
    <n v="0.30419449054329267"/>
    <n v="0.11311512121019608"/>
    <n v="0.1910793693330966"/>
  </r>
  <r>
    <n v="33"/>
    <x v="14"/>
    <n v="-2.2366779689925438"/>
    <n v="0.80571664916344143"/>
    <n v="0.87070742025218939"/>
    <n v="0.9108358811911913"/>
    <n v="0.60387871280176308"/>
    <n v="0.63254755843101573"/>
    <n v="0.59316108568401837"/>
    <n v="-2.081643006335685"/>
    <n v="0.82647109558213605"/>
    <n v="-1.1083155054469129"/>
    <n v="3.1314304889748761"/>
    <n v="3.228190000820085"/>
    <n v="5.9914645471079817"/>
    <n v="-9.6759513020515442E-2"/>
    <n v="1"/>
    <n v="1"/>
    <n v="0"/>
    <n v="0"/>
    <n v="1"/>
    <n v="0"/>
    <n v="0"/>
    <n v="-1.7531057596206665"/>
    <n v="0.10681275091501073"/>
    <n v="0.17323508057617507"/>
    <n v="-6.6422329661164334E-2"/>
    <n v="4.4119258776163916E-3"/>
    <x v="18"/>
    <n v="6.5305524000000004E-2"/>
    <n v="0.99124586999999997"/>
    <n v="-0.47933895538664861"/>
    <n v="0.28408688304757884"/>
    <n v="0.10563808092895204"/>
    <n v="0.17844880211862679"/>
  </r>
  <r>
    <n v="33"/>
    <x v="15"/>
    <n v="-2.2436494113731271"/>
    <n v="0.99017296426485946"/>
    <n v="0.80571664916344143"/>
    <n v="0.87070742025218939"/>
    <n v="0.80972949563980989"/>
    <n v="0.60387871280176308"/>
    <n v="0.63254755843101573"/>
    <n v="-1.41955856591758"/>
    <n v="0.82647109558213605"/>
    <n v="-1.089817092932543"/>
    <n v="3.2337584360799538"/>
    <n v="3.1258513020199721"/>
    <n v="6.6846117276679271"/>
    <n v="0.10790713131427765"/>
    <n v="1"/>
    <n v="0"/>
    <n v="0"/>
    <n v="0"/>
    <n v="1"/>
    <n v="0"/>
    <n v="0"/>
    <n v="-1.6892243623733521"/>
    <n v="0.10607070155901939"/>
    <n v="0.18466269979774205"/>
    <n v="-7.8591998238722663E-2"/>
    <n v="6.1767021871553859E-3"/>
    <x v="18"/>
    <n v="6.5305524000000004E-2"/>
    <n v="0.99124586999999997"/>
    <n v="-0.54957154004557462"/>
    <n v="0.30282694836525015"/>
    <n v="0.11260659885348588"/>
    <n v="0.19022034951176425"/>
  </r>
  <r>
    <n v="33"/>
    <x v="16"/>
    <n v="-2.1213573857838068"/>
    <n v="0.95273837284520058"/>
    <n v="0.99017296426485946"/>
    <n v="0.80571664916344143"/>
    <n v="0.75912216948347822"/>
    <n v="0.80972949563980989"/>
    <n v="0.60387871280176308"/>
    <n v="-0.84360259996342513"/>
    <n v="0.82647109558213605"/>
    <n v="-1.0708892735523441"/>
    <n v="3.3463959725109111"/>
    <n v="3.2337584360799538"/>
    <n v="8.0551577318196781"/>
    <n v="0.11263753473758698"/>
    <n v="1"/>
    <n v="0"/>
    <n v="0"/>
    <n v="0"/>
    <n v="1"/>
    <n v="0"/>
    <n v="0"/>
    <n v="-1.6451479196548462"/>
    <n v="0.11986880981420001"/>
    <n v="0.19298401455356726"/>
    <n v="-7.3115204739367251E-2"/>
    <n v="5.3458331640795914E-3"/>
    <x v="18"/>
    <n v="6.5305524000000004E-2"/>
    <n v="0.99124586999999997"/>
    <n v="-0.47204066655523713"/>
    <n v="0.31647300875889378"/>
    <n v="0.11768090435031399"/>
    <n v="0.19879210440857981"/>
  </r>
  <r>
    <n v="33"/>
    <x v="17"/>
    <n v="-1.9706228229045011"/>
    <n v="0.75108584548039126"/>
    <n v="0.95273837284520058"/>
    <n v="0.99017296426485946"/>
    <n v="0.49035757512612699"/>
    <n v="0.75912216948347822"/>
    <n v="0.80972949563980989"/>
    <n v="-0.36954702057257222"/>
    <n v="0.82647109558213605"/>
    <n v="-1.047297432211312"/>
    <n v="3.3127315355148799"/>
    <n v="3.3463959725109111"/>
    <n v="8.4658998970286863"/>
    <n v="-3.3664435148239136E-2"/>
    <n v="1"/>
    <n v="0"/>
    <n v="0"/>
    <n v="0"/>
    <n v="1"/>
    <n v="0"/>
    <n v="0"/>
    <n v="-1.5990728139877319"/>
    <n v="0.13937002633343684"/>
    <n v="0.20208380043147675"/>
    <n v="-6.2713774098039909E-2"/>
    <n v="3.9330174616199814E-3"/>
    <x v="18"/>
    <n v="6.5305524000000004E-2"/>
    <n v="0.99124586999999997"/>
    <n v="-0.3682974118372106"/>
    <n v="0.33139567798880731"/>
    <n v="0.12322991852117092"/>
    <n v="0.20816575946763638"/>
  </r>
  <r>
    <n v="35"/>
    <x v="0"/>
    <n v="-1.7630864665386961"/>
    <n v="0.89199803930511046"/>
    <n v="0.83290912293510388"/>
    <n v="0.77941661571212117"/>
    <n v="0.35065687161316927"/>
    <n v="0.19647097989837431"/>
    <n v="6.6068599969704711E-2"/>
    <n v="-11.51292546497023"/>
    <n v="1.265354355328006"/>
    <n v="-1.19793178021197"/>
    <n v="3.2978856822071889"/>
    <n v="3.259373679013422"/>
    <n v="-11.51292546497023"/>
    <n v="3.8512002676725388E-2"/>
    <n v="0"/>
    <n v="0"/>
    <n v="0"/>
    <n v="0"/>
    <n v="1"/>
    <n v="0"/>
    <n v="0"/>
    <n v="-1.9912704229354858"/>
    <n v="0.17151467173866619"/>
    <n v="0.13652187470662366"/>
    <n v="3.4992797032042527E-2"/>
    <n v="1.2244958441257243E-3"/>
    <x v="19"/>
    <n v="8.5534595000000005E-2"/>
    <n v="0.71418482000000005"/>
    <n v="0.15971899685558272"/>
    <n v="0.15426696046256541"/>
    <n v="0.12081797824709085"/>
    <n v="3.3448982215474557E-2"/>
  </r>
  <r>
    <n v="35"/>
    <x v="1"/>
    <n v="-1.746733925088098"/>
    <n v="0.83599132458942582"/>
    <n v="0.89199803930511046"/>
    <n v="0.83290912293510388"/>
    <n v="0.1954022963324851"/>
    <n v="0.35065687161316927"/>
    <n v="0.19647097989837431"/>
    <n v="-11.51292546497023"/>
    <n v="1.265354355328006"/>
    <n v="-1.1162756448768509"/>
    <n v="3.3624528263573801"/>
    <n v="3.2984228525399839"/>
    <n v="-11.51292546497023"/>
    <n v="6.4029976725578308E-2"/>
    <n v="0"/>
    <n v="0"/>
    <n v="0"/>
    <n v="0"/>
    <n v="1"/>
    <n v="0"/>
    <n v="0"/>
    <n v="-1.9297616481781006"/>
    <n v="0.17434243002200675"/>
    <n v="0.14518279894455535"/>
    <n v="2.9159631077451398E-2"/>
    <n v="8.5028408457306934E-4"/>
    <x v="19"/>
    <n v="8.5534595000000005E-2"/>
    <n v="0.71418482000000005"/>
    <n v="0.13071562147004334"/>
    <n v="0.16405362988717931"/>
    <n v="0.12848264999604514"/>
    <n v="3.5570979891134169E-2"/>
  </r>
  <r>
    <n v="35"/>
    <x v="2"/>
    <n v="-1.765048737085086"/>
    <n v="0.77449672625626842"/>
    <n v="0.83599132458942582"/>
    <n v="0.89199803930511046"/>
    <n v="0.13802129789737461"/>
    <n v="0.1954022963324851"/>
    <n v="0.35065687161316927"/>
    <n v="-11.51292546497023"/>
    <n v="1.265354355328006"/>
    <n v="-1.0360122036168831"/>
    <n v="3.386988115588411"/>
    <n v="3.3629902853972329"/>
    <n v="-11.51292546497023"/>
    <n v="2.3997830227017403E-2"/>
    <n v="0"/>
    <n v="0"/>
    <n v="0"/>
    <n v="0"/>
    <n v="1"/>
    <n v="0"/>
    <n v="0"/>
    <n v="-1.860649585723877"/>
    <n v="0.17117844354326939"/>
    <n v="0.15557154048653846"/>
    <n v="1.5606903056730931E-2"/>
    <n v="2.4357542302219727E-4"/>
    <x v="19"/>
    <n v="8.5534595000000005E-2"/>
    <n v="0.71418482000000005"/>
    <n v="6.8276674876942153E-2"/>
    <n v="0.17579269796075275"/>
    <n v="0.13767639094291673"/>
    <n v="3.8116307017836026E-2"/>
  </r>
  <r>
    <n v="35"/>
    <x v="3"/>
    <n v="-1.8212686673049381"/>
    <n v="0.73231981563441728"/>
    <n v="0.77449672625626842"/>
    <n v="0.83599132458942582"/>
    <n v="0.142020260020429"/>
    <n v="0.13802129789737461"/>
    <n v="0.1954022963324851"/>
    <n v="-9.9375033735161562"/>
    <n v="1.265354355328006"/>
    <n v="-0.97659553740601257"/>
    <n v="3.385375666510726"/>
    <n v="3.3779487205784622"/>
    <n v="-11.51292546497023"/>
    <n v="7.4269459582865238E-3"/>
    <n v="0"/>
    <n v="0"/>
    <n v="0"/>
    <n v="0"/>
    <n v="1"/>
    <n v="0"/>
    <n v="0"/>
    <n v="-1.789037823677063"/>
    <n v="0.16182032449756767"/>
    <n v="0.1671208920984274"/>
    <n v="-5.3005676008597291E-3"/>
    <n v="2.8096016891283863E-5"/>
    <x v="19"/>
    <n v="8.5534595000000005E-2"/>
    <n v="0.71418482000000005"/>
    <n v="-2.3018779254822121E-2"/>
    <n v="0.18884323196717664"/>
    <n v="0.14789723880932462"/>
    <n v="4.0945993157852023E-2"/>
  </r>
  <r>
    <n v="35"/>
    <x v="4"/>
    <n v="-1.7189817245146379"/>
    <n v="0.6995764683248491"/>
    <n v="0.73231981563441728"/>
    <n v="0.77449672625626842"/>
    <n v="0.21817120968765191"/>
    <n v="0.142020260020429"/>
    <n v="0.13802129789737461"/>
    <n v="-9.5344896104320913"/>
    <n v="1.265354355328006"/>
    <n v="-0.91249109744974854"/>
    <n v="3.440684568154373"/>
    <n v="3.382924321486628"/>
    <n v="-11.51292546497023"/>
    <n v="5.7760246098041534E-2"/>
    <n v="0"/>
    <n v="0"/>
    <n v="0"/>
    <n v="0"/>
    <n v="1"/>
    <n v="0"/>
    <n v="0"/>
    <n v="-1.6557096242904663"/>
    <n v="0.17924857944718661"/>
    <n v="0.19095650024343361"/>
    <n v="-1.1707920796246996E-2"/>
    <n v="1.3707540937119288E-4"/>
    <x v="19"/>
    <n v="8.5534595000000005E-2"/>
    <n v="0.71418482000000005"/>
    <n v="-4.5187973509621976E-2"/>
    <n v="0.21577698765437772"/>
    <n v="0.16899107444964215"/>
    <n v="4.6785913204735574E-2"/>
  </r>
  <r>
    <n v="35"/>
    <x v="5"/>
    <n v="-1.4805213850711589"/>
    <n v="0.7072473049387269"/>
    <n v="0.6995764683248491"/>
    <n v="0.73231981563441728"/>
    <n v="0.36241841856579821"/>
    <n v="0.21817120968765191"/>
    <n v="0.142020260020429"/>
    <n v="-7.8023339297130283"/>
    <n v="1.265354355328006"/>
    <n v="-0.85356057190685719"/>
    <n v="3.4623864788456791"/>
    <n v="3.4382391934854799"/>
    <n v="-11.51292546497023"/>
    <n v="2.4147285148501396E-2"/>
    <n v="0"/>
    <n v="0"/>
    <n v="0"/>
    <n v="0"/>
    <n v="1"/>
    <n v="0"/>
    <n v="0"/>
    <n v="-1.5333517789840698"/>
    <n v="0.22751903242686655"/>
    <n v="0.2158111025857522"/>
    <n v="1.1707929841114351E-2"/>
    <n v="1.370756211644559E-4"/>
    <x v="19"/>
    <n v="8.5534595000000005E-2"/>
    <n v="0.71418482000000005"/>
    <n v="3.7730665367221361E-2"/>
    <n v="0.24386218619926131"/>
    <n v="0.19098669098792462"/>
    <n v="5.2875495211336693E-2"/>
  </r>
  <r>
    <n v="35"/>
    <x v="6"/>
    <n v="-1.402603731890806"/>
    <n v="0.65044842602683006"/>
    <n v="0.7072473049387269"/>
    <n v="0.6995764683248491"/>
    <n v="0.27299981366563941"/>
    <n v="0.36241841856579821"/>
    <n v="0.21817120968765191"/>
    <n v="-7.4650163682179782"/>
    <n v="1.265354355328006"/>
    <n v="-0.80722742659963931"/>
    <n v="3.4601654748241999"/>
    <n v="3.45486355404898"/>
    <n v="-11.51292546497023"/>
    <n v="5.3019206970930099E-3"/>
    <n v="0"/>
    <n v="0"/>
    <n v="0"/>
    <n v="0"/>
    <n v="1"/>
    <n v="0"/>
    <n v="0"/>
    <n v="-1.4428043365478516"/>
    <n v="0.24595572672957303"/>
    <n v="0.2362642642748834"/>
    <n v="9.6914624546896311E-3"/>
    <n v="9.3924444510658768E-5"/>
    <x v="19"/>
    <n v="8.5534595000000005E-2"/>
    <n v="0.71418482000000005"/>
    <n v="2.8710661600883244E-2"/>
    <n v="0.2669738457220453"/>
    <n v="0.20908715766663041"/>
    <n v="5.7886688055414887E-2"/>
  </r>
  <r>
    <n v="35"/>
    <x v="7"/>
    <n v="-1.4273509861010041"/>
    <n v="0.62657993628783215"/>
    <n v="0.65044842602683006"/>
    <n v="0.7072473049387269"/>
    <n v="0.22657764804849201"/>
    <n v="0.27299981366563941"/>
    <n v="0.36241841856579821"/>
    <n v="-6.6769384770713529"/>
    <n v="1.265354355328006"/>
    <n v="-0.79988354835896736"/>
    <n v="3.442086937200926"/>
    <n v="3.4189640110862158"/>
    <n v="-11.51292546497023"/>
    <n v="2.3122925311326981E-2"/>
    <n v="0"/>
    <n v="0"/>
    <n v="0"/>
    <n v="0"/>
    <n v="1"/>
    <n v="0"/>
    <n v="0"/>
    <n v="-1.4238059520721436"/>
    <n v="0.23994369529505175"/>
    <n v="0.24079581336125452"/>
    <n v="-8.521180662027783E-4"/>
    <n v="7.2610519874916245E-7"/>
    <x v="19"/>
    <n v="8.5534595000000005E-2"/>
    <n v="0.71418482000000005"/>
    <n v="-2.531809489795631E-3"/>
    <n v="0.2720944046452482"/>
    <n v="0.21309744979101952"/>
    <n v="5.8996954854228678E-2"/>
  </r>
  <r>
    <n v="35"/>
    <x v="8"/>
    <n v="-1.4008463333685071"/>
    <n v="0.61442859584854015"/>
    <n v="0.62657993628783215"/>
    <n v="0.65044842602683006"/>
    <n v="0.2124465417658743"/>
    <n v="0.22657764804849201"/>
    <n v="0.27299981366563941"/>
    <n v="-6.0013990725860262"/>
    <n v="1.265354355328006"/>
    <n v="-0.76685051736193866"/>
    <n v="3.4381250306036359"/>
    <n v="3.433611644689563"/>
    <n v="-11.51292546497023"/>
    <n v="4.5133857056498528E-3"/>
    <n v="0"/>
    <n v="0"/>
    <n v="0"/>
    <n v="0"/>
    <n v="1"/>
    <n v="0"/>
    <n v="0"/>
    <n v="-1.4001086950302124"/>
    <n v="0.24638834899379813"/>
    <n v="0.24657016153383121"/>
    <n v="-1.8181254003307723E-4"/>
    <n v="3.3055799713279312E-8"/>
    <x v="19"/>
    <n v="8.5534595000000005E-2"/>
    <n v="0.71418482000000005"/>
    <n v="-5.2681010386006731E-4"/>
    <n v="0.27861930142937325"/>
    <n v="0.2182075837780065"/>
    <n v="6.0411717651366742E-2"/>
  </r>
  <r>
    <n v="35"/>
    <x v="9"/>
    <n v="-1.5485504172300191"/>
    <n v="0.61880071843128848"/>
    <n v="0.61442859584854015"/>
    <n v="0.62657993628783215"/>
    <n v="0.20073432980108"/>
    <n v="0.2124465417658743"/>
    <n v="0.22657764804849201"/>
    <n v="-5.6010491282713071"/>
    <n v="1.265354355328006"/>
    <n v="-0.74372905009135759"/>
    <n v="3.400051629814719"/>
    <n v="3.429956429323278"/>
    <n v="-11.51292546497023"/>
    <n v="-2.9904799535870552E-2"/>
    <n v="1"/>
    <n v="0"/>
    <n v="0"/>
    <n v="0"/>
    <n v="1"/>
    <n v="0"/>
    <n v="0"/>
    <n v="-1.4336446523666382"/>
    <n v="0.21255586793765016"/>
    <n v="0.23843831191366965"/>
    <n v="-2.5882443976019492E-2"/>
    <n v="6.6990090617178775E-4"/>
    <x v="19"/>
    <n v="8.5534595000000005E-2"/>
    <n v="0.71418482000000005"/>
    <n v="-8.2063952995916012E-2"/>
    <n v="0.26943047563470285"/>
    <n v="0.21101112802592603"/>
    <n v="5.8419347608776817E-2"/>
  </r>
  <r>
    <n v="35"/>
    <x v="10"/>
    <n v="-1.4994484294193799"/>
    <n v="0.6505006058384728"/>
    <n v="0.61880071843128848"/>
    <n v="0.61442859584854015"/>
    <n v="0.30601302913650452"/>
    <n v="0.20073432980108"/>
    <n v="0.2124465417658743"/>
    <n v="-5.2535188820657037"/>
    <n v="1.265354355328006"/>
    <n v="-0.7272040533751134"/>
    <n v="3.3639103949803069"/>
    <n v="3.3921271884868189"/>
    <n v="-11.51292546497023"/>
    <n v="-2.821679413318634E-2"/>
    <n v="1"/>
    <n v="0"/>
    <n v="0"/>
    <n v="0"/>
    <n v="1"/>
    <n v="0"/>
    <n v="0"/>
    <n v="-1.4085514545440674"/>
    <n v="0.22325326612811405"/>
    <n v="0.24449719206153234"/>
    <n v="-2.1243925933418284E-2"/>
    <n v="4.513043890645619E-4"/>
    <x v="19"/>
    <n v="8.5534595000000005E-2"/>
    <n v="0.71418482000000005"/>
    <n v="-6.4917239639869631E-2"/>
    <n v="0.27627688780290904"/>
    <n v="0.21637306472273207"/>
    <n v="5.9903823080176971E-2"/>
  </r>
  <r>
    <n v="35"/>
    <x v="11"/>
    <n v="-1.4600525533671029"/>
    <n v="0.64406197286945388"/>
    <n v="0.6505006058384728"/>
    <n v="0.61880071843128848"/>
    <n v="0.28893129185221278"/>
    <n v="0.30601302913650452"/>
    <n v="0.20073432980108"/>
    <n v="-4.6297489561784877"/>
    <n v="1.265354355328006"/>
    <n v="-0.70813243422289962"/>
    <n v="3.359605553219466"/>
    <n v="3.3562267093129119"/>
    <n v="-11.51292546497023"/>
    <n v="3.3788438886404037E-3"/>
    <n v="1"/>
    <n v="0"/>
    <n v="0"/>
    <n v="0"/>
    <n v="1"/>
    <n v="0"/>
    <n v="0"/>
    <n v="-1.3855422735214233"/>
    <n v="0.23222407025225433"/>
    <n v="0.25018809262181496"/>
    <n v="-1.7964022369560628E-2"/>
    <n v="3.2270609969407463E-4"/>
    <x v="19"/>
    <n v="8.5534595000000005E-2"/>
    <n v="0.71418482000000005"/>
    <n v="-5.3214110799736314E-2"/>
    <n v="0.28270749047091442"/>
    <n v="0.22140934994498024"/>
    <n v="6.1298140525934186E-2"/>
  </r>
  <r>
    <n v="35"/>
    <x v="12"/>
    <n v="-1.687282034701959"/>
    <n v="0.76458373049779393"/>
    <n v="0.64406197286945388"/>
    <n v="0.6505006058384728"/>
    <n v="0.32880002317267892"/>
    <n v="0.28893129185221278"/>
    <n v="0.30601302913650452"/>
    <n v="-4.2145776456245212"/>
    <n v="1.265354355328006"/>
    <n v="-0.68901549049015742"/>
    <n v="3.347322722778256"/>
    <n v="3.3498062610410102"/>
    <n v="3.2580965380214821"/>
    <n v="-2.4835383519530296E-3"/>
    <n v="1"/>
    <n v="0"/>
    <n v="0"/>
    <n v="0"/>
    <n v="1"/>
    <n v="0"/>
    <n v="0"/>
    <n v="-1.4727981090545654"/>
    <n v="0.18502172382771515"/>
    <n v="0.22928302785675558"/>
    <n v="-4.4261304029040438E-2"/>
    <n v="1.9590630343511513E-3"/>
    <x v="19"/>
    <n v="8.5534595000000005E-2"/>
    <n v="0.71418482000000005"/>
    <n v="-0.1531811638313772"/>
    <n v="0.2590851896014823"/>
    <n v="0.2029089618901975"/>
    <n v="5.6176227711284804E-2"/>
  </r>
  <r>
    <n v="35"/>
    <x v="13"/>
    <n v="-1.7539985792808619"/>
    <n v="0.7103483878797201"/>
    <n v="0.76458373049779393"/>
    <n v="0.64406197286945388"/>
    <n v="0.28660649422484791"/>
    <n v="0.32880002317267892"/>
    <n v="0.28893129185221278"/>
    <n v="-3.4734102288767632"/>
    <n v="1.265354355328006"/>
    <n v="-0.66727942967695109"/>
    <n v="3.3580967354450082"/>
    <n v="3.3390103771988229"/>
    <n v="5.393627546352362"/>
    <n v="1.9086359068751335E-2"/>
    <n v="1"/>
    <n v="0"/>
    <n v="0"/>
    <n v="0"/>
    <n v="1"/>
    <n v="0"/>
    <n v="0"/>
    <n v="-1.441106915473938"/>
    <n v="0.17308048191503275"/>
    <n v="0.23666564477556382"/>
    <n v="-6.3585162860531064E-2"/>
    <n v="4.0430729360002591E-3"/>
    <x v="19"/>
    <n v="8.5534595000000005E-2"/>
    <n v="0.71418482000000005"/>
    <n v="-0.22346247659544849"/>
    <n v="0.26742739757929873"/>
    <n v="0.2094423679998039"/>
    <n v="5.7985029579494834E-2"/>
  </r>
  <r>
    <n v="35"/>
    <x v="14"/>
    <n v="-1.86403964962227"/>
    <n v="0.65399046535875138"/>
    <n v="0.7103483878797201"/>
    <n v="0.76458373049779393"/>
    <n v="0.26428549464538492"/>
    <n v="0.28660649422484791"/>
    <n v="0.32880002317267892"/>
    <n v="-2.8937330983977869"/>
    <n v="1.265354355328006"/>
    <n v="-0.65527629986212466"/>
    <n v="3.2997488115508631"/>
    <n v="3.3500652315318309"/>
    <n v="5.9914645471079817"/>
    <n v="-5.0316419452428818E-2"/>
    <n v="1"/>
    <n v="1"/>
    <n v="0"/>
    <n v="0"/>
    <n v="1"/>
    <n v="0"/>
    <n v="0"/>
    <n v="-1.5223480463027954"/>
    <n v="0.15504503596973418"/>
    <n v="0.21819894375753349"/>
    <n v="-6.3153907787799307E-2"/>
    <n v="3.9884160688698576E-3"/>
    <x v="19"/>
    <n v="8.5534595000000005E-2"/>
    <n v="0.71418482000000005"/>
    <n v="-0.24403095621223037"/>
    <n v="0.24656039848523864"/>
    <n v="0.19309986254647327"/>
    <n v="5.3460535938765374E-2"/>
  </r>
  <r>
    <n v="35"/>
    <x v="15"/>
    <n v="-1.662372354249732"/>
    <n v="0.85070633066131007"/>
    <n v="0.65399046535875138"/>
    <n v="0.7103483878797201"/>
    <n v="0.57030135056109943"/>
    <n v="0.26428549464538492"/>
    <n v="0.28660649422484791"/>
    <n v="-2.3321531559009401"/>
    <n v="1.265354355328006"/>
    <n v="-0.6472323188136947"/>
    <n v="3.3037784711010461"/>
    <n v="3.2920060368555659"/>
    <n v="6.6846117276679271"/>
    <n v="1.177243422716856E-2"/>
    <n v="1"/>
    <n v="0"/>
    <n v="0"/>
    <n v="0"/>
    <n v="1"/>
    <n v="0"/>
    <n v="0"/>
    <n v="-1.4540067911148071"/>
    <n v="0.1896884377184124"/>
    <n v="0.23363229437502298"/>
    <n v="-4.3943856656610575E-2"/>
    <n v="1.9310625378567375E-3"/>
    <x v="19"/>
    <n v="8.5534595000000005E-2"/>
    <n v="0.71418482000000005"/>
    <n v="-0.14881152220171492"/>
    <n v="0.26399977290512161"/>
    <n v="0.2067579391235092"/>
    <n v="5.7241833781612406E-2"/>
  </r>
  <r>
    <n v="35"/>
    <x v="16"/>
    <n v="-1.539345348544559"/>
    <n v="0.86487111371861958"/>
    <n v="0.85070633066131007"/>
    <n v="0.65399046535875138"/>
    <n v="0.53315446924905385"/>
    <n v="0.57030135056109943"/>
    <n v="0.26428549464538492"/>
    <n v="-1.8103043863290309"/>
    <n v="1.265354355328006"/>
    <n v="-0.6258211804677235"/>
    <n v="3.362174111307882"/>
    <n v="3.3037784711010461"/>
    <n v="8.0551577318196781"/>
    <n v="5.8395639061927795E-2"/>
    <n v="1"/>
    <n v="0"/>
    <n v="0"/>
    <n v="0"/>
    <n v="1"/>
    <n v="0"/>
    <n v="0"/>
    <n v="-1.433785080909729"/>
    <n v="0.21452149227556894"/>
    <n v="0.23840483071982324"/>
    <n v="-2.3883338444254304E-2"/>
    <n v="5.7041385524279561E-4"/>
    <x v="19"/>
    <n v="8.5534595000000005E-2"/>
    <n v="0.71418482000000005"/>
    <n v="-7.5389540739932856E-2"/>
    <n v="0.26939264256202899"/>
    <n v="0.21098149812113229"/>
    <n v="5.8411144440896706E-2"/>
  </r>
  <r>
    <n v="35"/>
    <x v="17"/>
    <n v="-1.4942475735529499"/>
    <n v="0.72711373012321823"/>
    <n v="0.86487111371861958"/>
    <n v="0.85070633066131007"/>
    <n v="0.33461336713621331"/>
    <n v="0.53315446924905385"/>
    <n v="0.57030135056109943"/>
    <n v="-1.257223832920717"/>
    <n v="1.265354355328006"/>
    <n v="-0.60173262156518448"/>
    <n v="3.4075965113004578"/>
    <n v="3.362174111307882"/>
    <n v="8.4658998970286863"/>
    <n v="4.5422401279211044E-2"/>
    <n v="1"/>
    <n v="0"/>
    <n v="0"/>
    <n v="0"/>
    <n v="1"/>
    <n v="0"/>
    <n v="0"/>
    <n v="-1.4022119045257568"/>
    <n v="0.22441739880604844"/>
    <n v="0.24605211779699199"/>
    <n v="-2.1634718990943547E-2"/>
    <n v="4.6806106581709334E-4"/>
    <x v="19"/>
    <n v="8.5534595000000005E-2"/>
    <n v="0.71418482000000005"/>
    <n v="-6.5730477717765468E-2"/>
    <n v="0.27803392247204067"/>
    <n v="0.21774912979718489"/>
    <n v="6.0284792674855786E-2"/>
  </r>
  <r>
    <n v="41"/>
    <x v="0"/>
    <n v="-1.8423609383586479"/>
    <n v="0.91629073187415511"/>
    <n v="0.85946637987639407"/>
    <n v="0.81863380060136115"/>
    <n v="0.50681760236845186"/>
    <n v="0.36018876323852889"/>
    <n v="0.23467678712788281"/>
    <n v="-11.51292546497023"/>
    <n v="1.552935502058828"/>
    <n v="-1.2951281768844689"/>
    <n v="2.8821140608554998"/>
    <n v="2.870796881453622"/>
    <n v="-11.51292546497023"/>
    <n v="1.1317179538309574E-2"/>
    <n v="0"/>
    <n v="0"/>
    <n v="0"/>
    <n v="1"/>
    <n v="0"/>
    <n v="0"/>
    <n v="0"/>
    <n v="-1.8481986522674561"/>
    <n v="0.15844291023201418"/>
    <n v="0.15752066038568219"/>
    <n v="9.2224984633199059E-4"/>
    <n v="8.5054477905938025E-7"/>
    <x v="20"/>
    <n v="6.9328867000000002E-2"/>
    <n v="0.76503348000000004"/>
    <n v="3.7594323460772537E-3"/>
    <n v="0.17542502324281337"/>
    <n v="0.14144366630065661"/>
    <n v="3.398135694215676E-2"/>
  </r>
  <r>
    <n v="41"/>
    <x v="1"/>
    <n v="-1.8560792646036639"/>
    <n v="0.84835444486232792"/>
    <n v="0.91629073187415511"/>
    <n v="0.85946637987639407"/>
    <n v="0.32099595148171439"/>
    <n v="0.50681760236845186"/>
    <n v="0.36018876323852889"/>
    <n v="-11.51292546497023"/>
    <n v="1.552935502058828"/>
    <n v="-1.2165735664723041"/>
    <n v="2.992506428742332"/>
    <n v="2.872399933716999"/>
    <n v="-11.51292546497023"/>
    <n v="0.12010649591684341"/>
    <n v="0"/>
    <n v="0"/>
    <n v="0"/>
    <n v="1"/>
    <n v="0"/>
    <n v="0"/>
    <n v="0"/>
    <n v="-1.7801139354705811"/>
    <n v="0.15628417963815402"/>
    <n v="0.16861893449645746"/>
    <n v="-1.2334754858303432E-2"/>
    <n v="1.521461774144401E-4"/>
    <x v="20"/>
    <n v="6.9328867000000002E-2"/>
    <n v="0.76503348000000004"/>
    <n v="-5.811602010602776E-2"/>
    <n v="0.18778476696830901"/>
    <n v="0.15140921987308437"/>
    <n v="3.6375547095224642E-2"/>
  </r>
  <r>
    <n v="41"/>
    <x v="2"/>
    <n v="-1.829494845679668"/>
    <n v="0.77868246866620794"/>
    <n v="0.84835444486232792"/>
    <n v="0.91629073187415511"/>
    <n v="0.24263240389805671"/>
    <n v="0.32099595148171439"/>
    <n v="0.50681760236845186"/>
    <n v="-11.51292546497023"/>
    <n v="1.552935502058828"/>
    <n v="-1.1381487519499429"/>
    <n v="3.0155765265959911"/>
    <n v="2.9828856643160169"/>
    <n v="-11.51292546497023"/>
    <n v="3.2690864056348801E-2"/>
    <n v="0"/>
    <n v="0"/>
    <n v="0"/>
    <n v="1"/>
    <n v="0"/>
    <n v="0"/>
    <n v="0"/>
    <n v="-1.7224172353744507"/>
    <n v="0.16049462185265934"/>
    <n v="0.17863382560728427"/>
    <n v="-1.8139203754624939E-2"/>
    <n v="3.2903071285179947E-4"/>
    <x v="20"/>
    <n v="6.9328867000000002E-2"/>
    <n v="0.76503348000000004"/>
    <n v="-8.1917956841884285E-2"/>
    <n v="0.19893798649893721"/>
    <n v="0.1604019635096896"/>
    <n v="3.8536022989247604E-2"/>
  </r>
  <r>
    <n v="41"/>
    <x v="3"/>
    <n v="-1.8964178520160431"/>
    <n v="0.76103944660286371"/>
    <n v="0.77868246866620794"/>
    <n v="0.84835444486232792"/>
    <n v="0.24208306113360409"/>
    <n v="0.24263240389805671"/>
    <n v="0.32099595148171439"/>
    <n v="-9.2767128666058145"/>
    <n v="1.552935502058828"/>
    <n v="-1.07274631637666"/>
    <n v="2.9934713224657501"/>
    <n v="3.0065452457640429"/>
    <n v="-11.51292546497023"/>
    <n v="-1.307392306625843E-2"/>
    <n v="0"/>
    <n v="0"/>
    <n v="0"/>
    <n v="1"/>
    <n v="0"/>
    <n v="0"/>
    <n v="0"/>
    <n v="-1.6817374229431152"/>
    <n v="0.15010535691342339"/>
    <n v="0.1860504467524273"/>
    <n v="-3.5945089839003908E-2"/>
    <n v="1.2920494835340619E-3"/>
    <x v="20"/>
    <n v="6.9328867000000002E-2"/>
    <n v="0.76503348000000004"/>
    <n v="-0.16423771574155516"/>
    <n v="0.20719760738666246"/>
    <n v="0.16706162379655923"/>
    <n v="4.013598359010323E-2"/>
  </r>
  <r>
    <n v="41"/>
    <x v="4"/>
    <n v="-1.726507138524179"/>
    <n v="0.72764522096751272"/>
    <n v="0.76103944660286371"/>
    <n v="0.77868246866620794"/>
    <n v="0.28803201121606892"/>
    <n v="0.24208306113360409"/>
    <n v="0.24263240389805671"/>
    <n v="-8.575395870932196"/>
    <n v="1.552935502058828"/>
    <n v="-0.99196821018247971"/>
    <n v="3.0562244582969211"/>
    <n v="3.0016411375795662"/>
    <n v="-11.51292546497023"/>
    <n v="5.4583322256803513E-2"/>
    <n v="0"/>
    <n v="0"/>
    <n v="0"/>
    <n v="1"/>
    <n v="0"/>
    <n v="0"/>
    <n v="0"/>
    <n v="-1.5560399293899536"/>
    <n v="0.17790472255804113"/>
    <n v="0.21096987475125187"/>
    <n v="-3.306515219321074E-2"/>
    <n v="1.093304289560189E-3"/>
    <x v="20"/>
    <n v="6.9328867000000002E-2"/>
    <n v="0.76503348000000004"/>
    <n v="-0.13041312222984427"/>
    <n v="0.23494946688996834"/>
    <n v="0.18943770608086991"/>
    <n v="4.5511760809098439E-2"/>
  </r>
  <r>
    <n v="41"/>
    <x v="5"/>
    <n v="-1.4758305114994541"/>
    <n v="0.72226899413196388"/>
    <n v="0.72764522096751272"/>
    <n v="0.76103944660286371"/>
    <n v="0.41449091931547682"/>
    <n v="0.28803201121606892"/>
    <n v="0.24208306113360409"/>
    <n v="-6.7753992905375107"/>
    <n v="1.552935502058828"/>
    <n v="-0.91369468549430466"/>
    <n v="3.117094438691538"/>
    <n v="3.064461569463433"/>
    <n v="-11.51292546497023"/>
    <n v="5.263286828994751E-2"/>
    <n v="0"/>
    <n v="0"/>
    <n v="0"/>
    <n v="1"/>
    <n v="0"/>
    <n v="0"/>
    <n v="0"/>
    <n v="-1.4270868301391602"/>
    <n v="0.22858880255973221"/>
    <n v="0.2400070862248482"/>
    <n v="-1.1418283665115991E-2"/>
    <n v="1.3037720185705469E-4"/>
    <x v="20"/>
    <n v="6.9328867000000002E-2"/>
    <n v="0.76503348000000004"/>
    <n v="-3.7290548179076816E-2"/>
    <n v="0.26728715189706553"/>
    <n v="0.21551129947437675"/>
    <n v="5.1775852422688784E-2"/>
  </r>
  <r>
    <n v="41"/>
    <x v="6"/>
    <n v="-1.339446711138798"/>
    <n v="0.66921303026431433"/>
    <n v="0.72226899413196388"/>
    <n v="0.72764522096751272"/>
    <n v="0.34238330322186772"/>
    <n v="0.41449091931547682"/>
    <n v="0.28803201121606892"/>
    <n v="-6.4332951460233661"/>
    <n v="1.552935502058828"/>
    <n v="-0.85480182225983004"/>
    <n v="3.1395688255276668"/>
    <n v="3.1108918889374499"/>
    <n v="-11.51292546497023"/>
    <n v="2.8676936402916908E-2"/>
    <n v="0"/>
    <n v="0"/>
    <n v="0"/>
    <n v="1"/>
    <n v="0"/>
    <n v="0"/>
    <n v="0"/>
    <n v="-1.3295986652374268"/>
    <n v="0.26199058495871752"/>
    <n v="0.26458342652116568"/>
    <n v="-2.592841562448156E-3"/>
    <n v="6.7228273679585949E-6"/>
    <x v="20"/>
    <n v="6.9328867000000002E-2"/>
    <n v="0.76503348000000004"/>
    <n v="-7.5340848271257671E-3"/>
    <n v="0.29465692711987601"/>
    <n v="0.23757931053560816"/>
    <n v="5.7077616584267854E-2"/>
  </r>
  <r>
    <n v="41"/>
    <x v="7"/>
    <n v="-1.3850817769822621"/>
    <n v="0.6660842610102562"/>
    <n v="0.66921303026431433"/>
    <n v="0.72226899413196388"/>
    <n v="0.29012907609483268"/>
    <n v="0.34238330322186772"/>
    <n v="0.41449091931547682"/>
    <n v="-5.5677504523929784"/>
    <n v="1.552935502058828"/>
    <n v="-0.83520570489409651"/>
    <n v="3.183217508248168"/>
    <n v="3.1006572449309169"/>
    <n v="-11.51292546497023"/>
    <n v="8.2560263574123383E-2"/>
    <n v="0"/>
    <n v="0"/>
    <n v="0"/>
    <n v="1"/>
    <n v="0"/>
    <n v="0"/>
    <n v="0"/>
    <n v="-1.3182159662246704"/>
    <n v="0.25030332990375498"/>
    <n v="0.26761230573604244"/>
    <n v="-1.7308975832287465E-2"/>
    <n v="2.9960064436271154E-4"/>
    <x v="20"/>
    <n v="6.9328867000000002E-2"/>
    <n v="0.76503348000000004"/>
    <n v="-5.1154583896901806E-2"/>
    <n v="0.29803007960265804"/>
    <n v="0.24029905396408965"/>
    <n v="5.7731025638568384E-2"/>
  </r>
  <r>
    <n v="41"/>
    <x v="8"/>
    <n v="-1.345189368281094"/>
    <n v="0.641959143790512"/>
    <n v="0.6660842610102562"/>
    <n v="0.66921303026431433"/>
    <n v="0.27307592006241882"/>
    <n v="0.29012907609483268"/>
    <n v="0.34238330322186772"/>
    <n v="-4.918600501551456"/>
    <n v="1.552935502058828"/>
    <n v="-0.79188257119245631"/>
    <n v="3.142905274687771"/>
    <n v="3.175587922700605"/>
    <n v="-11.51292546497023"/>
    <n v="-3.2682649791240692E-2"/>
    <n v="0"/>
    <n v="0"/>
    <n v="0"/>
    <n v="1"/>
    <n v="0"/>
    <n v="0"/>
    <n v="0"/>
    <n v="-1.2908124923706055"/>
    <n v="0.26049037457456858"/>
    <n v="0.27504721851319647"/>
    <n v="-1.4556843938627884E-2"/>
    <n v="2.1190170545356735E-4"/>
    <x v="20"/>
    <n v="6.9328867000000002E-2"/>
    <n v="0.76503348000000004"/>
    <n v="-4.1600130609329239E-2"/>
    <n v="0.30631007121485093"/>
    <n v="0.24697513898843762"/>
    <n v="5.9334932226413312E-2"/>
  </r>
  <r>
    <n v="41"/>
    <x v="9"/>
    <n v="-1.460493169190533"/>
    <n v="0.64966540194798428"/>
    <n v="0.641959143790512"/>
    <n v="0.6660842610102562"/>
    <n v="0.26972174707478819"/>
    <n v="0.27307592006241882"/>
    <n v="0.29012907609483268"/>
    <n v="-4.484079722531721"/>
    <n v="1.552935502058828"/>
    <n v="-0.7667308249154009"/>
    <n v="3.142359436250826"/>
    <n v="3.13559330142846"/>
    <n v="-11.51292546497023"/>
    <n v="6.7661348730325699E-3"/>
    <n v="1"/>
    <n v="0"/>
    <n v="0"/>
    <n v="1"/>
    <n v="0"/>
    <n v="0"/>
    <n v="0"/>
    <n v="-1.3206206560134888"/>
    <n v="0.2321217711912674"/>
    <n v="0.26696955427574109"/>
    <n v="-3.4847783084473699E-2"/>
    <n v="1.2143679859025313E-3"/>
    <x v="20"/>
    <n v="6.9328867000000002E-2"/>
    <n v="0.76503348000000004"/>
    <n v="-0.10700715551217997"/>
    <n v="0.29731427070757954"/>
    <n v="0.2397219034947955"/>
    <n v="5.7592367212784046E-2"/>
  </r>
  <r>
    <n v="41"/>
    <x v="10"/>
    <n v="-1.3613844512385129"/>
    <n v="0.68697819141441629"/>
    <n v="0.64966540194798428"/>
    <n v="0.641959143790512"/>
    <n v="0.39102806031039478"/>
    <n v="0.26972174707478819"/>
    <n v="0.27307592006241882"/>
    <n v="-4.1179899342132718"/>
    <n v="1.552935502058828"/>
    <n v="-0.75113211232978527"/>
    <n v="3.1211682337027451"/>
    <n v="3.135244978679335"/>
    <n v="-11.51292546497023"/>
    <n v="-1.4076745137572289E-2"/>
    <n v="1"/>
    <n v="0"/>
    <n v="0"/>
    <n v="1"/>
    <n v="0"/>
    <n v="0"/>
    <n v="0"/>
    <n v="-1.2924900054931641"/>
    <n v="0.25630568848107926"/>
    <n v="0.2745862099768604"/>
    <n v="-1.8280521495781132E-2"/>
    <n v="3.3417746615771606E-4"/>
    <x v="20"/>
    <n v="6.9328867000000002E-2"/>
    <n v="0.76503348000000004"/>
    <n v="-5.2706557581235436E-2"/>
    <n v="0.30579666279589257"/>
    <n v="0.24656118225783724"/>
    <n v="5.923548053805533E-2"/>
  </r>
  <r>
    <n v="41"/>
    <x v="11"/>
    <n v="-1.3064815329151609"/>
    <n v="0.67701779863006162"/>
    <n v="0.68697819141441629"/>
    <n v="0.64966540194798428"/>
    <n v="0.38028404291090551"/>
    <n v="0.39102806031039478"/>
    <n v="0.26972174707478819"/>
    <n v="-3.482202667464827"/>
    <n v="1.552935502058828"/>
    <n v="-0.73423257976881406"/>
    <n v="3.1260082481797218"/>
    <n v="3.1142391735181341"/>
    <n v="-11.51292546497023"/>
    <n v="1.1769074946641922E-2"/>
    <n v="1"/>
    <n v="0"/>
    <n v="0"/>
    <n v="1"/>
    <n v="0"/>
    <n v="0"/>
    <n v="0"/>
    <n v="-1.2630348205566406"/>
    <n v="0.27077108146601875"/>
    <n v="0.28279449235482318"/>
    <n v="-1.2023410888804431E-2"/>
    <n v="1.4456240940102097E-4"/>
    <x v="20"/>
    <n v="6.9328867000000002E-2"/>
    <n v="0.76503348000000004"/>
    <n v="-3.3238189550197771E-2"/>
    <n v="0.31493792796969311"/>
    <n v="0.25393170464345605"/>
    <n v="6.1006223326237063E-2"/>
  </r>
  <r>
    <n v="41"/>
    <x v="12"/>
    <n v="-1.4986251909305219"/>
    <n v="0.78349050045754698"/>
    <n v="0.67701779863006162"/>
    <n v="0.68697819141441629"/>
    <n v="0.41369779303464072"/>
    <n v="0.38028404291090551"/>
    <n v="0.39102806031039478"/>
    <n v="-3.0490208019740672"/>
    <n v="1.552935502058828"/>
    <n v="-0.7080024089864696"/>
    <n v="3.1226058478362422"/>
    <n v="3.123534033283172"/>
    <n v="3.2580965380214821"/>
    <n v="-9.2818547273054719E-4"/>
    <n v="1"/>
    <n v="0"/>
    <n v="0"/>
    <n v="1"/>
    <n v="0"/>
    <n v="0"/>
    <n v="0"/>
    <n v="-1.332876443862915"/>
    <n v="0.22343713248209948"/>
    <n v="0.26371760038944092"/>
    <n v="-4.0280467907341438E-2"/>
    <n v="1.6225160948343635E-3"/>
    <x v="20"/>
    <n v="6.9328867000000002E-2"/>
    <n v="0.76503348000000004"/>
    <n v="-0.1268033407747711"/>
    <n v="0.29369268808665866"/>
    <n v="0.23680185301257459"/>
    <n v="5.6890835074084073E-2"/>
  </r>
  <r>
    <n v="41"/>
    <x v="13"/>
    <n v="-1.5143299060988189"/>
    <n v="0.71759586096225525"/>
    <n v="0.78349050045754698"/>
    <n v="0.67701779863006162"/>
    <n v="0.36464311358790918"/>
    <n v="0.41369779303464072"/>
    <n v="0.38028404291090551"/>
    <n v="-2.3090742918220881"/>
    <n v="1.552935502058828"/>
    <n v="-0.68325093447038077"/>
    <n v="3.1319204394203441"/>
    <n v="3.1151423188689078"/>
    <n v="5.393627546352362"/>
    <n v="1.6778120771050453E-2"/>
    <n v="1"/>
    <n v="0"/>
    <n v="0"/>
    <n v="1"/>
    <n v="0"/>
    <n v="0"/>
    <n v="0"/>
    <n v="-1.2875840663909912"/>
    <n v="0.21995552633265975"/>
    <n v="0.27593662301486277"/>
    <n v="-5.5981096682203024E-2"/>
    <n v="3.1338831857421626E-3"/>
    <x v="20"/>
    <n v="6.9328867000000002E-2"/>
    <n v="0.76503348000000004"/>
    <n v="-0.17346815882720162"/>
    <n v="0.30730056862004884"/>
    <n v="0.24777376840779111"/>
    <n v="5.952680021225773E-2"/>
  </r>
  <r>
    <n v="41"/>
    <x v="14"/>
    <n v="-1.530973710856024"/>
    <n v="0.63673554663398246"/>
    <n v="0.71759586096225525"/>
    <n v="0.78349050045754698"/>
    <n v="0.33404071142979791"/>
    <n v="0.36464311358790918"/>
    <n v="0.41369779303464072"/>
    <n v="-1.6952284246354941"/>
    <n v="1.552935502058828"/>
    <n v="-0.66505064194755892"/>
    <n v="3.1071599665025058"/>
    <n v="3.1246977394578521"/>
    <n v="5.9914645471079817"/>
    <n v="-1.7537772655487061E-2"/>
    <n v="1"/>
    <n v="1"/>
    <n v="0"/>
    <n v="1"/>
    <n v="0"/>
    <n v="0"/>
    <n v="0"/>
    <n v="-1.3363113403320313"/>
    <n v="0.2163249268028383"/>
    <n v="0.26281331169314948"/>
    <n v="-4.648838489031118E-2"/>
    <n v="2.161169929709713E-3"/>
    <x v="20"/>
    <n v="6.9328867000000002E-2"/>
    <n v="0.76503348000000004"/>
    <n v="-0.14892323074701957"/>
    <n v="0.29268561469592547"/>
    <n v="0.23598985852064869"/>
    <n v="5.6695756175276779E-2"/>
  </r>
  <r>
    <n v="41"/>
    <x v="15"/>
    <n v="-1.421809541109802"/>
    <n v="0.85980503288729271"/>
    <n v="0.63673554663398246"/>
    <n v="0.71759586096225525"/>
    <n v="0.62663337650160578"/>
    <n v="0.33404071142979791"/>
    <n v="0.36464311358790918"/>
    <n v="-1.146789059642076"/>
    <n v="1.552935502058828"/>
    <n v="-0.64621235690546897"/>
    <n v="3.0972182161012869"/>
    <n v="3.1001821005509091"/>
    <n v="6.6846117276679271"/>
    <n v="-2.9638845007866621E-3"/>
    <n v="1"/>
    <n v="0"/>
    <n v="0"/>
    <n v="1"/>
    <n v="0"/>
    <n v="0"/>
    <n v="0"/>
    <n v="-1.291932225227356"/>
    <n v="0.24127702094695719"/>
    <n v="0.27473941146846093"/>
    <n v="-3.3462390521503738E-2"/>
    <n v="1.1197315794136231E-3"/>
    <x v="20"/>
    <n v="6.9328867000000002E-2"/>
    <n v="0.76503348000000004"/>
    <n v="-9.9360494942606944E-2"/>
    <n v="0.30596727771814497"/>
    <n v="0.24669874758165983"/>
    <n v="5.9268530136485142E-2"/>
  </r>
  <r>
    <n v="41"/>
    <x v="16"/>
    <n v="-1.292181866336219"/>
    <n v="0.9032460183533465"/>
    <n v="0.85980503288729271"/>
    <n v="0.63673554663398246"/>
    <n v="0.64301111106614806"/>
    <n v="0.62663337650160578"/>
    <n v="0.33404071142979791"/>
    <n v="-0.65453880353422889"/>
    <n v="1.552935502058828"/>
    <n v="-0.62477866230722001"/>
    <n v="3.1261348219753211"/>
    <n v="3.0972182161012869"/>
    <n v="8.0551577318196781"/>
    <n v="2.8916606679558754E-2"/>
    <n v="1"/>
    <n v="0"/>
    <n v="0"/>
    <n v="1"/>
    <n v="0"/>
    <n v="0"/>
    <n v="0"/>
    <n v="-1.2790071964263916"/>
    <n v="0.2746708337773951"/>
    <n v="0.2783134739490129"/>
    <n v="-3.6426401716178058E-3"/>
    <n v="1.3268827419883798E-5"/>
    <x v="20"/>
    <n v="6.9328867000000002E-2"/>
    <n v="0.76503348000000004"/>
    <n v="-1.0079063568966548E-2"/>
    <n v="0.30994758095066677"/>
    <n v="0.24990803136449269"/>
    <n v="6.0039549586174079E-2"/>
  </r>
  <r>
    <n v="41"/>
    <x v="17"/>
    <n v="-1.2328482132081771"/>
    <n v="0.77803964757790789"/>
    <n v="0.9032460183533465"/>
    <n v="0.85980503288729271"/>
    <n v="0.43696377516753537"/>
    <n v="0.64301111106614806"/>
    <n v="0.62663337650160578"/>
    <n v="-0.1094632567251597"/>
    <n v="1.552935502058828"/>
    <n v="-0.60228029567260255"/>
    <n v="3.1634861092570059"/>
    <n v="3.1261348219753211"/>
    <n v="8.4658998970286863"/>
    <n v="3.735128790140152E-2"/>
    <n v="1"/>
    <n v="0"/>
    <n v="0"/>
    <n v="1"/>
    <n v="0"/>
    <n v="0"/>
    <n v="0"/>
    <n v="-1.2678767442703247"/>
    <n v="0.2914612505608975"/>
    <n v="0.28142853260130701"/>
    <n v="1.0032717959590487E-2"/>
    <n v="1.006554296566895E-4"/>
    <x v="20"/>
    <n v="6.9328867000000002E-2"/>
    <n v="0.76503348000000004"/>
    <n v="2.6797999017762916E-2"/>
    <n v="0.31341670833461399"/>
    <n v="0.25270515851875458"/>
    <n v="6.0711549815859411E-2"/>
  </r>
  <r>
    <n v="42"/>
    <x v="0"/>
    <n v="-1.393732183021102"/>
    <n v="0.94390589890712839"/>
    <n v="0.9146894505071812"/>
    <n v="0.86098941608906565"/>
    <n v="0.59883650108870401"/>
    <n v="0.51336240341796069"/>
    <n v="0.40832767372164103"/>
    <n v="-11.51292546497023"/>
    <n v="0.76262602198805785"/>
    <n v="-1.137032485298213"/>
    <n v="3.024780520985785"/>
    <n v="2.9799779067954488"/>
    <n v="-11.51292546497023"/>
    <n v="4.480261355638504E-2"/>
    <n v="0"/>
    <n v="0"/>
    <n v="0"/>
    <n v="1"/>
    <n v="0"/>
    <n v="0"/>
    <n v="0"/>
    <n v="-1.6134806871414185"/>
    <n v="0.24814744256130886"/>
    <n v="0.1991930772609867"/>
    <n v="4.8954365300322156E-2"/>
    <n v="2.3965298819573861E-3"/>
    <x v="21"/>
    <n v="5.6063801000000003E-2"/>
    <n v="0.75056648000000004"/>
    <n v="0.14520870065458555"/>
    <n v="0.21683084962462351"/>
    <n v="0.18299002239483714"/>
    <n v="3.3840827229786374E-2"/>
  </r>
  <r>
    <n v="42"/>
    <x v="1"/>
    <n v="-1.5006937786087979"/>
    <n v="0.88854947689243036"/>
    <n v="0.94390589890712839"/>
    <n v="0.9146894505071812"/>
    <n v="0.49286529838899779"/>
    <n v="0.59883650108870401"/>
    <n v="0.51336240341796069"/>
    <n v="-11.51292546497023"/>
    <n v="0.76262602198805785"/>
    <n v="-1.057041665037638"/>
    <n v="3.0847108733252599"/>
    <n v="3.016896626236234"/>
    <n v="-11.51292546497023"/>
    <n v="6.7814245820045471E-2"/>
    <n v="0"/>
    <n v="0"/>
    <n v="0"/>
    <n v="1"/>
    <n v="0"/>
    <n v="0"/>
    <n v="0"/>
    <n v="-1.5425288677215576"/>
    <n v="0.22297541090340625"/>
    <n v="0.21383964490398805"/>
    <n v="9.135765999418205E-3"/>
    <n v="8.3462220396125715E-5"/>
    <x v="21"/>
    <n v="5.6063801000000003E-2"/>
    <n v="0.75056648000000004"/>
    <n v="3.1400015575850357E-2"/>
    <n v="0.23277431387441502"/>
    <n v="0.19644518749321399"/>
    <n v="3.6329126381201032E-2"/>
  </r>
  <r>
    <n v="42"/>
    <x v="2"/>
    <n v="-1.481321040208609"/>
    <n v="0.83121203151584044"/>
    <n v="0.88854947689243036"/>
    <n v="0.94390589890712839"/>
    <n v="0.4296372600791496"/>
    <n v="0.49286529838899779"/>
    <n v="0.59883650108870401"/>
    <n v="-11.51292546497023"/>
    <n v="0.76262602198805785"/>
    <n v="-0.98384170078727839"/>
    <n v="3.1506985729239658"/>
    <n v="3.0768884832713241"/>
    <n v="-11.51292546497023"/>
    <n v="7.3810093104839325E-2"/>
    <n v="0"/>
    <n v="0"/>
    <n v="0"/>
    <n v="1"/>
    <n v="0"/>
    <n v="0"/>
    <n v="0"/>
    <n v="-1.4715136289596558"/>
    <n v="0.22733716838766641"/>
    <n v="0.22957772656893477"/>
    <n v="-2.240558181268365E-3"/>
    <n v="5.0201009636486034E-6"/>
    <x v="21"/>
    <n v="5.6063801000000003E-2"/>
    <n v="0.75056648000000004"/>
    <n v="-7.3611141390392335E-3"/>
    <n v="0.24990594146808373"/>
    <n v="0.21090307908222267"/>
    <n v="3.9002862385861065E-2"/>
  </r>
  <r>
    <n v="42"/>
    <x v="3"/>
    <n v="-1.4386193539111141"/>
    <n v="0.78504244526420097"/>
    <n v="0.83121203151584044"/>
    <n v="0.88854947689243036"/>
    <n v="0.40499833251872053"/>
    <n v="0.4296372600791496"/>
    <n v="0.49286529838899779"/>
    <n v="-8.7191119622539297"/>
    <n v="0.76262602198805785"/>
    <n v="-0.91604814610972674"/>
    <n v="3.130092444870475"/>
    <n v="3.1398276736047461"/>
    <n v="-11.51292546497023"/>
    <n v="-9.7352284938097E-3"/>
    <n v="0"/>
    <n v="0"/>
    <n v="0"/>
    <n v="1"/>
    <n v="0"/>
    <n v="0"/>
    <n v="0"/>
    <n v="-1.4097095727920532"/>
    <n v="0.23725509798336034"/>
    <n v="0.24421419930299348"/>
    <n v="-6.9591013196331486E-3"/>
    <n v="4.8429091176919828E-5"/>
    <x v="21"/>
    <n v="5.6063801000000003E-2"/>
    <n v="0.75056648000000004"/>
    <n v="-2.1698712652103956E-2"/>
    <n v="0.26583841694400312"/>
    <n v="0.22434897042651689"/>
    <n v="4.1489446517486234E-2"/>
  </r>
  <r>
    <n v="42"/>
    <x v="4"/>
    <n v="-1.246790307904005"/>
    <n v="0.74720913865847582"/>
    <n v="0.78504244526420097"/>
    <n v="0.83121203151584044"/>
    <n v="0.47237581339079121"/>
    <n v="0.40499833251872053"/>
    <n v="0.4296372600791496"/>
    <n v="-8.0420400059359878"/>
    <n v="0.76262602198805785"/>
    <n v="-0.85606414860519153"/>
    <n v="3.207739934963127"/>
    <n v="3.1140172206283951"/>
    <n v="-11.51292546497023"/>
    <n v="9.3722715973854065E-2"/>
    <n v="0"/>
    <n v="0"/>
    <n v="0"/>
    <n v="1"/>
    <n v="0"/>
    <n v="0"/>
    <n v="0"/>
    <n v="-1.2805079221725464"/>
    <n v="0.28742586642624235"/>
    <n v="0.27789611500214484"/>
    <n v="9.5297514240975101E-3"/>
    <n v="9.0816162205088519E-5"/>
    <x v="21"/>
    <n v="5.6063801000000003E-2"/>
    <n v="0.75056648000000004"/>
    <n v="2.5307311055536866E-2"/>
    <n v="0.30250273529510241"/>
    <n v="0.25529108243582754"/>
    <n v="4.7211652859274866E-2"/>
  </r>
  <r>
    <n v="42"/>
    <x v="5"/>
    <n v="-1.1457883531947981"/>
    <n v="0.73706836761787342"/>
    <n v="0.74720913865847582"/>
    <n v="0.78504244526420097"/>
    <n v="0.58661931715011228"/>
    <n v="0.47237581339079121"/>
    <n v="0.40499833251872053"/>
    <n v="-6.1860588817622144"/>
    <n v="0.76262602198805785"/>
    <n v="-0.80329043221256957"/>
    <n v="3.2362882904880972"/>
    <n v="3.191918882235131"/>
    <n v="-11.51292546497023"/>
    <n v="4.4369406998157501E-2"/>
    <n v="0"/>
    <n v="0"/>
    <n v="0"/>
    <n v="1"/>
    <n v="0"/>
    <n v="0"/>
    <n v="0"/>
    <n v="-1.1639243364334106"/>
    <n v="0.31797314381039005"/>
    <n v="0.31225836639589621"/>
    <n v="5.7147774144938324E-3"/>
    <n v="3.2658680897208812E-5"/>
    <x v="21"/>
    <n v="5.6063801000000003E-2"/>
    <n v="0.75056648000000004"/>
    <n v="1.3612261100744415E-2"/>
    <n v="0.33990763042084937"/>
    <n v="0.28685818927780377"/>
    <n v="5.3049441143045606E-2"/>
  </r>
  <r>
    <n v="42"/>
    <x v="6"/>
    <n v="-1.0504947660197681"/>
    <n v="0.68031520174456706"/>
    <n v="0.73706836761787342"/>
    <n v="0.74720913865847582"/>
    <n v="0.54679104419859936"/>
    <n v="0.58661931715011228"/>
    <n v="0.47237581339079121"/>
    <n v="-5.8137744590121443"/>
    <n v="0.76262602198805785"/>
    <n v="-0.74688021980413444"/>
    <n v="3.24962619301956"/>
    <n v="3.22908309153327"/>
    <n v="-11.51292546497023"/>
    <n v="2.054310217499733E-2"/>
    <n v="0"/>
    <n v="0"/>
    <n v="0"/>
    <n v="1"/>
    <n v="0"/>
    <n v="0"/>
    <n v="0"/>
    <n v="-1.0466791391372681"/>
    <n v="0.34976465462802631"/>
    <n v="0.35110177540149518"/>
    <n v="-1.3371207734688695E-3"/>
    <n v="1.7878919628419877E-6"/>
    <x v="21"/>
    <n v="5.6063801000000003E-2"/>
    <n v="0.75056648000000004"/>
    <n v="-2.8638816381914242E-3"/>
    <n v="0.3821904722385171"/>
    <n v="0.32254194084971899"/>
    <n v="5.9648531388798109E-2"/>
  </r>
  <r>
    <n v="42"/>
    <x v="7"/>
    <n v="-1.03185787121915"/>
    <n v="0.66957144403123958"/>
    <n v="0.68031520174456706"/>
    <n v="0.73706836761787342"/>
    <n v="0.49774038421733519"/>
    <n v="0.54679104419859936"/>
    <n v="0.58661931715011228"/>
    <n v="-4.9933390166130129"/>
    <n v="0.76262602198805785"/>
    <n v="-0.73164084194109869"/>
    <n v="3.2474165335249561"/>
    <n v="3.2078381248147831"/>
    <n v="-11.51292546497023"/>
    <n v="3.9578408002853394E-2"/>
    <n v="0"/>
    <n v="0"/>
    <n v="0"/>
    <n v="1"/>
    <n v="0"/>
    <n v="0"/>
    <n v="0"/>
    <n v="-1.0259331464767456"/>
    <n v="0.35634430336854733"/>
    <n v="0.35846181191303683"/>
    <n v="-2.1175085444894992E-3"/>
    <n v="4.4838424359860379E-6"/>
    <x v="21"/>
    <n v="5.6063801000000003E-2"/>
    <n v="0.75056648000000004"/>
    <n v="-4.4468997948753416E-3"/>
    <n v="0.39020221136123201"/>
    <n v="0.32930328649783708"/>
    <n v="6.0898924863394932E-2"/>
  </r>
  <r>
    <n v="42"/>
    <x v="8"/>
    <n v="-0.96167624316490352"/>
    <n v="0.64532155107734079"/>
    <n v="0.66957144403123958"/>
    <n v="0.68031520174456706"/>
    <n v="0.47243816336119532"/>
    <n v="0.49774038421733519"/>
    <n v="0.54679104419859936"/>
    <n v="-4.281307065522264"/>
    <n v="0.76262602198805785"/>
    <n v="-0.69640885170269451"/>
    <n v="3.280825766320369"/>
    <n v="3.2335114812327692"/>
    <n v="-11.51292546497023"/>
    <n v="4.7314286231994629E-2"/>
    <n v="0"/>
    <n v="0"/>
    <n v="0"/>
    <n v="1"/>
    <n v="0"/>
    <n v="0"/>
    <n v="0"/>
    <n v="-0.98722010850906372"/>
    <n v="0.38225160201618869"/>
    <n v="0.37261107096953228"/>
    <n v="9.6405310466564087E-3"/>
    <n v="9.2939838861546116E-5"/>
    <x v="21"/>
    <n v="5.6063801000000003E-2"/>
    <n v="0.75056648000000004"/>
    <n v="1.9172369096960309E-2"/>
    <n v="0.40560433228313059"/>
    <n v="0.34230159581270386"/>
    <n v="6.3302736470426724E-2"/>
  </r>
  <r>
    <n v="42"/>
    <x v="9"/>
    <n v="-0.97948746823497623"/>
    <n v="0.64048452797663935"/>
    <n v="0.64532155107734079"/>
    <n v="0.66957144403123958"/>
    <n v="0.41811805423147991"/>
    <n v="0.47243816336119532"/>
    <n v="0.49774038421733519"/>
    <n v="-3.907515049627424"/>
    <n v="0.76262602198805785"/>
    <n v="-0.6753936138371639"/>
    <n v="3.2208512157920479"/>
    <n v="3.2672363495403411"/>
    <n v="-11.51292546497023"/>
    <n v="-4.6385135501623154E-2"/>
    <n v="1"/>
    <n v="0"/>
    <n v="0"/>
    <n v="1"/>
    <n v="0"/>
    <n v="0"/>
    <n v="0"/>
    <n v="-1.0426563024520874"/>
    <n v="0.37550350701476271"/>
    <n v="0.35251704529500166"/>
    <n v="2.2986461719761042E-2"/>
    <n v="5.2837742239403979E-4"/>
    <x v="21"/>
    <n v="5.6063801000000003E-2"/>
    <n v="0.75056648000000004"/>
    <n v="4.741240954404069E-2"/>
    <n v="0.38373105877735092"/>
    <n v="0.32384208778789886"/>
    <n v="5.9888970989452062E-2"/>
  </r>
  <r>
    <n v="42"/>
    <x v="10"/>
    <n v="-0.93951189807711188"/>
    <n v="0.65622382645534749"/>
    <n v="0.64048452797663935"/>
    <n v="0.64532155107734079"/>
    <n v="0.53561579257320946"/>
    <n v="0.41811805423147991"/>
    <n v="0.47243816336119532"/>
    <n v="-3.588531514456502"/>
    <n v="0.76262602198805785"/>
    <n v="-0.66142540700881813"/>
    <n v="3.159970708774186"/>
    <n v="3.2075422487444629"/>
    <n v="-11.51292546497023"/>
    <n v="-4.7571539878845215E-2"/>
    <n v="1"/>
    <n v="0"/>
    <n v="0"/>
    <n v="1"/>
    <n v="0"/>
    <n v="0"/>
    <n v="0"/>
    <n v="-1.0022484064102173"/>
    <n v="0.3908185480959338"/>
    <n v="0.36705322785744615"/>
    <n v="2.3765320238487653E-2"/>
    <n v="5.6479044603787083E-4"/>
    <x v="21"/>
    <n v="5.6063801000000003E-2"/>
    <n v="0.75056648000000004"/>
    <n v="4.7087920227069591E-2"/>
    <n v="0.39955436377697096"/>
    <n v="0.33719584691052135"/>
    <n v="6.2358516866449609E-2"/>
  </r>
  <r>
    <n v="42"/>
    <x v="11"/>
    <n v="-0.91395387035870879"/>
    <n v="0.6661356313130955"/>
    <n v="0.65622382645534749"/>
    <n v="0.64048452797663935"/>
    <n v="0.5442410573053944"/>
    <n v="0.53561579257320946"/>
    <n v="0.41811805423147991"/>
    <n v="-2.9376292088200979"/>
    <n v="0.76262602198805785"/>
    <n v="-0.64353260194844553"/>
    <n v="3.1877600153943462"/>
    <n v="3.146944379849784"/>
    <n v="-11.51292546497023"/>
    <n v="4.0815636515617371E-2"/>
    <n v="1"/>
    <n v="0"/>
    <n v="0"/>
    <n v="1"/>
    <n v="0"/>
    <n v="0"/>
    <n v="0"/>
    <n v="-0.97661870718002319"/>
    <n v="0.40093583764178542"/>
    <n v="0.37658228348780948"/>
    <n v="2.4353554153975943E-2"/>
    <n v="5.9309559993063888E-4"/>
    <x v="21"/>
    <n v="5.6063801000000003E-2"/>
    <n v="0.75056648000000004"/>
    <n v="4.7034125992748345E-2"/>
    <n v="0.40992718022653468"/>
    <n v="0.34594977614932304"/>
    <n v="6.3977404077211641E-2"/>
  </r>
  <r>
    <n v="42"/>
    <x v="12"/>
    <n v="-0.944958930277492"/>
    <n v="0.74284169758379726"/>
    <n v="0.6661356313130955"/>
    <n v="0.65622382645534749"/>
    <n v="0.5789140863985206"/>
    <n v="0.5442410573053944"/>
    <n v="0.53561579257320946"/>
    <n v="-2.492780696163603"/>
    <n v="0.76262602198805785"/>
    <n v="-0.61980314191261154"/>
    <n v="3.206106360172182"/>
    <n v="3.1771987434264202"/>
    <n v="3.2580965380214821"/>
    <n v="2.8907617554068565E-2"/>
    <n v="1"/>
    <n v="0"/>
    <n v="0"/>
    <n v="1"/>
    <n v="0"/>
    <n v="0"/>
    <n v="0"/>
    <n v="-1.0120289325714111"/>
    <n v="0.38869553419167618"/>
    <n v="0.36348075297997945"/>
    <n v="2.5214781211696735E-2"/>
    <n v="6.3578519155373472E-4"/>
    <x v="21"/>
    <n v="5.6063801000000003E-2"/>
    <n v="0.75056648000000004"/>
    <n v="5.0340495535338807E-2"/>
    <n v="0.39566556014184867"/>
    <n v="0.3339139695138682"/>
    <n v="6.1751590627980468E-2"/>
  </r>
  <r>
    <n v="42"/>
    <x v="13"/>
    <n v="-0.90954320781252307"/>
    <n v="0.69579367550085092"/>
    <n v="0.74284169758379726"/>
    <n v="0.6661356313130955"/>
    <n v="0.55663993590528216"/>
    <n v="0.5789140863985206"/>
    <n v="0.5442410573053944"/>
    <n v="-1.741246404520044"/>
    <n v="0.76262602198805785"/>
    <n v="-0.59560037145709022"/>
    <n v="3.2328040663406181"/>
    <n v="3.1935651520194539"/>
    <n v="5.393627546352362"/>
    <n v="3.9238914847373962E-2"/>
    <n v="1"/>
    <n v="0"/>
    <n v="0"/>
    <n v="1"/>
    <n v="0"/>
    <n v="0"/>
    <n v="0"/>
    <n v="-0.9716218113899231"/>
    <n v="0.40270813595601151"/>
    <n v="0.37846873519085494"/>
    <n v="2.4239400765156571E-2"/>
    <n v="5.8754854945387294E-4"/>
    <x v="21"/>
    <n v="5.6063801000000003E-2"/>
    <n v="0.75056648000000004"/>
    <n v="4.6594118970404545E-2"/>
    <n v="0.41198066989179666"/>
    <n v="0.34768277733658209"/>
    <n v="6.4297892555214564E-2"/>
  </r>
  <r>
    <n v="42"/>
    <x v="14"/>
    <n v="-1.011838933733094"/>
    <n v="0.66859830763853256"/>
    <n v="0.69579367550085092"/>
    <n v="0.74284169758379726"/>
    <n v="0.53467885978815022"/>
    <n v="0.55663993590528216"/>
    <n v="0.5789140863985206"/>
    <n v="-1.1046285560260289"/>
    <n v="0.76262602198805785"/>
    <n v="-0.5789384278531744"/>
    <n v="3.2353102188231069"/>
    <n v="3.2206360261263072"/>
    <n v="5.9914645471079817"/>
    <n v="1.4674192294478416E-2"/>
    <n v="1"/>
    <n v="1"/>
    <n v="0"/>
    <n v="1"/>
    <n v="0"/>
    <n v="0"/>
    <n v="0"/>
    <n v="-1.0587621927261353"/>
    <n v="0.36354982046195922"/>
    <n v="0.34688492137575438"/>
    <n v="1.6664899086204832E-2"/>
    <n v="2.7771886155339063E-4"/>
    <x v="21"/>
    <n v="5.6063801000000003E-2"/>
    <n v="0.75056648000000004"/>
    <n v="3.5219025332535341E-2"/>
    <n v="0.37760023218742134"/>
    <n v="0.31866810033670234"/>
    <n v="5.8932131850718994E-2"/>
  </r>
  <r>
    <n v="42"/>
    <x v="15"/>
    <n v="-0.94960041247688209"/>
    <n v="0.86520794164483905"/>
    <n v="0.66859830763853256"/>
    <n v="0.69579367550085092"/>
    <n v="0.76304630793961248"/>
    <n v="0.53467885978815022"/>
    <n v="0.55663993590528216"/>
    <n v="-0.48086478215452139"/>
    <n v="0.76262602198805785"/>
    <n v="-0.56530419946763544"/>
    <n v="3.3054624717010972"/>
    <n v="3.22352594876712"/>
    <n v="6.6846117276679271"/>
    <n v="8.193652331829071E-2"/>
    <n v="1"/>
    <n v="0"/>
    <n v="0"/>
    <n v="1"/>
    <n v="0"/>
    <n v="0"/>
    <n v="0"/>
    <n v="-1.0267763137817383"/>
    <n v="0.38689559122177047"/>
    <n v="0.35815969601816439"/>
    <n v="2.8735895203606088E-2"/>
    <n v="8.257516731526314E-4"/>
    <x v="21"/>
    <n v="5.6063801000000003E-2"/>
    <n v="0.75056648000000004"/>
    <n v="5.7925644583213316E-2"/>
    <n v="0.3898733442787457"/>
    <n v="0.32902574575631771"/>
    <n v="6.0847598522427992E-2"/>
  </r>
  <r>
    <n v="42"/>
    <x v="16"/>
    <n v="-0.90764552114857155"/>
    <n v="0.8950262365694307"/>
    <n v="0.86520794164483905"/>
    <n v="0.66859830763853256"/>
    <n v="0.78527046943575118"/>
    <n v="0.76304630793961248"/>
    <n v="0.53467885978815022"/>
    <n v="-1.544515011089968E-2"/>
    <n v="0.76262602198805785"/>
    <n v="-0.54276363401586869"/>
    <n v="3.3075765826809751"/>
    <n v="3.3054624717010972"/>
    <n v="8.0551577318196781"/>
    <n v="2.1141110919415951E-3"/>
    <n v="1"/>
    <n v="0"/>
    <n v="0"/>
    <n v="1"/>
    <n v="0"/>
    <n v="0"/>
    <n v="0"/>
    <n v="-1.0308986902236938"/>
    <n v="0.40347307539320509"/>
    <n v="0.35668626602800163"/>
    <n v="4.6786809365203463E-2"/>
    <n v="2.1890055305758905E-3"/>
    <x v="21"/>
    <n v="5.6063801000000003E-2"/>
    <n v="0.75056648000000004"/>
    <n v="9.2509697261559401E-2"/>
    <n v="0.38826944779287131"/>
    <n v="0.32767216966519758"/>
    <n v="6.0597278127673737E-2"/>
  </r>
  <r>
    <n v="42"/>
    <x v="17"/>
    <n v="-0.86068777455664414"/>
    <n v="0.77094120799996546"/>
    <n v="0.8950262365694307"/>
    <n v="0.86520794164483905"/>
    <n v="0.55669724742204718"/>
    <n v="0.78527046943575118"/>
    <n v="0.76304630793961248"/>
    <n v="0.53826179109634587"/>
    <n v="0.76262602198805785"/>
    <n v="-0.51737696039870651"/>
    <n v="3.3535364298210641"/>
    <n v="3.3075765826809751"/>
    <n v="8.4658998970286863"/>
    <n v="4.5959848910570145E-2"/>
    <n v="1"/>
    <n v="0"/>
    <n v="0"/>
    <n v="1"/>
    <n v="0"/>
    <n v="0"/>
    <n v="0"/>
    <n v="-1.022907018661499"/>
    <n v="0.42287114226624528"/>
    <n v="0.35954820612759614"/>
    <n v="6.3322936138649144E-2"/>
    <n v="4.0097942412194373E-3"/>
    <x v="21"/>
    <n v="5.6063801000000003E-2"/>
    <n v="0.75056648000000004"/>
    <n v="0.12175632703604169"/>
    <n v="0.39138480155868921"/>
    <n v="0.33030130964394955"/>
    <n v="6.1083491914739663E-2"/>
  </r>
  <r>
    <n v="43"/>
    <x v="0"/>
    <n v="-1.753645194906905"/>
    <n v="1.000631880307906"/>
    <n v="0.9748237560598092"/>
    <n v="0.89718945857175403"/>
    <n v="0.77472716755236815"/>
    <n v="0.62422573509352353"/>
    <n v="0.45780452178873787"/>
    <n v="-11.51292546497023"/>
    <n v="1.394292615005166"/>
    <n v="-1.329463895418197"/>
    <n v="2.8981165822450889"/>
    <n v="2.884323158134944"/>
    <n v="-11.51292546497023"/>
    <n v="1.3793423771858215E-2"/>
    <n v="0"/>
    <n v="0"/>
    <n v="0"/>
    <n v="1"/>
    <n v="0"/>
    <n v="0"/>
    <n v="0"/>
    <n v="-1.7800037860870361"/>
    <n v="0.17314165666124151"/>
    <n v="0.16863750879110101"/>
    <n v="4.5041478701405013E-3"/>
    <n v="2.0287348036091216E-5"/>
    <x v="22"/>
    <n v="2.7906773999999999E-2"/>
    <n v="0.22441960999999999"/>
    <n v="2.5686252202835966E-2"/>
    <n v="0.17353663470672179"/>
    <n v="0.163876690471324"/>
    <n v="9.6599442353977882E-3"/>
  </r>
  <r>
    <n v="43"/>
    <x v="1"/>
    <n v="-1.7129132809711911"/>
    <n v="0.89637369803379618"/>
    <n v="1.000631880307906"/>
    <n v="0.9748237560598092"/>
    <n v="0.52732869586500486"/>
    <n v="0.77472716755236815"/>
    <n v="0.62422573509352353"/>
    <n v="-11.51292546497023"/>
    <n v="1.394292615005166"/>
    <n v="-1.259825287207806"/>
    <n v="2.9700146472848301"/>
    <n v="2.9030538551125771"/>
    <n v="-11.51292546497023"/>
    <n v="6.6960789263248444E-2"/>
    <n v="0"/>
    <n v="0"/>
    <n v="0"/>
    <n v="1"/>
    <n v="0"/>
    <n v="0"/>
    <n v="0"/>
    <n v="-1.7142868041992188"/>
    <n v="0.1803396465229791"/>
    <n v="0.18009211586301629"/>
    <n v="2.4753065996280244E-4"/>
    <n v="6.127142762162052E-8"/>
    <x v="22"/>
    <n v="2.7906773999999999E-2"/>
    <n v="0.22441960999999999"/>
    <n v="3.0824554715990399E-4"/>
    <n v="0.18532401212588401"/>
    <n v="0.17500792166094151"/>
    <n v="1.0316090464942501E-2"/>
  </r>
  <r>
    <n v="43"/>
    <x v="2"/>
    <n v="-1.632342014529147"/>
    <n v="0.8429455456483399"/>
    <n v="0.89637369803379618"/>
    <n v="1.000631880307906"/>
    <n v="0.47567501648296739"/>
    <n v="0.52732869586500486"/>
    <n v="0.77472716755236815"/>
    <n v="-11.51292546497023"/>
    <n v="1.394292615005166"/>
    <n v="-1.1829128071823389"/>
    <n v="3.0150434119850198"/>
    <n v="2.974976509938859"/>
    <n v="-11.51292546497023"/>
    <n v="4.0066901594400406E-2"/>
    <n v="0"/>
    <n v="0"/>
    <n v="0"/>
    <n v="1"/>
    <n v="0"/>
    <n v="0"/>
    <n v="0"/>
    <n v="-1.6496610641479492"/>
    <n v="0.1954712411383713"/>
    <n v="0.19211501225252298"/>
    <n v="3.356228885848328E-3"/>
    <n v="1.1264272334202709E-5"/>
    <x v="22"/>
    <n v="2.7906773999999999E-2"/>
    <n v="0.22441960999999999"/>
    <n v="3.8867343610222522E-3"/>
    <n v="0.19769618836247158"/>
    <n v="0.18669139874926027"/>
    <n v="1.1004789613211302E-2"/>
  </r>
  <r>
    <n v="43"/>
    <x v="3"/>
    <n v="-1.581124182932099"/>
    <n v="0.79683129183682722"/>
    <n v="0.8429455456483399"/>
    <n v="0.89637369803379618"/>
    <n v="0.44462171664268602"/>
    <n v="0.47567501648296739"/>
    <n v="0.52732869586500486"/>
    <n v="-9.2978133757331118"/>
    <n v="1.394292615005166"/>
    <n v="-1.1210942174554031"/>
    <n v="3.0106245296607348"/>
    <n v="3.009632122489271"/>
    <n v="-11.51292546497023"/>
    <n v="9.9240720737725496E-4"/>
    <n v="0"/>
    <n v="0"/>
    <n v="0"/>
    <n v="1"/>
    <n v="0"/>
    <n v="0"/>
    <n v="0"/>
    <n v="-1.591987133026123"/>
    <n v="0.20574367462063839"/>
    <n v="0.20352078677000307"/>
    <n v="2.2228878506353189E-3"/>
    <n v="4.9412303965021075E-6"/>
    <x v="22"/>
    <n v="2.7906773999999999E-2"/>
    <n v="0.22441960999999999"/>
    <n v="2.4378590235503402E-3"/>
    <n v="0.20943331458175801"/>
    <n v="0.197775175979996"/>
    <n v="1.1658138601762014E-2"/>
  </r>
  <r>
    <n v="43"/>
    <x v="4"/>
    <n v="-1.4328128258210631"/>
    <n v="0.75494758146539209"/>
    <n v="0.79683129183682722"/>
    <n v="0.8429455456483399"/>
    <n v="0.49755799676508627"/>
    <n v="0.44462171664268602"/>
    <n v="0.47567501648296739"/>
    <n v="-8.5963350934867027"/>
    <n v="1.394292615005166"/>
    <n v="-1.0495763025808691"/>
    <n v="3.1041032798641042"/>
    <n v="3.018955631347696"/>
    <n v="-11.51292546497023"/>
    <n v="8.5147649049758911E-2"/>
    <n v="0"/>
    <n v="0"/>
    <n v="0"/>
    <n v="1"/>
    <n v="0"/>
    <n v="0"/>
    <n v="0"/>
    <n v="-1.4605555534362793"/>
    <n v="0.23863673374583391"/>
    <n v="0.23210729090132601"/>
    <n v="6.5294428445079045E-3"/>
    <n v="4.2633623859695474E-5"/>
    <x v="22"/>
    <n v="2.7906773999999999E-2"/>
    <n v="0.22441960999999999"/>
    <n v="6.226012111743057E-3"/>
    <n v="0.23885029162643651"/>
    <n v="0.22555465234186006"/>
    <n v="1.3295639284576444E-2"/>
  </r>
  <r>
    <n v="43"/>
    <x v="5"/>
    <n v="-1.3388052020833481"/>
    <n v="0.74806141143733718"/>
    <n v="0.75494758146539209"/>
    <n v="0.79683129183682722"/>
    <n v="0.59933088435566051"/>
    <n v="0.49755799676508627"/>
    <n v="0.44462171664268602"/>
    <n v="-6.7961745318075186"/>
    <n v="1.394292615005166"/>
    <n v="-0.9769624058166676"/>
    <n v="3.1267101646923612"/>
    <n v="3.1125043723147749"/>
    <n v="-11.51292546497023"/>
    <n v="1.4205791987478733E-2"/>
    <n v="0"/>
    <n v="0"/>
    <n v="0"/>
    <n v="1"/>
    <n v="0"/>
    <n v="0"/>
    <n v="0"/>
    <n v="-1.3446584939956665"/>
    <n v="0.26215870821194015"/>
    <n v="0.26062869892920443"/>
    <n v="1.5300092827357226E-3"/>
    <n v="2.3409284052574801E-6"/>
    <x v="22"/>
    <n v="2.7906773999999999E-2"/>
    <n v="0.22441960999999999"/>
    <n v="1.3135934881786553E-3"/>
    <n v="0.26820028144623681"/>
    <n v="0.25327087033332041"/>
    <n v="1.4929411112916402E-2"/>
  </r>
  <r>
    <n v="43"/>
    <x v="6"/>
    <n v="-1.251168951714438"/>
    <n v="0.69494556250132467"/>
    <n v="0.74806141143733718"/>
    <n v="0.75494758146539209"/>
    <n v="0.55514868240265458"/>
    <n v="0.59933088435566051"/>
    <n v="0.49755799676508627"/>
    <n v="-6.4511230295195494"/>
    <n v="1.394292615005166"/>
    <n v="-0.91462143886203429"/>
    <n v="3.128603467996856"/>
    <n v="3.1234549727121181"/>
    <n v="-11.51292546497023"/>
    <n v="5.1484950818121433E-3"/>
    <n v="0"/>
    <n v="0"/>
    <n v="0"/>
    <n v="1"/>
    <n v="0"/>
    <n v="0"/>
    <n v="0"/>
    <n v="-1.2313386201858521"/>
    <n v="0.28617008225742424"/>
    <n v="0.29190157069950734"/>
    <n v="-5.7314884420830992E-3"/>
    <n v="3.2849959761732149E-5"/>
    <x v="22"/>
    <n v="2.7906773999999999E-2"/>
    <n v="0.22441960999999999"/>
    <n v="-4.4503152678159585E-3"/>
    <n v="0.30038166839589742"/>
    <n v="0.28366087528530165"/>
    <n v="1.6720793110595766E-2"/>
  </r>
  <r>
    <n v="43"/>
    <x v="7"/>
    <n v="-1.21962571153388"/>
    <n v="0.67656037695554638"/>
    <n v="0.69494556250132467"/>
    <n v="0.74806141143733718"/>
    <n v="0.51018541887856739"/>
    <n v="0.55514868240265458"/>
    <n v="0.59933088435566051"/>
    <n v="-5.5827838280315172"/>
    <n v="1.394292615005166"/>
    <n v="-0.89064857564990396"/>
    <n v="3.1646140698555278"/>
    <n v="3.0924863952577129"/>
    <n v="-11.51292546497023"/>
    <n v="7.2127677500247955E-2"/>
    <n v="0"/>
    <n v="0"/>
    <n v="0"/>
    <n v="1"/>
    <n v="0"/>
    <n v="0"/>
    <n v="0"/>
    <n v="-1.1950476169586182"/>
    <n v="0.29534068885259585"/>
    <n v="0.30268954068364923"/>
    <n v="-7.3488518310533824E-3"/>
    <n v="5.4005623234776648E-5"/>
    <x v="22"/>
    <n v="2.7906773999999999E-2"/>
    <n v="0.22441960999999999"/>
    <n v="-5.5158063991233757E-3"/>
    <n v="0.3114830421044249"/>
    <n v="0.29414428926940606"/>
    <n v="1.7338752835018845E-2"/>
  </r>
  <r>
    <n v="43"/>
    <x v="8"/>
    <n v="-1.1488799804869669"/>
    <n v="0.64532155107734079"/>
    <n v="0.67656037695554638"/>
    <n v="0.69494556250132467"/>
    <n v="0.46837730750115147"/>
    <n v="0.51018541887856739"/>
    <n v="0.55514868240265458"/>
    <n v="-4.9175990634939977"/>
    <n v="1.394292615005166"/>
    <n v="-0.84520795212677169"/>
    <n v="3.159212314237815"/>
    <n v="3.1607492054121509"/>
    <n v="-11.51292546497023"/>
    <n v="-1.5368912136182189E-3"/>
    <n v="0"/>
    <n v="0"/>
    <n v="0"/>
    <n v="1"/>
    <n v="0"/>
    <n v="0"/>
    <n v="0"/>
    <n v="-1.1577886343002319"/>
    <n v="0.3169916074149699"/>
    <n v="0.31418018053105667"/>
    <n v="2.8114268839132261E-3"/>
    <n v="7.9041211235900321E-6"/>
    <x v="22"/>
    <n v="2.7906773999999999E-2"/>
    <n v="0.22441960999999999"/>
    <n v="1.9992766143979439E-3"/>
    <n v="0.32330749909528433"/>
    <n v="0.30531053599049385"/>
    <n v="1.7996963104790487E-2"/>
  </r>
  <r>
    <n v="43"/>
    <x v="9"/>
    <n v="-1.1689292396529061"/>
    <n v="0.67069705172235339"/>
    <n v="0.64532155107734079"/>
    <n v="0.67656037695554638"/>
    <n v="0.44455760791426069"/>
    <n v="0.46837730750115147"/>
    <n v="0.51018541887856739"/>
    <n v="-4.4837560382573232"/>
    <n v="1.394292615005166"/>
    <n v="-0.81478004329457732"/>
    <n v="3.1480326131264391"/>
    <n v="3.1555875002801459"/>
    <n v="-11.51292546497023"/>
    <n v="-7.5548873282968998E-3"/>
    <n v="1"/>
    <n v="0"/>
    <n v="0"/>
    <n v="1"/>
    <n v="0"/>
    <n v="0"/>
    <n v="0"/>
    <n v="-1.2130722999572754"/>
    <n v="0.31069944786491283"/>
    <n v="0.29728253384696851"/>
    <n v="1.3416914017944315E-2"/>
    <n v="1.8001358176491066E-4"/>
    <x v="22"/>
    <n v="2.7906773999999999E-2"/>
    <n v="0.22441960999999999"/>
    <n v="9.9065683777130441E-3"/>
    <n v="0.30591895510503658"/>
    <n v="0.28888992805342834"/>
    <n v="1.7029027051608248E-2"/>
  </r>
  <r>
    <n v="43"/>
    <x v="10"/>
    <n v="-1.1813691965431139"/>
    <n v="0.75099147024438317"/>
    <n v="0.67069705172235339"/>
    <n v="0.64532155107734079"/>
    <n v="0.66186289052017888"/>
    <n v="0.44455760791426069"/>
    <n v="0.46837730750115147"/>
    <n v="-4.1056159265104339"/>
    <n v="1.394292615005166"/>
    <n v="-0.79229715995028049"/>
    <n v="3.1344924395282949"/>
    <n v="3.144613137618717"/>
    <n v="-11.51292546497023"/>
    <n v="-1.0120698250830173E-2"/>
    <n v="1"/>
    <n v="0"/>
    <n v="0"/>
    <n v="1"/>
    <n v="0"/>
    <n v="0"/>
    <n v="0"/>
    <n v="-1.1861649751663208"/>
    <n v="0.30685830151065435"/>
    <n v="0.30539020018618801"/>
    <n v="1.4681013244663421E-3"/>
    <n v="2.1553214988998279E-6"/>
    <x v="22"/>
    <n v="2.7906773999999999E-2"/>
    <n v="0.22441960999999999"/>
    <n v="1.0762667682664301E-3"/>
    <n v="0.31426215906908467"/>
    <n v="0.2967687062483963"/>
    <n v="1.7493452820688371E-2"/>
  </r>
  <r>
    <n v="43"/>
    <x v="11"/>
    <n v="-1.1474899667955909"/>
    <n v="0.73222365254173816"/>
    <n v="0.75099147024438317"/>
    <n v="0.67069705172235339"/>
    <n v="0.65793442480420083"/>
    <n v="0.66186289052017888"/>
    <n v="0.44455760791426069"/>
    <n v="-3.4766489066267621"/>
    <n v="1.394292615005166"/>
    <n v="-0.76976414629165346"/>
    <n v="3.1300269945941022"/>
    <n v="3.1312729786417068"/>
    <n v="-11.51292546497023"/>
    <n v="-1.245983992703259E-3"/>
    <n v="1"/>
    <n v="0"/>
    <n v="0"/>
    <n v="1"/>
    <n v="0"/>
    <n v="0"/>
    <n v="0"/>
    <n v="-1.1414681673049927"/>
    <n v="0.317432536467043"/>
    <n v="0.31934981850372118"/>
    <n v="-1.9172820366781806E-3"/>
    <n v="3.6759704081688326E-6"/>
    <x v="22"/>
    <n v="2.7906773999999999E-2"/>
    <n v="0.22441960999999999"/>
    <n v="-1.3514098931782519E-3"/>
    <n v="0.32862732137479617"/>
    <n v="0.31033422952088502"/>
    <n v="1.8293091853911148E-2"/>
  </r>
  <r>
    <n v="43"/>
    <x v="12"/>
    <n v="-1.185861415436875"/>
    <n v="0.85573360777969776"/>
    <n v="0.73222365254173816"/>
    <n v="0.75099147024438317"/>
    <n v="0.71818119827958704"/>
    <n v="0.65793442480420083"/>
    <n v="0.66186289052017888"/>
    <n v="-3.0072377064900651"/>
    <n v="1.394292615005166"/>
    <n v="-0.74270185594626881"/>
    <n v="3.1627955883168761"/>
    <n v="3.129434565485063"/>
    <n v="3.2580965380214821"/>
    <n v="3.3361021429300308E-2"/>
    <n v="1"/>
    <n v="0"/>
    <n v="0"/>
    <n v="1"/>
    <n v="0"/>
    <n v="0"/>
    <n v="0"/>
    <n v="-1.207128643989563"/>
    <n v="0.30548291842478165"/>
    <n v="0.29905474042924685"/>
    <n v="6.4281779955348006E-3"/>
    <n v="4.1321472342277805E-5"/>
    <x v="22"/>
    <n v="2.7906773999999999E-2"/>
    <n v="0.22441960999999999"/>
    <n v="4.7727831375751128E-3"/>
    <n v="0.30774264645637556"/>
    <n v="0.29061210333707199"/>
    <n v="1.7130543119303565E-2"/>
  </r>
  <r>
    <n v="43"/>
    <x v="13"/>
    <n v="-1.1636872799363609"/>
    <n v="0.7959744903594157"/>
    <n v="0.85573360777969776"/>
    <n v="0.73222365254173816"/>
    <n v="0.69084453149726976"/>
    <n v="0.71818119827958704"/>
    <n v="0.65793442480420083"/>
    <n v="-2.2652532434171251"/>
    <n v="1.394292615005166"/>
    <n v="-0.7200209016275827"/>
    <n v="3.170805547254858"/>
    <n v="3.158600018921649"/>
    <n v="5.393627546352362"/>
    <n v="1.2205528095364571E-2"/>
    <n v="1"/>
    <n v="0"/>
    <n v="0"/>
    <n v="1"/>
    <n v="0"/>
    <n v="0"/>
    <n v="0"/>
    <n v="-1.1578282117843628"/>
    <n v="0.31233239804490354"/>
    <n v="0.31416774631600658"/>
    <n v="-1.8353482711030433E-3"/>
    <n v="3.3685032762409301E-6"/>
    <x v="22"/>
    <n v="2.7906773999999999E-2"/>
    <n v="0.22441960999999999"/>
    <n v="-1.314889789634835E-3"/>
    <n v="0.32329470365107693"/>
    <n v="0.30529845280671331"/>
    <n v="1.7996250844363626E-2"/>
  </r>
  <r>
    <n v="43"/>
    <x v="14"/>
    <n v="-1.2792861663795729"/>
    <n v="0.71564225838731621"/>
    <n v="0.7959744903594157"/>
    <n v="0.85573360777969776"/>
    <n v="0.66618699897716227"/>
    <n v="0.69084453149726976"/>
    <n v="0.71818119827958704"/>
    <n v="-1.714377892425917"/>
    <n v="1.394292615005166"/>
    <n v="-0.70344543233434553"/>
    <n v="3.079905222339911"/>
    <n v="3.1667938247904721"/>
    <n v="5.9914645471079817"/>
    <n v="-8.6888603866100311E-2"/>
    <n v="1"/>
    <n v="1"/>
    <n v="0"/>
    <n v="1"/>
    <n v="0"/>
    <n v="0"/>
    <n v="0"/>
    <n v="-1.2103017568588257"/>
    <n v="0.27823584368097515"/>
    <n v="0.29810730993067569"/>
    <n v="-1.9871466249700542E-2"/>
    <n v="3.9487517091298775E-4"/>
    <x v="22"/>
    <n v="2.7906773999999999E-2"/>
    <n v="0.22441960999999999"/>
    <n v="-1.5481454280726384E-2"/>
    <n v="0.30676769194287984"/>
    <n v="0.28969141982086938"/>
    <n v="1.7076272122010461E-2"/>
  </r>
  <r>
    <n v="43"/>
    <x v="15"/>
    <n v="-1.2547276923864741"/>
    <n v="0.94304950117484621"/>
    <n v="0.71564225838731621"/>
    <n v="0.7959744903594157"/>
    <n v="0.89531221348895718"/>
    <n v="0.66618699897716227"/>
    <n v="0.69084453149726976"/>
    <n v="-1.068768097814778"/>
    <n v="1.394292615005166"/>
    <n v="-0.68890576751442378"/>
    <n v="3.1639349121749452"/>
    <n v="3.0760906474049361"/>
    <n v="6.6846117276679271"/>
    <n v="8.784426748752594E-2"/>
    <n v="1"/>
    <n v="0"/>
    <n v="0"/>
    <n v="1"/>
    <n v="0"/>
    <n v="0"/>
    <n v="0"/>
    <n v="-1.1837419271469116"/>
    <n v="0.28515348711870869"/>
    <n v="0.30613107252804467"/>
    <n v="-2.0977585409335975E-2"/>
    <n v="4.4005908960598558E-4"/>
    <x v="22"/>
    <n v="2.7906773999999999E-2"/>
    <n v="0.22441960999999999"/>
    <n v="-1.5930597750614162E-2"/>
    <n v="0.31502455465874174"/>
    <n v="0.29748866296689602"/>
    <n v="1.7535891691845717E-2"/>
  </r>
  <r>
    <n v="43"/>
    <x v="16"/>
    <n v="-1.1578699023743559"/>
    <n v="0.86827626677239533"/>
    <n v="0.94304950117484621"/>
    <n v="0.71564225838731621"/>
    <n v="0.83729081364000524"/>
    <n v="0.89531221348895718"/>
    <n v="0.66618699897716227"/>
    <n v="-0.66652469660513669"/>
    <n v="1.394292615005166"/>
    <n v="-0.67216233134431047"/>
    <n v="3.102755010118011"/>
    <n v="3.1639349121749452"/>
    <n v="8.0551577318196781"/>
    <n v="-6.1179902404546738E-2"/>
    <n v="1"/>
    <n v="0"/>
    <n v="0"/>
    <n v="1"/>
    <n v="0"/>
    <n v="0"/>
    <n v="0"/>
    <n v="-1.1212078332901001"/>
    <n v="0.31415464875033033"/>
    <n v="0.32588594092789047"/>
    <n v="-1.1731292177560138E-2"/>
    <n v="1.3762321615528366E-4"/>
    <x v="22"/>
    <n v="2.7906773999999999E-2"/>
    <n v="0.22441960999999999"/>
    <n v="-8.2276872456817536E-3"/>
    <n v="0.33535332615067637"/>
    <n v="0.31668583017643737"/>
    <n v="1.8667495974239001E-2"/>
  </r>
  <r>
    <n v="43"/>
    <x v="17"/>
    <n v="-1.0976857307889401"/>
    <n v="0.74007847524437753"/>
    <n v="0.86827626677239533"/>
    <n v="0.94304950117484621"/>
    <n v="0.5978470007056208"/>
    <n v="0.83729081364000524"/>
    <n v="0.89531221348895718"/>
    <n v="-0.1183286804237825"/>
    <n v="1.394292615005166"/>
    <n v="-0.65299503340882381"/>
    <n v="3.1433215520329649"/>
    <n v="3.102755010118011"/>
    <n v="8.4658998970286863"/>
    <n v="4.0566541254520416E-2"/>
    <n v="1"/>
    <n v="0"/>
    <n v="0"/>
    <n v="1"/>
    <n v="0"/>
    <n v="0"/>
    <n v="0"/>
    <n v="-1.1165146827697754"/>
    <n v="0.33364232908884284"/>
    <n v="0.32741896724893527"/>
    <n v="6.2233618399075707E-3"/>
    <n v="3.8730232590417741E-5"/>
    <x v="22"/>
    <n v="2.7906773999999999E-2"/>
    <n v="0.22441960999999999"/>
    <n v="4.2255860602477945E-3"/>
    <n v="0.33693088876161653"/>
    <n v="0.31817557751496961"/>
    <n v="1.8755311246646922E-2"/>
  </r>
  <r>
    <n v="50"/>
    <x v="0"/>
    <n v="-1.975513597005494"/>
    <n v="1.015230679729058"/>
    <n v="0.97093042083247871"/>
    <n v="0.89718945857175403"/>
    <n v="0.66268797307523675"/>
    <n v="0.53168651443331993"/>
    <n v="0.4439162944824171"/>
    <n v="-11.51292546497023"/>
    <n v="1.130977484562024"/>
    <n v="-1.579811695749985"/>
    <n v="2.74943297343194"/>
    <n v="2.6980596550138718"/>
    <n v="-11.51292546497023"/>
    <n v="5.1373317837715149E-2"/>
    <n v="0"/>
    <n v="0"/>
    <n v="1"/>
    <n v="0"/>
    <n v="0"/>
    <n v="0"/>
    <n v="0"/>
    <n v="-1.9434492588043213"/>
    <n v="0.13869006314673626"/>
    <n v="0.14320913153239789"/>
    <n v="-4.5190683856616287E-3"/>
    <n v="2.04219790742864E-5"/>
    <x v="23"/>
    <n v="3.8154966999999998E-2"/>
    <n v="0.74716150999999997"/>
    <n v="-2.1311322509969161E-2"/>
    <n v="0.15167085879272857"/>
    <n v="0.13521948459651553"/>
    <n v="1.6451374196213037E-2"/>
  </r>
  <r>
    <n v="50"/>
    <x v="1"/>
    <n v="-1.952096980782045"/>
    <n v="0.95331673071060219"/>
    <n v="1.015230679729058"/>
    <n v="0.97093042083247871"/>
    <n v="0.50446544061330811"/>
    <n v="0.66268797307523675"/>
    <n v="0.53168651443331993"/>
    <n v="-11.51292546497023"/>
    <n v="1.130977484562024"/>
    <n v="-1.4896782365077359"/>
    <n v="2.7993383120309798"/>
    <n v="2.7411820075006239"/>
    <n v="-11.51292546497023"/>
    <n v="5.8156304061412811E-2"/>
    <n v="0"/>
    <n v="0"/>
    <n v="1"/>
    <n v="0"/>
    <n v="0"/>
    <n v="0"/>
    <n v="0"/>
    <n v="-1.8878177404403687"/>
    <n v="0.14197603818698154"/>
    <n v="0.15140184671857948"/>
    <n v="-9.4258085315979401E-3"/>
    <n v="8.8845866474344511E-5"/>
    <x v="23"/>
    <n v="3.8154966999999998E-2"/>
    <n v="0.74716150999999997"/>
    <n v="-4.8026974275339786E-2"/>
    <n v="0.16034765289682018"/>
    <n v="0.14295512765968779"/>
    <n v="1.7392525237132389E-2"/>
  </r>
  <r>
    <n v="50"/>
    <x v="2"/>
    <n v="-1.880283809994443"/>
    <n v="0.8960063885714481"/>
    <n v="0.95331673071060219"/>
    <n v="1.015230679729058"/>
    <n v="0.4529210492644597"/>
    <n v="0.50446544061330811"/>
    <n v="0.66268797307523675"/>
    <n v="-11.51292546497023"/>
    <n v="1.130977484562024"/>
    <n v="-1.396145555598052"/>
    <n v="2.8925826433772062"/>
    <n v="2.7911544397278618"/>
    <n v="-11.51292546497023"/>
    <n v="0.10142820328474045"/>
    <n v="0"/>
    <n v="0"/>
    <n v="1"/>
    <n v="0"/>
    <n v="0"/>
    <n v="0"/>
    <n v="0"/>
    <n v="-1.8010404109954834"/>
    <n v="0.15254680530465814"/>
    <n v="0.16512699887402843"/>
    <n v="-1.258019356937029E-2"/>
    <n v="1.582612702428256E-4"/>
    <x v="23"/>
    <n v="3.8154966999999998E-2"/>
    <n v="0.74716150999999997"/>
    <n v="-5.920761765359514E-2"/>
    <n v="0.17488377634232039"/>
    <n v="0.15591455266708479"/>
    <n v="1.8969223675235597E-2"/>
  </r>
  <r>
    <n v="50"/>
    <x v="3"/>
    <n v="-1.8462884171821501"/>
    <n v="0.83893441262592605"/>
    <n v="0.8960063885714481"/>
    <n v="0.95331673071060219"/>
    <n v="0.41071795438961278"/>
    <n v="0.4529210492644597"/>
    <n v="0.50446544061330811"/>
    <n v="-7.7666278927080938"/>
    <n v="1.130977484562024"/>
    <n v="-1.3133919458640591"/>
    <n v="2.8987503000406152"/>
    <n v="2.8821757792191152"/>
    <n v="-11.51292546497023"/>
    <n v="1.6574520617723465E-2"/>
    <n v="0"/>
    <n v="0"/>
    <n v="1"/>
    <n v="0"/>
    <n v="0"/>
    <n v="0"/>
    <n v="0"/>
    <n v="-1.733475923538208"/>
    <n v="0.1578218494571908"/>
    <n v="0.17666925265556349"/>
    <n v="-1.8847403198372692E-2"/>
    <n v="3.5522460732202916E-4"/>
    <x v="23"/>
    <n v="3.8154966999999998E-2"/>
    <n v="0.74716150999999997"/>
    <n v="-8.428915309787316E-2"/>
    <n v="0.18710802157526493"/>
    <n v="0.16681286334546683"/>
    <n v="2.0295158229798105E-2"/>
  </r>
  <r>
    <n v="50"/>
    <x v="4"/>
    <n v="-1.6790492006636919"/>
    <n v="0.77398956840404609"/>
    <n v="0.83893441262592605"/>
    <n v="0.8960063885714481"/>
    <n v="0.39823906301642481"/>
    <n v="0.41071795438961278"/>
    <n v="0.4529210492644597"/>
    <n v="-7.0979705978952667"/>
    <n v="1.130977484562024"/>
    <n v="-1.2405089831405469"/>
    <n v="2.972527222959565"/>
    <n v="2.874260414293341"/>
    <n v="-11.51292546497023"/>
    <n v="9.8266810178756714E-2"/>
    <n v="0"/>
    <n v="0"/>
    <n v="1"/>
    <n v="0"/>
    <n v="0"/>
    <n v="0"/>
    <n v="0"/>
    <n v="-1.606993556022644"/>
    <n v="0.18655126456168197"/>
    <n v="0.20048946925723993"/>
    <n v="-1.3938204695557954E-2"/>
    <n v="1.942735501352738E-4"/>
    <x v="23"/>
    <n v="3.8154966999999998E-2"/>
    <n v="0.74716150999999997"/>
    <n v="-5.3837204254028721E-2"/>
    <n v="0.21233569155654508"/>
    <n v="0.18930414848483226"/>
    <n v="2.3031543071712818E-2"/>
  </r>
  <r>
    <n v="50"/>
    <x v="5"/>
    <n v="-1.5013570777630769"/>
    <n v="0.74074615935922428"/>
    <n v="0.77398956840404609"/>
    <n v="0.83893441262592605"/>
    <n v="0.46881542360892609"/>
    <n v="0.39823906301642481"/>
    <n v="0.41071795438961278"/>
    <n v="-5.5124371256395719"/>
    <n v="1.130977484562024"/>
    <n v="-1.174478633946102"/>
    <n v="3.0225778200583151"/>
    <n v="2.948622782781094"/>
    <n v="-11.51292546497023"/>
    <n v="7.3955036699771881E-2"/>
    <n v="0"/>
    <n v="0"/>
    <n v="1"/>
    <n v="0"/>
    <n v="0"/>
    <n v="0"/>
    <n v="0"/>
    <n v="-1.4842032194137573"/>
    <n v="0.22282756054185968"/>
    <n v="0.22668288526191693"/>
    <n v="-3.8553247200572571E-3"/>
    <n v="1.4863528697084567E-5"/>
    <x v="23"/>
    <n v="3.8154966999999998E-2"/>
    <n v="0.74716150999999997"/>
    <n v="-1.2816702706603735E-2"/>
    <n v="0.24007678500243199"/>
    <n v="0.214036232075279"/>
    <n v="2.6040552927152988E-2"/>
  </r>
  <r>
    <n v="50"/>
    <x v="6"/>
    <n v="-1.3576503718458801"/>
    <n v="0.70215647471753273"/>
    <n v="0.74074615935922428"/>
    <n v="0.77398956840404609"/>
    <n v="0.43580030790423729"/>
    <n v="0.46881542360892609"/>
    <n v="0.39823906301642481"/>
    <n v="-5.0516032779595612"/>
    <n v="1.130977484562024"/>
    <n v="-1.102219461000258"/>
    <n v="3.0545696338853041"/>
    <n v="3.0134080384925941"/>
    <n v="-11.51292546497023"/>
    <n v="4.1161596775054932E-2"/>
    <n v="0"/>
    <n v="0"/>
    <n v="1"/>
    <n v="0"/>
    <n v="0"/>
    <n v="0"/>
    <n v="0"/>
    <n v="-1.3795301914215088"/>
    <n v="0.25726454337666699"/>
    <n v="0.2516967745907186"/>
    <n v="5.5677687859483904E-3"/>
    <n v="3.100004925378121E-5"/>
    <x v="23"/>
    <n v="3.8154966999999998E-2"/>
    <n v="0.74716150999999997"/>
    <n v="1.6347759032654282E-2"/>
    <n v="0.26656865766201404"/>
    <n v="0.23765459486124182"/>
    <n v="2.8914062800772217E-2"/>
  </r>
  <r>
    <n v="50"/>
    <x v="7"/>
    <n v="-1.349415161555104"/>
    <n v="0.72090825134533554"/>
    <n v="0.70215647471753273"/>
    <n v="0.74074615935922428"/>
    <n v="0.39237986855950879"/>
    <n v="0.43580030790423729"/>
    <n v="0.46881542360892609"/>
    <n v="-4.2474402455818021"/>
    <n v="1.130977484562024"/>
    <n v="-1.0624577711181571"/>
    <n v="3.0577401914607312"/>
    <n v="3.0204034758586098"/>
    <n v="-11.51292546497023"/>
    <n v="3.7336714565753937E-2"/>
    <n v="0"/>
    <n v="0"/>
    <n v="1"/>
    <n v="0"/>
    <n v="0"/>
    <n v="0"/>
    <n v="0"/>
    <n v="-1.3728792667388916"/>
    <n v="0.25939191866017797"/>
    <n v="0.25337637012168968"/>
    <n v="6.0155485384882912E-3"/>
    <n v="3.6186824218908614E-5"/>
    <x v="23"/>
    <n v="3.8154966999999998E-2"/>
    <n v="0.74716150999999997"/>
    <n v="1.7531476259917578E-2"/>
    <n v="0.26834749462499902"/>
    <n v="0.23924048564626582"/>
    <n v="2.9107008978733195E-2"/>
  </r>
  <r>
    <n v="50"/>
    <x v="8"/>
    <n v="-1.294690965227715"/>
    <n v="0.68506460436658934"/>
    <n v="0.72090825134533554"/>
    <n v="0.70215647471753273"/>
    <n v="0.34401514579194181"/>
    <n v="0.39237986855950879"/>
    <n v="0.43580030790423729"/>
    <n v="-3.514089845464766"/>
    <n v="1.130977484562024"/>
    <n v="-1.0143261612993819"/>
    <n v="3.1015283053931602"/>
    <n v="3.0452996775323982"/>
    <n v="-11.51292546497023"/>
    <n v="5.6228626519441605E-2"/>
    <n v="0"/>
    <n v="0"/>
    <n v="1"/>
    <n v="0"/>
    <n v="0"/>
    <n v="0"/>
    <n v="0"/>
    <n v="-1.3330508470535278"/>
    <n v="0.27398252137589008"/>
    <n v="0.26367161120895877"/>
    <n v="1.0310910166931309E-2"/>
    <n v="1.0631486847052743E-4"/>
    <x v="23"/>
    <n v="3.8154966999999998E-2"/>
    <n v="0.74716150999999997"/>
    <n v="2.8661027228395884E-2"/>
    <n v="0.27925104554019353"/>
    <n v="0.24896135455121032"/>
    <n v="3.0289690988983209E-2"/>
  </r>
  <r>
    <n v="50"/>
    <x v="9"/>
    <n v="-1.3848701080031769"/>
    <n v="0.66772680321303413"/>
    <n v="0.68506460436658934"/>
    <n v="0.72090825134533554"/>
    <n v="0.32164862201505379"/>
    <n v="0.34401514579194181"/>
    <n v="0.39237986855950879"/>
    <n v="-3.1206069133565029"/>
    <n v="1.130977484562024"/>
    <n v="-0.98173704079714696"/>
    <n v="3.067628402405107"/>
    <n v="3.0895461293932569"/>
    <n v="-11.51292546497023"/>
    <n v="-2.1917726844549179E-2"/>
    <n v="1"/>
    <n v="0"/>
    <n v="1"/>
    <n v="0"/>
    <n v="0"/>
    <n v="0"/>
    <n v="0"/>
    <n v="-1.3628988265991211"/>
    <n v="0.25035631696171773"/>
    <n v="0.25591783921047162"/>
    <n v="-5.5615222487538918E-3"/>
    <n v="3.0930529723384545E-5"/>
    <x v="23"/>
    <n v="3.8154966999999998E-2"/>
    <n v="0.74716150999999997"/>
    <n v="-1.6416095790489249E-2"/>
    <n v="0.27103913024324539"/>
    <n v="0.24164016600621074"/>
    <n v="2.9398964237034642E-2"/>
  </r>
  <r>
    <n v="50"/>
    <x v="10"/>
    <n v="-1.285285227425053"/>
    <n v="0.65336631054810068"/>
    <n v="0.66772680321303413"/>
    <n v="0.68506460436658934"/>
    <n v="0.4415398522451548"/>
    <n v="0.32164862201505379"/>
    <n v="0.34401514579194181"/>
    <n v="-2.7239779808935669"/>
    <n v="1.130977484562024"/>
    <n v="-0.96065305975401938"/>
    <n v="3.078809717589027"/>
    <n v="3.0559472746276479"/>
    <n v="-11.51292546497023"/>
    <n v="2.2862443700432777E-2"/>
    <n v="1"/>
    <n v="0"/>
    <n v="1"/>
    <n v="0"/>
    <n v="0"/>
    <n v="0"/>
    <n v="0"/>
    <n v="-1.2735817432403564"/>
    <n v="0.27657168655070519"/>
    <n v="0.27982755424486921"/>
    <n v="-3.2558676941640274E-3"/>
    <n v="1.060067444190098E-5"/>
    <x v="23"/>
    <n v="3.8154966999999998E-2"/>
    <n v="0.74716150999999997"/>
    <n v="-8.7443929156990133E-3"/>
    <n v="0.2963615868069604"/>
    <n v="0.26421595645480656"/>
    <n v="3.2145630352153842E-2"/>
  </r>
  <r>
    <n v="50"/>
    <x v="11"/>
    <n v="-1.2638688961429589"/>
    <n v="0.67701779863006162"/>
    <n v="0.65336631054810068"/>
    <n v="0.66772680321303413"/>
    <n v="0.49035757512612699"/>
    <n v="0.4415398522451548"/>
    <n v="0.32164862201505379"/>
    <n v="-2.1007295258352019"/>
    <n v="1.130977484562024"/>
    <n v="-0.93731049146277712"/>
    <n v="3.0792033858508652"/>
    <n v="3.0674071987690561"/>
    <n v="-11.51292546497023"/>
    <n v="1.1796186678111553E-2"/>
    <n v="1"/>
    <n v="0"/>
    <n v="1"/>
    <n v="0"/>
    <n v="0"/>
    <n v="0"/>
    <n v="0"/>
    <n v="-1.2346770763397217"/>
    <n v="0.28255871871299265"/>
    <n v="0.29092869495956347"/>
    <n v="-8.3699762465708205E-3"/>
    <n v="7.0056502368159762E-5"/>
    <x v="23"/>
    <n v="3.8154966999999998E-2"/>
    <n v="0.74716150999999997"/>
    <n v="-2.1811004163834656E-2"/>
    <n v="0.30811865514303716"/>
    <n v="0.27469776379357086"/>
    <n v="3.3420891349466297E-2"/>
  </r>
  <r>
    <n v="50"/>
    <x v="12"/>
    <n v="-1.3495948435285481"/>
    <n v="0.7764307846966827"/>
    <n v="0.67701779863006162"/>
    <n v="0.65336631054810068"/>
    <n v="0.53783749601278841"/>
    <n v="0.49035757512612699"/>
    <n v="0.4415398522451548"/>
    <n v="-1.6270678834723289"/>
    <n v="1.130977484562024"/>
    <n v="-0.91339665834032158"/>
    <n v="3.126547037607621"/>
    <n v="3.066430857571905"/>
    <n v="3.2580965380214821"/>
    <n v="6.0116179287433624E-2"/>
    <n v="1"/>
    <n v="0"/>
    <n v="1"/>
    <n v="0"/>
    <n v="0"/>
    <n v="0"/>
    <n v="0"/>
    <n v="-1.2658064365386963"/>
    <n v="0.25934531479540024"/>
    <n v="0.28201177981053077"/>
    <n v="-2.2666465015130532E-2"/>
    <n v="5.1376863628213641E-4"/>
    <x v="23"/>
    <n v="3.8154966999999998E-2"/>
    <n v="0.74716150999999997"/>
    <n v="-6.2603472687032216E-2"/>
    <n v="0.29867487063038739"/>
    <n v="0.26627832393145356"/>
    <n v="3.2396546698933826E-2"/>
  </r>
  <r>
    <n v="50"/>
    <x v="13"/>
    <n v="-1.285858708664841"/>
    <n v="0.7103483878797201"/>
    <n v="0.7764307846966827"/>
    <n v="0.67701779863006162"/>
    <n v="0.51641000205989129"/>
    <n v="0.53783749601278841"/>
    <n v="0.49035757512612699"/>
    <n v="-0.95256005031569146"/>
    <n v="1.130977484562024"/>
    <n v="-0.88821277880844851"/>
    <n v="3.0737258239883838"/>
    <n v="3.1153426686918322"/>
    <n v="5.393627546352362"/>
    <n v="-4.161684587597847E-2"/>
    <n v="1"/>
    <n v="0"/>
    <n v="1"/>
    <n v="0"/>
    <n v="0"/>
    <n v="0"/>
    <n v="0"/>
    <n v="-1.2171481847763062"/>
    <n v="0.27641312334786861"/>
    <n v="0.29607331048192898"/>
    <n v="-1.966018713406037E-2"/>
    <n v="3.8652295814627286E-4"/>
    <x v="23"/>
    <n v="3.8154966999999998E-2"/>
    <n v="0.74716150999999997"/>
    <n v="-5.1337858781448746E-2"/>
    <n v="0.31356724802315705"/>
    <n v="0.27955536087510974"/>
    <n v="3.4011887148047315E-2"/>
  </r>
  <r>
    <n v="50"/>
    <x v="14"/>
    <n v="-1.3925580452554449"/>
    <n v="0.70872521052326376"/>
    <n v="0.7103483878797201"/>
    <n v="0.7764307846966827"/>
    <n v="0.44243971089952577"/>
    <n v="0.51641000205989129"/>
    <n v="0.53783749601278841"/>
    <n v="-0.25456177721428758"/>
    <n v="1.130977484562024"/>
    <n v="-0.87034242799961925"/>
    <n v="3.1369814545481511"/>
    <n v="3.0628431352276291"/>
    <n v="5.9914645471079817"/>
    <n v="7.4138320982456207E-2"/>
    <n v="1"/>
    <n v="1"/>
    <n v="1"/>
    <n v="0"/>
    <n v="0"/>
    <n v="0"/>
    <n v="0"/>
    <n v="-1.33976149559021"/>
    <n v="0.24843897296000483"/>
    <n v="0.26190812737501973"/>
    <n v="-1.3469154415014895E-2"/>
    <n v="1.8141812065551523E-4"/>
    <x v="23"/>
    <n v="3.8154966999999998E-2"/>
    <n v="0.74716150999999997"/>
    <n v="-3.9447549770666938E-2"/>
    <n v="0.27738336360749416"/>
    <n v="0.24729625559719862"/>
    <n v="3.0087108010295543E-2"/>
  </r>
  <r>
    <n v="50"/>
    <x v="15"/>
    <n v="-1.434501324363882"/>
    <n v="0.90401570099854245"/>
    <n v="0.70872521052326376"/>
    <n v="0.7103483878797201"/>
    <n v="0.64924753826992698"/>
    <n v="0.44243971089952577"/>
    <n v="0.51641000205989129"/>
    <n v="0.31514809820388678"/>
    <n v="1.130977484562024"/>
    <n v="-0.85750585795415835"/>
    <n v="3.1518800036120922"/>
    <n v="3.126432160474677"/>
    <n v="6.6846117276679271"/>
    <n v="2.5447843596339226E-2"/>
    <n v="1"/>
    <n v="0"/>
    <n v="1"/>
    <n v="0"/>
    <n v="0"/>
    <n v="0"/>
    <n v="0"/>
    <n v="-1.3374176025390625"/>
    <n v="0.23823413595718218"/>
    <n v="0.2625227320172101"/>
    <n v="-2.4288596060027923E-2"/>
    <n v="5.8993589856720392E-4"/>
    <x v="23"/>
    <n v="3.8154966999999998E-2"/>
    <n v="0.74716150999999997"/>
    <n v="-7.2537220195052099E-2"/>
    <n v="0.27803428309078093"/>
    <n v="0.24787657140568325"/>
    <n v="3.0157711685097677E-2"/>
  </r>
  <r>
    <n v="50"/>
    <x v="16"/>
    <n v="-1.305504312734995"/>
    <n v="0.86827626677239533"/>
    <n v="0.90401570099854245"/>
    <n v="0.70872521052326376"/>
    <n v="0.61285860933110847"/>
    <n v="0.64924753826992698"/>
    <n v="0.44243971089952577"/>
    <n v="0.8535018840870181"/>
    <n v="1.130977484562024"/>
    <n v="-0.83501885082324967"/>
    <n v="3.2268541726774989"/>
    <n v="3.1518800036120922"/>
    <n v="8.0551577318196781"/>
    <n v="7.4974171817302704E-2"/>
    <n v="1"/>
    <n v="0"/>
    <n v="1"/>
    <n v="0"/>
    <n v="0"/>
    <n v="0"/>
    <n v="0"/>
    <n v="-1.3098952770233154"/>
    <n v="0.27103581376083574"/>
    <n v="0.26984831422375732"/>
    <n v="1.187499537078418E-3"/>
    <n v="1.4101551505614571E-6"/>
    <x v="23"/>
    <n v="3.8154966999999998E-2"/>
    <n v="0.74716150999999997"/>
    <n v="3.2807595080175606E-3"/>
    <n v="0.28579270835692672"/>
    <n v="0.25479345889560306"/>
    <n v="3.0999249461323652E-2"/>
  </r>
  <r>
    <n v="50"/>
    <x v="17"/>
    <n v="-1.2479133990084019"/>
    <n v="0.70640885454313052"/>
    <n v="0.86827626677239533"/>
    <n v="0.90401570099854245"/>
    <n v="0.36186147062603241"/>
    <n v="0.61285860933110847"/>
    <n v="0.64924753826992698"/>
    <n v="1.413503350499935"/>
    <n v="1.130977484562024"/>
    <n v="-0.80935547800188667"/>
    <n v="3.2792263326556959"/>
    <n v="3.2268541726774989"/>
    <n v="8.4658998970286863"/>
    <n v="5.237216129899025E-2"/>
    <n v="1"/>
    <n v="0"/>
    <n v="1"/>
    <n v="0"/>
    <n v="0"/>
    <n v="0"/>
    <n v="0"/>
    <n v="-1.2823128700256348"/>
    <n v="0.28710324219459921"/>
    <n v="0.27739497940385272"/>
    <n v="9.7082627907464913E-3"/>
    <n v="9.4250366414192852E-5"/>
    <x v="23"/>
    <n v="3.8154966999999998E-2"/>
    <n v="0.74716150999999997"/>
    <n v="2.5701960708436923E-2"/>
    <n v="0.29378527961714207"/>
    <n v="0.2619190951253299"/>
    <n v="3.1866184491812166E-2"/>
  </r>
  <r>
    <n v="51"/>
    <x v="0"/>
    <n v="-2.05774652737274"/>
    <n v="1.081805170351728"/>
    <n v="1.042535642447705"/>
    <n v="0.99047013004840656"/>
    <n v="0.69314718055994529"/>
    <n v="0.58478215588182025"/>
    <n v="0.51801968434623125"/>
    <n v="-11.51292546497023"/>
    <n v="1.9730087517591539"/>
    <n v="-1.798920155106793"/>
    <n v="2.6724997707606679"/>
    <n v="2.847671102973925"/>
    <n v="-11.51292546497023"/>
    <n v="-0.17517133057117462"/>
    <n v="0"/>
    <n v="0"/>
    <n v="1"/>
    <n v="0"/>
    <n v="0"/>
    <n v="0"/>
    <n v="0"/>
    <n v="-2.2730188369750977"/>
    <n v="0.12774150778491689"/>
    <n v="0.10300076774193385"/>
    <n v="2.4740740042983031E-2"/>
    <n v="6.1210421787446395E-4"/>
    <x v="24"/>
    <n v="7.9445726999999994E-2"/>
    <n v="0.87497932"/>
    <n v="0.10422630454844156"/>
    <n v="0.12136786766657766"/>
    <n v="8.7413236793228738E-2"/>
    <n v="3.395463087334892E-2"/>
  </r>
  <r>
    <n v="51"/>
    <x v="1"/>
    <n v="-2.1237769983382999"/>
    <n v="1.021083086158872"/>
    <n v="1.081805170351728"/>
    <n v="1.042535642447705"/>
    <n v="0.36845528247426368"/>
    <n v="0.69314718055994529"/>
    <n v="0.58478215588182025"/>
    <n v="-11.51292546497023"/>
    <n v="1.9730087517591539"/>
    <n v="-1.6952029836220981"/>
    <n v="2.8066650646061579"/>
    <n v="2.6550236833934591"/>
    <n v="-11.51292546497023"/>
    <n v="0.15164138376712799"/>
    <n v="0"/>
    <n v="0"/>
    <n v="1"/>
    <n v="0"/>
    <n v="0"/>
    <n v="0"/>
    <n v="0"/>
    <n v="-2.2524383068084717"/>
    <n v="0.11957912434171535"/>
    <n v="0.10514254197762599"/>
    <n v="1.4436582364089359E-2"/>
    <n v="2.0841491035513592E-4"/>
    <x v="24"/>
    <n v="7.9445726999999994E-2"/>
    <n v="0.87497932"/>
    <n v="0.11257598419554113"/>
    <n v="0.12389156314679434"/>
    <n v="8.9230887501340603E-2"/>
    <n v="3.4660675645453734E-2"/>
  </r>
  <r>
    <n v="51"/>
    <x v="2"/>
    <n v="-2.1175597176399039"/>
    <n v="0.91063476701799762"/>
    <n v="1.021083086158872"/>
    <n v="1.081805170351728"/>
    <n v="0.24966863025356481"/>
    <n v="0.36845528247426368"/>
    <n v="0.69314718055994529"/>
    <n v="-11.51292546497023"/>
    <n v="1.9730087517591539"/>
    <n v="-1.5606998325896051"/>
    <n v="2.962978052689655"/>
    <n v="2.7894891524881991"/>
    <n v="-11.51292546497023"/>
    <n v="0.17348890006542206"/>
    <n v="0"/>
    <n v="0"/>
    <n v="1"/>
    <n v="0"/>
    <n v="0"/>
    <n v="0"/>
    <n v="0"/>
    <n v="-2.1526186466217041"/>
    <n v="0.12032489726091082"/>
    <n v="0.11617952596287177"/>
    <n v="4.1453712980390467E-3"/>
    <n v="1.7184103198605931E-5"/>
    <x v="24"/>
    <n v="7.9445726999999994E-2"/>
    <n v="0.87497932"/>
    <n v="3.0675837840423818E-2"/>
    <n v="0.13689666243999207"/>
    <n v="9.8597599184525292E-2"/>
    <n v="3.8299063255466781E-2"/>
  </r>
  <r>
    <n v="51"/>
    <x v="3"/>
    <n v="-2.1349810416516708"/>
    <n v="0.85747447398162135"/>
    <n v="0.91063476701799762"/>
    <n v="1.021083086158872"/>
    <n v="0.2214621385316716"/>
    <n v="0.24966863025356481"/>
    <n v="0.36845528247426368"/>
    <n v="-8.0069314086622185"/>
    <n v="1.9730087517591539"/>
    <n v="-1.4506574410501361"/>
    <n v="2.9461875816004648"/>
    <n v="2.94822569572601"/>
    <n v="-11.51292546497023"/>
    <n v="-2.0381142385303974E-3"/>
    <n v="0"/>
    <n v="0"/>
    <n v="1"/>
    <n v="0"/>
    <n v="0"/>
    <n v="0"/>
    <n v="0"/>
    <n v="-2.0998616218566895"/>
    <n v="0.11824683212001763"/>
    <n v="0.12247337471864318"/>
    <n v="-4.2265425986255517E-3"/>
    <n v="1.7863662337996432E-5"/>
    <x v="24"/>
    <n v="7.9445726999999994E-2"/>
    <n v="0.87497932"/>
    <n v="-3.0728766051007314E-2"/>
    <n v="0.14431283049048449"/>
    <n v="0.1039389738527942"/>
    <n v="4.0373856637690289E-2"/>
  </r>
  <r>
    <n v="51"/>
    <x v="4"/>
    <n v="-2.0433626100727298"/>
    <n v="0.81828091131671099"/>
    <n v="0.85747447398162135"/>
    <n v="0.91063476701799762"/>
    <n v="0.33590064472225528"/>
    <n v="0.2214621385316716"/>
    <n v="0.24966863025356481"/>
    <n v="-7.3260754061403617"/>
    <n v="1.9730087517591539"/>
    <n v="-1.3486996414753709"/>
    <n v="2.9245585501402531"/>
    <n v="2.9338964035622919"/>
    <n v="-11.51292546497023"/>
    <n v="-9.3378536403179169E-3"/>
    <n v="0"/>
    <n v="0"/>
    <n v="1"/>
    <n v="0"/>
    <n v="0"/>
    <n v="0"/>
    <n v="0"/>
    <n v="-1.9221136569976807"/>
    <n v="0.12959220932903426"/>
    <n v="0.14629741255499157"/>
    <n v="-1.670520322595731E-2"/>
    <n v="2.7906381482053453E-4"/>
    <x v="24"/>
    <n v="7.9445726999999994E-2"/>
    <n v="0.87497932"/>
    <n v="-0.10609032651231839"/>
    <n v="0.17238517145254401"/>
    <n v="0.12415762179508245"/>
    <n v="4.8227549657461552E-2"/>
  </r>
  <r>
    <n v="51"/>
    <x v="5"/>
    <n v="-1.840213729643446"/>
    <n v="0.79768735983386929"/>
    <n v="0.81828091131671099"/>
    <n v="0.85747447398162135"/>
    <n v="0.4093907261106367"/>
    <n v="0.33590064472225528"/>
    <n v="0.2214621385316716"/>
    <n v="-5.6334692513688536"/>
    <n v="1.9730087517591539"/>
    <n v="-1.254492718073984"/>
    <n v="3.0328194081271249"/>
    <n v="2.91241661267324"/>
    <n v="-11.51292546497023"/>
    <n v="0.12040279805660248"/>
    <n v="0"/>
    <n v="0"/>
    <n v="1"/>
    <n v="0"/>
    <n v="0"/>
    <n v="0"/>
    <n v="0"/>
    <n v="-1.7564654350280762"/>
    <n v="0.15878348574222609"/>
    <n v="0.17265404353073277"/>
    <n v="-1.3870557788506682E-2"/>
    <n v="1.9239237336430339E-4"/>
    <x v="24"/>
    <n v="7.9445726999999994E-2"/>
    <n v="0.87497932"/>
    <n v="-7.3278025873715943E-2"/>
    <n v="0.20344171763689115"/>
    <n v="0.14652559511278268"/>
    <n v="5.6916122524108465E-2"/>
  </r>
  <r>
    <n v="51"/>
    <x v="6"/>
    <n v="-1.6588784145306159"/>
    <n v="0.76825465304675078"/>
    <n v="0.79768735983386929"/>
    <n v="0.81828091131671099"/>
    <n v="0.36276635357504911"/>
    <n v="0.4093907261106367"/>
    <n v="0.33590064472225528"/>
    <n v="-5.271503568333296"/>
    <n v="1.9730087517591539"/>
    <n v="-1.1799399526944709"/>
    <n v="3.0851610781021268"/>
    <n v="3.0200916417212711"/>
    <n v="-11.51292546497023"/>
    <n v="6.5069437026977539E-2"/>
    <n v="0"/>
    <n v="0"/>
    <n v="1"/>
    <n v="0"/>
    <n v="0"/>
    <n v="0"/>
    <n v="0"/>
    <n v="-1.6590038537979126"/>
    <n v="0.19035235685653168"/>
    <n v="0.19032848069389488"/>
    <n v="2.3876162636798925E-5"/>
    <n v="5.7007114225887297E-10"/>
    <x v="24"/>
    <n v="7.9445726999999994E-2"/>
    <n v="0.87497932"/>
    <n v="1.0975676480055584E-4"/>
    <n v="0.22426786095336063"/>
    <n v="0.16152528681218287"/>
    <n v="6.2742574141177759E-2"/>
  </r>
  <r>
    <n v="51"/>
    <x v="7"/>
    <n v="-1.690374031574946"/>
    <n v="0.72754860727727766"/>
    <n v="0.76825465304675078"/>
    <n v="0.79768735983386929"/>
    <n v="0.30535007010518789"/>
    <n v="0.36276635357504911"/>
    <n v="0.4093907261106367"/>
    <n v="-4.4017390743939897"/>
    <n v="1.9730087517591539"/>
    <n v="-1.1195437403122011"/>
    <n v="3.1047763713222141"/>
    <n v="3.0639526481515622"/>
    <n v="-11.51292546497023"/>
    <n v="4.0823724120855331E-2"/>
    <n v="0"/>
    <n v="0"/>
    <n v="1"/>
    <n v="0"/>
    <n v="0"/>
    <n v="0"/>
    <n v="0"/>
    <n v="-1.5964484214782715"/>
    <n v="0.18445052077031837"/>
    <n v="0.20261484417242626"/>
    <n v="-1.8164323402107885E-2"/>
    <n v="3.2994264465636416E-4"/>
    <x v="24"/>
    <n v="7.9445726999999994E-2"/>
    <n v="0.87497932"/>
    <n v="-8.2182966452973433E-2"/>
    <n v="0.23874512912772961"/>
    <n v="0.17195230423760052"/>
    <n v="6.6792824890129082E-2"/>
  </r>
  <r>
    <n v="51"/>
    <x v="8"/>
    <n v="-1.582605413124665"/>
    <n v="0.69474590192364238"/>
    <n v="0.72754860727727766"/>
    <n v="0.76825465304675078"/>
    <n v="0.29728580859447568"/>
    <n v="0.30535007010518789"/>
    <n v="0.36276635357504911"/>
    <n v="-3.6840396748336701"/>
    <n v="1.9730087517591539"/>
    <n v="-1.0613115936954669"/>
    <n v="3.142461528138865"/>
    <n v="3.091588262339735"/>
    <n v="-11.51292546497023"/>
    <n v="5.0873264670372009E-2"/>
    <n v="0"/>
    <n v="0"/>
    <n v="1"/>
    <n v="0"/>
    <n v="0"/>
    <n v="0"/>
    <n v="0"/>
    <n v="-1.5311722755432129"/>
    <n v="0.20543914647168415"/>
    <n v="0.21628197657575685"/>
    <n v="-1.0842830104072693E-2"/>
    <n v="1.1756696466578504E-4"/>
    <x v="24"/>
    <n v="7.9445726999999994E-2"/>
    <n v="0.87497932"/>
    <n v="-4.5002931746485376E-2"/>
    <n v="0.25484938498206444"/>
    <n v="0.18355113313225507"/>
    <n v="7.1298251849809369E-2"/>
  </r>
  <r>
    <n v="51"/>
    <x v="9"/>
    <n v="-1.7534303860936951"/>
    <n v="0.67960590999327797"/>
    <n v="0.69474590192364238"/>
    <n v="0.72754860727727766"/>
    <n v="0.20073432980108"/>
    <n v="0.29728580859447568"/>
    <n v="0.30535007010518789"/>
    <n v="-3.2789795267156618"/>
    <n v="1.9730087517591539"/>
    <n v="-1.020982827946896"/>
    <n v="3.1161413519454091"/>
    <n v="3.1297864755568958"/>
    <n v="-11.51292546497023"/>
    <n v="-1.3645123690366745E-2"/>
    <n v="1"/>
    <n v="0"/>
    <n v="1"/>
    <n v="0"/>
    <n v="0"/>
    <n v="0"/>
    <n v="0"/>
    <n v="-1.5668298006057739"/>
    <n v="0.17317885300993485"/>
    <n v="0.2087057736178537"/>
    <n v="-3.5526920607918844E-2"/>
    <n v="1.2621620878813687E-3"/>
    <x v="24"/>
    <n v="7.9445726999999994E-2"/>
    <n v="0.87497932"/>
    <n v="-0.16327165340182309"/>
    <n v="0.24592219329050605"/>
    <n v="0.17712146821158159"/>
    <n v="6.8800725078924457E-2"/>
  </r>
  <r>
    <n v="51"/>
    <x v="10"/>
    <n v="-1.679206203083961"/>
    <n v="0.71147813724466868"/>
    <n v="0.67960590999327797"/>
    <n v="0.69474590192364238"/>
    <n v="0.34557355086755848"/>
    <n v="0.20073432980108"/>
    <n v="0.29728580859447568"/>
    <n v="-2.8458570330107551"/>
    <n v="1.9730087517591539"/>
    <n v="-0.98968193431058293"/>
    <n v="3.1686179571010782"/>
    <n v="3.1039528289949501"/>
    <n v="-11.51292546497023"/>
    <n v="6.4665131270885468E-2"/>
    <n v="1"/>
    <n v="0"/>
    <n v="1"/>
    <n v="0"/>
    <n v="0"/>
    <n v="0"/>
    <n v="0"/>
    <n v="-1.5116231441497803"/>
    <n v="0.18652197786074315"/>
    <n v="0.22055170006801683"/>
    <n v="-3.4029722207273683E-2"/>
    <n v="1.1580219935042157E-3"/>
    <x v="24"/>
    <n v="7.9445726999999994E-2"/>
    <n v="0.87497932"/>
    <n v="-0.14663171094974933"/>
    <n v="0.25988048569269062"/>
    <n v="0.18717470176045845"/>
    <n v="7.2705783932232176E-2"/>
  </r>
  <r>
    <n v="51"/>
    <x v="11"/>
    <n v="-1.67921739515646"/>
    <n v="0.70631016708622618"/>
    <n v="0.71147813724466868"/>
    <n v="0.67960590999327797"/>
    <n v="0.27292370147623563"/>
    <n v="0.34557355086755848"/>
    <n v="0.20073432980108"/>
    <n v="-2.2429678509241522"/>
    <n v="1.9730087517591539"/>
    <n v="-0.96161077735185829"/>
    <n v="3.144485979086646"/>
    <n v="3.156884721740048"/>
    <n v="-11.51292546497023"/>
    <n v="-1.2398743070662022E-2"/>
    <n v="1"/>
    <n v="0"/>
    <n v="1"/>
    <n v="0"/>
    <n v="0"/>
    <n v="0"/>
    <n v="0"/>
    <n v="-1.5189636945724487"/>
    <n v="0.18651989030492636"/>
    <n v="0.21893865674882429"/>
    <n v="-3.2418766443897934E-2"/>
    <n v="1.0509764177440027E-3"/>
    <x v="24"/>
    <n v="7.9445726999999994E-2"/>
    <n v="0.87497932"/>
    <n v="-0.14021867396448176"/>
    <n v="0.25797980444151081"/>
    <n v="0.1858057669388114"/>
    <n v="7.2174037502699406E-2"/>
  </r>
  <r>
    <n v="51"/>
    <x v="12"/>
    <n v="-1.8864132743384829"/>
    <n v="0.83594797919161656"/>
    <n v="0.70631016708622618"/>
    <n v="0.71147813724466868"/>
    <n v="0.33253592808540672"/>
    <n v="0.27292370147623563"/>
    <n v="0.34557355086755848"/>
    <n v="-1.826642708966508"/>
    <n v="1.9730087517591539"/>
    <n v="-0.94169512122798971"/>
    <n v="3.1520444807485388"/>
    <n v="3.115764223772421"/>
    <n v="3.2580965380214821"/>
    <n v="3.6280255764722824E-2"/>
    <n v="1"/>
    <n v="0"/>
    <n v="1"/>
    <n v="0"/>
    <n v="0"/>
    <n v="0"/>
    <n v="0"/>
    <n v="-1.6053529977798462"/>
    <n v="0.15161463487195528"/>
    <n v="0.2008186538580477"/>
    <n v="-4.9204018986092418E-2"/>
    <n v="2.421035484383743E-3"/>
    <x v="24"/>
    <n v="7.9445726999999994E-2"/>
    <n v="0.87497932"/>
    <n v="-0.24592192966228793"/>
    <n v="0.23662864210381071"/>
    <n v="0.17042793881083143"/>
    <n v="6.6200703292979279E-2"/>
  </r>
  <r>
    <n v="51"/>
    <x v="13"/>
    <n v="-1.9921047751330849"/>
    <n v="0.79376145059253866"/>
    <n v="0.83594797919161656"/>
    <n v="0.70631016708622618"/>
    <n v="0.24904518883686269"/>
    <n v="0.33253592808540672"/>
    <n v="0.27292370147623563"/>
    <n v="-1.120801484052383"/>
    <n v="1.9730087517591539"/>
    <n v="-0.90391195547556569"/>
    <n v="3.13188489075428"/>
    <n v="3.1397817931288499"/>
    <n v="5.393627546352362"/>
    <n v="-7.8969020396471024E-3"/>
    <n v="1"/>
    <n v="0"/>
    <n v="1"/>
    <n v="0"/>
    <n v="0"/>
    <n v="0"/>
    <n v="0"/>
    <n v="-1.6068980693817139"/>
    <n v="0.13640801488664259"/>
    <n v="0.20050861423723154"/>
    <n v="-6.4100599350588955E-2"/>
    <n v="4.1088868371047249E-3"/>
    <x v="24"/>
    <n v="7.9445726999999994E-2"/>
    <n v="0.87497932"/>
    <n v="-0.33704790145777475"/>
    <n v="0.23626331620871749"/>
    <n v="0.17016481876441014"/>
    <n v="6.6098497444307347E-2"/>
  </r>
  <r>
    <n v="51"/>
    <x v="14"/>
    <n v="-1.9497546726642769"/>
    <n v="0.7133418878454646"/>
    <n v="0.79376145059253866"/>
    <n v="0.83594797919161656"/>
    <n v="0.28930575356787852"/>
    <n v="0.24904518883686269"/>
    <n v="0.33253592808540672"/>
    <n v="-0.33279799939185711"/>
    <n v="1.9730087517591539"/>
    <n v="-0.87596321331421045"/>
    <n v="3.2859967765217868"/>
    <n v="3.1199732194291552"/>
    <n v="5.9914645471079817"/>
    <n v="0.16602355241775513"/>
    <n v="1"/>
    <n v="1"/>
    <n v="1"/>
    <n v="0"/>
    <n v="0"/>
    <n v="0"/>
    <n v="0"/>
    <n v="-1.6114116907119751"/>
    <n v="0.14230897958720667"/>
    <n v="0.19960563366830561"/>
    <n v="-5.7296654081098936E-2"/>
    <n v="3.2829065688891111E-3"/>
    <x v="24"/>
    <n v="7.9445726999999994E-2"/>
    <n v="0.87497932"/>
    <n v="-0.29604311227539731"/>
    <n v="0.23519931611825723"/>
    <n v="0.16939848996879406"/>
    <n v="6.5800826149463171E-2"/>
  </r>
  <r>
    <n v="51"/>
    <x v="15"/>
    <n v="-1.765906089621222"/>
    <n v="0.90401570099854245"/>
    <n v="0.7133418878454646"/>
    <n v="0.79376145059253866"/>
    <n v="0.57515162232223782"/>
    <n v="0.28930575356787852"/>
    <n v="0.24904518883686269"/>
    <n v="0.35411113289401652"/>
    <n v="1.9730087517591539"/>
    <n v="-0.85090031149088408"/>
    <n v="3.4190583322518591"/>
    <n v="3.2744327466275061"/>
    <n v="6.6846117276679271"/>
    <n v="0.14462558925151825"/>
    <n v="1"/>
    <n v="0"/>
    <n v="1"/>
    <n v="0"/>
    <n v="0"/>
    <n v="0"/>
    <n v="0"/>
    <n v="-1.5370136499404907"/>
    <n v="0.17103174616523617"/>
    <n v="0.21502227535035986"/>
    <n v="-4.3990529185123695E-2"/>
    <n v="1.9351666579872195E-3"/>
    <x v="24"/>
    <n v="7.9445726999999994E-2"/>
    <n v="0.87497932"/>
    <n v="-0.20027615122498724"/>
    <n v="0.25336505379720897"/>
    <n v="0.18248206768819705"/>
    <n v="7.088298610901192E-2"/>
  </r>
  <r>
    <n v="51"/>
    <x v="16"/>
    <n v="-1.681463142928628"/>
    <n v="0.89006995223107255"/>
    <n v="0.90401570099854245"/>
    <n v="0.7133418878454646"/>
    <n v="0.5042842757225684"/>
    <n v="0.57515162232223782"/>
    <n v="0.28930575356787852"/>
    <n v="0.82585925575775587"/>
    <n v="1.9730087517591539"/>
    <n v="-0.8181080957602257"/>
    <n v="3.4274724365402758"/>
    <n v="3.4190583322518591"/>
    <n v="8.0551577318196781"/>
    <n v="8.4141045808792114E-3"/>
    <n v="1"/>
    <n v="0"/>
    <n v="1"/>
    <n v="0"/>
    <n v="0"/>
    <n v="0"/>
    <n v="0"/>
    <n v="-1.5012661218643188"/>
    <n v="0.18610148367054127"/>
    <n v="0.22284782894464825"/>
    <n v="-3.6746345274106973E-2"/>
    <n v="1.3502938910038838E-3"/>
    <x v="24"/>
    <n v="7.9445726999999994E-2"/>
    <n v="0.87497932"/>
    <n v="-0.15766866695687487"/>
    <n v="0.26258606033794596"/>
    <n v="0.18912334798515099"/>
    <n v="7.3462712352794973E-2"/>
  </r>
  <r>
    <n v="51"/>
    <x v="17"/>
    <n v="-1.6568841041092961"/>
    <n v="0.75292438459580613"/>
    <n v="0.89006995223107255"/>
    <n v="0.90401570099854245"/>
    <n v="0.28073298336357422"/>
    <n v="0.5042842757225684"/>
    <n v="0.57515162232223782"/>
    <n v="1.3493937625097989"/>
    <n v="1.9730087517591539"/>
    <n v="-0.78477121725476684"/>
    <n v="3.443338371166075"/>
    <n v="3.4274724365402758"/>
    <n v="8.4658998970286863"/>
    <n v="1.5865935012698174E-2"/>
    <n v="1"/>
    <n v="0"/>
    <n v="1"/>
    <n v="0"/>
    <n v="0"/>
    <n v="0"/>
    <n v="0"/>
    <n v="-1.4753338098526001"/>
    <n v="0.19073235733904748"/>
    <n v="0.2287023711969457"/>
    <n v="-3.7970013857898222E-2"/>
    <n v="1.4417219523689829E-3"/>
    <x v="24"/>
    <n v="7.9445726999999994E-2"/>
    <n v="0.87497932"/>
    <n v="-0.15885275301452378"/>
    <n v="0.26948458473638054"/>
    <n v="0.1940918982147789"/>
    <n v="7.5392686521601637E-2"/>
  </r>
  <r>
    <n v="52"/>
    <x v="0"/>
    <n v="-1.862337595589032"/>
    <n v="0.94778939893352609"/>
    <n v="0.88533655655224996"/>
    <n v="0.82342955082286751"/>
    <n v="0.52472852893498212"/>
    <n v="0.40246059908786569"/>
    <n v="0.34861252984868768"/>
    <n v="-11.51292546497023"/>
    <n v="2.05817408255127"/>
    <n v="-1.608091352549371"/>
    <n v="2.6691657313985648"/>
    <n v="2.604186425782943"/>
    <n v="-11.51292546497023"/>
    <n v="6.4979307353496552E-2"/>
    <n v="0"/>
    <n v="0"/>
    <n v="1"/>
    <n v="0"/>
    <n v="0"/>
    <n v="0"/>
    <n v="0"/>
    <n v="-2.0510866641998291"/>
    <n v="0.15530915570781006"/>
    <n v="0.12859508795688557"/>
    <n v="2.6714067750924497E-2"/>
    <n v="7.1364141580098424E-4"/>
    <x v="25"/>
    <n v="6.8600796000000006E-2"/>
    <n v="0.70854371999999999"/>
    <n v="0.13319397321287541"/>
    <n v="0.14172417594261136"/>
    <n v="0.11668225647920062"/>
    <n v="2.5041919463410736E-2"/>
  </r>
  <r>
    <n v="52"/>
    <x v="1"/>
    <n v="-1.883076035962455"/>
    <n v="0.88459364513090055"/>
    <n v="0.94778939893352609"/>
    <n v="0.88533655655224996"/>
    <n v="0.33482802850872367"/>
    <n v="0.52472852893498212"/>
    <n v="0.40246059908786569"/>
    <n v="-11.51292546497023"/>
    <n v="2.05817408255127"/>
    <n v="-1.5047876678710319"/>
    <n v="2.7482821220994418"/>
    <n v="2.6592476277490902"/>
    <n v="-11.51292546497023"/>
    <n v="8.9034497737884521E-2"/>
    <n v="0"/>
    <n v="0"/>
    <n v="1"/>
    <n v="0"/>
    <n v="0"/>
    <n v="0"/>
    <n v="0"/>
    <n v="-2.0046496391296387"/>
    <n v="0.15212145426800924"/>
    <n v="0.13470748365983426"/>
    <n v="1.7413970608174983E-2"/>
    <n v="3.032463723423822E-4"/>
    <x v="25"/>
    <n v="6.8600796000000006E-2"/>
    <n v="0.70854371999999999"/>
    <n v="8.6140213041880104E-2"/>
    <n v="0.1484606248832272"/>
    <n v="0.12222841018106631"/>
    <n v="2.6232214702160889E-2"/>
  </r>
  <r>
    <n v="52"/>
    <x v="2"/>
    <n v="-1.846873097254206"/>
    <n v="0.81933920579770469"/>
    <n v="0.88459364513090055"/>
    <n v="0.94778939893352609"/>
    <n v="0.33732901234119472"/>
    <n v="0.33482802850872367"/>
    <n v="0.52472852893498212"/>
    <n v="-11.51292546497023"/>
    <n v="2.05817408255127"/>
    <n v="-1.396098820537637"/>
    <n v="2.7976701186191248"/>
    <n v="2.7384614219624459"/>
    <n v="-11.51292546497023"/>
    <n v="5.9208694845438004E-2"/>
    <n v="0"/>
    <n v="0"/>
    <n v="1"/>
    <n v="0"/>
    <n v="0"/>
    <n v="0"/>
    <n v="0"/>
    <n v="-1.8955596685409546"/>
    <n v="0.15772960113738324"/>
    <n v="0.15023423014077644"/>
    <n v="7.4953709966067983E-3"/>
    <n v="5.6180586376774387E-5"/>
    <x v="25"/>
    <n v="6.8600796000000006E-2"/>
    <n v="0.70854371999999999"/>
    <n v="3.4496564333558029E-2"/>
    <n v="0.16557259537170452"/>
    <n v="0.13631678512571607"/>
    <n v="2.9255810245988445E-2"/>
  </r>
  <r>
    <n v="52"/>
    <x v="3"/>
    <n v="-1.8293809229926421"/>
    <n v="0.80848277923984968"/>
    <n v="0.81933920579770469"/>
    <n v="0.88459364513090055"/>
    <n v="0.30792577892882339"/>
    <n v="0.33732901234119472"/>
    <n v="0.33482802850872367"/>
    <n v="-8.6871553512195536"/>
    <n v="2.05817408255127"/>
    <n v="-1.3112481563549381"/>
    <n v="2.8326279323779491"/>
    <n v="2.7838557858735991"/>
    <n v="-11.51292546497023"/>
    <n v="4.8772145062685013E-2"/>
    <n v="0"/>
    <n v="0"/>
    <n v="1"/>
    <n v="0"/>
    <n v="0"/>
    <n v="0"/>
    <n v="0"/>
    <n v="-1.8478692770004272"/>
    <n v="0.16051290687275355"/>
    <n v="0.1575725523407534"/>
    <n v="2.9403545320001445E-3"/>
    <n v="8.6456847738537887E-6"/>
    <x v="25"/>
    <n v="6.8600796000000006E-2"/>
    <n v="0.70854371999999999"/>
    <n v="1.3099807125352997E-2"/>
    <n v="0.17366013341936151"/>
    <n v="0.14297529756712291"/>
    <n v="3.0684835852238607E-2"/>
  </r>
  <r>
    <n v="52"/>
    <x v="4"/>
    <n v="-1.712140667188591"/>
    <n v="0.73553594705173186"/>
    <n v="0.80848277923984968"/>
    <n v="0.81933920579770469"/>
    <n v="0.26941626364488841"/>
    <n v="0.30792577892882339"/>
    <n v="0.33732901234119472"/>
    <n v="-8.0069520634659508"/>
    <n v="2.05817408255127"/>
    <n v="-1.226555268770485"/>
    <n v="2.8783340440319498"/>
    <n v="2.8196840395713911"/>
    <n v="-11.51292546497023"/>
    <n v="5.8650005608797073E-2"/>
    <n v="0"/>
    <n v="0"/>
    <n v="1"/>
    <n v="0"/>
    <n v="0"/>
    <n v="0"/>
    <n v="0"/>
    <n v="-1.7212049961090088"/>
    <n v="0.18047903325855477"/>
    <n v="0.17885050385122467"/>
    <n v="1.6285294073301038E-3"/>
    <n v="2.6521080305389392E-6"/>
    <x v="25"/>
    <n v="6.8600796000000006E-2"/>
    <n v="0.70854371999999999"/>
    <n v="6.4224733325763785E-3"/>
    <n v="0.19711048592877797"/>
    <n v="0.162282095633385"/>
    <n v="3.4828390295392975E-2"/>
  </r>
  <r>
    <n v="52"/>
    <x v="5"/>
    <n v="-1.57674716233004"/>
    <n v="0.78376454814355934"/>
    <n v="0.73553594705173186"/>
    <n v="0.80848277923984968"/>
    <n v="0.41449091931547682"/>
    <n v="0.26941626364488841"/>
    <n v="0.30792577892882339"/>
    <n v="-6.5156531538483913"/>
    <n v="2.05817408255127"/>
    <n v="-1.146732879284716"/>
    <n v="2.913210704642244"/>
    <n v="2.865555556873272"/>
    <n v="-11.51292546497023"/>
    <n v="4.7655146569013596E-2"/>
    <n v="0"/>
    <n v="0"/>
    <n v="1"/>
    <n v="0"/>
    <n v="0"/>
    <n v="0"/>
    <n v="0"/>
    <n v="-1.6503390073776245"/>
    <n v="0.20664619265231257"/>
    <n v="0.1919848133193767"/>
    <n v="1.4661379332935875E-2"/>
    <n v="2.149560439442392E-4"/>
    <x v="25"/>
    <n v="6.8600796000000006E-2"/>
    <n v="0.70854371999999999"/>
    <n v="5.2143039651679123E-2"/>
    <n v="0.21158576033873969"/>
    <n v="0.17419966488419439"/>
    <n v="3.7386095454545298E-2"/>
  </r>
  <r>
    <n v="52"/>
    <x v="6"/>
    <n v="-1.448318342264364"/>
    <n v="0.69853265283628319"/>
    <n v="0.78376454814355934"/>
    <n v="0.73553594705173186"/>
    <n v="0.32157612409933711"/>
    <n v="0.41449091931547682"/>
    <n v="0.26941626364488841"/>
    <n v="-6.085962059124963"/>
    <n v="2.05817408255127"/>
    <n v="-1.0747697773179961"/>
    <n v="2.9591251110415029"/>
    <n v="2.9010690470866201"/>
    <n v="-11.51292546497023"/>
    <n v="5.8056063950061798E-2"/>
    <n v="0"/>
    <n v="0"/>
    <n v="1"/>
    <n v="0"/>
    <n v="0"/>
    <n v="0"/>
    <n v="0"/>
    <n v="-1.5255780220031738"/>
    <n v="0.23496508689851292"/>
    <n v="0.21749530345363155"/>
    <n v="1.746978344488137E-2"/>
    <n v="3.0519333361105121E-4"/>
    <x v="25"/>
    <n v="6.8600796000000006E-2"/>
    <n v="0.70854371999999999"/>
    <n v="5.4741860888144978E-2"/>
    <n v="0.23970077817971314"/>
    <n v="0.1973469063538936"/>
    <n v="4.2353871825819539E-2"/>
  </r>
  <r>
    <n v="52"/>
    <x v="7"/>
    <n v="-1.4365780065249001"/>
    <n v="0.68697819141441629"/>
    <n v="0.69853265283628319"/>
    <n v="0.78376454814355934"/>
    <n v="0.29012907609483268"/>
    <n v="0.32157612409933711"/>
    <n v="0.41449091931547682"/>
    <n v="-5.2728516066714688"/>
    <n v="2.05817408255127"/>
    <n v="-1.0479609113622159"/>
    <n v="2.9289578402063898"/>
    <n v="2.914785331643754"/>
    <n v="-11.51292546497023"/>
    <n v="1.4172508381307125E-2"/>
    <n v="0"/>
    <n v="0"/>
    <n v="1"/>
    <n v="0"/>
    <n v="0"/>
    <n v="0"/>
    <n v="0"/>
    <n v="-1.5130736827850342"/>
    <n v="0.23773991272679335"/>
    <n v="0.22023201322111197"/>
    <n v="1.7507899505681379E-2"/>
    <n v="3.0652654510103825E-4"/>
    <x v="25"/>
    <n v="6.8600796000000006E-2"/>
    <n v="0.70854371999999999"/>
    <n v="5.4200531021271099E-2"/>
    <n v="0.2427168960015719"/>
    <n v="0.19983009195663876"/>
    <n v="4.2886804044933141E-2"/>
  </r>
  <r>
    <n v="52"/>
    <x v="8"/>
    <n v="-1.3807401617391359"/>
    <n v="0.69154589919297138"/>
    <n v="0.68697819141441629"/>
    <n v="0.69853265283628319"/>
    <n v="0.32092340623158289"/>
    <n v="0.29012907609483268"/>
    <n v="0.32157612409933711"/>
    <n v="-4.6087364347415463"/>
    <n v="2.05817408255127"/>
    <n v="-1.0035831305194249"/>
    <n v="2.9264251535538919"/>
    <n v="2.9151933037071571"/>
    <n v="-11.51292546497023"/>
    <n v="1.1231849901378155E-2"/>
    <n v="0"/>
    <n v="0"/>
    <n v="1"/>
    <n v="0"/>
    <n v="0"/>
    <n v="0"/>
    <n v="0"/>
    <n v="-1.4674587249755859"/>
    <n v="0.25139241313571736"/>
    <n v="0.23051053214746328"/>
    <n v="2.0881880988254081E-2"/>
    <n v="4.3605295360760725E-4"/>
    <x v="25"/>
    <n v="6.8600796000000006E-2"/>
    <n v="0.70854371999999999"/>
    <n v="6.1443893388609519E-2"/>
    <n v="0.25404481410398083"/>
    <n v="0.20915642627193501"/>
    <n v="4.4888387832045823E-2"/>
  </r>
  <r>
    <n v="52"/>
    <x v="9"/>
    <n v="-1.5035055965192929"/>
    <n v="0.68546776921607577"/>
    <n v="0.69154589919297138"/>
    <n v="0.68697819141441629"/>
    <n v="0.28728199243044122"/>
    <n v="0.32092340623158289"/>
    <n v="0.29012907609483268"/>
    <n v="-4.2114744745869892"/>
    <n v="2.05817408255127"/>
    <n v="-0.97614255218666246"/>
    <n v="2.8910732539968542"/>
    <n v="2.9131069049335139"/>
    <n v="-11.51292546497023"/>
    <n v="-2.2033650428056717E-2"/>
    <n v="1"/>
    <n v="0"/>
    <n v="1"/>
    <n v="0"/>
    <n v="0"/>
    <n v="0"/>
    <n v="0"/>
    <n v="-1.4940208196640015"/>
    <n v="0.22234932528131365"/>
    <n v="0.2244682920938828"/>
    <n v="-2.1189668125691508E-3"/>
    <n v="4.4900203527694662E-6"/>
    <x v="25"/>
    <n v="6.8600796000000006E-2"/>
    <n v="0.70854371999999999"/>
    <n v="-6.7203790764181247E-3"/>
    <n v="0.24738568344785314"/>
    <n v="0.20367392911872217"/>
    <n v="4.3711754329130964E-2"/>
  </r>
  <r>
    <n v="52"/>
    <x v="10"/>
    <n v="-1.475509365994625"/>
    <n v="0.7353921621536913"/>
    <n v="0.68546776921607577"/>
    <n v="0.69154589919297138"/>
    <n v="0.41660285251862028"/>
    <n v="0.28728199243044122"/>
    <n v="0.32092340623158289"/>
    <n v="-3.8747700240849192"/>
    <n v="2.05817408255127"/>
    <n v="-0.96055762781918241"/>
    <n v="2.8460956172467662"/>
    <n v="2.8782712500388001"/>
    <n v="-11.51292546497023"/>
    <n v="-3.2175634056329727E-2"/>
    <n v="1"/>
    <n v="0"/>
    <n v="1"/>
    <n v="0"/>
    <n v="0"/>
    <n v="0"/>
    <n v="0"/>
    <n v="-1.4786365032196045"/>
    <n v="0.22866222461507901"/>
    <n v="0.22794828333851158"/>
    <n v="7.1394127656743134E-4"/>
    <n v="5.0971214638673352E-7"/>
    <x v="25"/>
    <n v="6.8600796000000006E-2"/>
    <n v="0.70854371999999999"/>
    <n v="2.2157134423374386E-3"/>
    <n v="0.25122096906621111"/>
    <n v="0.20683153985955613"/>
    <n v="4.4389429206654979E-2"/>
  </r>
  <r>
    <n v="52"/>
    <x v="11"/>
    <n v="-1.4696235507545861"/>
    <n v="0.73476885525076474"/>
    <n v="0.7353921621536913"/>
    <n v="0.68546776921607577"/>
    <n v="0.39474114474518868"/>
    <n v="0.41660285251862028"/>
    <n v="0.28728199243044122"/>
    <n v="-3.2418214175998878"/>
    <n v="2.05817408255127"/>
    <n v="-0.94435316692870053"/>
    <n v="2.8522734979292972"/>
    <n v="2.8337883308762648"/>
    <n v="-11.51292546497023"/>
    <n v="1.8485166132450104E-2"/>
    <n v="1"/>
    <n v="0"/>
    <n v="1"/>
    <n v="0"/>
    <n v="0"/>
    <n v="0"/>
    <n v="0"/>
    <n v="-1.4624741077423096"/>
    <n v="0.23001205675600242"/>
    <n v="0.23166240736198379"/>
    <n v="-1.6503506059813711E-3"/>
    <n v="2.7236571226630785E-6"/>
    <x v="25"/>
    <n v="6.8600796000000006E-2"/>
    <n v="0.70854371999999999"/>
    <n v="-5.06569294784639E-3"/>
    <n v="0.25531429156350377"/>
    <n v="0.21020159371454974"/>
    <n v="4.5112697848954025E-2"/>
  </r>
  <r>
    <n v="52"/>
    <x v="12"/>
    <n v="-1.733218604785566"/>
    <n v="0.86010126022277811"/>
    <n v="0.73476885525076474"/>
    <n v="0.7353921621536913"/>
    <n v="0.41025362483996158"/>
    <n v="0.39474114474518868"/>
    <n v="0.41660285251862028"/>
    <n v="-2.8710769693151481"/>
    <n v="2.05817408255127"/>
    <n v="-0.9332166258941994"/>
    <n v="2.806794333389377"/>
    <n v="2.831485932409795"/>
    <n v="3.2580965380214821"/>
    <n v="-2.4691598489880562E-2"/>
    <n v="1"/>
    <n v="0"/>
    <n v="1"/>
    <n v="0"/>
    <n v="0"/>
    <n v="0"/>
    <n v="0"/>
    <n v="-1.5788117647171021"/>
    <n v="0.17671471881668407"/>
    <n v="0.20621999055001769"/>
    <n v="-2.9505271733333616E-2"/>
    <n v="8.7056106005785566E-4"/>
    <x v="25"/>
    <n v="6.8600796000000006E-2"/>
    <n v="0.70854371999999999"/>
    <n v="-0.10940399685555449"/>
    <n v="0.22727429708196289"/>
    <n v="0.18711611936968309"/>
    <n v="4.0158177712279808E-2"/>
  </r>
  <r>
    <n v="52"/>
    <x v="13"/>
    <n v="-1.816508491222407"/>
    <n v="0.79818264339382605"/>
    <n v="0.86010126022277811"/>
    <n v="0.73476885525076474"/>
    <n v="0.38158216764483233"/>
    <n v="0.41025362483996158"/>
    <n v="0.39474114474518868"/>
    <n v="-2.137270842207049"/>
    <n v="2.05817408255127"/>
    <n v="-0.91537341618496637"/>
    <n v="2.815750935788969"/>
    <n v="2.792849145902681"/>
    <n v="5.393627546352362"/>
    <n v="2.2901790216565132E-2"/>
    <n v="1"/>
    <n v="0"/>
    <n v="1"/>
    <n v="0"/>
    <n v="0"/>
    <n v="0"/>
    <n v="0"/>
    <n v="-1.5413827896118164"/>
    <n v="0.16259245401414635"/>
    <n v="0.21408486233232973"/>
    <n v="-5.1492408318183386E-2"/>
    <n v="2.6514681144065217E-3"/>
    <x v="25"/>
    <n v="6.8600796000000006E-2"/>
    <n v="0.70854371999999999"/>
    <n v="-0.19493858808677783"/>
    <n v="0.23594214349780873"/>
    <n v="0.1942524027305797"/>
    <n v="4.1689740767229033E-2"/>
  </r>
  <r>
    <n v="52"/>
    <x v="14"/>
    <n v="-1.8383913807628991"/>
    <n v="0.73385716880773211"/>
    <n v="0.79818264339382605"/>
    <n v="0.86010126022277811"/>
    <n v="0.34741217665954732"/>
    <n v="0.38158216764483233"/>
    <n v="0.41025362483996158"/>
    <n v="-1.5096513161972469"/>
    <n v="2.05817408255127"/>
    <n v="-0.89931511695172039"/>
    <n v="2.811005991483424"/>
    <n v="2.8022796431948782"/>
    <n v="5.9914645471079817"/>
    <n v="8.7263481691479683E-3"/>
    <n v="1"/>
    <n v="1"/>
    <n v="1"/>
    <n v="0"/>
    <n v="0"/>
    <n v="0"/>
    <n v="0"/>
    <n v="-1.6129294633865356"/>
    <n v="0.15907310846638933"/>
    <n v="0.19930290748471438"/>
    <n v="-4.0229799018325046E-2"/>
    <n v="1.6184367290548269E-3"/>
    <x v="25"/>
    <n v="6.8600796000000006E-2"/>
    <n v="0.70854371999999999"/>
    <n v="-0.1597496256561812"/>
    <n v="0.21965100514342961"/>
    <n v="0.18083982318188269"/>
    <n v="3.8811181961546926E-2"/>
  </r>
  <r>
    <n v="52"/>
    <x v="15"/>
    <n v="-1.7292290550868969"/>
    <n v="0.95296975613264678"/>
    <n v="0.73385716880773211"/>
    <n v="0.79818264339382605"/>
    <n v="0.63350332763243034"/>
    <n v="0.34741217665954732"/>
    <n v="0.38158216764483233"/>
    <n v="-0.90821818127850906"/>
    <n v="2.05817408255127"/>
    <n v="-0.88316070483754894"/>
    <n v="2.8601841126256451"/>
    <n v="2.7980102552610839"/>
    <n v="6.6846117276679271"/>
    <n v="6.2173858284950256E-2"/>
    <n v="1"/>
    <n v="0"/>
    <n v="1"/>
    <n v="0"/>
    <n v="0"/>
    <n v="0"/>
    <n v="0"/>
    <n v="-1.5678328275680542"/>
    <n v="0.17742113918248986"/>
    <n v="0.20849654105022652"/>
    <n v="-3.1075401867736663E-2"/>
    <n v="9.6568060124133125E-4"/>
    <x v="25"/>
    <n v="6.8600796000000006E-2"/>
    <n v="0.70854371999999999"/>
    <n v="-0.11435628344016721"/>
    <n v="0.22978327505896007"/>
    <n v="0.18918177408148887"/>
    <n v="4.06015009774712E-2"/>
  </r>
  <r>
    <n v="52"/>
    <x v="16"/>
    <n v="-1.6142570925529649"/>
    <n v="0.91464938560202946"/>
    <n v="0.95296975613264678"/>
    <n v="0.73385716880773211"/>
    <n v="0.55658262110371903"/>
    <n v="0.63350332763243034"/>
    <n v="0.34741217665954732"/>
    <n v="-0.35997345569859929"/>
    <n v="2.05817408255127"/>
    <n v="-0.85553986918257652"/>
    <n v="2.944830875983496"/>
    <n v="2.8601841126256451"/>
    <n v="8.0551577318196781"/>
    <n v="8.4646761417388916E-2"/>
    <n v="1"/>
    <n v="0"/>
    <n v="1"/>
    <n v="0"/>
    <n v="0"/>
    <n v="0"/>
    <n v="0"/>
    <n v="-1.5196880102157593"/>
    <n v="0.19903848269965158"/>
    <n v="0.2187801334721908"/>
    <n v="-1.9741650772539227E-2"/>
    <n v="3.8973277522489865E-4"/>
    <x v="25"/>
    <n v="6.8600796000000006E-2"/>
    <n v="0.70854371999999999"/>
    <n v="-6.7006329396189959E-2"/>
    <n v="0.2411167846423215"/>
    <n v="0.19851271189234443"/>
    <n v="4.2604072749977073E-2"/>
  </r>
  <r>
    <n v="52"/>
    <x v="17"/>
    <n v="-1.481450227393704"/>
    <n v="0.74193734472937733"/>
    <n v="0.91464938560202946"/>
    <n v="0.95296975613264678"/>
    <n v="0.36186147062603241"/>
    <n v="0.55658262110371903"/>
    <n v="0.63350332763243034"/>
    <n v="0.15275965553178639"/>
    <n v="2.05817408255127"/>
    <n v="-0.8245319525329371"/>
    <n v="2.9499617173955852"/>
    <n v="2.944830875983496"/>
    <n v="8.4658998970286863"/>
    <n v="5.1308413967490196E-3"/>
    <n v="1"/>
    <n v="0"/>
    <n v="1"/>
    <n v="0"/>
    <n v="0"/>
    <n v="0"/>
    <n v="0"/>
    <n v="-1.4609644412994385"/>
    <n v="0.22730780123578562"/>
    <n v="0.23201240444740739"/>
    <n v="-4.7046032116217773E-3"/>
    <n v="2.2133291378801942E-5"/>
    <x v="25"/>
    <n v="6.8600796000000006E-2"/>
    <n v="0.70854371999999999"/>
    <n v="-1.451507508635518E-2"/>
    <n v="0.25570002207080439"/>
    <n v="0.21051916766186929"/>
    <n v="4.5180854408935101E-2"/>
  </r>
  <r>
    <n v="53"/>
    <x v="0"/>
    <n v="-1.175193201003861"/>
    <n v="0.95551144502743635"/>
    <n v="0.87680118258767858"/>
    <n v="0.82342955082286751"/>
    <n v="0.64710324205853842"/>
    <n v="0.53772068722863497"/>
    <n v="0.47828177068996119"/>
    <n v="-11.51292546497023"/>
    <n v="0.607173681386733"/>
    <n v="-1.1475238008918609"/>
    <n v="3.8679742163097819"/>
    <n v="3.822070990820412"/>
    <n v="-11.51292546497023"/>
    <n v="4.5903224498033524E-2"/>
    <n v="0"/>
    <n v="0"/>
    <n v="1"/>
    <n v="0"/>
    <n v="0"/>
    <n v="0"/>
    <n v="0"/>
    <n v="-1.5036317110061646"/>
    <n v="0.30875932131434719"/>
    <n v="0.22232128557839309"/>
    <n v="8.64380357359541E-2"/>
    <n v="7.4715340218900776E-3"/>
    <x v="26"/>
    <n v="4.5714076999999999E-2"/>
    <n v="0.90451353999999995"/>
    <n v="0.14006092879432158"/>
    <n v="0.24747799101817425"/>
    <n v="0.1997218169497732"/>
    <n v="4.7756174068401047E-2"/>
  </r>
  <r>
    <n v="53"/>
    <x v="1"/>
    <n v="-1.21680722214853"/>
    <n v="0.90028329372833826"/>
    <n v="0.95551144502743635"/>
    <n v="0.87680118258767858"/>
    <n v="0.48106720160171512"/>
    <n v="0.64710324205853842"/>
    <n v="0.53772068722863497"/>
    <n v="-11.51292546497023"/>
    <n v="0.607173681386733"/>
    <n v="-1.093394133190827"/>
    <n v="3.8681262479319329"/>
    <n v="3.832254131879917"/>
    <n v="-11.51292546497023"/>
    <n v="3.5872116684913635E-2"/>
    <n v="0"/>
    <n v="0"/>
    <n v="1"/>
    <n v="0"/>
    <n v="0"/>
    <n v="0"/>
    <n v="0"/>
    <n v="-1.4924640655517578"/>
    <n v="0.29617427762791881"/>
    <n v="0.22481800616945372"/>
    <n v="7.1356271458465098E-2"/>
    <n v="5.0917174764541608E-3"/>
    <x v="26"/>
    <n v="4.5714076999999999E-2"/>
    <n v="0.90451353999999995"/>
    <n v="0.24933534725187922"/>
    <n v="0.25025722735805911"/>
    <n v="0.20196474016589822"/>
    <n v="4.8292487192160893E-2"/>
  </r>
  <r>
    <n v="53"/>
    <x v="2"/>
    <n v="-1.196257408663381"/>
    <n v="0.83512405945549484"/>
    <n v="0.90028329372833826"/>
    <n v="0.95551144502743635"/>
    <n v="0.50337795863083334"/>
    <n v="0.48106720160171512"/>
    <n v="0.64710324205853842"/>
    <n v="-7.8466521556029942"/>
    <n v="0.607173681386733"/>
    <n v="-1.047699977848771"/>
    <n v="3.9157603218814678"/>
    <n v="3.833638596812631"/>
    <n v="-11.51292546497023"/>
    <n v="8.2121722400188446E-2"/>
    <n v="0"/>
    <n v="0"/>
    <n v="1"/>
    <n v="0"/>
    <n v="0"/>
    <n v="0"/>
    <n v="0"/>
    <n v="-1.4257817268371582"/>
    <n v="0.30232357080650846"/>
    <n v="0.24032052475592522"/>
    <n v="6.2003046050583238E-2"/>
    <n v="3.8443777195507458E-3"/>
    <x v="26"/>
    <n v="4.5714076999999999E-2"/>
    <n v="0.90451353999999995"/>
    <n v="0.20760785354744951"/>
    <n v="0.2675139292771791"/>
    <n v="0.21589139217914399"/>
    <n v="5.1622537098035104E-2"/>
  </r>
  <r>
    <n v="53"/>
    <x v="3"/>
    <n v="-1.230396623290547"/>
    <n v="0.84264419170585647"/>
    <n v="0.83512405945549484"/>
    <n v="0.90028329372833826"/>
    <n v="0.46662292108625802"/>
    <n v="0.50337795863083334"/>
    <n v="0.48106720160171512"/>
    <n v="-6.7672990122863412"/>
    <n v="0.607173681386733"/>
    <n v="-0.98570914692988709"/>
    <n v="3.9456062305620181"/>
    <n v="3.8965011765298359"/>
    <n v="-11.51292546497023"/>
    <n v="4.9105055630207062E-2"/>
    <n v="0"/>
    <n v="0"/>
    <n v="1"/>
    <n v="0"/>
    <n v="0"/>
    <n v="0"/>
    <n v="0"/>
    <n v="-1.4059520959854126"/>
    <n v="0.29217667062413571"/>
    <n v="0.24513355463923356"/>
    <n v="4.7043115984902156E-2"/>
    <n v="2.2130547615689567E-3"/>
    <x v="26"/>
    <n v="4.5714076999999999E-2"/>
    <n v="0.90451353999999995"/>
    <n v="0.1587923020736062"/>
    <n v="0.27287157626600772"/>
    <n v="0.22021516653492401"/>
    <n v="5.2656409731083709E-2"/>
  </r>
  <r>
    <n v="53"/>
    <x v="4"/>
    <n v="-1.0645949508203121"/>
    <n v="0.7963804352015974"/>
    <n v="0.84264419170585647"/>
    <n v="0.83512405945549484"/>
    <n v="0.49755799676508627"/>
    <n v="0.46662292108625802"/>
    <n v="0.50337795863083334"/>
    <n v="-6.0747489179862413"/>
    <n v="0.607173681386733"/>
    <n v="-0.91128095511495621"/>
    <n v="4.012268502708225"/>
    <n v="3.9450091443021318"/>
    <n v="-11.51292546497023"/>
    <n v="6.7259356379508972E-2"/>
    <n v="0"/>
    <n v="0"/>
    <n v="1"/>
    <n v="0"/>
    <n v="0"/>
    <n v="0"/>
    <n v="0"/>
    <n v="-1.2822446823120117"/>
    <n v="0.34486751478468752"/>
    <n v="0.27741389497816632"/>
    <n v="6.7453619806521203E-2"/>
    <n v="4.5499908250027097E-3"/>
    <x v="26"/>
    <n v="4.5714076999999999E-2"/>
    <n v="0.90451353999999995"/>
    <n v="0.1968671291116067"/>
    <n v="0.30880458985792991"/>
    <n v="0.24921413623535513"/>
    <n v="5.9590453622574785E-2"/>
  </r>
  <r>
    <n v="53"/>
    <x v="5"/>
    <n v="-0.95733340863872451"/>
    <n v="0.77670677365887608"/>
    <n v="0.7963804352015974"/>
    <n v="0.84264419170585647"/>
    <n v="0.52490602797399499"/>
    <n v="0.49755799676508627"/>
    <n v="0.46662292108625802"/>
    <n v="-4.4998089040464491"/>
    <n v="0.607173681386733"/>
    <n v="-0.85041971665346983"/>
    <n v="4.0013842193416096"/>
    <n v="4.0116721558895927"/>
    <n v="-11.51292546497023"/>
    <n v="-1.028793677687645E-2"/>
    <n v="0"/>
    <n v="0"/>
    <n v="1"/>
    <n v="0"/>
    <n v="0"/>
    <n v="0"/>
    <n v="0"/>
    <n v="-1.2162517309188843"/>
    <n v="0.3839152673680209"/>
    <n v="0.29633884554537343"/>
    <n v="8.7576421822647466E-2"/>
    <n v="7.6696296592582832E-3"/>
    <x v="26"/>
    <n v="4.5714076999999999E-2"/>
    <n v="0.90451353999999995"/>
    <n v="0.23419512825648817"/>
    <n v="0.32987098813061899"/>
    <n v="0.26621532216828941"/>
    <n v="6.3655665962329577E-2"/>
  </r>
  <r>
    <n v="53"/>
    <x v="6"/>
    <n v="-0.89789855142030683"/>
    <n v="0.7234823803560182"/>
    <n v="0.77670677365887608"/>
    <n v="0.7963804352015974"/>
    <n v="0.49506202858651249"/>
    <n v="0.52490602797399499"/>
    <n v="0.49755799676508627"/>
    <n v="-4.1928813491084016"/>
    <n v="0.607173681386733"/>
    <n v="-0.80402902169534696"/>
    <n v="3.970137688567176"/>
    <n v="3.9867281501521989"/>
    <n v="-11.51292546497023"/>
    <n v="-1.6590461134910583E-2"/>
    <n v="0"/>
    <n v="0"/>
    <n v="1"/>
    <n v="0"/>
    <n v="0"/>
    <n v="0"/>
    <n v="0"/>
    <n v="-1.1200118064880371"/>
    <n v="0.40742494332709589"/>
    <n v="0.32627594242728802"/>
    <n v="8.1149000899807866E-2"/>
    <n v="6.5851603470370177E-3"/>
    <x v="26"/>
    <n v="4.5714076999999999E-2"/>
    <n v="0.90451353999999995"/>
    <n v="0.20090444662223564"/>
    <n v="0.36319560918063643"/>
    <n v="0.29310924448392423"/>
    <n v="7.00863646967122E-2"/>
  </r>
  <r>
    <n v="53"/>
    <x v="7"/>
    <n v="-0.90989681407840772"/>
    <n v="0.71417454775202094"/>
    <n v="0.7234823803560182"/>
    <n v="0.77670677365887608"/>
    <n v="0.44647908419877852"/>
    <n v="0.49506202858651249"/>
    <n v="0.52490602797399499"/>
    <n v="-3.4450748383315428"/>
    <n v="0.607173681386733"/>
    <n v="-0.79969165230043016"/>
    <n v="3.9152939114917999"/>
    <n v="3.9181872837258269"/>
    <n v="-11.51292546497023"/>
    <n v="-2.893372206017375E-3"/>
    <n v="0"/>
    <n v="0"/>
    <n v="1"/>
    <n v="0"/>
    <n v="0"/>
    <n v="0"/>
    <n v="0"/>
    <n v="-1.1164413690567017"/>
    <n v="0.40256576100963481"/>
    <n v="0.32744297242909876"/>
    <n v="7.512278858053606E-2"/>
    <n v="5.6434333641159186E-3"/>
    <x v="26"/>
    <n v="4.5714076999999999E-2"/>
    <n v="0.90451353999999995"/>
    <n v="0.18682234659114128"/>
    <n v="0.36449469414928742"/>
    <n v="0.29415764320917515"/>
    <n v="7.0337050940112278E-2"/>
  </r>
  <r>
    <n v="53"/>
    <x v="8"/>
    <n v="-0.8890735366326501"/>
    <n v="0.69798545720019456"/>
    <n v="0.71417454775202094"/>
    <n v="0.7234823803560182"/>
    <n v="0.46837730750115147"/>
    <n v="0.44647908419877852"/>
    <n v="0.49506202858651249"/>
    <n v="-2.7685204019701639"/>
    <n v="0.607173681386733"/>
    <n v="-0.77890042899833789"/>
    <n v="3.932998864519416"/>
    <n v="3.893098911744564"/>
    <n v="-11.51292546497023"/>
    <n v="3.9899952709674835E-2"/>
    <n v="0"/>
    <n v="0"/>
    <n v="1"/>
    <n v="0"/>
    <n v="0"/>
    <n v="0"/>
    <n v="0"/>
    <n v="-1.0698933601379395"/>
    <n v="0.4110363865582749"/>
    <n v="0.34304509775011588"/>
    <n v="6.7991288808159023E-2"/>
    <n v="4.62281535379449E-3"/>
    <x v="26"/>
    <n v="4.5714076999999999E-2"/>
    <n v="0.90451353999999995"/>
    <n v="0.16355397866094448"/>
    <n v="0.38186227377628457"/>
    <n v="0.30817377670392698"/>
    <n v="7.3688497072357584E-2"/>
  </r>
  <r>
    <n v="53"/>
    <x v="9"/>
    <n v="-0.954460618699289"/>
    <n v="0.72290013870929315"/>
    <n v="0.69798545720019456"/>
    <n v="0.71417454775202094"/>
    <n v="0.47037855895080882"/>
    <n v="0.46837730750115147"/>
    <n v="0.44647908419877852"/>
    <n v="-2.349945664353883"/>
    <n v="0.607173681386733"/>
    <n v="-0.76575915369728154"/>
    <n v="3.9264922191542988"/>
    <n v="3.911338294285815"/>
    <n v="-11.51292546497023"/>
    <n v="1.5153924934566021E-2"/>
    <n v="1"/>
    <n v="0"/>
    <n v="1"/>
    <n v="0"/>
    <n v="0"/>
    <n v="0"/>
    <n v="0"/>
    <n v="-1.1203857660293579"/>
    <n v="0.38501976101522212"/>
    <n v="0.32615395123682039"/>
    <n v="5.8865809778401723E-2"/>
    <n v="3.4651835608669758E-3"/>
    <x v="26"/>
    <n v="4.5714076999999999E-2"/>
    <n v="0.90451353999999995"/>
    <n v="0.15008154238654217"/>
    <n v="0.36305981410973126"/>
    <n v="0.29299965397778499"/>
    <n v="7.006016013194627E-2"/>
  </r>
  <r>
    <n v="53"/>
    <x v="10"/>
    <n v="-0.90900988762450885"/>
    <n v="0.70339449701149481"/>
    <n v="0.72290013870929315"/>
    <n v="0.69798545720019456"/>
    <n v="0.54197539275820672"/>
    <n v="0.47037855895080882"/>
    <n v="0.46837730750115147"/>
    <n v="-1.992390755046662"/>
    <n v="0.607173681386733"/>
    <n v="-0.76100094980120447"/>
    <n v="3.9157916444440328"/>
    <n v="3.905315082550425"/>
    <n v="-11.51292546497023"/>
    <n v="1.0476562194526196E-2"/>
    <n v="1"/>
    <n v="0"/>
    <n v="1"/>
    <n v="0"/>
    <n v="0"/>
    <n v="0"/>
    <n v="0"/>
    <n v="-1.0633258819580078"/>
    <n v="0.40292296561619978"/>
    <n v="0.34530545323757184"/>
    <n v="5.7617512378627944E-2"/>
    <n v="3.3197777327013444E-3"/>
    <x v="26"/>
    <n v="4.5714076999999999E-2"/>
    <n v="0.90451353999999995"/>
    <n v="0.13958090631321307"/>
    <n v="0.38437839918266292"/>
    <n v="0.31020436187139133"/>
    <n v="7.417403731127159E-2"/>
  </r>
  <r>
    <n v="53"/>
    <x v="11"/>
    <n v="-0.87571362001221353"/>
    <n v="0.69044352898563044"/>
    <n v="0.70339449701149481"/>
    <n v="0.72290013870929315"/>
    <n v="0.54731183233640068"/>
    <n v="0.54197539275820672"/>
    <n v="0.47037855895080882"/>
    <n v="-1.3940375149281869"/>
    <n v="0.607173681386733"/>
    <n v="-0.75467591242718013"/>
    <n v="3.8972926783296979"/>
    <n v="3.8951056761562839"/>
    <n v="-11.51292546497023"/>
    <n v="2.1870022173970938E-3"/>
    <n v="1"/>
    <n v="0"/>
    <n v="1"/>
    <n v="0"/>
    <n v="0"/>
    <n v="0"/>
    <n v="0"/>
    <n v="-1.0368249416351318"/>
    <n v="0.41656464471791549"/>
    <n v="0.3545787046779314"/>
    <n v="6.1985940039984089E-2"/>
    <n v="3.8422567626405025E-3"/>
    <x v="26"/>
    <n v="4.5714076999999999E-2"/>
    <n v="0.90451353999999995"/>
    <n v="0.14572737185522436"/>
    <n v="0.39470096290253381"/>
    <n v="0.31853496603231257"/>
    <n v="7.6165996870221242E-2"/>
  </r>
  <r>
    <n v="53"/>
    <x v="12"/>
    <n v="-1.003241420154549"/>
    <n v="0.82478928961166054"/>
    <n v="0.69044352898563044"/>
    <n v="0.70339449701149481"/>
    <n v="0.56149972649394564"/>
    <n v="0.54731183233640068"/>
    <n v="0.54197539275820672"/>
    <n v="-0.9170315843726361"/>
    <n v="0.607173681386733"/>
    <n v="-0.70271883606492602"/>
    <n v="3.9152906241954182"/>
    <n v="3.918823080202424"/>
    <n v="3.2580965380214821"/>
    <n v="-3.5324560012668371E-3"/>
    <n v="1"/>
    <n v="0"/>
    <n v="1"/>
    <n v="0"/>
    <n v="0"/>
    <n v="0"/>
    <n v="0"/>
    <n v="-1.111213207244873"/>
    <n v="0.36668891986863872"/>
    <n v="0.32915938019222185"/>
    <n v="3.7529539676416868E-2"/>
    <n v="1.4084663483237478E-3"/>
    <x v="26"/>
    <n v="4.5714076999999999E-2"/>
    <n v="0.90451353999999995"/>
    <n v="9.7661943361195311E-2"/>
    <n v="0.3664053215724809"/>
    <n v="0.29569957418616555"/>
    <n v="7.0705747386315354E-2"/>
  </r>
  <r>
    <n v="53"/>
    <x v="13"/>
    <n v="-0.98758315675102371"/>
    <n v="0.74597679420447738"/>
    <n v="0.82478928961166054"/>
    <n v="0.69044352898563044"/>
    <n v="0.46524231214402512"/>
    <n v="0.56149972649394564"/>
    <n v="0.54731183233640068"/>
    <n v="-0.17665588671159729"/>
    <n v="0.607173681386733"/>
    <n v="-0.6817684061643543"/>
    <n v="3.9315422371031872"/>
    <n v="3.9017461111590448"/>
    <n v="5.393627546352362"/>
    <n v="2.9796125367283821E-2"/>
    <n v="1"/>
    <n v="0"/>
    <n v="1"/>
    <n v="0"/>
    <n v="0"/>
    <n v="0"/>
    <n v="0"/>
    <n v="-1.0815011262893677"/>
    <n v="0.37247581972813021"/>
    <n v="0.33908613230116663"/>
    <n v="3.3389687426963577E-2"/>
    <n v="1.1148712264703296E-3"/>
    <x v="26"/>
    <n v="4.5714076999999999E-2"/>
    <n v="0.90451353999999995"/>
    <n v="8.4950075096739672E-2"/>
    <n v="0.37745533265381226"/>
    <n v="0.30461724917374272"/>
    <n v="7.2838083480069538E-2"/>
  </r>
  <r>
    <n v="53"/>
    <x v="14"/>
    <n v="-1.1716802140604221"/>
    <n v="0.68056839835308525"/>
    <n v="0.74597679420447738"/>
    <n v="0.82478928961166054"/>
    <n v="0.42716136618992462"/>
    <n v="0.46524231214402512"/>
    <n v="0.56149972649394564"/>
    <n v="0.35173698961437438"/>
    <n v="0.607173681386733"/>
    <n v="-0.67335289023666267"/>
    <n v="3.8268909560079698"/>
    <n v="3.9184025882825311"/>
    <n v="5.9914645471079817"/>
    <n v="-9.1511629521846771E-2"/>
    <n v="1"/>
    <n v="1"/>
    <n v="1"/>
    <n v="0"/>
    <n v="0"/>
    <n v="0"/>
    <n v="0"/>
    <n v="-1.1820311546325684"/>
    <n v="0.30984589622306474"/>
    <n v="0.30665524139171219"/>
    <n v="3.1906548313525573E-3"/>
    <n v="1.0180278252833417E-5"/>
    <x v="26"/>
    <n v="4.5714076999999999E-2"/>
    <n v="0.90451353999999995"/>
    <n v="9.3625658992416289E-3"/>
    <n v="0.34135473298194091"/>
    <n v="0.27548303271360897"/>
    <n v="6.5871700268331945E-2"/>
  </r>
  <r>
    <n v="53"/>
    <x v="15"/>
    <n v="-1.144364340318764"/>
    <n v="0.93969470965317126"/>
    <n v="0.68056839835308525"/>
    <n v="0.74597679420447738"/>
    <n v="0.74900753005656717"/>
    <n v="0.42716136618992462"/>
    <n v="0.46524231214402512"/>
    <n v="0.84506663866255494"/>
    <n v="0.607173681386733"/>
    <n v="-0.67031623496915371"/>
    <n v="3.7678536220038539"/>
    <n v="3.8141495312951261"/>
    <n v="6.6846117276679271"/>
    <n v="-4.6295911073684692E-2"/>
    <n v="1"/>
    <n v="0"/>
    <n v="1"/>
    <n v="0"/>
    <n v="0"/>
    <n v="0"/>
    <n v="0"/>
    <n v="-1.1744996309280396"/>
    <n v="0.31842626420948011"/>
    <n v="0.3089735418201206"/>
    <n v="9.4527223893595136E-3"/>
    <n v="8.9353960570298633E-5"/>
    <x v="26"/>
    <n v="4.5714076999999999E-2"/>
    <n v="0.90451353999999995"/>
    <n v="2.7257778387924588E-2"/>
    <n v="0.3439353600735236"/>
    <n v="0.27756567258586673"/>
    <n v="6.636968748765687E-2"/>
  </r>
  <r>
    <n v="53"/>
    <x v="16"/>
    <n v="-1.084968088625851"/>
    <n v="0.92271008367633833"/>
    <n v="0.93969470965317126"/>
    <n v="0.68056839835308525"/>
    <n v="0.70275091670264"/>
    <n v="0.74900753005656717"/>
    <n v="0.42716136618992462"/>
    <n v="1.362395225504291"/>
    <n v="0.60717368138673311"/>
    <n v="-0.65767170501785543"/>
    <n v="3.8217818308483569"/>
    <n v="3.7678536220038539"/>
    <n v="8.0551577318196781"/>
    <n v="5.3928207606077194E-2"/>
    <n v="1"/>
    <n v="0"/>
    <n v="1"/>
    <n v="0"/>
    <n v="0"/>
    <n v="0"/>
    <n v="0"/>
    <n v="-1.1366767883300781"/>
    <n v="0.33791256897707889"/>
    <n v="0.32088361607814619"/>
    <n v="1.7028952898932692E-2"/>
    <n v="2.8998523683406813E-4"/>
    <x v="26"/>
    <n v="4.5714076999999999E-2"/>
    <n v="0.90451353999999995"/>
    <n v="4.6771219018267397E-2"/>
    <n v="0.3571931155897588"/>
    <n v="0.28826506047682432"/>
    <n v="6.8928055112934483E-2"/>
  </r>
  <r>
    <n v="53"/>
    <x v="17"/>
    <n v="-1.0745403104985669"/>
    <n v="0.7437927652288373"/>
    <n v="0.92271008367633833"/>
    <n v="0.93969470965317126"/>
    <n v="0.39366239598901293"/>
    <n v="0.70275091670264"/>
    <n v="0.74900753005656717"/>
    <n v="1.926033881940227"/>
    <n v="0.60717368138673311"/>
    <n v="-0.63910198627306525"/>
    <n v="3.877784690820953"/>
    <n v="3.8217818308483569"/>
    <n v="8.4658998970286863"/>
    <n v="5.6002859026193619E-2"/>
    <n v="1"/>
    <n v="0"/>
    <n v="1"/>
    <n v="0"/>
    <n v="0"/>
    <n v="0"/>
    <n v="0"/>
    <n v="-1.129732608795166"/>
    <n v="0.34145468236206605"/>
    <n v="0.32311964422304346"/>
    <n v="1.8335038139022597E-2"/>
    <n v="3.3617362355941319E-4"/>
    <x v="26"/>
    <n v="4.5714076999999999E-2"/>
    <n v="0.90451353999999995"/>
    <n v="4.9922181112992826E-2"/>
    <n v="0.35968216089965627"/>
    <n v="0.29027379123190195"/>
    <n v="6.94083696677543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D1587-1E5D-40F7-9137-528B4AC02403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Year">
  <location ref="A4:E23" firstHeaderRow="0" firstDataRow="1" firstDataCol="1" rowPageCount="1" colPageCount="1"/>
  <pivotFields count="35">
    <pivotField numFmtId="1" multipleItemSelectionAllowed="1" showAll="0"/>
    <pivotField axis="axisRow"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dataField="1" showAll="0"/>
    <pivotField showAll="0"/>
    <pivotField showAll="0"/>
    <pivotField name="State" axis="axisPage" multipleItemSelectionAllowed="1" showAll="0">
      <items count="28">
        <item h="1" x="26"/>
        <item h="1" x="17"/>
        <item h="1" x="25"/>
        <item h="1" x="24"/>
        <item h="1" x="4"/>
        <item h="1" x="8"/>
        <item h="1" x="20"/>
        <item h="1" x="10"/>
        <item h="1" x="0"/>
        <item h="1" x="22"/>
        <item h="1" x="21"/>
        <item h="1" x="1"/>
        <item h="1" x="2"/>
        <item h="1" x="3"/>
        <item h="1" x="5"/>
        <item h="1" x="6"/>
        <item h="1" x="7"/>
        <item h="1" x="9"/>
        <item h="1" x="11"/>
        <item h="1" x="12"/>
        <item h="1" x="13"/>
        <item h="1" x="14"/>
        <item h="1" x="15"/>
        <item h="1" x="16"/>
        <item h="1" x="18"/>
        <item h="1" x="19"/>
        <item x="23"/>
        <item t="default"/>
      </items>
    </pivotField>
    <pivotField showAll="0"/>
    <pivotField showAll="0"/>
    <pivotField showAll="0"/>
    <pivotField showAll="0"/>
    <pivotField dataField="1" showAll="0"/>
    <pivotField name="Upper2"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8" hier="-1"/>
  </pageFields>
  <dataFields count="4">
    <dataField name="Lower" fld="33" subtotal="average" baseField="1" baseItem="0"/>
    <dataField name="Confidence 63%" fld="34" subtotal="average" baseField="1" baseItem="0"/>
    <dataField name="Predicted" fld="25" subtotal="average" baseField="1" baseItem="0"/>
    <dataField name="Actual" fld="24" subtotal="average" baseField="1" baseItem="0"/>
  </dataFields>
  <chartFormats count="4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DC065-8320-48A6-9B1B-1DE9C844C7B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J1:P20" firstHeaderRow="0" firstDataRow="1" firstDataCol="1"/>
  <pivotFields count="8">
    <pivotField numFmtId="1" showAll="0"/>
    <pivotField axis="axisRow"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Gasoline sales per capita" fld="2" subtotal="average" baseField="1" baseItem="0"/>
    <dataField name="Gasoline price" fld="3" subtotal="average" baseField="1" baseItem="0"/>
    <dataField name="Ethanol price" fld="4" subtotal="average" baseField="1" baseItem="0"/>
    <dataField name="GDP per capita" fld="5" subtotal="average" baseField="1" baseItem="0"/>
    <dataField name="Motorization index" fld="6" subtotal="average" baseField="1" baseItem="0"/>
    <dataField name="Motorization index (EV)" fld="7" subtotal="average" baseField="1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FCF36-3E01-4ABE-8298-35AE142BD6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2" firstHeaderRow="0" firstDataRow="1" firstDataCol="1"/>
  <pivotFields count="28">
    <pivotField numFmtId="1" showAll="0"/>
    <pivotField axis="axisRow"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2" showAll="0"/>
    <pivotField numFmtId="2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y" fld="24" subtotal="average" baseField="1" baseItem="0"/>
    <dataField name="Average of eps2" fld="27" subtotal="average" baseField="1" baseItem="0"/>
    <dataField name="Average of y_hat" fld="2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4BFD-F344-4B62-B678-D4657DCEA0C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58" firstHeaderRow="0" firstDataRow="1" firstDataCol="1"/>
  <pivotFields count="28">
    <pivotField axis="axisRow" numFmtI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2" showAll="0"/>
    <pivotField numFmtId="2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dataField="1" showAll="0"/>
    <pivotField showAll="0"/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y" fld="24" subtotal="average" baseField="0" baseItem="0"/>
    <dataField name="Average of eps2" fld="27" subtotal="average" baseField="0" baseItem="0"/>
    <dataField name="Average of y_hat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0EE4-6E48-4FEF-AA39-672BAE90A758}">
  <dimension ref="A1:C6"/>
  <sheetViews>
    <sheetView workbookViewId="0">
      <selection activeCell="F10" sqref="F10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7.85546875" bestFit="1" customWidth="1"/>
  </cols>
  <sheetData>
    <row r="1" spans="1:3" x14ac:dyDescent="0.25">
      <c r="A1" s="1" t="s">
        <v>70</v>
      </c>
      <c r="B1">
        <v>-9.6000000000000002E-2</v>
      </c>
      <c r="C1" s="8">
        <f>(EXP(B1)-1)</f>
        <v>-9.1535983931293807E-2</v>
      </c>
    </row>
    <row r="2" spans="1:3" x14ac:dyDescent="0.25">
      <c r="A2" s="1" t="s">
        <v>69</v>
      </c>
      <c r="B2">
        <v>-3.5000000000000003E-2</v>
      </c>
      <c r="C2" s="8">
        <f t="shared" ref="C2:C6" si="0">(EXP(B2)-1)</f>
        <v>-3.4394583742433538E-2</v>
      </c>
    </row>
    <row r="3" spans="1:3" x14ac:dyDescent="0.25">
      <c r="A3" s="1" t="s">
        <v>68</v>
      </c>
      <c r="B3">
        <v>7.0999999999999994E-2</v>
      </c>
      <c r="C3" s="8">
        <f t="shared" si="0"/>
        <v>7.3581225868357469E-2</v>
      </c>
    </row>
    <row r="4" spans="1:3" x14ac:dyDescent="0.25">
      <c r="A4" s="1" t="s">
        <v>71</v>
      </c>
      <c r="B4">
        <v>-0.21299999999999999</v>
      </c>
      <c r="C4" s="8">
        <f t="shared" si="0"/>
        <v>-0.19184386278351162</v>
      </c>
    </row>
    <row r="5" spans="1:3" x14ac:dyDescent="0.25">
      <c r="A5" s="1" t="s">
        <v>72</v>
      </c>
      <c r="B5">
        <v>-0.154</v>
      </c>
      <c r="C5" s="8">
        <f t="shared" si="0"/>
        <v>-0.1427279789885425</v>
      </c>
    </row>
    <row r="6" spans="1:3" x14ac:dyDescent="0.25">
      <c r="A6" s="1" t="s">
        <v>73</v>
      </c>
      <c r="B6">
        <v>5.6000000000000001E-2</v>
      </c>
      <c r="C6" s="8">
        <f t="shared" si="0"/>
        <v>5.7597683736611227E-2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0B3D-C758-4D06-82A6-FA5EEDA7EAC4}">
  <dimension ref="A1:G28"/>
  <sheetViews>
    <sheetView workbookViewId="0">
      <selection activeCell="L7" sqref="L7"/>
    </sheetView>
  </sheetViews>
  <sheetFormatPr defaultRowHeight="15" x14ac:dyDescent="0.25"/>
  <cols>
    <col min="7" max="7" width="12.7109375" bestFit="1" customWidth="1"/>
  </cols>
  <sheetData>
    <row r="1" spans="1:7" x14ac:dyDescent="0.25">
      <c r="A1" s="1" t="s">
        <v>24</v>
      </c>
      <c r="B1" s="1" t="s">
        <v>52</v>
      </c>
      <c r="C1" s="1" t="s">
        <v>98</v>
      </c>
      <c r="D1" s="1" t="s">
        <v>95</v>
      </c>
      <c r="E1" s="1" t="s">
        <v>96</v>
      </c>
      <c r="F1" s="1" t="s">
        <v>97</v>
      </c>
      <c r="G1" s="1" t="s">
        <v>99</v>
      </c>
    </row>
    <row r="2" spans="1:7" x14ac:dyDescent="0.25">
      <c r="A2">
        <v>11</v>
      </c>
      <c r="B2" t="s">
        <v>25</v>
      </c>
      <c r="C2" s="2">
        <v>2.8272427999999999E-2</v>
      </c>
      <c r="D2" s="2">
        <v>0.69170743000000001</v>
      </c>
      <c r="E2">
        <f t="shared" ref="E2:E28" si="0">_xlfn.RANK.EQ(C2,C$2:C$28)</f>
        <v>22</v>
      </c>
      <c r="F2">
        <f t="shared" ref="F2:F28" si="1">_xlfn.RANK.EQ(D2,D$2:D$28)</f>
        <v>21</v>
      </c>
      <c r="G2">
        <f t="shared" ref="G2:G28" si="2">_xlfn.FLOOR.MATH(A2/10)</f>
        <v>1</v>
      </c>
    </row>
    <row r="3" spans="1:7" x14ac:dyDescent="0.25">
      <c r="A3">
        <v>12</v>
      </c>
      <c r="B3" t="s">
        <v>26</v>
      </c>
      <c r="C3" s="2">
        <v>3.7075563999999998E-2</v>
      </c>
      <c r="D3" s="2">
        <v>0.64969056999999997</v>
      </c>
      <c r="E3">
        <f t="shared" si="0"/>
        <v>18</v>
      </c>
      <c r="F3">
        <f t="shared" si="1"/>
        <v>22</v>
      </c>
      <c r="G3">
        <f t="shared" si="2"/>
        <v>1</v>
      </c>
    </row>
    <row r="4" spans="1:7" x14ac:dyDescent="0.25">
      <c r="A4">
        <v>13</v>
      </c>
      <c r="B4" t="s">
        <v>27</v>
      </c>
      <c r="C4" s="2">
        <v>4.3542842999999998E-2</v>
      </c>
      <c r="D4" s="2">
        <v>0.91871451999999998</v>
      </c>
      <c r="E4">
        <f t="shared" si="0"/>
        <v>12</v>
      </c>
      <c r="F4">
        <f t="shared" si="1"/>
        <v>4</v>
      </c>
      <c r="G4">
        <f t="shared" si="2"/>
        <v>1</v>
      </c>
    </row>
    <row r="5" spans="1:7" x14ac:dyDescent="0.25">
      <c r="A5">
        <v>14</v>
      </c>
      <c r="B5" t="s">
        <v>28</v>
      </c>
      <c r="C5" s="2">
        <v>4.8828349E-2</v>
      </c>
      <c r="D5" s="2">
        <v>0.94210070000000001</v>
      </c>
      <c r="E5">
        <f t="shared" si="0"/>
        <v>9</v>
      </c>
      <c r="F5">
        <f t="shared" si="1"/>
        <v>3</v>
      </c>
      <c r="G5">
        <f t="shared" si="2"/>
        <v>1</v>
      </c>
    </row>
    <row r="6" spans="1:7" x14ac:dyDescent="0.25">
      <c r="A6">
        <v>15</v>
      </c>
      <c r="B6" t="s">
        <v>29</v>
      </c>
      <c r="C6" s="2">
        <v>2.7161859E-2</v>
      </c>
      <c r="D6" s="2">
        <v>0.79491878000000005</v>
      </c>
      <c r="E6">
        <f t="shared" si="0"/>
        <v>25</v>
      </c>
      <c r="F6">
        <f t="shared" si="1"/>
        <v>13</v>
      </c>
      <c r="G6">
        <f t="shared" si="2"/>
        <v>1</v>
      </c>
    </row>
    <row r="7" spans="1:7" x14ac:dyDescent="0.25">
      <c r="A7">
        <v>16</v>
      </c>
      <c r="B7" t="s">
        <v>30</v>
      </c>
      <c r="C7" s="2">
        <v>4.0092233999999997E-2</v>
      </c>
      <c r="D7" s="2">
        <v>0.72732532000000005</v>
      </c>
      <c r="E7">
        <f t="shared" si="0"/>
        <v>16</v>
      </c>
      <c r="F7">
        <f t="shared" si="1"/>
        <v>18</v>
      </c>
      <c r="G7">
        <f t="shared" si="2"/>
        <v>1</v>
      </c>
    </row>
    <row r="8" spans="1:7" x14ac:dyDescent="0.25">
      <c r="A8">
        <v>17</v>
      </c>
      <c r="B8" t="s">
        <v>31</v>
      </c>
      <c r="C8" s="2">
        <v>4.3023500999999999E-2</v>
      </c>
      <c r="D8" s="2">
        <v>0.85814005000000004</v>
      </c>
      <c r="E8">
        <f t="shared" si="0"/>
        <v>14</v>
      </c>
      <c r="F8">
        <f t="shared" si="1"/>
        <v>11</v>
      </c>
      <c r="G8">
        <f t="shared" si="2"/>
        <v>1</v>
      </c>
    </row>
    <row r="9" spans="1:7" x14ac:dyDescent="0.25">
      <c r="A9">
        <v>21</v>
      </c>
      <c r="B9" t="s">
        <v>32</v>
      </c>
      <c r="C9" s="2">
        <v>3.0837322E-2</v>
      </c>
      <c r="D9" s="2">
        <v>0.88261568999999995</v>
      </c>
      <c r="E9">
        <f t="shared" si="0"/>
        <v>20</v>
      </c>
      <c r="F9">
        <f t="shared" si="1"/>
        <v>7</v>
      </c>
      <c r="G9">
        <f t="shared" si="2"/>
        <v>2</v>
      </c>
    </row>
    <row r="10" spans="1:7" x14ac:dyDescent="0.25">
      <c r="A10">
        <v>22</v>
      </c>
      <c r="B10" t="s">
        <v>33</v>
      </c>
      <c r="C10" s="2">
        <v>2.9989333999999999E-2</v>
      </c>
      <c r="D10" s="2">
        <v>0.87431186000000005</v>
      </c>
      <c r="E10">
        <f t="shared" si="0"/>
        <v>21</v>
      </c>
      <c r="F10">
        <f t="shared" si="1"/>
        <v>9</v>
      </c>
      <c r="G10">
        <f t="shared" si="2"/>
        <v>2</v>
      </c>
    </row>
    <row r="11" spans="1:7" x14ac:dyDescent="0.25">
      <c r="A11">
        <v>23</v>
      </c>
      <c r="B11" t="s">
        <v>34</v>
      </c>
      <c r="C11" s="2">
        <v>3.5185254999999999E-2</v>
      </c>
      <c r="D11" s="2">
        <v>0.94621211000000005</v>
      </c>
      <c r="E11">
        <f t="shared" si="0"/>
        <v>19</v>
      </c>
      <c r="F11">
        <f t="shared" si="1"/>
        <v>2</v>
      </c>
      <c r="G11">
        <f t="shared" si="2"/>
        <v>2</v>
      </c>
    </row>
    <row r="12" spans="1:7" x14ac:dyDescent="0.25">
      <c r="A12">
        <v>24</v>
      </c>
      <c r="B12" t="s">
        <v>35</v>
      </c>
      <c r="C12" s="2">
        <v>2.5197596999999999E-2</v>
      </c>
      <c r="D12" s="2">
        <v>0.49093872</v>
      </c>
      <c r="E12">
        <f t="shared" si="0"/>
        <v>27</v>
      </c>
      <c r="F12">
        <f t="shared" si="1"/>
        <v>25</v>
      </c>
      <c r="G12">
        <f t="shared" si="2"/>
        <v>2</v>
      </c>
    </row>
    <row r="13" spans="1:7" x14ac:dyDescent="0.25">
      <c r="A13">
        <v>25</v>
      </c>
      <c r="B13" t="s">
        <v>36</v>
      </c>
      <c r="C13" s="2">
        <v>2.6058932999999999E-2</v>
      </c>
      <c r="D13" s="2">
        <v>0.63557993999999995</v>
      </c>
      <c r="E13">
        <f t="shared" si="0"/>
        <v>26</v>
      </c>
      <c r="F13">
        <f t="shared" si="1"/>
        <v>23</v>
      </c>
      <c r="G13">
        <f t="shared" si="2"/>
        <v>2</v>
      </c>
    </row>
    <row r="14" spans="1:7" x14ac:dyDescent="0.25">
      <c r="A14">
        <v>26</v>
      </c>
      <c r="B14" t="s">
        <v>37</v>
      </c>
      <c r="C14" s="2">
        <v>4.2090777000000003E-2</v>
      </c>
      <c r="D14" s="2">
        <v>0.83489769999999996</v>
      </c>
      <c r="E14">
        <f t="shared" si="0"/>
        <v>15</v>
      </c>
      <c r="F14">
        <f t="shared" si="1"/>
        <v>12</v>
      </c>
      <c r="G14">
        <f t="shared" si="2"/>
        <v>2</v>
      </c>
    </row>
    <row r="15" spans="1:7" x14ac:dyDescent="0.25">
      <c r="A15">
        <v>27</v>
      </c>
      <c r="B15" t="s">
        <v>38</v>
      </c>
      <c r="C15" s="2">
        <v>5.0784107000000002E-2</v>
      </c>
      <c r="D15" s="2">
        <v>0.42666452999999999</v>
      </c>
      <c r="E15">
        <f t="shared" si="0"/>
        <v>8</v>
      </c>
      <c r="F15">
        <f t="shared" si="1"/>
        <v>26</v>
      </c>
      <c r="G15">
        <f t="shared" si="2"/>
        <v>2</v>
      </c>
    </row>
    <row r="16" spans="1:7" x14ac:dyDescent="0.25">
      <c r="A16">
        <v>28</v>
      </c>
      <c r="B16" t="s">
        <v>39</v>
      </c>
      <c r="C16" s="2">
        <v>2.7699662E-2</v>
      </c>
      <c r="D16" s="2">
        <v>0.51734590999999996</v>
      </c>
      <c r="E16">
        <f t="shared" si="0"/>
        <v>24</v>
      </c>
      <c r="F16">
        <f t="shared" si="1"/>
        <v>24</v>
      </c>
      <c r="G16">
        <f t="shared" si="2"/>
        <v>2</v>
      </c>
    </row>
    <row r="17" spans="1:7" x14ac:dyDescent="0.25">
      <c r="A17">
        <v>29</v>
      </c>
      <c r="B17" t="s">
        <v>40</v>
      </c>
      <c r="C17" s="2">
        <v>4.8521090000000003E-2</v>
      </c>
      <c r="D17" s="2">
        <v>0.869367</v>
      </c>
      <c r="E17">
        <f t="shared" si="0"/>
        <v>10</v>
      </c>
      <c r="F17">
        <f t="shared" si="1"/>
        <v>10</v>
      </c>
      <c r="G17">
        <f t="shared" si="2"/>
        <v>2</v>
      </c>
    </row>
    <row r="18" spans="1:7" x14ac:dyDescent="0.25">
      <c r="A18">
        <v>31</v>
      </c>
      <c r="B18" t="s">
        <v>41</v>
      </c>
      <c r="C18" s="2">
        <v>5.9558894000000001E-2</v>
      </c>
      <c r="D18" s="2">
        <v>0.8888064</v>
      </c>
      <c r="E18">
        <f t="shared" si="0"/>
        <v>6</v>
      </c>
      <c r="F18">
        <f t="shared" si="1"/>
        <v>6</v>
      </c>
      <c r="G18">
        <f t="shared" si="2"/>
        <v>3</v>
      </c>
    </row>
    <row r="19" spans="1:7" x14ac:dyDescent="0.25">
      <c r="A19">
        <v>32</v>
      </c>
      <c r="B19" t="s">
        <v>42</v>
      </c>
      <c r="C19" s="2">
        <v>4.3489425999999998E-2</v>
      </c>
      <c r="D19" s="2">
        <v>0.78261179000000003</v>
      </c>
      <c r="E19">
        <f t="shared" si="0"/>
        <v>13</v>
      </c>
      <c r="F19">
        <f t="shared" si="1"/>
        <v>14</v>
      </c>
      <c r="G19">
        <f t="shared" si="2"/>
        <v>3</v>
      </c>
    </row>
    <row r="20" spans="1:7" x14ac:dyDescent="0.25">
      <c r="A20">
        <v>33</v>
      </c>
      <c r="B20" t="s">
        <v>43</v>
      </c>
      <c r="C20" s="2">
        <v>6.5305524000000004E-2</v>
      </c>
      <c r="D20" s="2">
        <v>0.99124586999999997</v>
      </c>
      <c r="E20">
        <f t="shared" si="0"/>
        <v>5</v>
      </c>
      <c r="F20">
        <f t="shared" si="1"/>
        <v>1</v>
      </c>
      <c r="G20">
        <f t="shared" si="2"/>
        <v>3</v>
      </c>
    </row>
    <row r="21" spans="1:7" x14ac:dyDescent="0.25">
      <c r="A21">
        <v>35</v>
      </c>
      <c r="B21" t="s">
        <v>44</v>
      </c>
      <c r="C21" s="2">
        <v>8.5534595000000005E-2</v>
      </c>
      <c r="D21" s="2">
        <v>0.71418482000000005</v>
      </c>
      <c r="E21">
        <f t="shared" si="0"/>
        <v>1</v>
      </c>
      <c r="F21">
        <f t="shared" si="1"/>
        <v>19</v>
      </c>
      <c r="G21">
        <f t="shared" si="2"/>
        <v>3</v>
      </c>
    </row>
    <row r="22" spans="1:7" x14ac:dyDescent="0.25">
      <c r="A22">
        <v>41</v>
      </c>
      <c r="B22" t="s">
        <v>45</v>
      </c>
      <c r="C22" s="2">
        <v>6.9328867000000002E-2</v>
      </c>
      <c r="D22" s="2">
        <v>0.76503348000000004</v>
      </c>
      <c r="E22">
        <f t="shared" si="0"/>
        <v>3</v>
      </c>
      <c r="F22">
        <f t="shared" si="1"/>
        <v>15</v>
      </c>
      <c r="G22">
        <f t="shared" si="2"/>
        <v>4</v>
      </c>
    </row>
    <row r="23" spans="1:7" x14ac:dyDescent="0.25">
      <c r="A23">
        <v>42</v>
      </c>
      <c r="B23" t="s">
        <v>46</v>
      </c>
      <c r="C23" s="2">
        <v>5.6063801000000003E-2</v>
      </c>
      <c r="D23" s="2">
        <v>0.75056648000000004</v>
      </c>
      <c r="E23">
        <f t="shared" si="0"/>
        <v>7</v>
      </c>
      <c r="F23">
        <f t="shared" si="1"/>
        <v>16</v>
      </c>
      <c r="G23">
        <f t="shared" si="2"/>
        <v>4</v>
      </c>
    </row>
    <row r="24" spans="1:7" x14ac:dyDescent="0.25">
      <c r="A24">
        <v>43</v>
      </c>
      <c r="B24" t="s">
        <v>47</v>
      </c>
      <c r="C24" s="2">
        <v>2.7906773999999999E-2</v>
      </c>
      <c r="D24" s="2">
        <v>0.22441960999999999</v>
      </c>
      <c r="E24">
        <f t="shared" si="0"/>
        <v>23</v>
      </c>
      <c r="F24">
        <f t="shared" si="1"/>
        <v>27</v>
      </c>
      <c r="G24">
        <f t="shared" si="2"/>
        <v>4</v>
      </c>
    </row>
    <row r="25" spans="1:7" x14ac:dyDescent="0.25">
      <c r="A25">
        <v>50</v>
      </c>
      <c r="B25" t="s">
        <v>48</v>
      </c>
      <c r="C25" s="2">
        <v>3.8154966999999998E-2</v>
      </c>
      <c r="D25" s="2">
        <v>0.74716150999999997</v>
      </c>
      <c r="E25">
        <f t="shared" si="0"/>
        <v>17</v>
      </c>
      <c r="F25">
        <f t="shared" si="1"/>
        <v>17</v>
      </c>
      <c r="G25">
        <f t="shared" si="2"/>
        <v>5</v>
      </c>
    </row>
    <row r="26" spans="1:7" x14ac:dyDescent="0.25">
      <c r="A26">
        <v>51</v>
      </c>
      <c r="B26" t="s">
        <v>49</v>
      </c>
      <c r="C26" s="2">
        <v>7.9445726999999994E-2</v>
      </c>
      <c r="D26" s="2">
        <v>0.87497932</v>
      </c>
      <c r="E26">
        <f t="shared" si="0"/>
        <v>2</v>
      </c>
      <c r="F26">
        <f t="shared" si="1"/>
        <v>8</v>
      </c>
      <c r="G26">
        <f t="shared" si="2"/>
        <v>5</v>
      </c>
    </row>
    <row r="27" spans="1:7" x14ac:dyDescent="0.25">
      <c r="A27">
        <v>52</v>
      </c>
      <c r="B27" t="s">
        <v>50</v>
      </c>
      <c r="C27" s="2">
        <v>6.8600796000000006E-2</v>
      </c>
      <c r="D27" s="2">
        <v>0.70854371999999999</v>
      </c>
      <c r="E27">
        <f t="shared" si="0"/>
        <v>4</v>
      </c>
      <c r="F27">
        <f t="shared" si="1"/>
        <v>20</v>
      </c>
      <c r="G27">
        <f t="shared" si="2"/>
        <v>5</v>
      </c>
    </row>
    <row r="28" spans="1:7" x14ac:dyDescent="0.25">
      <c r="A28">
        <v>53</v>
      </c>
      <c r="B28" t="s">
        <v>51</v>
      </c>
      <c r="C28" s="2">
        <v>4.5714076999999999E-2</v>
      </c>
      <c r="D28" s="2">
        <v>0.90451353999999995</v>
      </c>
      <c r="E28">
        <f t="shared" si="0"/>
        <v>11</v>
      </c>
      <c r="F28">
        <f t="shared" si="1"/>
        <v>5</v>
      </c>
      <c r="G28">
        <f t="shared" si="2"/>
        <v>5</v>
      </c>
    </row>
  </sheetData>
  <autoFilter ref="A1:G28" xr:uid="{4F100B3D-C758-4D06-82A6-FA5EEDA7EAC4}">
    <sortState xmlns:xlrd2="http://schemas.microsoft.com/office/spreadsheetml/2017/richdata2" ref="A2:G28">
      <sortCondition ref="A1:A28"/>
    </sortState>
  </autoFilter>
  <sortState xmlns:xlrd2="http://schemas.microsoft.com/office/spreadsheetml/2017/richdata2" ref="G2:H28">
    <sortCondition ref="G2:G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5975-9D7C-4A9F-884E-37C7A637DB96}">
  <dimension ref="A1:AJ487"/>
  <sheetViews>
    <sheetView tabSelected="1" topLeftCell="G1" workbookViewId="0">
      <pane ySplit="1" topLeftCell="A2" activePane="bottomLeft" state="frozen"/>
      <selection pane="bottomLeft" activeCell="AJ1" sqref="AJ1:AJ487"/>
    </sheetView>
  </sheetViews>
  <sheetFormatPr defaultRowHeight="15" x14ac:dyDescent="0.25"/>
  <cols>
    <col min="1" max="1" width="3" bestFit="1" customWidth="1"/>
    <col min="2" max="2" width="5" bestFit="1" customWidth="1"/>
    <col min="3" max="3" width="8.7109375" bestFit="1" customWidth="1"/>
    <col min="4" max="4" width="5.85546875" bestFit="1" customWidth="1"/>
    <col min="5" max="6" width="8.42578125" bestFit="1" customWidth="1"/>
    <col min="7" max="7" width="6" bestFit="1" customWidth="1"/>
    <col min="8" max="9" width="8.5703125" bestFit="1" customWidth="1"/>
    <col min="10" max="10" width="8.140625" bestFit="1" customWidth="1"/>
    <col min="11" max="11" width="14.85546875" bestFit="1" customWidth="1"/>
    <col min="12" max="12" width="7.85546875" bestFit="1" customWidth="1"/>
    <col min="13" max="13" width="10" bestFit="1" customWidth="1"/>
    <col min="14" max="14" width="12.5703125" bestFit="1" customWidth="1"/>
    <col min="15" max="15" width="10.7109375" bestFit="1" customWidth="1"/>
    <col min="17" max="17" width="7.28515625" bestFit="1" customWidth="1"/>
    <col min="18" max="18" width="6" bestFit="1" customWidth="1"/>
    <col min="19" max="19" width="6.140625" bestFit="1" customWidth="1"/>
    <col min="20" max="20" width="5.5703125" bestFit="1" customWidth="1"/>
    <col min="21" max="21" width="5.140625" bestFit="1" customWidth="1"/>
    <col min="22" max="22" width="5.5703125" bestFit="1" customWidth="1"/>
    <col min="23" max="23" width="6" bestFit="1" customWidth="1"/>
    <col min="24" max="24" width="5.140625" bestFit="1" customWidth="1"/>
    <col min="28" max="28" width="12" bestFit="1" customWidth="1"/>
    <col min="32" max="32" width="13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</v>
      </c>
      <c r="O1" t="s">
        <v>63</v>
      </c>
      <c r="P1" t="s">
        <v>74</v>
      </c>
      <c r="Q1" t="s">
        <v>75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76</v>
      </c>
      <c r="Y1" s="1" t="s">
        <v>54</v>
      </c>
      <c r="Z1" s="1" t="s">
        <v>55</v>
      </c>
      <c r="AA1" s="1" t="s">
        <v>53</v>
      </c>
      <c r="AB1" s="1" t="s">
        <v>57</v>
      </c>
      <c r="AC1" s="1" t="s">
        <v>52</v>
      </c>
      <c r="AD1" s="1" t="s">
        <v>90</v>
      </c>
      <c r="AE1" s="1" t="s">
        <v>95</v>
      </c>
      <c r="AF1" s="1" t="s">
        <v>100</v>
      </c>
      <c r="AG1" s="1" t="s">
        <v>91</v>
      </c>
      <c r="AH1" s="1" t="s">
        <v>92</v>
      </c>
      <c r="AI1" s="1" t="s">
        <v>93</v>
      </c>
      <c r="AJ1" s="1"/>
    </row>
    <row r="2" spans="1:36" x14ac:dyDescent="0.25">
      <c r="A2" s="9">
        <v>11</v>
      </c>
      <c r="B2" s="9">
        <v>2006</v>
      </c>
      <c r="C2" s="9">
        <v>-2.156698978863159</v>
      </c>
      <c r="D2" s="9">
        <v>1.004301609196868</v>
      </c>
      <c r="E2" s="9">
        <v>0.9748237560598092</v>
      </c>
      <c r="F2" s="9">
        <v>0.96172288327198963</v>
      </c>
      <c r="G2" s="9">
        <v>0.76080582903376015</v>
      </c>
      <c r="H2" s="9">
        <v>0.62422573509352353</v>
      </c>
      <c r="I2" s="9">
        <v>0.56246885691782911</v>
      </c>
      <c r="J2" s="9">
        <v>-11.51292546497023</v>
      </c>
      <c r="K2" s="9">
        <v>2.166250221499268</v>
      </c>
      <c r="L2" s="9">
        <v>-1.951167744570985</v>
      </c>
      <c r="M2" s="9">
        <v>2.4209187515967989</v>
      </c>
      <c r="N2" s="9">
        <v>2.44399024352396</v>
      </c>
      <c r="O2" s="9">
        <v>-11.51292546497023</v>
      </c>
      <c r="P2" s="9">
        <v>-2.3071492090821266E-2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1</v>
      </c>
      <c r="X2" s="9">
        <v>-2.2191131114959717</v>
      </c>
      <c r="Y2">
        <f>EXP(C2)</f>
        <v>0.11570644072613127</v>
      </c>
      <c r="Z2">
        <f>EXP(X2)</f>
        <v>0.10870547572203758</v>
      </c>
      <c r="AA2">
        <f>Y2-Z2</f>
        <v>7.0009650040936955E-3</v>
      </c>
      <c r="AB2">
        <f>AA2*AA2</f>
        <v>4.9013510988544636E-5</v>
      </c>
      <c r="AC2" t="str">
        <f>VLOOKUP(A2, 'state-ids'!$A$1:$B$28, 2)</f>
        <v>RO</v>
      </c>
      <c r="AD2">
        <f>VLOOKUP(A2, 'state-ids'!$A$1:$C$28, 3)</f>
        <v>2.8272427999999999E-2</v>
      </c>
      <c r="AE2">
        <f>VLOOKUP(A2, 'state-ids'!$A$1:$D$28, 4)</f>
        <v>0.69170743000000001</v>
      </c>
      <c r="AF2">
        <f>IF(B2=2006, (C2-X2)*SQRT(1 - AE2*AE2), AE2*(C2-X2) )</f>
        <v>4.5074103433877487E-2</v>
      </c>
      <c r="AG2">
        <f>EXP(X2+SQRT((AD2*AD2)/(1-(AE2*AE2))))</f>
        <v>0.11304557003796138</v>
      </c>
      <c r="AH2">
        <f>EXP(X2-SQRT((AD2*AD2)/(1-(AE2*AE2))))</f>
        <v>0.10453200818029686</v>
      </c>
      <c r="AI2">
        <f>AG2-AH2</f>
        <v>8.5135618576645256E-3</v>
      </c>
      <c r="AJ2" s="12"/>
    </row>
    <row r="3" spans="1:36" x14ac:dyDescent="0.25">
      <c r="A3" s="9">
        <v>11</v>
      </c>
      <c r="B3" s="9">
        <v>2007</v>
      </c>
      <c r="C3" s="9">
        <v>-2.073636426371209</v>
      </c>
      <c r="D3" s="9">
        <v>0.94219236939680806</v>
      </c>
      <c r="E3" s="9">
        <v>1.004301609196868</v>
      </c>
      <c r="F3" s="9">
        <v>0.9748237560598092</v>
      </c>
      <c r="G3" s="9">
        <v>0.59823192276365766</v>
      </c>
      <c r="H3" s="9">
        <v>0.76080582903376015</v>
      </c>
      <c r="I3" s="9">
        <v>0.62422573509352353</v>
      </c>
      <c r="J3" s="9">
        <v>-11.51292546497023</v>
      </c>
      <c r="K3" s="9">
        <v>2.166250221499268</v>
      </c>
      <c r="L3" s="9">
        <v>-1.7991499751284841</v>
      </c>
      <c r="M3" s="9">
        <v>2.4815371529483081</v>
      </c>
      <c r="N3" s="9">
        <v>2.443198932139675</v>
      </c>
      <c r="O3" s="9">
        <v>-11.51292546497023</v>
      </c>
      <c r="P3" s="9">
        <v>3.8338221609592438E-2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1</v>
      </c>
      <c r="X3" s="9">
        <v>-2.0994787216186523</v>
      </c>
      <c r="Y3">
        <f t="shared" ref="Y3:Y66" si="0">EXP(C3)</f>
        <v>0.12572774970533199</v>
      </c>
      <c r="Z3">
        <f t="shared" ref="Z3:Z66" si="1">EXP(X3)</f>
        <v>0.12252027878219166</v>
      </c>
      <c r="AA3">
        <f t="shared" ref="AA3:AA66" si="2">Y3-Z3</f>
        <v>3.207470923140332E-3</v>
      </c>
      <c r="AB3">
        <f t="shared" ref="AB3:AB66" si="3">AA3*AA3</f>
        <v>1.0287869722790694E-5</v>
      </c>
      <c r="AC3" t="str">
        <f>VLOOKUP(A3, 'state-ids'!$A$1:$B$28, 2)</f>
        <v>RO</v>
      </c>
      <c r="AD3">
        <f>VLOOKUP(A3, 'state-ids'!$A$1:$C$28, 3)</f>
        <v>2.8272427999999999E-2</v>
      </c>
      <c r="AE3">
        <f>VLOOKUP(A3, 'state-ids'!$A$1:$D$28, 4)</f>
        <v>0.69170743000000001</v>
      </c>
      <c r="AF3">
        <f t="shared" ref="AF3:AF66" si="4">IF(B3=2006, (C3-X3)*SQRT(1 - AE3*AE3), AE3*(C3-X3) )</f>
        <v>1.787530763091022E-2</v>
      </c>
      <c r="AG3">
        <f t="shared" ref="AG3:AG66" si="5">EXP(X3+SQRT((AD3*AD3)/(1-(AE3*AE3))))</f>
        <v>0.12741193269379114</v>
      </c>
      <c r="AH3">
        <f t="shared" ref="AH3:AH66" si="6">EXP(X3-SQRT((AD3*AD3)/(1-(AE3*AE3))))</f>
        <v>0.11781642735882826</v>
      </c>
      <c r="AI3">
        <f t="shared" ref="AI3:AI66" si="7">AG3-AH3</f>
        <v>9.595505334962881E-3</v>
      </c>
      <c r="AJ3" s="12"/>
    </row>
    <row r="4" spans="1:36" x14ac:dyDescent="0.25">
      <c r="A4" s="9">
        <v>11</v>
      </c>
      <c r="B4" s="9">
        <v>2008</v>
      </c>
      <c r="C4" s="9">
        <v>-1.9560619150649721</v>
      </c>
      <c r="D4" s="9">
        <v>0.8960063885714481</v>
      </c>
      <c r="E4" s="9">
        <v>0.94219236939680806</v>
      </c>
      <c r="F4" s="9">
        <v>1.004301609196868</v>
      </c>
      <c r="G4" s="9">
        <v>0.51962677971905946</v>
      </c>
      <c r="H4" s="9">
        <v>0.59823192276365766</v>
      </c>
      <c r="I4" s="9">
        <v>0.76080582903376015</v>
      </c>
      <c r="J4" s="9">
        <v>-11.51292546497023</v>
      </c>
      <c r="K4" s="9">
        <v>2.166250221499268</v>
      </c>
      <c r="L4" s="9">
        <v>-1.620763450703399</v>
      </c>
      <c r="M4" s="9">
        <v>2.600161838464861</v>
      </c>
      <c r="N4" s="9">
        <v>2.504325073967602</v>
      </c>
      <c r="O4" s="9">
        <v>-11.51292546497023</v>
      </c>
      <c r="P4" s="9">
        <v>9.5836766064167023E-2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1</v>
      </c>
      <c r="X4" s="9">
        <v>-1.9737296104431152</v>
      </c>
      <c r="Y4">
        <f t="shared" si="0"/>
        <v>0.14141422703397571</v>
      </c>
      <c r="Z4">
        <f t="shared" si="1"/>
        <v>0.13893770518508089</v>
      </c>
      <c r="AA4">
        <f t="shared" si="2"/>
        <v>2.4765218488948249E-3</v>
      </c>
      <c r="AB4">
        <f t="shared" si="3"/>
        <v>6.133160468053442E-6</v>
      </c>
      <c r="AC4" t="str">
        <f>VLOOKUP(A4, 'state-ids'!$A$1:$B$28, 2)</f>
        <v>RO</v>
      </c>
      <c r="AD4">
        <f>VLOOKUP(A4, 'state-ids'!$A$1:$C$28, 3)</f>
        <v>2.8272427999999999E-2</v>
      </c>
      <c r="AE4">
        <f>VLOOKUP(A4, 'state-ids'!$A$1:$D$28, 4)</f>
        <v>0.69170743000000001</v>
      </c>
      <c r="AF4">
        <f t="shared" si="4"/>
        <v>1.2220876164038288E-2</v>
      </c>
      <c r="AG4">
        <f t="shared" si="5"/>
        <v>0.14448482910442378</v>
      </c>
      <c r="AH4">
        <f t="shared" si="6"/>
        <v>0.13360354884141545</v>
      </c>
      <c r="AI4">
        <f t="shared" si="7"/>
        <v>1.0881280263008331E-2</v>
      </c>
      <c r="AJ4" s="12"/>
    </row>
    <row r="5" spans="1:36" x14ac:dyDescent="0.25">
      <c r="A5" s="9">
        <v>11</v>
      </c>
      <c r="B5" s="9">
        <v>2009</v>
      </c>
      <c r="C5" s="9">
        <v>-1.862154149729599</v>
      </c>
      <c r="D5" s="9">
        <v>0.84264419170585647</v>
      </c>
      <c r="E5" s="9">
        <v>0.8960063885714481</v>
      </c>
      <c r="F5" s="9">
        <v>0.94219236939680806</v>
      </c>
      <c r="G5" s="9">
        <v>0.47741360742074851</v>
      </c>
      <c r="H5" s="9">
        <v>0.51962677971905946</v>
      </c>
      <c r="I5" s="9">
        <v>0.59823192276365766</v>
      </c>
      <c r="J5" s="9">
        <v>-7.3158356310234538</v>
      </c>
      <c r="K5" s="9">
        <v>2.166250221499268</v>
      </c>
      <c r="L5" s="9">
        <v>-1.4770532591901959</v>
      </c>
      <c r="M5" s="9">
        <v>2.654680199807578</v>
      </c>
      <c r="N5" s="9">
        <v>2.5932473660788871</v>
      </c>
      <c r="O5" s="9">
        <v>-11.51292546497023</v>
      </c>
      <c r="P5" s="9">
        <v>6.1432834714651108E-2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1</v>
      </c>
      <c r="X5" s="9">
        <v>-1.8739248514175415</v>
      </c>
      <c r="Y5">
        <f t="shared" si="0"/>
        <v>0.15533764914277812</v>
      </c>
      <c r="Z5">
        <f t="shared" si="1"/>
        <v>0.1535199348868318</v>
      </c>
      <c r="AA5">
        <f t="shared" si="2"/>
        <v>1.8177142559463177E-3</v>
      </c>
      <c r="AB5">
        <f t="shared" si="3"/>
        <v>3.3040851162704755E-6</v>
      </c>
      <c r="AC5" t="str">
        <f>VLOOKUP(A5, 'state-ids'!$A$1:$B$28, 2)</f>
        <v>RO</v>
      </c>
      <c r="AD5">
        <f>VLOOKUP(A5, 'state-ids'!$A$1:$C$28, 3)</f>
        <v>2.8272427999999999E-2</v>
      </c>
      <c r="AE5">
        <f>VLOOKUP(A5, 'state-ids'!$A$1:$D$28, 4)</f>
        <v>0.69170743000000001</v>
      </c>
      <c r="AF5">
        <f t="shared" si="4"/>
        <v>8.1418818138633518E-3</v>
      </c>
      <c r="AG5">
        <f t="shared" si="5"/>
        <v>0.15964925810958325</v>
      </c>
      <c r="AH5">
        <f t="shared" si="6"/>
        <v>0.14762593128669441</v>
      </c>
      <c r="AI5">
        <f t="shared" si="7"/>
        <v>1.2023326822888841E-2</v>
      </c>
      <c r="AJ5" s="12"/>
    </row>
    <row r="6" spans="1:36" x14ac:dyDescent="0.25">
      <c r="A6" s="9">
        <v>11</v>
      </c>
      <c r="B6" s="9">
        <v>2010</v>
      </c>
      <c r="C6" s="9">
        <v>-1.6831605423581379</v>
      </c>
      <c r="D6" s="9">
        <v>0.81828091131671099</v>
      </c>
      <c r="E6" s="9">
        <v>0.84264419170585647</v>
      </c>
      <c r="F6" s="9">
        <v>0.8960063885714481</v>
      </c>
      <c r="G6" s="9">
        <v>0.52212158350784221</v>
      </c>
      <c r="H6" s="9">
        <v>0.47741360742074851</v>
      </c>
      <c r="I6" s="9">
        <v>0.51962677971905946</v>
      </c>
      <c r="J6" s="9">
        <v>-7.3396623629610591</v>
      </c>
      <c r="K6" s="9">
        <v>2.166250221499268</v>
      </c>
      <c r="L6" s="9">
        <v>-1.3626010461637901</v>
      </c>
      <c r="M6" s="9">
        <v>2.74230132052055</v>
      </c>
      <c r="N6" s="9">
        <v>2.6308534678699922</v>
      </c>
      <c r="O6" s="9">
        <v>-11.51292546497023</v>
      </c>
      <c r="P6" s="9">
        <v>0.11144785583019257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1</v>
      </c>
      <c r="X6" s="9">
        <v>-1.7428951263427734</v>
      </c>
      <c r="Y6">
        <f t="shared" si="0"/>
        <v>0.18578586306122863</v>
      </c>
      <c r="Z6">
        <f t="shared" si="1"/>
        <v>0.17501298175675276</v>
      </c>
      <c r="AA6">
        <f t="shared" si="2"/>
        <v>1.0772881304475873E-2</v>
      </c>
      <c r="AB6">
        <f t="shared" si="3"/>
        <v>1.1605497160032579E-4</v>
      </c>
      <c r="AC6" t="str">
        <f>VLOOKUP(A6, 'state-ids'!$A$1:$B$28, 2)</f>
        <v>RO</v>
      </c>
      <c r="AD6">
        <f>VLOOKUP(A6, 'state-ids'!$A$1:$C$28, 3)</f>
        <v>2.8272427999999999E-2</v>
      </c>
      <c r="AE6">
        <f>VLOOKUP(A6, 'state-ids'!$A$1:$D$28, 4)</f>
        <v>0.69170743000000001</v>
      </c>
      <c r="AF6">
        <f t="shared" si="4"/>
        <v>4.1318855570131374E-2</v>
      </c>
      <c r="AG6">
        <f t="shared" si="5"/>
        <v>0.18200042045098744</v>
      </c>
      <c r="AH6">
        <f t="shared" si="6"/>
        <v>0.16829380782468017</v>
      </c>
      <c r="AI6">
        <f t="shared" si="7"/>
        <v>1.3706612626307263E-2</v>
      </c>
      <c r="AJ6" s="12"/>
    </row>
    <row r="7" spans="1:36" x14ac:dyDescent="0.25">
      <c r="A7" s="9">
        <v>11</v>
      </c>
      <c r="B7" s="9">
        <v>2011</v>
      </c>
      <c r="C7" s="9">
        <v>-1.5784624378334899</v>
      </c>
      <c r="D7" s="9">
        <v>0.82162834220848546</v>
      </c>
      <c r="E7" s="9">
        <v>0.81828091131671099</v>
      </c>
      <c r="F7" s="9">
        <v>0.84264419170585647</v>
      </c>
      <c r="G7" s="9">
        <v>0.59933088435566051</v>
      </c>
      <c r="H7" s="9">
        <v>0.52212158350784221</v>
      </c>
      <c r="I7" s="9">
        <v>0.47741360742074851</v>
      </c>
      <c r="J7" s="9">
        <v>-5.2834923926543116</v>
      </c>
      <c r="K7" s="9">
        <v>2.166250221499268</v>
      </c>
      <c r="L7" s="9">
        <v>-1.26108028612349</v>
      </c>
      <c r="M7" s="9">
        <v>2.7818139114313758</v>
      </c>
      <c r="N7" s="9">
        <v>2.7190297491474351</v>
      </c>
      <c r="O7" s="9">
        <v>-11.51292546497023</v>
      </c>
      <c r="P7" s="9">
        <v>6.2784165143966675E-2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-1.6322517395019531</v>
      </c>
      <c r="Y7">
        <f t="shared" si="0"/>
        <v>0.20629204132055792</v>
      </c>
      <c r="Z7">
        <f t="shared" si="1"/>
        <v>0.19548888810650897</v>
      </c>
      <c r="AA7">
        <f t="shared" si="2"/>
        <v>1.0803153214048955E-2</v>
      </c>
      <c r="AB7">
        <f t="shared" si="3"/>
        <v>1.1670811936621626E-4</v>
      </c>
      <c r="AC7" t="str">
        <f>VLOOKUP(A7, 'state-ids'!$A$1:$B$28, 2)</f>
        <v>RO</v>
      </c>
      <c r="AD7">
        <f>VLOOKUP(A7, 'state-ids'!$A$1:$C$28, 3)</f>
        <v>2.8272427999999999E-2</v>
      </c>
      <c r="AE7">
        <f>VLOOKUP(A7, 'state-ids'!$A$1:$D$28, 4)</f>
        <v>0.69170743000000001</v>
      </c>
      <c r="AF7">
        <f t="shared" si="4"/>
        <v>3.720645961858738E-2</v>
      </c>
      <c r="AG7">
        <f t="shared" si="5"/>
        <v>0.20329383267311754</v>
      </c>
      <c r="AH7">
        <f t="shared" si="6"/>
        <v>0.18798359434035422</v>
      </c>
      <c r="AI7">
        <f t="shared" si="7"/>
        <v>1.5310238332763321E-2</v>
      </c>
      <c r="AJ7" s="12"/>
    </row>
    <row r="8" spans="1:36" x14ac:dyDescent="0.25">
      <c r="A8" s="9">
        <v>11</v>
      </c>
      <c r="B8" s="9">
        <v>2012</v>
      </c>
      <c r="C8" s="9">
        <v>-1.4705848809465669</v>
      </c>
      <c r="D8" s="9">
        <v>0.76150651807328873</v>
      </c>
      <c r="E8" s="9">
        <v>0.82162834220848546</v>
      </c>
      <c r="F8" s="9">
        <v>0.81828091131671099</v>
      </c>
      <c r="G8" s="9">
        <v>0.55933003282560567</v>
      </c>
      <c r="H8" s="9">
        <v>0.59933088435566051</v>
      </c>
      <c r="I8" s="9">
        <v>0.52212158350784221</v>
      </c>
      <c r="J8" s="9">
        <v>-4.8865895636413521</v>
      </c>
      <c r="K8" s="9">
        <v>2.166250221499268</v>
      </c>
      <c r="L8" s="9">
        <v>-1.171167583067046</v>
      </c>
      <c r="M8" s="9">
        <v>2.7848658127694148</v>
      </c>
      <c r="N8" s="9">
        <v>2.7732516323361791</v>
      </c>
      <c r="O8" s="9">
        <v>-11.51292546497023</v>
      </c>
      <c r="P8" s="9">
        <v>1.1614180169999599E-2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-1.5097337961196899</v>
      </c>
      <c r="Y8">
        <f t="shared" si="0"/>
        <v>0.22979104547075463</v>
      </c>
      <c r="Z8">
        <f t="shared" si="1"/>
        <v>0.220968792880743</v>
      </c>
      <c r="AA8">
        <f t="shared" si="2"/>
        <v>8.8222525900116255E-3</v>
      </c>
      <c r="AB8">
        <f t="shared" si="3"/>
        <v>7.783214076196683E-5</v>
      </c>
      <c r="AC8" t="str">
        <f>VLOOKUP(A8, 'state-ids'!$A$1:$B$28, 2)</f>
        <v>RO</v>
      </c>
      <c r="AD8">
        <f>VLOOKUP(A8, 'state-ids'!$A$1:$C$28, 3)</f>
        <v>2.8272427999999999E-2</v>
      </c>
      <c r="AE8">
        <f>VLOOKUP(A8, 'state-ids'!$A$1:$D$28, 4)</f>
        <v>0.69170743000000001</v>
      </c>
      <c r="AF8">
        <f t="shared" si="4"/>
        <v>2.7079595501688931E-2</v>
      </c>
      <c r="AG8">
        <f t="shared" si="5"/>
        <v>0.22979102925483791</v>
      </c>
      <c r="AH8">
        <f t="shared" si="6"/>
        <v>0.21248526361324313</v>
      </c>
      <c r="AI8">
        <f t="shared" si="7"/>
        <v>1.7305765641594778E-2</v>
      </c>
      <c r="AJ8" s="12"/>
    </row>
    <row r="9" spans="1:36" x14ac:dyDescent="0.25">
      <c r="A9" s="9">
        <v>11</v>
      </c>
      <c r="B9" s="9">
        <v>2013</v>
      </c>
      <c r="C9" s="9">
        <v>-1.518725602596074</v>
      </c>
      <c r="D9" s="9">
        <v>0.74069848241816771</v>
      </c>
      <c r="E9" s="9">
        <v>0.76150651807328873</v>
      </c>
      <c r="F9" s="9">
        <v>0.82162834220848546</v>
      </c>
      <c r="G9" s="9">
        <v>0.51837703991882511</v>
      </c>
      <c r="H9" s="9">
        <v>0.55933003282560567</v>
      </c>
      <c r="I9" s="9">
        <v>0.59933088435566051</v>
      </c>
      <c r="J9" s="9">
        <v>-4.2359679594205364</v>
      </c>
      <c r="K9" s="9">
        <v>2.166250221499268</v>
      </c>
      <c r="L9" s="9">
        <v>-1.1782679664096829</v>
      </c>
      <c r="M9" s="9">
        <v>2.6621035497832368</v>
      </c>
      <c r="N9" s="9">
        <v>2.7015182419100219</v>
      </c>
      <c r="O9" s="9">
        <v>-11.51292546497023</v>
      </c>
      <c r="P9" s="9">
        <v>-3.9414692670106888E-2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-1.5056478977203369</v>
      </c>
      <c r="Y9">
        <f t="shared" si="0"/>
        <v>0.21899079049238118</v>
      </c>
      <c r="Z9">
        <f t="shared" si="1"/>
        <v>0.22187349592159966</v>
      </c>
      <c r="AA9">
        <f t="shared" si="2"/>
        <v>-2.8827054292184795E-3</v>
      </c>
      <c r="AB9">
        <f t="shared" si="3"/>
        <v>8.3099905916456978E-6</v>
      </c>
      <c r="AC9" t="str">
        <f>VLOOKUP(A9, 'state-ids'!$A$1:$B$28, 2)</f>
        <v>RO</v>
      </c>
      <c r="AD9">
        <f>VLOOKUP(A9, 'state-ids'!$A$1:$C$28, 3)</f>
        <v>2.8272427999999999E-2</v>
      </c>
      <c r="AE9">
        <f>VLOOKUP(A9, 'state-ids'!$A$1:$D$28, 4)</f>
        <v>0.69170743000000001</v>
      </c>
      <c r="AF9">
        <f t="shared" si="4"/>
        <v>-9.045945629894591E-3</v>
      </c>
      <c r="AG9">
        <f t="shared" si="5"/>
        <v>0.23073185279927674</v>
      </c>
      <c r="AH9">
        <f t="shared" si="6"/>
        <v>0.21335523290448091</v>
      </c>
      <c r="AI9">
        <f t="shared" si="7"/>
        <v>1.7376619894795831E-2</v>
      </c>
      <c r="AJ9" s="12"/>
    </row>
    <row r="10" spans="1:36" x14ac:dyDescent="0.25">
      <c r="A10" s="9">
        <v>11</v>
      </c>
      <c r="B10" s="9">
        <v>2014</v>
      </c>
      <c r="C10" s="9">
        <v>-1.4578474207869181</v>
      </c>
      <c r="D10" s="9">
        <v>0.72328833747193211</v>
      </c>
      <c r="E10" s="9">
        <v>0.74069848241816771</v>
      </c>
      <c r="F10" s="9">
        <v>0.76150651807328873</v>
      </c>
      <c r="G10" s="9">
        <v>0.52715162636476365</v>
      </c>
      <c r="H10" s="9">
        <v>0.51837703991882511</v>
      </c>
      <c r="I10" s="9">
        <v>0.55933003282560567</v>
      </c>
      <c r="J10" s="9">
        <v>-3.554508280400535</v>
      </c>
      <c r="K10" s="9">
        <v>2.166250221499268</v>
      </c>
      <c r="L10" s="9">
        <v>-1.1213792527941719</v>
      </c>
      <c r="M10" s="9">
        <v>2.6642506113954019</v>
      </c>
      <c r="N10" s="9">
        <v>2.650416048243291</v>
      </c>
      <c r="O10" s="9">
        <v>-11.51292546497023</v>
      </c>
      <c r="P10" s="9">
        <v>1.3834563083946705E-2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-1.4344882965087891</v>
      </c>
      <c r="Y10">
        <f t="shared" si="0"/>
        <v>0.23273672013821892</v>
      </c>
      <c r="Z10">
        <f t="shared" si="1"/>
        <v>0.23823723965720087</v>
      </c>
      <c r="AA10">
        <f t="shared" si="2"/>
        <v>-5.50051951898195E-3</v>
      </c>
      <c r="AB10">
        <f t="shared" si="3"/>
        <v>3.0255714978701424E-5</v>
      </c>
      <c r="AC10" t="str">
        <f>VLOOKUP(A10, 'state-ids'!$A$1:$B$28, 2)</f>
        <v>RO</v>
      </c>
      <c r="AD10">
        <f>VLOOKUP(A10, 'state-ids'!$A$1:$C$28, 3)</f>
        <v>2.8272427999999999E-2</v>
      </c>
      <c r="AE10">
        <f>VLOOKUP(A10, 'state-ids'!$A$1:$D$28, 4)</f>
        <v>0.69170743000000001</v>
      </c>
      <c r="AF10">
        <f t="shared" si="4"/>
        <v>-1.6157679821475236E-2</v>
      </c>
      <c r="AG10">
        <f t="shared" si="5"/>
        <v>0.24774892324820486</v>
      </c>
      <c r="AH10">
        <f t="shared" si="6"/>
        <v>0.22909073272791231</v>
      </c>
      <c r="AI10">
        <f t="shared" si="7"/>
        <v>1.865819052029255E-2</v>
      </c>
      <c r="AJ10" s="12"/>
    </row>
    <row r="11" spans="1:36" x14ac:dyDescent="0.25">
      <c r="A11" s="9">
        <v>11</v>
      </c>
      <c r="B11" s="9">
        <v>2015</v>
      </c>
      <c r="C11" s="9">
        <v>-1.4449811096822041</v>
      </c>
      <c r="D11" s="9">
        <v>0.73692480290583307</v>
      </c>
      <c r="E11" s="9">
        <v>0.72328833747193211</v>
      </c>
      <c r="F11" s="9">
        <v>0.74069848241816771</v>
      </c>
      <c r="G11" s="9">
        <v>0.47759970586736361</v>
      </c>
      <c r="H11" s="9">
        <v>0.52715162636476365</v>
      </c>
      <c r="I11" s="9">
        <v>0.51837703991882511</v>
      </c>
      <c r="J11" s="9">
        <v>-3.1339141993029989</v>
      </c>
      <c r="K11" s="9">
        <v>2.166250221499268</v>
      </c>
      <c r="L11" s="9">
        <v>-1.0788235672370079</v>
      </c>
      <c r="M11" s="9">
        <v>2.651900785014115</v>
      </c>
      <c r="N11" s="9">
        <v>2.6530622760673999</v>
      </c>
      <c r="O11" s="9">
        <v>-11.51292546497023</v>
      </c>
      <c r="P11" s="9">
        <v>-1.1614910326898098E-3</v>
      </c>
      <c r="Q11" s="9">
        <v>1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-1.4744012355804443</v>
      </c>
      <c r="Y11">
        <f t="shared" si="0"/>
        <v>0.23575052991623138</v>
      </c>
      <c r="Z11">
        <f t="shared" si="1"/>
        <v>0.22891575262585562</v>
      </c>
      <c r="AA11">
        <f t="shared" si="2"/>
        <v>6.8347772903757653E-3</v>
      </c>
      <c r="AB11">
        <f t="shared" si="3"/>
        <v>4.6714180609036285E-5</v>
      </c>
      <c r="AC11" t="str">
        <f>VLOOKUP(A11, 'state-ids'!$A$1:$B$28, 2)</f>
        <v>RO</v>
      </c>
      <c r="AD11">
        <f>VLOOKUP(A11, 'state-ids'!$A$1:$C$28, 3)</f>
        <v>2.8272427999999999E-2</v>
      </c>
      <c r="AE11">
        <f>VLOOKUP(A11, 'state-ids'!$A$1:$D$28, 4)</f>
        <v>0.69170743000000001</v>
      </c>
      <c r="AF11">
        <f t="shared" si="4"/>
        <v>2.0350119675348225E-2</v>
      </c>
      <c r="AG11">
        <f t="shared" si="5"/>
        <v>0.23805527342918051</v>
      </c>
      <c r="AH11">
        <f t="shared" si="6"/>
        <v>0.22012712024987433</v>
      </c>
      <c r="AI11">
        <f t="shared" si="7"/>
        <v>1.7928153179306183E-2</v>
      </c>
      <c r="AJ11" s="12"/>
    </row>
    <row r="12" spans="1:36" x14ac:dyDescent="0.25">
      <c r="A12" s="9">
        <v>11</v>
      </c>
      <c r="B12" s="9">
        <v>2016</v>
      </c>
      <c r="C12" s="9">
        <v>-1.4210112424014689</v>
      </c>
      <c r="D12" s="9">
        <v>0.75358354936377603</v>
      </c>
      <c r="E12" s="9">
        <v>0.73692480290583307</v>
      </c>
      <c r="F12" s="9">
        <v>0.72328833747193211</v>
      </c>
      <c r="G12" s="9">
        <v>0.61858525923304053</v>
      </c>
      <c r="H12" s="9">
        <v>0.47759970586736361</v>
      </c>
      <c r="I12" s="9">
        <v>0.52715162636476365</v>
      </c>
      <c r="J12" s="9">
        <v>-2.761061811848581</v>
      </c>
      <c r="K12" s="9">
        <v>2.166250221499268</v>
      </c>
      <c r="L12" s="9">
        <v>-1.049732047488368</v>
      </c>
      <c r="M12" s="9">
        <v>2.6395015854418169</v>
      </c>
      <c r="N12" s="9">
        <v>2.6411707756098739</v>
      </c>
      <c r="O12" s="9">
        <v>-11.51292546497023</v>
      </c>
      <c r="P12" s="9">
        <v>-1.6691901255398989E-3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-1.414219856262207</v>
      </c>
      <c r="Y12">
        <f t="shared" si="0"/>
        <v>0.24146970898220138</v>
      </c>
      <c r="Z12">
        <f t="shared" si="1"/>
        <v>0.2431152042892617</v>
      </c>
      <c r="AA12">
        <f t="shared" si="2"/>
        <v>-1.6454953070603184E-3</v>
      </c>
      <c r="AB12">
        <f t="shared" si="3"/>
        <v>2.7076548055575317E-6</v>
      </c>
      <c r="AC12" t="str">
        <f>VLOOKUP(A12, 'state-ids'!$A$1:$B$28, 2)</f>
        <v>RO</v>
      </c>
      <c r="AD12">
        <f>VLOOKUP(A12, 'state-ids'!$A$1:$C$28, 3)</f>
        <v>2.8272427999999999E-2</v>
      </c>
      <c r="AE12">
        <f>VLOOKUP(A12, 'state-ids'!$A$1:$D$28, 4)</f>
        <v>0.69170743000000001</v>
      </c>
      <c r="AF12">
        <f t="shared" si="4"/>
        <v>-4.6976522525264642E-3</v>
      </c>
      <c r="AG12">
        <f t="shared" si="5"/>
        <v>0.25282164188352324</v>
      </c>
      <c r="AH12">
        <f t="shared" si="6"/>
        <v>0.23378142043646544</v>
      </c>
      <c r="AI12">
        <f t="shared" si="7"/>
        <v>1.9040221447057804E-2</v>
      </c>
      <c r="AJ12" s="12"/>
    </row>
    <row r="13" spans="1:36" x14ac:dyDescent="0.25">
      <c r="A13" s="9">
        <v>11</v>
      </c>
      <c r="B13" s="9">
        <v>2017</v>
      </c>
      <c r="C13" s="9">
        <v>-1.4207559397857561</v>
      </c>
      <c r="D13" s="9">
        <v>0.74241342186286341</v>
      </c>
      <c r="E13" s="9">
        <v>0.75358354936377603</v>
      </c>
      <c r="F13" s="9">
        <v>0.73692480290583307</v>
      </c>
      <c r="G13" s="9">
        <v>0.60704448150653356</v>
      </c>
      <c r="H13" s="9">
        <v>0.61858525923304053</v>
      </c>
      <c r="I13" s="9">
        <v>0.47759970586736361</v>
      </c>
      <c r="J13" s="9">
        <v>-2.082651938392698</v>
      </c>
      <c r="K13" s="9">
        <v>2.166250221499268</v>
      </c>
      <c r="L13" s="9">
        <v>-1.0245113969466151</v>
      </c>
      <c r="M13" s="9">
        <v>2.690978395396356</v>
      </c>
      <c r="N13" s="9">
        <v>2.6291988754056201</v>
      </c>
      <c r="O13" s="9">
        <v>-11.51292546497023</v>
      </c>
      <c r="P13" s="9">
        <v>6.1779521405696869E-2</v>
      </c>
      <c r="Q13" s="9">
        <v>1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-1.3754632472991943</v>
      </c>
      <c r="Y13">
        <f t="shared" si="0"/>
        <v>0.24153136470061815</v>
      </c>
      <c r="Z13">
        <f t="shared" si="1"/>
        <v>0.25272249567011523</v>
      </c>
      <c r="AA13">
        <f t="shared" si="2"/>
        <v>-1.1191130969497087E-2</v>
      </c>
      <c r="AB13">
        <f t="shared" si="3"/>
        <v>1.2524141237643682E-4</v>
      </c>
      <c r="AC13" t="str">
        <f>VLOOKUP(A13, 'state-ids'!$A$1:$B$28, 2)</f>
        <v>RO</v>
      </c>
      <c r="AD13">
        <f>VLOOKUP(A13, 'state-ids'!$A$1:$C$28, 3)</f>
        <v>2.8272427999999999E-2</v>
      </c>
      <c r="AE13">
        <f>VLOOKUP(A13, 'state-ids'!$A$1:$D$28, 4)</f>
        <v>0.69170743000000001</v>
      </c>
      <c r="AF13">
        <f t="shared" si="4"/>
        <v>-3.1329291917659943E-2</v>
      </c>
      <c r="AG13">
        <f t="shared" si="5"/>
        <v>0.26281250686484642</v>
      </c>
      <c r="AH13">
        <f t="shared" si="6"/>
        <v>0.24301986454007082</v>
      </c>
      <c r="AI13">
        <f t="shared" si="7"/>
        <v>1.9792642324775594E-2</v>
      </c>
      <c r="AJ13" s="12"/>
    </row>
    <row r="14" spans="1:36" x14ac:dyDescent="0.25">
      <c r="A14" s="9">
        <v>11</v>
      </c>
      <c r="B14" s="9">
        <v>2018</v>
      </c>
      <c r="C14" s="9">
        <v>-1.4131135997679001</v>
      </c>
      <c r="D14" s="9">
        <v>0.83373486886959214</v>
      </c>
      <c r="E14" s="9">
        <v>0.74241342186286341</v>
      </c>
      <c r="F14" s="9">
        <v>0.75358354936377603</v>
      </c>
      <c r="G14" s="9">
        <v>0.64825441166920861</v>
      </c>
      <c r="H14" s="9">
        <v>0.60704448150653356</v>
      </c>
      <c r="I14" s="9">
        <v>0.61858525923304053</v>
      </c>
      <c r="J14" s="9">
        <v>-1.602401349382677</v>
      </c>
      <c r="K14" s="9">
        <v>2.166250221499268</v>
      </c>
      <c r="L14" s="9">
        <v>-0.95533951972360787</v>
      </c>
      <c r="M14" s="9">
        <v>2.705694458109142</v>
      </c>
      <c r="N14" s="9">
        <v>2.7180324734770229</v>
      </c>
      <c r="O14" s="9">
        <v>3.2580965380214821</v>
      </c>
      <c r="P14" s="9">
        <v>-1.2338015250861645E-2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-1.3953008651733398</v>
      </c>
      <c r="Y14">
        <f t="shared" si="0"/>
        <v>0.24338430088035376</v>
      </c>
      <c r="Z14">
        <f t="shared" si="1"/>
        <v>0.24775848325356289</v>
      </c>
      <c r="AA14">
        <f t="shared" si="2"/>
        <v>-4.3741823732091345E-3</v>
      </c>
      <c r="AB14">
        <f t="shared" si="3"/>
        <v>1.9133471434093496E-5</v>
      </c>
      <c r="AC14" t="str">
        <f>VLOOKUP(A14, 'state-ids'!$A$1:$B$28, 2)</f>
        <v>RO</v>
      </c>
      <c r="AD14">
        <f>VLOOKUP(A14, 'state-ids'!$A$1:$C$28, 3)</f>
        <v>2.8272427999999999E-2</v>
      </c>
      <c r="AE14">
        <f>VLOOKUP(A14, 'state-ids'!$A$1:$D$28, 4)</f>
        <v>0.69170743000000001</v>
      </c>
      <c r="AF14">
        <f t="shared" si="4"/>
        <v>-1.2321200867675349E-2</v>
      </c>
      <c r="AG14">
        <f t="shared" si="5"/>
        <v>0.25765030496492031</v>
      </c>
      <c r="AH14">
        <f t="shared" si="6"/>
        <v>0.23824643263070705</v>
      </c>
      <c r="AI14">
        <f t="shared" si="7"/>
        <v>1.9403872334213257E-2</v>
      </c>
      <c r="AJ14" s="12"/>
    </row>
    <row r="15" spans="1:36" x14ac:dyDescent="0.25">
      <c r="A15" s="9">
        <v>11</v>
      </c>
      <c r="B15" s="9">
        <v>2019</v>
      </c>
      <c r="C15" s="9">
        <v>-1.3958817226731339</v>
      </c>
      <c r="D15" s="9">
        <v>0.7959744903594157</v>
      </c>
      <c r="E15" s="9">
        <v>0.83373486886959214</v>
      </c>
      <c r="F15" s="9">
        <v>0.74241342186286341</v>
      </c>
      <c r="G15" s="9">
        <v>0.61939299197128328</v>
      </c>
      <c r="H15" s="9">
        <v>0.64825441166920861</v>
      </c>
      <c r="I15" s="9">
        <v>0.60704448150653356</v>
      </c>
      <c r="J15" s="9">
        <v>-0.87886461343413891</v>
      </c>
      <c r="K15" s="9">
        <v>2.166250221499268</v>
      </c>
      <c r="L15" s="9">
        <v>-0.92594627856998246</v>
      </c>
      <c r="M15" s="9">
        <v>2.700549530427923</v>
      </c>
      <c r="N15" s="9">
        <v>2.6945842825909812</v>
      </c>
      <c r="O15" s="9">
        <v>5.393627546352362</v>
      </c>
      <c r="P15" s="9">
        <v>5.9652477502822876E-3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1</v>
      </c>
      <c r="X15" s="9">
        <v>-1.360716700553894</v>
      </c>
      <c r="Y15">
        <f t="shared" si="0"/>
        <v>0.24761461266862669</v>
      </c>
      <c r="Z15">
        <f t="shared" si="1"/>
        <v>0.25647689393495215</v>
      </c>
      <c r="AA15">
        <f t="shared" si="2"/>
        <v>-8.8622812663254613E-3</v>
      </c>
      <c r="AB15">
        <f t="shared" si="3"/>
        <v>7.8540029243463218E-5</v>
      </c>
      <c r="AC15" t="str">
        <f>VLOOKUP(A15, 'state-ids'!$A$1:$B$28, 2)</f>
        <v>RO</v>
      </c>
      <c r="AD15">
        <f>VLOOKUP(A15, 'state-ids'!$A$1:$C$28, 3)</f>
        <v>2.8272427999999999E-2</v>
      </c>
      <c r="AE15">
        <f>VLOOKUP(A15, 'state-ids'!$A$1:$D$28, 4)</f>
        <v>0.69170743000000001</v>
      </c>
      <c r="AF15">
        <f t="shared" si="4"/>
        <v>-2.4323907075992576E-2</v>
      </c>
      <c r="AG15">
        <f t="shared" si="5"/>
        <v>0.26671680045428131</v>
      </c>
      <c r="AH15">
        <f t="shared" si="6"/>
        <v>0.24663012232630729</v>
      </c>
      <c r="AI15">
        <f t="shared" si="7"/>
        <v>2.0086678127974017E-2</v>
      </c>
      <c r="AJ15" s="12"/>
    </row>
    <row r="16" spans="1:36" x14ac:dyDescent="0.25">
      <c r="A16" s="9">
        <v>11</v>
      </c>
      <c r="B16" s="9">
        <v>2020</v>
      </c>
      <c r="C16" s="9">
        <v>-1.4296095899018759</v>
      </c>
      <c r="D16" s="9">
        <v>0.72251178918984926</v>
      </c>
      <c r="E16" s="9">
        <v>0.7959744903594157</v>
      </c>
      <c r="F16" s="9">
        <v>0.83373486886959214</v>
      </c>
      <c r="G16" s="9">
        <v>0.54563276527139615</v>
      </c>
      <c r="H16" s="9">
        <v>0.61939299197128328</v>
      </c>
      <c r="I16" s="9">
        <v>0.64825441166920861</v>
      </c>
      <c r="J16" s="9">
        <v>-0.22604791296123961</v>
      </c>
      <c r="K16" s="9">
        <v>2.166250221499268</v>
      </c>
      <c r="L16" s="9">
        <v>-0.90454783102081882</v>
      </c>
      <c r="M16" s="9">
        <v>2.718476319415351</v>
      </c>
      <c r="N16" s="9">
        <v>2.6897846276731232</v>
      </c>
      <c r="O16" s="9">
        <v>5.9914645471079817</v>
      </c>
      <c r="P16" s="9">
        <v>2.8691692277789116E-2</v>
      </c>
      <c r="Q16" s="9">
        <v>1</v>
      </c>
      <c r="R16" s="9">
        <v>1</v>
      </c>
      <c r="S16" s="9">
        <v>0</v>
      </c>
      <c r="T16" s="9">
        <v>0</v>
      </c>
      <c r="U16" s="9">
        <v>0</v>
      </c>
      <c r="V16" s="9">
        <v>0</v>
      </c>
      <c r="W16" s="9">
        <v>1</v>
      </c>
      <c r="X16" s="9">
        <v>-1.4244683980941772</v>
      </c>
      <c r="Y16">
        <f t="shared" si="0"/>
        <v>0.23940236910368162</v>
      </c>
      <c r="Z16">
        <f t="shared" si="1"/>
        <v>0.24063635195568933</v>
      </c>
      <c r="AA16">
        <f t="shared" si="2"/>
        <v>-1.233982852007709E-3</v>
      </c>
      <c r="AB16">
        <f t="shared" si="3"/>
        <v>1.5227136790490794E-6</v>
      </c>
      <c r="AC16" t="str">
        <f>VLOOKUP(A16, 'state-ids'!$A$1:$B$28, 2)</f>
        <v>RO</v>
      </c>
      <c r="AD16">
        <f>VLOOKUP(A16, 'state-ids'!$A$1:$C$28, 3)</f>
        <v>2.8272427999999999E-2</v>
      </c>
      <c r="AE16">
        <f>VLOOKUP(A16, 'state-ids'!$A$1:$D$28, 4)</f>
        <v>0.69170743000000001</v>
      </c>
      <c r="AF16">
        <f t="shared" si="4"/>
        <v>-3.556200572440305E-3</v>
      </c>
      <c r="AG16">
        <f t="shared" si="5"/>
        <v>0.2502438207275296</v>
      </c>
      <c r="AH16">
        <f t="shared" si="6"/>
        <v>0.23139773727156848</v>
      </c>
      <c r="AI16">
        <f t="shared" si="7"/>
        <v>1.8846083455961116E-2</v>
      </c>
      <c r="AJ16" s="12"/>
    </row>
    <row r="17" spans="1:36" x14ac:dyDescent="0.25">
      <c r="A17" s="9">
        <v>11</v>
      </c>
      <c r="B17" s="9">
        <v>2021</v>
      </c>
      <c r="C17" s="9">
        <v>-1.4174909402989659</v>
      </c>
      <c r="D17" s="9">
        <v>0.91776963775355425</v>
      </c>
      <c r="E17" s="9">
        <v>0.72251178918984926</v>
      </c>
      <c r="F17" s="9">
        <v>0.7959744903594157</v>
      </c>
      <c r="G17" s="9">
        <v>0.75902854967345812</v>
      </c>
      <c r="H17" s="9">
        <v>0.54563276527139615</v>
      </c>
      <c r="I17" s="9">
        <v>0.61939299197128328</v>
      </c>
      <c r="J17" s="9">
        <v>0.31564239935359079</v>
      </c>
      <c r="K17" s="9">
        <v>2.166250221499268</v>
      </c>
      <c r="L17" s="9">
        <v>-0.88493854765177082</v>
      </c>
      <c r="M17" s="9">
        <v>2.7052698750374469</v>
      </c>
      <c r="N17" s="9">
        <v>2.708055757190762</v>
      </c>
      <c r="O17" s="9">
        <v>6.6846117276679271</v>
      </c>
      <c r="P17" s="9">
        <v>-2.7858822140842676E-3</v>
      </c>
      <c r="Q17" s="9">
        <v>1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-1.4084359407424927</v>
      </c>
      <c r="Y17">
        <f t="shared" si="0"/>
        <v>0.24232125327360329</v>
      </c>
      <c r="Z17">
        <f t="shared" si="1"/>
        <v>0.24452543649294112</v>
      </c>
      <c r="AA17">
        <f t="shared" si="2"/>
        <v>-2.2041832193378241E-3</v>
      </c>
      <c r="AB17">
        <f t="shared" si="3"/>
        <v>4.8584236644104546E-6</v>
      </c>
      <c r="AC17" t="str">
        <f>VLOOKUP(A17, 'state-ids'!$A$1:$B$28, 2)</f>
        <v>RO</v>
      </c>
      <c r="AD17">
        <f>VLOOKUP(A17, 'state-ids'!$A$1:$C$28, 3)</f>
        <v>2.8272427999999999E-2</v>
      </c>
      <c r="AE17">
        <f>VLOOKUP(A17, 'state-ids'!$A$1:$D$28, 4)</f>
        <v>0.69170743000000001</v>
      </c>
      <c r="AF17">
        <f t="shared" si="4"/>
        <v>-6.2634104718592614E-3</v>
      </c>
      <c r="AG17">
        <f t="shared" si="5"/>
        <v>0.25428817797374259</v>
      </c>
      <c r="AH17">
        <f t="shared" si="6"/>
        <v>0.23513751039671801</v>
      </c>
      <c r="AI17">
        <f t="shared" si="7"/>
        <v>1.9150667577024577E-2</v>
      </c>
      <c r="AJ17" s="12"/>
    </row>
    <row r="18" spans="1:36" x14ac:dyDescent="0.25">
      <c r="A18" s="9">
        <v>11</v>
      </c>
      <c r="B18" s="9">
        <v>2022</v>
      </c>
      <c r="C18" s="9">
        <v>-1.370120701773238</v>
      </c>
      <c r="D18" s="9">
        <v>0.91948562277067425</v>
      </c>
      <c r="E18" s="9">
        <v>0.91776963775355425</v>
      </c>
      <c r="F18" s="9">
        <v>0.72251178918984926</v>
      </c>
      <c r="G18" s="9">
        <v>0.79443943204181766</v>
      </c>
      <c r="H18" s="9">
        <v>0.75902854967345812</v>
      </c>
      <c r="I18" s="9">
        <v>0.54563276527139615</v>
      </c>
      <c r="J18" s="9">
        <v>0.83526807990957463</v>
      </c>
      <c r="K18" s="9">
        <v>2.166250221499268</v>
      </c>
      <c r="L18" s="9">
        <v>-0.85720866088653058</v>
      </c>
      <c r="M18" s="9">
        <v>2.761330092439426</v>
      </c>
      <c r="N18" s="9">
        <v>2.7052698750374469</v>
      </c>
      <c r="O18" s="9">
        <v>8.0551577318196781</v>
      </c>
      <c r="P18" s="9">
        <v>5.6060217320919037E-2</v>
      </c>
      <c r="Q18" s="9">
        <v>1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-1.3569667339324951</v>
      </c>
      <c r="Y18">
        <f t="shared" si="0"/>
        <v>0.25407629024314743</v>
      </c>
      <c r="Z18">
        <f t="shared" si="1"/>
        <v>0.25744047930367181</v>
      </c>
      <c r="AA18">
        <f t="shared" si="2"/>
        <v>-3.3641890605243807E-3</v>
      </c>
      <c r="AB18">
        <f t="shared" si="3"/>
        <v>1.1317768034951916E-5</v>
      </c>
      <c r="AC18" t="str">
        <f>VLOOKUP(A18, 'state-ids'!$A$1:$B$28, 2)</f>
        <v>RO</v>
      </c>
      <c r="AD18">
        <f>VLOOKUP(A18, 'state-ids'!$A$1:$C$28, 3)</f>
        <v>2.8272427999999999E-2</v>
      </c>
      <c r="AE18">
        <f>VLOOKUP(A18, 'state-ids'!$A$1:$D$28, 4)</f>
        <v>0.69170743000000001</v>
      </c>
      <c r="AF18">
        <f t="shared" si="4"/>
        <v>-9.0986972894228878E-3</v>
      </c>
      <c r="AG18">
        <f t="shared" si="5"/>
        <v>0.26771885721879696</v>
      </c>
      <c r="AH18">
        <f t="shared" si="6"/>
        <v>0.24755671330966289</v>
      </c>
      <c r="AI18">
        <f t="shared" si="7"/>
        <v>2.0162143909134067E-2</v>
      </c>
      <c r="AJ18" s="12"/>
    </row>
    <row r="19" spans="1:36" x14ac:dyDescent="0.25">
      <c r="A19" s="9">
        <v>11</v>
      </c>
      <c r="B19" s="9">
        <v>2023</v>
      </c>
      <c r="C19" s="9">
        <v>-1.3339252000932049</v>
      </c>
      <c r="D19" s="9">
        <v>0.84822600096002576</v>
      </c>
      <c r="E19" s="9">
        <v>0.91948562277067425</v>
      </c>
      <c r="F19" s="9">
        <v>0.91776963775355425</v>
      </c>
      <c r="G19" s="9">
        <v>0.62919515406742821</v>
      </c>
      <c r="H19" s="9">
        <v>0.79443943204181766</v>
      </c>
      <c r="I19" s="9">
        <v>0.75902854967345812</v>
      </c>
      <c r="J19" s="9">
        <v>1.4276902077177129</v>
      </c>
      <c r="K19" s="9">
        <v>2.166250221499268</v>
      </c>
      <c r="L19" s="9">
        <v>-0.83111700997942339</v>
      </c>
      <c r="M19" s="9">
        <v>2.8461047606429259</v>
      </c>
      <c r="N19" s="9">
        <v>2.761330092439426</v>
      </c>
      <c r="O19" s="9">
        <v>8.4658998970286863</v>
      </c>
      <c r="P19" s="9">
        <v>8.4774665534496307E-2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1</v>
      </c>
      <c r="X19" s="9">
        <v>-1.3673110008239746</v>
      </c>
      <c r="Y19">
        <f t="shared" si="0"/>
        <v>0.26344116989243532</v>
      </c>
      <c r="Z19">
        <f t="shared" si="1"/>
        <v>0.25479117246936545</v>
      </c>
      <c r="AA19">
        <f t="shared" si="2"/>
        <v>8.6499974230698773E-3</v>
      </c>
      <c r="AB19">
        <f t="shared" si="3"/>
        <v>7.4822455419115515E-5</v>
      </c>
      <c r="AC19" t="str">
        <f>VLOOKUP(A19, 'state-ids'!$A$1:$B$28, 2)</f>
        <v>RO</v>
      </c>
      <c r="AD19">
        <f>VLOOKUP(A19, 'state-ids'!$A$1:$C$28, 3)</f>
        <v>2.8272427999999999E-2</v>
      </c>
      <c r="AE19">
        <f>VLOOKUP(A19, 'state-ids'!$A$1:$D$28, 4)</f>
        <v>0.69170743000000001</v>
      </c>
      <c r="AF19">
        <f t="shared" si="4"/>
        <v>2.3093206421972823E-2</v>
      </c>
      <c r="AG19">
        <f t="shared" si="5"/>
        <v>0.26496377612191235</v>
      </c>
      <c r="AH19">
        <f t="shared" si="6"/>
        <v>0.2450091198067931</v>
      </c>
      <c r="AI19">
        <f t="shared" si="7"/>
        <v>1.9954656315119251E-2</v>
      </c>
      <c r="AJ19" s="12"/>
    </row>
    <row r="20" spans="1:36" x14ac:dyDescent="0.25">
      <c r="A20" s="9">
        <v>12</v>
      </c>
      <c r="B20" s="9">
        <v>2006</v>
      </c>
      <c r="C20" s="9">
        <v>-2.540522743776382</v>
      </c>
      <c r="D20" s="9">
        <v>1.0784095813505901</v>
      </c>
      <c r="E20" s="9">
        <v>1.0092344775168931</v>
      </c>
      <c r="F20" s="9">
        <v>0.99047013004840656</v>
      </c>
      <c r="G20" s="9">
        <v>0.81536481328419441</v>
      </c>
      <c r="H20" s="9">
        <v>0.69873155885384597</v>
      </c>
      <c r="I20" s="9">
        <v>0.70146251216365918</v>
      </c>
      <c r="J20" s="9">
        <v>-11.51292546497023</v>
      </c>
      <c r="K20" s="9">
        <v>1.89659895370424</v>
      </c>
      <c r="L20" s="9">
        <v>-2.4595923370301058</v>
      </c>
      <c r="M20" s="9">
        <v>2.2133343213516978</v>
      </c>
      <c r="N20" s="9">
        <v>2.1982281424695489</v>
      </c>
      <c r="O20" s="9">
        <v>-11.51292546497023</v>
      </c>
      <c r="P20" s="9">
        <v>1.5106178820133209E-2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-2.5540752410888672</v>
      </c>
      <c r="Y20">
        <f t="shared" si="0"/>
        <v>7.8825183644699176E-2</v>
      </c>
      <c r="Z20">
        <f t="shared" si="1"/>
        <v>7.7764111881859416E-2</v>
      </c>
      <c r="AA20">
        <f t="shared" si="2"/>
        <v>1.0610717628397603E-3</v>
      </c>
      <c r="AB20">
        <f t="shared" si="3"/>
        <v>1.1258732858958765E-6</v>
      </c>
      <c r="AC20" t="str">
        <f>VLOOKUP(A20, 'state-ids'!$A$1:$B$28, 2)</f>
        <v>AC</v>
      </c>
      <c r="AD20">
        <f>VLOOKUP(A20, 'state-ids'!$A$1:$C$28, 3)</f>
        <v>3.7075563999999998E-2</v>
      </c>
      <c r="AE20">
        <f>VLOOKUP(A20, 'state-ids'!$A$1:$D$28, 4)</f>
        <v>0.64969056999999997</v>
      </c>
      <c r="AF20">
        <f t="shared" si="4"/>
        <v>1.0302591728045499E-2</v>
      </c>
      <c r="AG20">
        <f t="shared" si="5"/>
        <v>8.1650743025659472E-2</v>
      </c>
      <c r="AH20">
        <f t="shared" si="6"/>
        <v>7.4062487035469415E-2</v>
      </c>
      <c r="AI20">
        <f t="shared" si="7"/>
        <v>7.588255990190057E-3</v>
      </c>
      <c r="AJ20" s="12"/>
    </row>
    <row r="21" spans="1:36" x14ac:dyDescent="0.25">
      <c r="A21" s="9">
        <v>12</v>
      </c>
      <c r="B21" s="9">
        <v>2007</v>
      </c>
      <c r="C21" s="9">
        <v>-2.4329042894116562</v>
      </c>
      <c r="D21" s="9">
        <v>1.027939435373064</v>
      </c>
      <c r="E21" s="9">
        <v>1.0784095813505901</v>
      </c>
      <c r="F21" s="9">
        <v>1.0092344775168931</v>
      </c>
      <c r="G21" s="9">
        <v>0.68390459919301272</v>
      </c>
      <c r="H21" s="9">
        <v>0.81536481328419441</v>
      </c>
      <c r="I21" s="9">
        <v>0.69873155885384597</v>
      </c>
      <c r="J21" s="9">
        <v>-11.51292546497023</v>
      </c>
      <c r="K21" s="9">
        <v>1.89659895370424</v>
      </c>
      <c r="L21" s="9">
        <v>-2.3000771337360129</v>
      </c>
      <c r="M21" s="9">
        <v>2.313442845502276</v>
      </c>
      <c r="N21" s="9">
        <v>2.218134274509667</v>
      </c>
      <c r="O21" s="9">
        <v>-11.51292546497023</v>
      </c>
      <c r="P21" s="9">
        <v>9.5308572053909302E-2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-2.4477603435516357</v>
      </c>
      <c r="Y21">
        <f t="shared" si="0"/>
        <v>8.7781519073290279E-2</v>
      </c>
      <c r="Z21">
        <f t="shared" si="1"/>
        <v>8.6487071075438002E-2</v>
      </c>
      <c r="AA21">
        <f t="shared" si="2"/>
        <v>1.2944479978522772E-3</v>
      </c>
      <c r="AB21">
        <f t="shared" si="3"/>
        <v>1.675595619143769E-6</v>
      </c>
      <c r="AC21" t="str">
        <f>VLOOKUP(A21, 'state-ids'!$A$1:$B$28, 2)</f>
        <v>AC</v>
      </c>
      <c r="AD21">
        <f>VLOOKUP(A21, 'state-ids'!$A$1:$C$28, 3)</f>
        <v>3.7075563999999998E-2</v>
      </c>
      <c r="AE21">
        <f>VLOOKUP(A21, 'state-ids'!$A$1:$D$28, 4)</f>
        <v>0.64969056999999997</v>
      </c>
      <c r="AF21">
        <f t="shared" si="4"/>
        <v>9.6518382821542004E-3</v>
      </c>
      <c r="AG21">
        <f t="shared" si="5"/>
        <v>9.0809673569613211E-2</v>
      </c>
      <c r="AH21">
        <f t="shared" si="6"/>
        <v>8.237022741276355E-2</v>
      </c>
      <c r="AI21">
        <f t="shared" si="7"/>
        <v>8.4394461568496615E-3</v>
      </c>
      <c r="AJ21" s="12"/>
    </row>
    <row r="22" spans="1:36" x14ac:dyDescent="0.25">
      <c r="A22" s="9">
        <v>12</v>
      </c>
      <c r="B22" s="9">
        <v>2008</v>
      </c>
      <c r="C22" s="9">
        <v>-2.27425156337357</v>
      </c>
      <c r="D22" s="9">
        <v>0.98760623729075003</v>
      </c>
      <c r="E22" s="9">
        <v>1.027939435373064</v>
      </c>
      <c r="F22" s="9">
        <v>1.0784095813505901</v>
      </c>
      <c r="G22" s="9">
        <v>0.64095874881435921</v>
      </c>
      <c r="H22" s="9">
        <v>0.68390459919301272</v>
      </c>
      <c r="I22" s="9">
        <v>0.81536481328419441</v>
      </c>
      <c r="J22" s="9">
        <v>-11.51292546497023</v>
      </c>
      <c r="K22" s="9">
        <v>1.89659895370424</v>
      </c>
      <c r="L22" s="9">
        <v>-2.1314025549806082</v>
      </c>
      <c r="M22" s="9">
        <v>2.3949085330761819</v>
      </c>
      <c r="N22" s="9">
        <v>2.3182674198025608</v>
      </c>
      <c r="O22" s="9">
        <v>-11.51292546497023</v>
      </c>
      <c r="P22" s="9">
        <v>7.6641112565994263E-2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-2.3374414443969727</v>
      </c>
      <c r="Y22">
        <f t="shared" si="0"/>
        <v>0.10287387420505091</v>
      </c>
      <c r="Z22">
        <f t="shared" si="1"/>
        <v>9.6574413408401005E-2</v>
      </c>
      <c r="AA22">
        <f t="shared" si="2"/>
        <v>6.2994607966499055E-3</v>
      </c>
      <c r="AB22">
        <f t="shared" si="3"/>
        <v>3.9683206328529063E-5</v>
      </c>
      <c r="AC22" t="str">
        <f>VLOOKUP(A22, 'state-ids'!$A$1:$B$28, 2)</f>
        <v>AC</v>
      </c>
      <c r="AD22">
        <f>VLOOKUP(A22, 'state-ids'!$A$1:$C$28, 3)</f>
        <v>3.7075563999999998E-2</v>
      </c>
      <c r="AE22">
        <f>VLOOKUP(A22, 'state-ids'!$A$1:$D$28, 4)</f>
        <v>0.64969056999999997</v>
      </c>
      <c r="AF22">
        <f t="shared" si="4"/>
        <v>4.1053869820326626E-2</v>
      </c>
      <c r="AG22">
        <f t="shared" si="5"/>
        <v>0.10140117878595138</v>
      </c>
      <c r="AH22">
        <f t="shared" si="6"/>
        <v>9.1977405359994685E-2</v>
      </c>
      <c r="AI22">
        <f t="shared" si="7"/>
        <v>9.4237734259566969E-3</v>
      </c>
      <c r="AJ22" s="12"/>
    </row>
    <row r="23" spans="1:36" x14ac:dyDescent="0.25">
      <c r="A23" s="9">
        <v>12</v>
      </c>
      <c r="B23" s="9">
        <v>2009</v>
      </c>
      <c r="C23" s="9">
        <v>-2.2112330407058809</v>
      </c>
      <c r="D23" s="9">
        <v>0.94542225838040261</v>
      </c>
      <c r="E23" s="9">
        <v>0.98760623729075003</v>
      </c>
      <c r="F23" s="9">
        <v>1.027939435373064</v>
      </c>
      <c r="G23" s="9">
        <v>0.60355064674818915</v>
      </c>
      <c r="H23" s="9">
        <v>0.64095874881435921</v>
      </c>
      <c r="I23" s="9">
        <v>0.68390459919301272</v>
      </c>
      <c r="J23" s="9">
        <v>-11.51292546497023</v>
      </c>
      <c r="K23" s="9">
        <v>1.89659895370424</v>
      </c>
      <c r="L23" s="9">
        <v>-1.97417015913311</v>
      </c>
      <c r="M23" s="9">
        <v>2.4528339580987599</v>
      </c>
      <c r="N23" s="9">
        <v>2.3787807862614101</v>
      </c>
      <c r="O23" s="9">
        <v>-11.51292546497023</v>
      </c>
      <c r="P23" s="9">
        <v>7.4053168296813965E-2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-2.2124011516571045</v>
      </c>
      <c r="Y23">
        <f t="shared" si="0"/>
        <v>0.10956546651001542</v>
      </c>
      <c r="Z23">
        <f t="shared" si="1"/>
        <v>0.10943755660973103</v>
      </c>
      <c r="AA23">
        <f t="shared" si="2"/>
        <v>1.279099002843842E-4</v>
      </c>
      <c r="AB23">
        <f t="shared" si="3"/>
        <v>1.6360942590761109E-8</v>
      </c>
      <c r="AC23" t="str">
        <f>VLOOKUP(A23, 'state-ids'!$A$1:$B$28, 2)</f>
        <v>AC</v>
      </c>
      <c r="AD23">
        <f>VLOOKUP(A23, 'state-ids'!$A$1:$C$28, 3)</f>
        <v>3.7075563999999998E-2</v>
      </c>
      <c r="AE23">
        <f>VLOOKUP(A23, 'state-ids'!$A$1:$D$28, 4)</f>
        <v>0.64969056999999997</v>
      </c>
      <c r="AF23">
        <f t="shared" si="4"/>
        <v>7.5891066972370272E-4</v>
      </c>
      <c r="AG23">
        <f t="shared" si="5"/>
        <v>0.11490721871385114</v>
      </c>
      <c r="AH23">
        <f t="shared" si="6"/>
        <v>0.1042282541581037</v>
      </c>
      <c r="AI23">
        <f t="shared" si="7"/>
        <v>1.0678964555747433E-2</v>
      </c>
      <c r="AJ23" s="12"/>
    </row>
    <row r="24" spans="1:36" x14ac:dyDescent="0.25">
      <c r="A24" s="9">
        <v>12</v>
      </c>
      <c r="B24" s="9">
        <v>2010</v>
      </c>
      <c r="C24" s="9">
        <v>-2.0238197630288082</v>
      </c>
      <c r="D24" s="9">
        <v>0.89469930563067901</v>
      </c>
      <c r="E24" s="9">
        <v>0.94542225838040261</v>
      </c>
      <c r="F24" s="9">
        <v>0.98760623729075003</v>
      </c>
      <c r="G24" s="9">
        <v>0.67904825618044362</v>
      </c>
      <c r="H24" s="9">
        <v>0.60355064674818915</v>
      </c>
      <c r="I24" s="9">
        <v>0.64095874881435921</v>
      </c>
      <c r="J24" s="9">
        <v>-6.5775261137723211</v>
      </c>
      <c r="K24" s="9">
        <v>1.89659895370424</v>
      </c>
      <c r="L24" s="9">
        <v>-1.851129937016835</v>
      </c>
      <c r="M24" s="9">
        <v>2.451574835691376</v>
      </c>
      <c r="N24" s="9">
        <v>2.4136386773470888</v>
      </c>
      <c r="O24" s="9">
        <v>-11.51292546497023</v>
      </c>
      <c r="P24" s="9">
        <v>3.793615847826004E-2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-2.0603728294372559</v>
      </c>
      <c r="Y24">
        <f t="shared" si="0"/>
        <v>0.13214971916873389</v>
      </c>
      <c r="Z24">
        <f t="shared" si="1"/>
        <v>0.127406460160013</v>
      </c>
      <c r="AA24">
        <f t="shared" si="2"/>
        <v>4.7432590087208848E-3</v>
      </c>
      <c r="AB24">
        <f t="shared" si="3"/>
        <v>2.2498506023811832E-5</v>
      </c>
      <c r="AC24" t="str">
        <f>VLOOKUP(A24, 'state-ids'!$A$1:$B$28, 2)</f>
        <v>AC</v>
      </c>
      <c r="AD24">
        <f>VLOOKUP(A24, 'state-ids'!$A$1:$C$28, 3)</f>
        <v>3.7075563999999998E-2</v>
      </c>
      <c r="AE24">
        <f>VLOOKUP(A24, 'state-ids'!$A$1:$D$28, 4)</f>
        <v>0.64969056999999997</v>
      </c>
      <c r="AF24">
        <f t="shared" si="4"/>
        <v>2.3748182550152229E-2</v>
      </c>
      <c r="AG24">
        <f t="shared" si="5"/>
        <v>0.13377420363442594</v>
      </c>
      <c r="AH24">
        <f t="shared" si="6"/>
        <v>0.12134182562479988</v>
      </c>
      <c r="AI24">
        <f t="shared" si="7"/>
        <v>1.2432378009626058E-2</v>
      </c>
      <c r="AJ24" s="12"/>
    </row>
    <row r="25" spans="1:36" x14ac:dyDescent="0.25">
      <c r="A25" s="9">
        <v>12</v>
      </c>
      <c r="B25" s="9">
        <v>2011</v>
      </c>
      <c r="C25" s="9">
        <v>-1.9428928643946779</v>
      </c>
      <c r="D25" s="9">
        <v>0.87108413903607584</v>
      </c>
      <c r="E25" s="9">
        <v>0.89469930563067901</v>
      </c>
      <c r="F25" s="9">
        <v>0.94542225838040261</v>
      </c>
      <c r="G25" s="9">
        <v>0.64872496300719862</v>
      </c>
      <c r="H25" s="9">
        <v>0.67904825618044362</v>
      </c>
      <c r="I25" s="9">
        <v>0.60355064674818915</v>
      </c>
      <c r="J25" s="9">
        <v>-5.0058049802243119</v>
      </c>
      <c r="K25" s="9">
        <v>1.89659895370424</v>
      </c>
      <c r="L25" s="9">
        <v>-1.7662719913196829</v>
      </c>
      <c r="M25" s="9">
        <v>2.4041960497971822</v>
      </c>
      <c r="N25" s="9">
        <v>2.413858056805267</v>
      </c>
      <c r="O25" s="9">
        <v>-11.51292546497023</v>
      </c>
      <c r="P25" s="9">
        <v>-9.6620069816708565E-3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-1.972894549369812</v>
      </c>
      <c r="Y25">
        <f t="shared" si="0"/>
        <v>0.14328883446366894</v>
      </c>
      <c r="Z25">
        <f t="shared" si="1"/>
        <v>0.1390537751102883</v>
      </c>
      <c r="AA25">
        <f t="shared" si="2"/>
        <v>4.2350593533806435E-3</v>
      </c>
      <c r="AB25">
        <f t="shared" si="3"/>
        <v>1.7935727726656876E-5</v>
      </c>
      <c r="AC25" t="str">
        <f>VLOOKUP(A25, 'state-ids'!$A$1:$B$28, 2)</f>
        <v>AC</v>
      </c>
      <c r="AD25">
        <f>VLOOKUP(A25, 'state-ids'!$A$1:$C$28, 3)</f>
        <v>3.7075563999999998E-2</v>
      </c>
      <c r="AE25">
        <f>VLOOKUP(A25, 'state-ids'!$A$1:$D$28, 4)</f>
        <v>0.64969056999999997</v>
      </c>
      <c r="AF25">
        <f t="shared" si="4"/>
        <v>1.9491811812455316E-2</v>
      </c>
      <c r="AG25">
        <f t="shared" si="5"/>
        <v>0.14600364851497244</v>
      </c>
      <c r="AH25">
        <f t="shared" si="6"/>
        <v>0.13243472042713897</v>
      </c>
      <c r="AI25">
        <f t="shared" si="7"/>
        <v>1.3568928087833471E-2</v>
      </c>
      <c r="AJ25" s="12"/>
    </row>
    <row r="26" spans="1:36" x14ac:dyDescent="0.25">
      <c r="A26" s="9">
        <v>12</v>
      </c>
      <c r="B26" s="9">
        <v>2012</v>
      </c>
      <c r="C26" s="9">
        <v>-1.853506372455425</v>
      </c>
      <c r="D26" s="9">
        <v>0.82070451397482058</v>
      </c>
      <c r="E26" s="9">
        <v>0.87108413903607584</v>
      </c>
      <c r="F26" s="9">
        <v>0.89469930563067901</v>
      </c>
      <c r="G26" s="9">
        <v>0.60393338001511543</v>
      </c>
      <c r="H26" s="9">
        <v>0.64872496300719862</v>
      </c>
      <c r="I26" s="9">
        <v>0.67904825618044362</v>
      </c>
      <c r="J26" s="9">
        <v>-4.552278246026316</v>
      </c>
      <c r="K26" s="9">
        <v>1.89659895370424</v>
      </c>
      <c r="L26" s="9">
        <v>-1.681677032607656</v>
      </c>
      <c r="M26" s="9">
        <v>2.435977906762917</v>
      </c>
      <c r="N26" s="9">
        <v>2.3877191547494352</v>
      </c>
      <c r="O26" s="9">
        <v>-11.51292546497023</v>
      </c>
      <c r="P26" s="9">
        <v>4.8258751630783081E-2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-1.8573474884033203</v>
      </c>
      <c r="Y26">
        <f t="shared" si="0"/>
        <v>0.15668679970373728</v>
      </c>
      <c r="Z26">
        <f t="shared" si="1"/>
        <v>0.15608610195199391</v>
      </c>
      <c r="AA26">
        <f t="shared" si="2"/>
        <v>6.0069775174337314E-4</v>
      </c>
      <c r="AB26">
        <f t="shared" si="3"/>
        <v>3.6083778894954317E-7</v>
      </c>
      <c r="AC26" t="str">
        <f>VLOOKUP(A26, 'state-ids'!$A$1:$B$28, 2)</f>
        <v>AC</v>
      </c>
      <c r="AD26">
        <f>VLOOKUP(A26, 'state-ids'!$A$1:$C$28, 3)</f>
        <v>3.7075563999999998E-2</v>
      </c>
      <c r="AE26">
        <f>VLOOKUP(A26, 'state-ids'!$A$1:$D$28, 4)</f>
        <v>0.64969056999999997</v>
      </c>
      <c r="AF26">
        <f t="shared" si="4"/>
        <v>2.4955368096241672E-3</v>
      </c>
      <c r="AG26">
        <f t="shared" si="5"/>
        <v>0.16388724685393277</v>
      </c>
      <c r="AH26">
        <f t="shared" si="6"/>
        <v>0.14865629687636436</v>
      </c>
      <c r="AI26">
        <f t="shared" si="7"/>
        <v>1.5230949977568409E-2</v>
      </c>
      <c r="AJ26" s="12"/>
    </row>
    <row r="27" spans="1:36" x14ac:dyDescent="0.25">
      <c r="A27" s="9">
        <v>12</v>
      </c>
      <c r="B27" s="9">
        <v>2013</v>
      </c>
      <c r="C27" s="9">
        <v>-1.823798812909148</v>
      </c>
      <c r="D27" s="9">
        <v>0.80092477273337637</v>
      </c>
      <c r="E27" s="9">
        <v>0.82070451397482058</v>
      </c>
      <c r="F27" s="9">
        <v>0.87108413903607584</v>
      </c>
      <c r="G27" s="9">
        <v>0.59305056402166012</v>
      </c>
      <c r="H27" s="9">
        <v>0.60393338001511543</v>
      </c>
      <c r="I27" s="9">
        <v>0.64872496300719862</v>
      </c>
      <c r="J27" s="9">
        <v>-3.6590167181892319</v>
      </c>
      <c r="K27" s="9">
        <v>1.89659895370424</v>
      </c>
      <c r="L27" s="9">
        <v>-1.6211200885215431</v>
      </c>
      <c r="M27" s="9">
        <v>2.464379744574213</v>
      </c>
      <c r="N27" s="9">
        <v>2.4129487027258469</v>
      </c>
      <c r="O27" s="9">
        <v>-11.51292546497023</v>
      </c>
      <c r="P27" s="9">
        <v>5.1431041210889816E-2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-1.8011714220046997</v>
      </c>
      <c r="Y27">
        <f t="shared" si="0"/>
        <v>0.16141141303577897</v>
      </c>
      <c r="Z27">
        <f t="shared" si="1"/>
        <v>0.16510536683630556</v>
      </c>
      <c r="AA27">
        <f t="shared" si="2"/>
        <v>-3.6939538005265893E-3</v>
      </c>
      <c r="AB27">
        <f t="shared" si="3"/>
        <v>1.3645294680424833E-5</v>
      </c>
      <c r="AC27" t="str">
        <f>VLOOKUP(A27, 'state-ids'!$A$1:$B$28, 2)</f>
        <v>AC</v>
      </c>
      <c r="AD27">
        <f>VLOOKUP(A27, 'state-ids'!$A$1:$C$28, 3)</f>
        <v>3.7075563999999998E-2</v>
      </c>
      <c r="AE27">
        <f>VLOOKUP(A27, 'state-ids'!$A$1:$D$28, 4)</f>
        <v>0.64969056999999997</v>
      </c>
      <c r="AF27">
        <f t="shared" si="4"/>
        <v>-1.4700802494323843E-2</v>
      </c>
      <c r="AG27">
        <f t="shared" si="5"/>
        <v>0.1733572923740061</v>
      </c>
      <c r="AH27">
        <f t="shared" si="6"/>
        <v>0.15724623859110567</v>
      </c>
      <c r="AI27">
        <f t="shared" si="7"/>
        <v>1.6111053782900425E-2</v>
      </c>
      <c r="AJ27" s="12"/>
    </row>
    <row r="28" spans="1:36" x14ac:dyDescent="0.25">
      <c r="A28" s="9">
        <v>12</v>
      </c>
      <c r="B28" s="9">
        <v>2014</v>
      </c>
      <c r="C28" s="9">
        <v>-1.7438080667107489</v>
      </c>
      <c r="D28" s="9">
        <v>0.78686518443369713</v>
      </c>
      <c r="E28" s="9">
        <v>0.80092477273337637</v>
      </c>
      <c r="F28" s="9">
        <v>0.82070451397482058</v>
      </c>
      <c r="G28" s="9">
        <v>0.60748035380285359</v>
      </c>
      <c r="H28" s="9">
        <v>0.59305056402166012</v>
      </c>
      <c r="I28" s="9">
        <v>0.60393338001511543</v>
      </c>
      <c r="J28" s="9">
        <v>-2.8879711514722008</v>
      </c>
      <c r="K28" s="9">
        <v>1.89659895370424</v>
      </c>
      <c r="L28" s="9">
        <v>-1.55917951479725</v>
      </c>
      <c r="M28" s="9">
        <v>2.5309753553273722</v>
      </c>
      <c r="N28" s="9">
        <v>2.4469679509269722</v>
      </c>
      <c r="O28" s="9">
        <v>-11.51292546497023</v>
      </c>
      <c r="P28" s="9">
        <v>8.4007404744625092E-2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-1.7280294895172119</v>
      </c>
      <c r="Y28">
        <f t="shared" si="0"/>
        <v>0.17485327825176775</v>
      </c>
      <c r="Z28">
        <f t="shared" si="1"/>
        <v>0.17763409517418902</v>
      </c>
      <c r="AA28">
        <f t="shared" si="2"/>
        <v>-2.7808169224212698E-3</v>
      </c>
      <c r="AB28">
        <f t="shared" si="3"/>
        <v>7.7329427560245019E-6</v>
      </c>
      <c r="AC28" t="str">
        <f>VLOOKUP(A28, 'state-ids'!$A$1:$B$28, 2)</f>
        <v>AC</v>
      </c>
      <c r="AD28">
        <f>VLOOKUP(A28, 'state-ids'!$A$1:$C$28, 3)</f>
        <v>3.7075563999999998E-2</v>
      </c>
      <c r="AE28">
        <f>VLOOKUP(A28, 'state-ids'!$A$1:$D$28, 4)</f>
        <v>0.64969056999999997</v>
      </c>
      <c r="AF28">
        <f t="shared" si="4"/>
        <v>-1.0251192810658076E-2</v>
      </c>
      <c r="AG28">
        <f t="shared" si="5"/>
        <v>0.18651220346601405</v>
      </c>
      <c r="AH28">
        <f t="shared" si="6"/>
        <v>0.16917859090170762</v>
      </c>
      <c r="AI28">
        <f t="shared" si="7"/>
        <v>1.7333612564306433E-2</v>
      </c>
      <c r="AJ28" s="12"/>
    </row>
    <row r="29" spans="1:36" x14ac:dyDescent="0.25">
      <c r="A29" s="9">
        <v>12</v>
      </c>
      <c r="B29" s="9">
        <v>2015</v>
      </c>
      <c r="C29" s="9">
        <v>-1.745503791543106</v>
      </c>
      <c r="D29" s="9">
        <v>0.80424122806553211</v>
      </c>
      <c r="E29" s="9">
        <v>0.78686518443369713</v>
      </c>
      <c r="F29" s="9">
        <v>0.80092477273337637</v>
      </c>
      <c r="G29" s="9">
        <v>0.57717500430752455</v>
      </c>
      <c r="H29" s="9">
        <v>0.60748035380285359</v>
      </c>
      <c r="I29" s="9">
        <v>0.59305056402166012</v>
      </c>
      <c r="J29" s="9">
        <v>-2.545858637871083</v>
      </c>
      <c r="K29" s="9">
        <v>1.89659895370424</v>
      </c>
      <c r="L29" s="9">
        <v>-1.50904858212068</v>
      </c>
      <c r="M29" s="9">
        <v>2.4533261407057392</v>
      </c>
      <c r="N29" s="9">
        <v>2.514142776455218</v>
      </c>
      <c r="O29" s="9">
        <v>-11.51292546497023</v>
      </c>
      <c r="P29" s="9">
        <v>-6.0816634446382523E-2</v>
      </c>
      <c r="Q29" s="9">
        <v>1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-1.766331672668457</v>
      </c>
      <c r="Y29">
        <f t="shared" si="0"/>
        <v>0.17455702645756813</v>
      </c>
      <c r="Z29">
        <f t="shared" si="1"/>
        <v>0.17095897344004671</v>
      </c>
      <c r="AA29">
        <f t="shared" si="2"/>
        <v>3.5980530175214187E-3</v>
      </c>
      <c r="AB29">
        <f t="shared" si="3"/>
        <v>1.2945985516894987E-5</v>
      </c>
      <c r="AC29" t="str">
        <f>VLOOKUP(A29, 'state-ids'!$A$1:$B$28, 2)</f>
        <v>AC</v>
      </c>
      <c r="AD29">
        <f>VLOOKUP(A29, 'state-ids'!$A$1:$C$28, 3)</f>
        <v>3.7075563999999998E-2</v>
      </c>
      <c r="AE29">
        <f>VLOOKUP(A29, 'state-ids'!$A$1:$D$28, 4)</f>
        <v>0.64969056999999997</v>
      </c>
      <c r="AF29">
        <f t="shared" si="4"/>
        <v>1.3531677960221568E-2</v>
      </c>
      <c r="AG29">
        <f t="shared" si="5"/>
        <v>0.17950346079294829</v>
      </c>
      <c r="AH29">
        <f t="shared" si="6"/>
        <v>0.16282120952189888</v>
      </c>
      <c r="AI29">
        <f t="shared" si="7"/>
        <v>1.6682251271049414E-2</v>
      </c>
      <c r="AJ29" s="12"/>
    </row>
    <row r="30" spans="1:36" x14ac:dyDescent="0.25">
      <c r="A30" s="9">
        <v>12</v>
      </c>
      <c r="B30" s="9">
        <v>2016</v>
      </c>
      <c r="C30" s="9">
        <v>-1.7866062373763869</v>
      </c>
      <c r="D30" s="9">
        <v>0.80629727849260113</v>
      </c>
      <c r="E30" s="9">
        <v>0.80424122806553211</v>
      </c>
      <c r="F30" s="9">
        <v>0.78686518443369713</v>
      </c>
      <c r="G30" s="9">
        <v>0.60671745256155762</v>
      </c>
      <c r="H30" s="9">
        <v>0.57717500430752455</v>
      </c>
      <c r="I30" s="9">
        <v>0.60748035380285359</v>
      </c>
      <c r="J30" s="9">
        <v>-2.2509086162663912</v>
      </c>
      <c r="K30" s="9">
        <v>1.89659895370424</v>
      </c>
      <c r="L30" s="9">
        <v>-1.479321084465824</v>
      </c>
      <c r="M30" s="9">
        <v>2.368745845321349</v>
      </c>
      <c r="N30" s="9">
        <v>2.4370635924484572</v>
      </c>
      <c r="O30" s="9">
        <v>-11.51292546497023</v>
      </c>
      <c r="P30" s="9">
        <v>-6.8317748606204987E-2</v>
      </c>
      <c r="Q30" s="9">
        <v>1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1</v>
      </c>
      <c r="X30" s="9">
        <v>-1.739788293838501</v>
      </c>
      <c r="Y30">
        <f t="shared" si="0"/>
        <v>0.16752775543139531</v>
      </c>
      <c r="Z30">
        <f t="shared" si="1"/>
        <v>0.17555756330092204</v>
      </c>
      <c r="AA30">
        <f t="shared" si="2"/>
        <v>-8.0298078695267283E-3</v>
      </c>
      <c r="AB30">
        <f t="shared" si="3"/>
        <v>6.4477814421513369E-5</v>
      </c>
      <c r="AC30" t="str">
        <f>VLOOKUP(A30, 'state-ids'!$A$1:$B$28, 2)</f>
        <v>AC</v>
      </c>
      <c r="AD30">
        <f>VLOOKUP(A30, 'state-ids'!$A$1:$C$28, 3)</f>
        <v>3.7075563999999998E-2</v>
      </c>
      <c r="AE30">
        <f>VLOOKUP(A30, 'state-ids'!$A$1:$D$28, 4)</f>
        <v>0.64969056999999997</v>
      </c>
      <c r="AF30">
        <f t="shared" si="4"/>
        <v>-3.0417176423356927E-2</v>
      </c>
      <c r="AG30">
        <f t="shared" si="5"/>
        <v>0.184331887041565</v>
      </c>
      <c r="AH30">
        <f t="shared" si="6"/>
        <v>0.16720090336409105</v>
      </c>
      <c r="AI30">
        <f t="shared" si="7"/>
        <v>1.7130983677473954E-2</v>
      </c>
      <c r="AJ30" s="12"/>
    </row>
    <row r="31" spans="1:36" x14ac:dyDescent="0.25">
      <c r="A31" s="9">
        <v>12</v>
      </c>
      <c r="B31" s="9">
        <v>2017</v>
      </c>
      <c r="C31" s="9">
        <v>-1.803964079196309</v>
      </c>
      <c r="D31" s="9">
        <v>0.84346194121881335</v>
      </c>
      <c r="E31" s="9">
        <v>0.80629727849260113</v>
      </c>
      <c r="F31" s="9">
        <v>0.80424122806553211</v>
      </c>
      <c r="G31" s="9">
        <v>0.6634093622959889</v>
      </c>
      <c r="H31" s="9">
        <v>0.60671745256155762</v>
      </c>
      <c r="I31" s="9">
        <v>0.57717500430752455</v>
      </c>
      <c r="J31" s="9">
        <v>-1.6395621942722589</v>
      </c>
      <c r="K31" s="9">
        <v>1.89659895370424</v>
      </c>
      <c r="L31" s="9">
        <v>-1.449845687397157</v>
      </c>
      <c r="M31" s="9">
        <v>2.353997619072592</v>
      </c>
      <c r="N31" s="9">
        <v>2.353035198584525</v>
      </c>
      <c r="O31" s="9">
        <v>-11.51292546497023</v>
      </c>
      <c r="P31" s="9">
        <v>9.6242048311978579E-4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1</v>
      </c>
      <c r="X31" s="9">
        <v>-1.730992317199707</v>
      </c>
      <c r="Y31">
        <f t="shared" si="0"/>
        <v>0.16464492737027464</v>
      </c>
      <c r="Z31">
        <f t="shared" si="1"/>
        <v>0.17710857485715675</v>
      </c>
      <c r="AA31">
        <f t="shared" si="2"/>
        <v>-1.2463647486882112E-2</v>
      </c>
      <c r="AB31">
        <f t="shared" si="3"/>
        <v>1.5534250867726279E-4</v>
      </c>
      <c r="AC31" t="str">
        <f>VLOOKUP(A31, 'state-ids'!$A$1:$B$28, 2)</f>
        <v>AC</v>
      </c>
      <c r="AD31">
        <f>VLOOKUP(A31, 'state-ids'!$A$1:$C$28, 3)</f>
        <v>3.7075563999999998E-2</v>
      </c>
      <c r="AE31">
        <f>VLOOKUP(A31, 'state-ids'!$A$1:$D$28, 4)</f>
        <v>0.64969056999999997</v>
      </c>
      <c r="AF31">
        <f t="shared" si="4"/>
        <v>-4.7409065645476645E-2</v>
      </c>
      <c r="AG31">
        <f t="shared" si="5"/>
        <v>0.18596041777307187</v>
      </c>
      <c r="AH31">
        <f t="shared" si="6"/>
        <v>0.16867808571075002</v>
      </c>
      <c r="AI31">
        <f t="shared" si="7"/>
        <v>1.7282332062321853E-2</v>
      </c>
      <c r="AJ31" s="12"/>
    </row>
    <row r="32" spans="1:36" x14ac:dyDescent="0.25">
      <c r="A32" s="9">
        <v>12</v>
      </c>
      <c r="B32" s="9">
        <v>2018</v>
      </c>
      <c r="C32" s="9">
        <v>-1.8707615171010761</v>
      </c>
      <c r="D32" s="9">
        <v>0.93730830709662494</v>
      </c>
      <c r="E32" s="9">
        <v>0.84346194121881335</v>
      </c>
      <c r="F32" s="9">
        <v>0.80629727849260113</v>
      </c>
      <c r="G32" s="9">
        <v>0.70051993488935849</v>
      </c>
      <c r="H32" s="9">
        <v>0.6634093622959889</v>
      </c>
      <c r="I32" s="9">
        <v>0.60671745256155762</v>
      </c>
      <c r="J32" s="9">
        <v>-1.2704798017012739</v>
      </c>
      <c r="K32" s="9">
        <v>1.89659895370424</v>
      </c>
      <c r="L32" s="9">
        <v>-1.447486001868977</v>
      </c>
      <c r="M32" s="9">
        <v>2.3348805785508659</v>
      </c>
      <c r="N32" s="9">
        <v>2.3073161513348381</v>
      </c>
      <c r="O32" s="9">
        <v>3.2580965380214821</v>
      </c>
      <c r="P32" s="9">
        <v>2.7564426884055138E-2</v>
      </c>
      <c r="Q32" s="9">
        <v>1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1</v>
      </c>
      <c r="X32" s="9">
        <v>-1.7969324588775635</v>
      </c>
      <c r="Y32">
        <f t="shared" si="0"/>
        <v>0.15400633868843214</v>
      </c>
      <c r="Z32">
        <f t="shared" si="1"/>
        <v>0.16580672786997905</v>
      </c>
      <c r="AA32">
        <f t="shared" si="2"/>
        <v>-1.1800389181546911E-2</v>
      </c>
      <c r="AB32">
        <f t="shared" si="3"/>
        <v>1.3924918483596937E-4</v>
      </c>
      <c r="AC32" t="str">
        <f>VLOOKUP(A32, 'state-ids'!$A$1:$B$28, 2)</f>
        <v>AC</v>
      </c>
      <c r="AD32">
        <f>VLOOKUP(A32, 'state-ids'!$A$1:$C$28, 3)</f>
        <v>3.7075563999999998E-2</v>
      </c>
      <c r="AE32">
        <f>VLOOKUP(A32, 'state-ids'!$A$1:$D$28, 4)</f>
        <v>0.64969056999999997</v>
      </c>
      <c r="AF32">
        <f t="shared" si="4"/>
        <v>-4.7966042919797086E-2</v>
      </c>
      <c r="AG32">
        <f t="shared" si="5"/>
        <v>0.17409370725926429</v>
      </c>
      <c r="AH32">
        <f t="shared" si="6"/>
        <v>0.15791421436047526</v>
      </c>
      <c r="AI32">
        <f t="shared" si="7"/>
        <v>1.6179492898789033E-2</v>
      </c>
      <c r="AJ32" s="12"/>
    </row>
    <row r="33" spans="1:36" x14ac:dyDescent="0.25">
      <c r="A33" s="9">
        <v>12</v>
      </c>
      <c r="B33" s="9">
        <v>2019</v>
      </c>
      <c r="C33" s="9">
        <v>-1.8548545271126911</v>
      </c>
      <c r="D33" s="9">
        <v>0.86865390235854689</v>
      </c>
      <c r="E33" s="9">
        <v>0.93730830709662494</v>
      </c>
      <c r="F33" s="9">
        <v>0.84346194121881335</v>
      </c>
      <c r="G33" s="9">
        <v>0.6634093622959889</v>
      </c>
      <c r="H33" s="9">
        <v>0.70051993488935849</v>
      </c>
      <c r="I33" s="9">
        <v>0.6634093622959889</v>
      </c>
      <c r="J33" s="9">
        <v>-0.58160918310328213</v>
      </c>
      <c r="K33" s="9">
        <v>1.89659895370424</v>
      </c>
      <c r="L33" s="9">
        <v>-1.413985790649066</v>
      </c>
      <c r="M33" s="9">
        <v>2.29834380834231</v>
      </c>
      <c r="N33" s="9">
        <v>2.3204102483993698</v>
      </c>
      <c r="O33" s="9">
        <v>5.393627546352362</v>
      </c>
      <c r="P33" s="9">
        <v>-2.2066440433263779E-2</v>
      </c>
      <c r="Q33" s="9">
        <v>1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</v>
      </c>
      <c r="X33" s="9">
        <v>-1.7460775375366211</v>
      </c>
      <c r="Y33">
        <f t="shared" si="0"/>
        <v>0.15647570399179073</v>
      </c>
      <c r="Z33">
        <f t="shared" si="1"/>
        <v>0.17445690378823495</v>
      </c>
      <c r="AA33">
        <f t="shared" si="2"/>
        <v>-1.7981199796444219E-2</v>
      </c>
      <c r="AB33">
        <f t="shared" si="3"/>
        <v>3.2332354611964563E-4</v>
      </c>
      <c r="AC33" t="str">
        <f>VLOOKUP(A33, 'state-ids'!$A$1:$B$28, 2)</f>
        <v>AC</v>
      </c>
      <c r="AD33">
        <f>VLOOKUP(A33, 'state-ids'!$A$1:$C$28, 3)</f>
        <v>3.7075563999999998E-2</v>
      </c>
      <c r="AE33">
        <f>VLOOKUP(A33, 'state-ids'!$A$1:$D$28, 4)</f>
        <v>0.64969056999999997</v>
      </c>
      <c r="AF33">
        <f t="shared" si="4"/>
        <v>-7.0671384360560946E-2</v>
      </c>
      <c r="AG33">
        <f t="shared" si="5"/>
        <v>0.18317621683773505</v>
      </c>
      <c r="AH33">
        <f t="shared" si="6"/>
        <v>0.16615263599607047</v>
      </c>
      <c r="AI33">
        <f t="shared" si="7"/>
        <v>1.7023580841664582E-2</v>
      </c>
      <c r="AJ33" s="12"/>
    </row>
    <row r="34" spans="1:36" x14ac:dyDescent="0.25">
      <c r="A34" s="9">
        <v>12</v>
      </c>
      <c r="B34" s="9">
        <v>2020</v>
      </c>
      <c r="C34" s="9">
        <v>-1.88050971510182</v>
      </c>
      <c r="D34" s="9">
        <v>0.81823679139876693</v>
      </c>
      <c r="E34" s="9">
        <v>0.86865390235854689</v>
      </c>
      <c r="F34" s="9">
        <v>0.93730830709662494</v>
      </c>
      <c r="G34" s="9">
        <v>0.61917766035977084</v>
      </c>
      <c r="H34" s="9">
        <v>0.6634093622959889</v>
      </c>
      <c r="I34" s="9">
        <v>0.70051993488935849</v>
      </c>
      <c r="J34" s="9">
        <v>2.7054758258881369E-2</v>
      </c>
      <c r="K34" s="9">
        <v>1.89659895370424</v>
      </c>
      <c r="L34" s="9">
        <v>-1.3876704234500099</v>
      </c>
      <c r="M34" s="9">
        <v>2.274248317061752</v>
      </c>
      <c r="N34" s="9">
        <v>2.2842308013914758</v>
      </c>
      <c r="O34" s="9">
        <v>5.9914645471079817</v>
      </c>
      <c r="P34" s="9">
        <v>-9.9824843928217888E-3</v>
      </c>
      <c r="Q34" s="9">
        <v>1</v>
      </c>
      <c r="R34" s="9">
        <v>1</v>
      </c>
      <c r="S34" s="9">
        <v>0</v>
      </c>
      <c r="T34" s="9">
        <v>0</v>
      </c>
      <c r="U34" s="9">
        <v>0</v>
      </c>
      <c r="V34" s="9">
        <v>0</v>
      </c>
      <c r="W34" s="9">
        <v>1</v>
      </c>
      <c r="X34" s="9">
        <v>-1.813714861869812</v>
      </c>
      <c r="Y34">
        <f t="shared" si="0"/>
        <v>0.15251234809440223</v>
      </c>
      <c r="Z34">
        <f t="shared" si="1"/>
        <v>0.1630473121228494</v>
      </c>
      <c r="AA34">
        <f t="shared" si="2"/>
        <v>-1.0534964028447169E-2</v>
      </c>
      <c r="AB34">
        <f t="shared" si="3"/>
        <v>1.1098546708067581E-4</v>
      </c>
      <c r="AC34" t="str">
        <f>VLOOKUP(A34, 'state-ids'!$A$1:$B$28, 2)</f>
        <v>AC</v>
      </c>
      <c r="AD34">
        <f>VLOOKUP(A34, 'state-ids'!$A$1:$C$28, 3)</f>
        <v>3.7075563999999998E-2</v>
      </c>
      <c r="AE34">
        <f>VLOOKUP(A34, 'state-ids'!$A$1:$D$28, 4)</f>
        <v>0.64969056999999997</v>
      </c>
      <c r="AF34">
        <f t="shared" si="4"/>
        <v>-4.3395986269369587E-2</v>
      </c>
      <c r="AG34">
        <f t="shared" si="5"/>
        <v>0.17119637659326076</v>
      </c>
      <c r="AH34">
        <f t="shared" si="6"/>
        <v>0.15528614868787113</v>
      </c>
      <c r="AI34">
        <f t="shared" si="7"/>
        <v>1.5910227905389623E-2</v>
      </c>
      <c r="AJ34" s="12"/>
    </row>
    <row r="35" spans="1:36" x14ac:dyDescent="0.25">
      <c r="A35" s="9">
        <v>12</v>
      </c>
      <c r="B35" s="9">
        <v>2021</v>
      </c>
      <c r="C35" s="9">
        <v>-1.878643824790587</v>
      </c>
      <c r="D35" s="9">
        <v>0.99332584434100879</v>
      </c>
      <c r="E35" s="9">
        <v>0.81823679139876693</v>
      </c>
      <c r="F35" s="9">
        <v>0.86865390235854689</v>
      </c>
      <c r="G35" s="9">
        <v>0.81730982318036782</v>
      </c>
      <c r="H35" s="9">
        <v>0.61917766035977084</v>
      </c>
      <c r="I35" s="9">
        <v>0.6634093622959889</v>
      </c>
      <c r="J35" s="9">
        <v>0.70261181834886477</v>
      </c>
      <c r="K35" s="9">
        <v>1.89659895370424</v>
      </c>
      <c r="L35" s="9">
        <v>-1.364484611240979</v>
      </c>
      <c r="M35" s="9">
        <v>2.3980824642529059</v>
      </c>
      <c r="N35" s="9">
        <v>2.2604739548329111</v>
      </c>
      <c r="O35" s="9">
        <v>6.6846117276679271</v>
      </c>
      <c r="P35" s="9">
        <v>0.13760851323604584</v>
      </c>
      <c r="Q35" s="9">
        <v>1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</v>
      </c>
      <c r="X35" s="9">
        <v>-1.7549253702163696</v>
      </c>
      <c r="Y35">
        <f t="shared" si="0"/>
        <v>0.1527971850616843</v>
      </c>
      <c r="Z35">
        <f t="shared" si="1"/>
        <v>0.17292014680332121</v>
      </c>
      <c r="AA35">
        <f t="shared" si="2"/>
        <v>-2.0122961741636913E-2</v>
      </c>
      <c r="AB35">
        <f t="shared" si="3"/>
        <v>4.0493358925538294E-4</v>
      </c>
      <c r="AC35" t="str">
        <f>VLOOKUP(A35, 'state-ids'!$A$1:$B$28, 2)</f>
        <v>AC</v>
      </c>
      <c r="AD35">
        <f>VLOOKUP(A35, 'state-ids'!$A$1:$C$28, 3)</f>
        <v>3.7075563999999998E-2</v>
      </c>
      <c r="AE35">
        <f>VLOOKUP(A35, 'state-ids'!$A$1:$D$28, 4)</f>
        <v>0.64969056999999997</v>
      </c>
      <c r="AF35">
        <f t="shared" si="4"/>
        <v>-8.0378713271842386E-2</v>
      </c>
      <c r="AG35">
        <f t="shared" si="5"/>
        <v>0.18156265311751016</v>
      </c>
      <c r="AH35">
        <f t="shared" si="6"/>
        <v>0.16468902969340024</v>
      </c>
      <c r="AI35">
        <f t="shared" si="7"/>
        <v>1.6873623424109918E-2</v>
      </c>
      <c r="AJ35" s="12"/>
    </row>
    <row r="36" spans="1:36" x14ac:dyDescent="0.25">
      <c r="A36" s="9">
        <v>12</v>
      </c>
      <c r="B36" s="9">
        <v>2022</v>
      </c>
      <c r="C36" s="9">
        <v>-1.803714186016224</v>
      </c>
      <c r="D36" s="9">
        <v>0.96667961740728414</v>
      </c>
      <c r="E36" s="9">
        <v>0.99332584434100879</v>
      </c>
      <c r="F36" s="9">
        <v>0.81823679139876693</v>
      </c>
      <c r="G36" s="9">
        <v>0.77785590848689956</v>
      </c>
      <c r="H36" s="9">
        <v>0.81730982318036782</v>
      </c>
      <c r="I36" s="9">
        <v>0.61917766035977084</v>
      </c>
      <c r="J36" s="9">
        <v>1.185974748438114</v>
      </c>
      <c r="K36" s="9">
        <v>1.89659895370424</v>
      </c>
      <c r="L36" s="9">
        <v>-1.3314857129553219</v>
      </c>
      <c r="M36" s="9">
        <v>2.418150875718347</v>
      </c>
      <c r="N36" s="9">
        <v>2.3980824642529059</v>
      </c>
      <c r="O36" s="9">
        <v>8.0551577318196781</v>
      </c>
      <c r="P36" s="9">
        <v>2.0068410784006119E-2</v>
      </c>
      <c r="Q36" s="9">
        <v>1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1</v>
      </c>
      <c r="X36" s="9">
        <v>-1.7257306575775146</v>
      </c>
      <c r="Y36">
        <f t="shared" si="0"/>
        <v>0.16468607615594638</v>
      </c>
      <c r="Z36">
        <f t="shared" si="1"/>
        <v>0.17804291583070733</v>
      </c>
      <c r="AA36">
        <f t="shared" si="2"/>
        <v>-1.3356839674760951E-2</v>
      </c>
      <c r="AB36">
        <f t="shared" si="3"/>
        <v>1.7840516609726823E-4</v>
      </c>
      <c r="AC36" t="str">
        <f>VLOOKUP(A36, 'state-ids'!$A$1:$B$28, 2)</f>
        <v>AC</v>
      </c>
      <c r="AD36">
        <f>VLOOKUP(A36, 'state-ids'!$A$1:$C$28, 3)</f>
        <v>3.7075563999999998E-2</v>
      </c>
      <c r="AE36">
        <f>VLOOKUP(A36, 'state-ids'!$A$1:$D$28, 4)</f>
        <v>0.64969056999999997</v>
      </c>
      <c r="AF36">
        <f t="shared" si="4"/>
        <v>-5.0665163041956299E-2</v>
      </c>
      <c r="AG36">
        <f t="shared" si="5"/>
        <v>0.18694145687817504</v>
      </c>
      <c r="AH36">
        <f t="shared" si="6"/>
        <v>0.16956795141570946</v>
      </c>
      <c r="AI36">
        <f t="shared" si="7"/>
        <v>1.7373505462465577E-2</v>
      </c>
      <c r="AJ36" s="12"/>
    </row>
    <row r="37" spans="1:36" x14ac:dyDescent="0.25">
      <c r="A37" s="9">
        <v>12</v>
      </c>
      <c r="B37" s="9">
        <v>2023</v>
      </c>
      <c r="C37" s="9">
        <v>-1.763170302088207</v>
      </c>
      <c r="D37" s="9">
        <v>0.88232021230300173</v>
      </c>
      <c r="E37" s="9">
        <v>0.96667961740728414</v>
      </c>
      <c r="F37" s="9">
        <v>0.99332584434100879</v>
      </c>
      <c r="G37" s="9">
        <v>0.58070610121419586</v>
      </c>
      <c r="H37" s="9">
        <v>0.77785590848689956</v>
      </c>
      <c r="I37" s="9">
        <v>0.81730982318036782</v>
      </c>
      <c r="J37" s="9">
        <v>1.748137451419546</v>
      </c>
      <c r="K37" s="9">
        <v>1.89659895370424</v>
      </c>
      <c r="L37" s="9">
        <v>-1.300184285120431</v>
      </c>
      <c r="M37" s="9">
        <v>2.4726140688728968</v>
      </c>
      <c r="N37" s="9">
        <v>2.418150875718347</v>
      </c>
      <c r="O37" s="9">
        <v>8.4658998970286863</v>
      </c>
      <c r="P37" s="9">
        <v>5.4463192820549011E-2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1</v>
      </c>
      <c r="X37" s="9">
        <v>-1.7381545305252075</v>
      </c>
      <c r="Y37">
        <f t="shared" si="0"/>
        <v>0.17150029331463176</v>
      </c>
      <c r="Z37">
        <f t="shared" si="1"/>
        <v>0.17584461723245548</v>
      </c>
      <c r="AA37">
        <f t="shared" si="2"/>
        <v>-4.344323917823717E-3</v>
      </c>
      <c r="AB37">
        <f t="shared" si="3"/>
        <v>1.8873150302975209E-5</v>
      </c>
      <c r="AC37" t="str">
        <f>VLOOKUP(A37, 'state-ids'!$A$1:$B$28, 2)</f>
        <v>AC</v>
      </c>
      <c r="AD37">
        <f>VLOOKUP(A37, 'state-ids'!$A$1:$C$28, 3)</f>
        <v>3.7075563999999998E-2</v>
      </c>
      <c r="AE37">
        <f>VLOOKUP(A37, 'state-ids'!$A$1:$D$28, 4)</f>
        <v>0.64969056999999997</v>
      </c>
      <c r="AF37">
        <f t="shared" si="4"/>
        <v>-1.6252510885754936E-2</v>
      </c>
      <c r="AG37">
        <f t="shared" si="5"/>
        <v>0.18463328785784061</v>
      </c>
      <c r="AH37">
        <f t="shared" si="6"/>
        <v>0.16747429333239638</v>
      </c>
      <c r="AI37">
        <f t="shared" si="7"/>
        <v>1.7158994525444227E-2</v>
      </c>
      <c r="AJ37" s="12"/>
    </row>
    <row r="38" spans="1:36" x14ac:dyDescent="0.25">
      <c r="A38" s="9">
        <v>13</v>
      </c>
      <c r="B38" s="9">
        <v>2006</v>
      </c>
      <c r="C38" s="9">
        <v>-2.2996931070588582</v>
      </c>
      <c r="D38" s="9">
        <v>0.94000725849147115</v>
      </c>
      <c r="E38" s="9">
        <v>0.9748237560598092</v>
      </c>
      <c r="F38" s="9">
        <v>0.83768033129224362</v>
      </c>
      <c r="G38" s="9">
        <v>0.71783979315031676</v>
      </c>
      <c r="H38" s="9">
        <v>0.63525320214104264</v>
      </c>
      <c r="I38" s="9">
        <v>0.52449181452980531</v>
      </c>
      <c r="J38" s="9">
        <v>-11.51292546497023</v>
      </c>
      <c r="K38" s="9">
        <v>2.4442681395872339</v>
      </c>
      <c r="L38" s="9">
        <v>-2.6013661987380088</v>
      </c>
      <c r="M38" s="9">
        <v>2.787953787326388</v>
      </c>
      <c r="N38" s="9">
        <v>2.6920901613696402</v>
      </c>
      <c r="O38" s="9">
        <v>-11.51292546497023</v>
      </c>
      <c r="P38" s="9">
        <v>9.5863625407218933E-2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1</v>
      </c>
      <c r="X38" s="9">
        <v>-2.5868535041809082</v>
      </c>
      <c r="Y38">
        <f t="shared" si="0"/>
        <v>0.10028961717606556</v>
      </c>
      <c r="Z38">
        <f t="shared" si="1"/>
        <v>7.5256462083160697E-2</v>
      </c>
      <c r="AA38">
        <f t="shared" si="2"/>
        <v>2.5033155092904866E-2</v>
      </c>
      <c r="AB38">
        <f t="shared" si="3"/>
        <v>6.2665885390542878E-4</v>
      </c>
      <c r="AC38" t="str">
        <f>VLOOKUP(A38, 'state-ids'!$A$1:$B$28, 2)</f>
        <v>AM</v>
      </c>
      <c r="AD38">
        <f>VLOOKUP(A38, 'state-ids'!$A$1:$C$28, 3)</f>
        <v>4.3542842999999998E-2</v>
      </c>
      <c r="AE38">
        <f>VLOOKUP(A38, 'state-ids'!$A$1:$D$28, 4)</f>
        <v>0.91871451999999998</v>
      </c>
      <c r="AF38">
        <f t="shared" si="4"/>
        <v>0.11340604730121963</v>
      </c>
      <c r="AG38">
        <f t="shared" si="5"/>
        <v>8.4028708316244607E-2</v>
      </c>
      <c r="AH38">
        <f t="shared" si="6"/>
        <v>6.7400001722736441E-2</v>
      </c>
      <c r="AI38">
        <f t="shared" si="7"/>
        <v>1.6628706593508166E-2</v>
      </c>
      <c r="AJ38" s="12"/>
    </row>
    <row r="39" spans="1:36" x14ac:dyDescent="0.25">
      <c r="A39" s="9">
        <v>13</v>
      </c>
      <c r="B39" s="9">
        <v>2007</v>
      </c>
      <c r="C39" s="9">
        <v>-2.2393959335322</v>
      </c>
      <c r="D39" s="9">
        <v>0.86056658310179346</v>
      </c>
      <c r="E39" s="9">
        <v>0.94000725849147115</v>
      </c>
      <c r="F39" s="9">
        <v>0.9748237560598092</v>
      </c>
      <c r="G39" s="9">
        <v>0.52732869586500486</v>
      </c>
      <c r="H39" s="9">
        <v>0.71783979315031676</v>
      </c>
      <c r="I39" s="9">
        <v>0.63525320214104264</v>
      </c>
      <c r="J39" s="9">
        <v>-11.51292546497023</v>
      </c>
      <c r="K39" s="9">
        <v>2.4442681395872339</v>
      </c>
      <c r="L39" s="9">
        <v>-2.4906512169756301</v>
      </c>
      <c r="M39" s="9">
        <v>2.806108713008526</v>
      </c>
      <c r="N39" s="9">
        <v>2.7834234781778342</v>
      </c>
      <c r="O39" s="9">
        <v>-11.51292546497023</v>
      </c>
      <c r="P39" s="9">
        <v>2.2685235366225243E-2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1</v>
      </c>
      <c r="X39" s="9">
        <v>-2.5332489013671875</v>
      </c>
      <c r="Y39">
        <f t="shared" si="0"/>
        <v>0.10652283181902907</v>
      </c>
      <c r="Z39">
        <f t="shared" si="1"/>
        <v>7.9400635945878401E-2</v>
      </c>
      <c r="AA39">
        <f t="shared" si="2"/>
        <v>2.7122195873150665E-2</v>
      </c>
      <c r="AB39">
        <f t="shared" si="3"/>
        <v>7.356135089815509E-4</v>
      </c>
      <c r="AC39" t="str">
        <f>VLOOKUP(A39, 'state-ids'!$A$1:$B$28, 2)</f>
        <v>AM</v>
      </c>
      <c r="AD39">
        <f>VLOOKUP(A39, 'state-ids'!$A$1:$C$28, 3)</f>
        <v>4.3542842999999998E-2</v>
      </c>
      <c r="AE39">
        <f>VLOOKUP(A39, 'state-ids'!$A$1:$D$28, 4)</f>
        <v>0.91871451999999998</v>
      </c>
      <c r="AF39">
        <f t="shared" si="4"/>
        <v>0.26996698829509597</v>
      </c>
      <c r="AG39">
        <f t="shared" si="5"/>
        <v>8.8655946523872625E-2</v>
      </c>
      <c r="AH39">
        <f t="shared" si="6"/>
        <v>7.1111541140811113E-2</v>
      </c>
      <c r="AI39">
        <f t="shared" si="7"/>
        <v>1.7544405383061512E-2</v>
      </c>
      <c r="AJ39" s="12"/>
    </row>
    <row r="40" spans="1:36" x14ac:dyDescent="0.25">
      <c r="A40" s="9">
        <v>13</v>
      </c>
      <c r="B40" s="9">
        <v>2008</v>
      </c>
      <c r="C40" s="9">
        <v>-2.1516233254611739</v>
      </c>
      <c r="D40" s="9">
        <v>0.79104491883640526</v>
      </c>
      <c r="E40" s="9">
        <v>0.86056658310179346</v>
      </c>
      <c r="F40" s="9">
        <v>0.94000725849147115</v>
      </c>
      <c r="G40" s="9">
        <v>0.47567501648296739</v>
      </c>
      <c r="H40" s="9">
        <v>0.52732869586500486</v>
      </c>
      <c r="I40" s="9">
        <v>0.71783979315031676</v>
      </c>
      <c r="J40" s="9">
        <v>-11.51292546497023</v>
      </c>
      <c r="K40" s="9">
        <v>2.4442681395872339</v>
      </c>
      <c r="L40" s="9">
        <v>-2.3800620263891141</v>
      </c>
      <c r="M40" s="9">
        <v>2.8187584767341138</v>
      </c>
      <c r="N40" s="9">
        <v>2.8015988350361951</v>
      </c>
      <c r="O40" s="9">
        <v>-11.51292546497023</v>
      </c>
      <c r="P40" s="9">
        <v>1.7159640789031982E-2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1</v>
      </c>
      <c r="X40" s="9">
        <v>-2.4130890369415283</v>
      </c>
      <c r="Y40">
        <f t="shared" si="0"/>
        <v>0.11629521947002977</v>
      </c>
      <c r="Z40">
        <f t="shared" si="1"/>
        <v>8.953827988397868E-2</v>
      </c>
      <c r="AA40">
        <f t="shared" si="2"/>
        <v>2.675693958605109E-2</v>
      </c>
      <c r="AB40">
        <f t="shared" si="3"/>
        <v>7.1593381601158792E-4</v>
      </c>
      <c r="AC40" t="str">
        <f>VLOOKUP(A40, 'state-ids'!$A$1:$B$28, 2)</f>
        <v>AM</v>
      </c>
      <c r="AD40">
        <f>VLOOKUP(A40, 'state-ids'!$A$1:$C$28, 3)</f>
        <v>4.3542842999999998E-2</v>
      </c>
      <c r="AE40">
        <f>VLOOKUP(A40, 'state-ids'!$A$1:$D$28, 4)</f>
        <v>0.91871451999999998</v>
      </c>
      <c r="AF40">
        <f t="shared" si="4"/>
        <v>0.24021234561913235</v>
      </c>
      <c r="AG40">
        <f t="shared" si="5"/>
        <v>9.997528179301203E-2</v>
      </c>
      <c r="AH40">
        <f t="shared" si="6"/>
        <v>8.0190857387931594E-2</v>
      </c>
      <c r="AI40">
        <f t="shared" si="7"/>
        <v>1.9784424405080436E-2</v>
      </c>
      <c r="AJ40" s="12"/>
    </row>
    <row r="41" spans="1:36" x14ac:dyDescent="0.25">
      <c r="A41" s="9">
        <v>13</v>
      </c>
      <c r="B41" s="9">
        <v>2009</v>
      </c>
      <c r="C41" s="9">
        <v>-2.129867287589434</v>
      </c>
      <c r="D41" s="9">
        <v>0.80074519115796339</v>
      </c>
      <c r="E41" s="9">
        <v>0.79104491883640526</v>
      </c>
      <c r="F41" s="9">
        <v>0.86056658310179346</v>
      </c>
      <c r="G41" s="9">
        <v>0.45018350179642908</v>
      </c>
      <c r="H41" s="9">
        <v>0.47567501648296739</v>
      </c>
      <c r="I41" s="9">
        <v>0.52732869586500486</v>
      </c>
      <c r="J41" s="9">
        <v>-8.129578512186745</v>
      </c>
      <c r="K41" s="9">
        <v>2.4442681395872339</v>
      </c>
      <c r="L41" s="9">
        <v>-2.2873741230265301</v>
      </c>
      <c r="M41" s="9">
        <v>2.7822075302180531</v>
      </c>
      <c r="N41" s="9">
        <v>2.8032335417972489</v>
      </c>
      <c r="O41" s="9">
        <v>-11.51292546497023</v>
      </c>
      <c r="P41" s="9">
        <v>-2.1026011556386948E-2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1</v>
      </c>
      <c r="X41" s="9">
        <v>-2.3881988525390625</v>
      </c>
      <c r="Y41">
        <f t="shared" si="0"/>
        <v>0.11885306608270414</v>
      </c>
      <c r="Z41">
        <f t="shared" si="1"/>
        <v>9.179487116864489E-2</v>
      </c>
      <c r="AA41">
        <f t="shared" si="2"/>
        <v>2.7058194914059253E-2</v>
      </c>
      <c r="AB41">
        <f t="shared" si="3"/>
        <v>7.3214591200722204E-4</v>
      </c>
      <c r="AC41" t="str">
        <f>VLOOKUP(A41, 'state-ids'!$A$1:$B$28, 2)</f>
        <v>AM</v>
      </c>
      <c r="AD41">
        <f>VLOOKUP(A41, 'state-ids'!$A$1:$C$28, 3)</f>
        <v>4.3542842999999998E-2</v>
      </c>
      <c r="AE41">
        <f>VLOOKUP(A41, 'state-ids'!$A$1:$D$28, 4)</f>
        <v>0.91871451999999998</v>
      </c>
      <c r="AF41">
        <f t="shared" si="4"/>
        <v>0.23733295969354676</v>
      </c>
      <c r="AG41">
        <f t="shared" si="5"/>
        <v>0.10249491194302708</v>
      </c>
      <c r="AH41">
        <f t="shared" si="6"/>
        <v>8.2211869966305862E-2</v>
      </c>
      <c r="AI41">
        <f t="shared" si="7"/>
        <v>2.0283041976721219E-2</v>
      </c>
      <c r="AJ41" s="12"/>
    </row>
    <row r="42" spans="1:36" x14ac:dyDescent="0.25">
      <c r="A42" s="9">
        <v>13</v>
      </c>
      <c r="B42" s="9">
        <v>2010</v>
      </c>
      <c r="C42" s="9">
        <v>-2.00078354198634</v>
      </c>
      <c r="D42" s="9">
        <v>0.75879446179580023</v>
      </c>
      <c r="E42" s="9">
        <v>0.80074519115796339</v>
      </c>
      <c r="F42" s="9">
        <v>0.79104491883640526</v>
      </c>
      <c r="G42" s="9">
        <v>0.50748003351489412</v>
      </c>
      <c r="H42" s="9">
        <v>0.45018350179642908</v>
      </c>
      <c r="I42" s="9">
        <v>0.47567501648296739</v>
      </c>
      <c r="J42" s="9">
        <v>-7.4575740900194392</v>
      </c>
      <c r="K42" s="9">
        <v>2.4442681395872339</v>
      </c>
      <c r="L42" s="9">
        <v>-2.1949797606311301</v>
      </c>
      <c r="M42" s="9">
        <v>2.865891463940804</v>
      </c>
      <c r="N42" s="9">
        <v>2.7610647718254149</v>
      </c>
      <c r="O42" s="9">
        <v>-11.51292546497023</v>
      </c>
      <c r="P42" s="9">
        <v>0.10482668876647949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1</v>
      </c>
      <c r="X42" s="9">
        <v>-2.2414588928222656</v>
      </c>
      <c r="Y42">
        <f t="shared" si="0"/>
        <v>0.13522928389285485</v>
      </c>
      <c r="Z42">
        <f t="shared" si="1"/>
        <v>0.10630330606772276</v>
      </c>
      <c r="AA42">
        <f t="shared" si="2"/>
        <v>2.8925977825132093E-2</v>
      </c>
      <c r="AB42">
        <f t="shared" si="3"/>
        <v>8.3671219314003357E-4</v>
      </c>
      <c r="AC42" t="str">
        <f>VLOOKUP(A42, 'state-ids'!$A$1:$B$28, 2)</f>
        <v>AM</v>
      </c>
      <c r="AD42">
        <f>VLOOKUP(A42, 'state-ids'!$A$1:$C$28, 3)</f>
        <v>4.3542842999999998E-2</v>
      </c>
      <c r="AE42">
        <f>VLOOKUP(A42, 'state-ids'!$A$1:$D$28, 4)</f>
        <v>0.91871451999999998</v>
      </c>
      <c r="AF42">
        <f t="shared" si="4"/>
        <v>0.22111193941905899</v>
      </c>
      <c r="AG42">
        <f t="shared" si="5"/>
        <v>0.11869451807004203</v>
      </c>
      <c r="AH42">
        <f t="shared" si="6"/>
        <v>9.5205684851085895E-2</v>
      </c>
      <c r="AI42">
        <f t="shared" si="7"/>
        <v>2.3488833218956132E-2</v>
      </c>
      <c r="AJ42" s="12"/>
    </row>
    <row r="43" spans="1:36" x14ac:dyDescent="0.25">
      <c r="A43" s="9">
        <v>13</v>
      </c>
      <c r="B43" s="9">
        <v>2011</v>
      </c>
      <c r="C43" s="9">
        <v>-1.9149948690867109</v>
      </c>
      <c r="D43" s="9">
        <v>0.75888810352262204</v>
      </c>
      <c r="E43" s="9">
        <v>0.75879446179580023</v>
      </c>
      <c r="F43" s="9">
        <v>0.80074519115796339</v>
      </c>
      <c r="G43" s="9">
        <v>0.56502967777950286</v>
      </c>
      <c r="H43" s="9">
        <v>0.50748003351489412</v>
      </c>
      <c r="I43" s="9">
        <v>0.45018350179642908</v>
      </c>
      <c r="J43" s="9">
        <v>-5.974201675234224</v>
      </c>
      <c r="K43" s="9">
        <v>2.4442681395872339</v>
      </c>
      <c r="L43" s="9">
        <v>-2.1132146873506201</v>
      </c>
      <c r="M43" s="9">
        <v>2.9153544314711932</v>
      </c>
      <c r="N43" s="9">
        <v>2.8451864819496779</v>
      </c>
      <c r="O43" s="9">
        <v>-11.51292546497023</v>
      </c>
      <c r="P43" s="9">
        <v>7.0167951285839081E-2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1</v>
      </c>
      <c r="X43" s="9">
        <v>-2.1575527191162109</v>
      </c>
      <c r="Y43">
        <f t="shared" si="0"/>
        <v>0.14734258858626828</v>
      </c>
      <c r="Z43">
        <f t="shared" si="1"/>
        <v>0.11560769963576521</v>
      </c>
      <c r="AA43">
        <f t="shared" si="2"/>
        <v>3.1734888950503068E-2</v>
      </c>
      <c r="AB43">
        <f t="shared" si="3"/>
        <v>1.0071031767007617E-3</v>
      </c>
      <c r="AC43" t="str">
        <f>VLOOKUP(A43, 'state-ids'!$A$1:$B$28, 2)</f>
        <v>AM</v>
      </c>
      <c r="AD43">
        <f>VLOOKUP(A43, 'state-ids'!$A$1:$C$28, 3)</f>
        <v>4.3542842999999998E-2</v>
      </c>
      <c r="AE43">
        <f>VLOOKUP(A43, 'state-ids'!$A$1:$D$28, 4)</f>
        <v>0.91871451999999998</v>
      </c>
      <c r="AF43">
        <f t="shared" si="4"/>
        <v>0.2228414187620841</v>
      </c>
      <c r="AG43">
        <f t="shared" si="5"/>
        <v>0.12908347539738263</v>
      </c>
      <c r="AH43">
        <f t="shared" si="6"/>
        <v>0.10353873858701754</v>
      </c>
      <c r="AI43">
        <f t="shared" si="7"/>
        <v>2.5544736810365093E-2</v>
      </c>
      <c r="AJ43" s="12"/>
    </row>
    <row r="44" spans="1:36" x14ac:dyDescent="0.25">
      <c r="A44" s="9">
        <v>13</v>
      </c>
      <c r="B44" s="9">
        <v>2012</v>
      </c>
      <c r="C44" s="9">
        <v>-1.8416043500428281</v>
      </c>
      <c r="D44" s="9">
        <v>0.74093684439579388</v>
      </c>
      <c r="E44" s="9">
        <v>0.75888810352262204</v>
      </c>
      <c r="F44" s="9">
        <v>0.75879446179580023</v>
      </c>
      <c r="G44" s="9">
        <v>0.52555658836598484</v>
      </c>
      <c r="H44" s="9">
        <v>0.56502967777950286</v>
      </c>
      <c r="I44" s="9">
        <v>0.50748003351489412</v>
      </c>
      <c r="J44" s="9">
        <v>-5.6212324596463992</v>
      </c>
      <c r="K44" s="9">
        <v>2.4442681395872339</v>
      </c>
      <c r="L44" s="9">
        <v>-2.039432947274388</v>
      </c>
      <c r="M44" s="9">
        <v>2.8452638329088011</v>
      </c>
      <c r="N44" s="9">
        <v>2.9005988669337039</v>
      </c>
      <c r="O44" s="9">
        <v>-11.51292546497023</v>
      </c>
      <c r="P44" s="9">
        <v>-5.5335033684968948E-2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1</v>
      </c>
      <c r="X44" s="9">
        <v>-2.0904643535614014</v>
      </c>
      <c r="Y44">
        <f t="shared" si="0"/>
        <v>0.1585628316464702</v>
      </c>
      <c r="Z44">
        <f t="shared" si="1"/>
        <v>0.12362971458834635</v>
      </c>
      <c r="AA44">
        <f t="shared" si="2"/>
        <v>3.4933117058123853E-2</v>
      </c>
      <c r="AB44">
        <f t="shared" si="3"/>
        <v>1.2203226673965838E-3</v>
      </c>
      <c r="AC44" t="str">
        <f>VLOOKUP(A44, 'state-ids'!$A$1:$B$28, 2)</f>
        <v>AM</v>
      </c>
      <c r="AD44">
        <f>VLOOKUP(A44, 'state-ids'!$A$1:$C$28, 3)</f>
        <v>4.3542842999999998E-2</v>
      </c>
      <c r="AE44">
        <f>VLOOKUP(A44, 'state-ids'!$A$1:$D$28, 4)</f>
        <v>0.91871451999999998</v>
      </c>
      <c r="AF44">
        <f t="shared" si="4"/>
        <v>0.22863129867976437</v>
      </c>
      <c r="AG44">
        <f t="shared" si="5"/>
        <v>0.13804057404246795</v>
      </c>
      <c r="AH44">
        <f t="shared" si="6"/>
        <v>0.11072328867955727</v>
      </c>
      <c r="AI44">
        <f t="shared" si="7"/>
        <v>2.731728536291067E-2</v>
      </c>
      <c r="AJ44" s="12"/>
    </row>
    <row r="45" spans="1:36" x14ac:dyDescent="0.25">
      <c r="A45" s="9">
        <v>13</v>
      </c>
      <c r="B45" s="9">
        <v>2013</v>
      </c>
      <c r="C45" s="9">
        <v>-1.8634470711147311</v>
      </c>
      <c r="D45" s="9">
        <v>0.7175470673834804</v>
      </c>
      <c r="E45" s="9">
        <v>0.74093684439579388</v>
      </c>
      <c r="F45" s="9">
        <v>0.75888810352262204</v>
      </c>
      <c r="G45" s="9">
        <v>0.51018541887856739</v>
      </c>
      <c r="H45" s="9">
        <v>0.52555658836598484</v>
      </c>
      <c r="I45" s="9">
        <v>0.56502967777950286</v>
      </c>
      <c r="J45" s="9">
        <v>-4.8436412682355856</v>
      </c>
      <c r="K45" s="9">
        <v>2.4442681395872339</v>
      </c>
      <c r="L45" s="9">
        <v>-2.0111046236770722</v>
      </c>
      <c r="M45" s="9">
        <v>2.8536702634377278</v>
      </c>
      <c r="N45" s="9">
        <v>2.78660700011898</v>
      </c>
      <c r="O45" s="9">
        <v>-11.51292546497023</v>
      </c>
      <c r="P45" s="9">
        <v>6.7063264548778534E-2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1</v>
      </c>
      <c r="X45" s="9">
        <v>-2.0415413379669189</v>
      </c>
      <c r="Y45">
        <f t="shared" si="0"/>
        <v>0.15513693955310523</v>
      </c>
      <c r="Z45">
        <f t="shared" si="1"/>
        <v>0.12982844706631558</v>
      </c>
      <c r="AA45">
        <f t="shared" si="2"/>
        <v>2.5308492486789652E-2</v>
      </c>
      <c r="AB45">
        <f t="shared" si="3"/>
        <v>6.405197919538883E-4</v>
      </c>
      <c r="AC45" t="str">
        <f>VLOOKUP(A45, 'state-ids'!$A$1:$B$28, 2)</f>
        <v>AM</v>
      </c>
      <c r="AD45">
        <f>VLOOKUP(A45, 'state-ids'!$A$1:$C$28, 3)</f>
        <v>4.3542842999999998E-2</v>
      </c>
      <c r="AE45">
        <f>VLOOKUP(A45, 'state-ids'!$A$1:$D$28, 4)</f>
        <v>0.91871451999999998</v>
      </c>
      <c r="AF45">
        <f t="shared" si="4"/>
        <v>0.16361778888585971</v>
      </c>
      <c r="AG45">
        <f t="shared" si="5"/>
        <v>0.14496185985505544</v>
      </c>
      <c r="AH45">
        <f t="shared" si="6"/>
        <v>0.11627489937356296</v>
      </c>
      <c r="AI45">
        <f t="shared" si="7"/>
        <v>2.8686960481492482E-2</v>
      </c>
      <c r="AJ45" s="12"/>
    </row>
    <row r="46" spans="1:36" x14ac:dyDescent="0.25">
      <c r="A46" s="9">
        <v>13</v>
      </c>
      <c r="B46" s="9">
        <v>2014</v>
      </c>
      <c r="C46" s="9">
        <v>-1.820465575274167</v>
      </c>
      <c r="D46" s="9">
        <v>0.71069235977569423</v>
      </c>
      <c r="E46" s="9">
        <v>0.7175470673834804</v>
      </c>
      <c r="F46" s="9">
        <v>0.74093684439579388</v>
      </c>
      <c r="G46" s="9">
        <v>0.49231536100689388</v>
      </c>
      <c r="H46" s="9">
        <v>0.51018541887856739</v>
      </c>
      <c r="I46" s="9">
        <v>0.52555658836598484</v>
      </c>
      <c r="J46" s="9">
        <v>-4.2015334915193838</v>
      </c>
      <c r="K46" s="9">
        <v>2.4442681395872339</v>
      </c>
      <c r="L46" s="9">
        <v>-1.950555716804877</v>
      </c>
      <c r="M46" s="9">
        <v>2.8036262076416598</v>
      </c>
      <c r="N46" s="9">
        <v>2.8365324112696699</v>
      </c>
      <c r="O46" s="9">
        <v>-11.51292546497023</v>
      </c>
      <c r="P46" s="9">
        <v>-3.2906204462051392E-2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1</v>
      </c>
      <c r="X46" s="9">
        <v>-2.013779878616333</v>
      </c>
      <c r="Y46">
        <f t="shared" si="0"/>
        <v>0.16195033330812081</v>
      </c>
      <c r="Z46">
        <f t="shared" si="1"/>
        <v>0.13348316971813623</v>
      </c>
      <c r="AA46">
        <f t="shared" si="2"/>
        <v>2.8467163589984579E-2</v>
      </c>
      <c r="AB46">
        <f t="shared" si="3"/>
        <v>8.1037940285894365E-4</v>
      </c>
      <c r="AC46" t="str">
        <f>VLOOKUP(A46, 'state-ids'!$A$1:$B$28, 2)</f>
        <v>AM</v>
      </c>
      <c r="AD46">
        <f>VLOOKUP(A46, 'state-ids'!$A$1:$C$28, 3)</f>
        <v>4.3542842999999998E-2</v>
      </c>
      <c r="AE46">
        <f>VLOOKUP(A46, 'state-ids'!$A$1:$D$28, 4)</f>
        <v>0.91871451999999998</v>
      </c>
      <c r="AF46">
        <f t="shared" si="4"/>
        <v>0.17760065740413247</v>
      </c>
      <c r="AG46">
        <f t="shared" si="5"/>
        <v>0.14904259412272872</v>
      </c>
      <c r="AH46">
        <f t="shared" si="6"/>
        <v>0.11954808424314448</v>
      </c>
      <c r="AI46">
        <f t="shared" si="7"/>
        <v>2.9494509879584241E-2</v>
      </c>
      <c r="AJ46" s="12"/>
    </row>
    <row r="47" spans="1:36" x14ac:dyDescent="0.25">
      <c r="A47" s="9">
        <v>13</v>
      </c>
      <c r="B47" s="9">
        <v>2015</v>
      </c>
      <c r="C47" s="9">
        <v>-1.85331490022868</v>
      </c>
      <c r="D47" s="9">
        <v>0.74246101711286649</v>
      </c>
      <c r="E47" s="9">
        <v>0.71069235977569423</v>
      </c>
      <c r="F47" s="9">
        <v>0.7175470673834804</v>
      </c>
      <c r="G47" s="9">
        <v>0.4848306634889048</v>
      </c>
      <c r="H47" s="9">
        <v>0.49231536100689388</v>
      </c>
      <c r="I47" s="9">
        <v>0.51018541887856739</v>
      </c>
      <c r="J47" s="9">
        <v>-3.8717943307937941</v>
      </c>
      <c r="K47" s="9">
        <v>2.4442681395872339</v>
      </c>
      <c r="L47" s="9">
        <v>-1.915266532969788</v>
      </c>
      <c r="M47" s="9">
        <v>2.712993278238522</v>
      </c>
      <c r="N47" s="9">
        <v>2.787089131649414</v>
      </c>
      <c r="O47" s="9">
        <v>-11.51292546497023</v>
      </c>
      <c r="P47" s="9">
        <v>-7.4095852673053741E-2</v>
      </c>
      <c r="Q47" s="9">
        <v>1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1</v>
      </c>
      <c r="X47" s="9">
        <v>-2.0622899532318115</v>
      </c>
      <c r="Y47">
        <f t="shared" si="0"/>
        <v>0.15671680374655689</v>
      </c>
      <c r="Z47">
        <f t="shared" si="1"/>
        <v>0.1271624401866473</v>
      </c>
      <c r="AA47">
        <f t="shared" si="2"/>
        <v>2.9554363559909591E-2</v>
      </c>
      <c r="AB47">
        <f t="shared" si="3"/>
        <v>8.7346040543131195E-4</v>
      </c>
      <c r="AC47" t="str">
        <f>VLOOKUP(A47, 'state-ids'!$A$1:$B$28, 2)</f>
        <v>AM</v>
      </c>
      <c r="AD47">
        <f>VLOOKUP(A47, 'state-ids'!$A$1:$C$28, 3)</f>
        <v>4.3542842999999998E-2</v>
      </c>
      <c r="AE47">
        <f>VLOOKUP(A47, 'state-ids'!$A$1:$D$28, 4)</f>
        <v>0.91871451999999998</v>
      </c>
      <c r="AF47">
        <f t="shared" si="4"/>
        <v>0.19198841551174659</v>
      </c>
      <c r="AG47">
        <f t="shared" si="5"/>
        <v>0.14198509070780005</v>
      </c>
      <c r="AH47">
        <f t="shared" si="6"/>
        <v>0.11388721247853051</v>
      </c>
      <c r="AI47">
        <f t="shared" si="7"/>
        <v>2.8097878229269541E-2</v>
      </c>
      <c r="AJ47" s="12"/>
    </row>
    <row r="48" spans="1:36" x14ac:dyDescent="0.25">
      <c r="A48" s="9">
        <v>13</v>
      </c>
      <c r="B48" s="9">
        <v>2016</v>
      </c>
      <c r="C48" s="9">
        <v>-1.8421449569286059</v>
      </c>
      <c r="D48" s="9">
        <v>0.71417454775202094</v>
      </c>
      <c r="E48" s="9">
        <v>0.74246101711286649</v>
      </c>
      <c r="F48" s="9">
        <v>0.71069235977569423</v>
      </c>
      <c r="G48" s="9">
        <v>0.5886196512060109</v>
      </c>
      <c r="H48" s="9">
        <v>0.4848306634889048</v>
      </c>
      <c r="I48" s="9">
        <v>0.49231536100689388</v>
      </c>
      <c r="J48" s="9">
        <v>-3.5582678548913709</v>
      </c>
      <c r="K48" s="9">
        <v>2.4442681395872339</v>
      </c>
      <c r="L48" s="9">
        <v>-1.898090134548438</v>
      </c>
      <c r="M48" s="9">
        <v>2.647271572969601</v>
      </c>
      <c r="N48" s="9">
        <v>2.6970405530106989</v>
      </c>
      <c r="O48" s="9">
        <v>-11.51292546497023</v>
      </c>
      <c r="P48" s="9">
        <v>-4.9768980592489243E-2</v>
      </c>
      <c r="Q48" s="9">
        <v>1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1</v>
      </c>
      <c r="X48" s="9">
        <v>-1.9824014902114868</v>
      </c>
      <c r="Y48">
        <f t="shared" si="0"/>
        <v>0.15847713465413288</v>
      </c>
      <c r="Z48">
        <f t="shared" si="1"/>
        <v>0.13773806320383247</v>
      </c>
      <c r="AA48">
        <f t="shared" si="2"/>
        <v>2.0739071450300406E-2</v>
      </c>
      <c r="AB48">
        <f t="shared" si="3"/>
        <v>4.3010908462066537E-4</v>
      </c>
      <c r="AC48" t="str">
        <f>VLOOKUP(A48, 'state-ids'!$A$1:$B$28, 2)</f>
        <v>AM</v>
      </c>
      <c r="AD48">
        <f>VLOOKUP(A48, 'state-ids'!$A$1:$C$28, 3)</f>
        <v>4.3542842999999998E-2</v>
      </c>
      <c r="AE48">
        <f>VLOOKUP(A48, 'state-ids'!$A$1:$D$28, 4)</f>
        <v>0.91871451999999998</v>
      </c>
      <c r="AF48">
        <f t="shared" si="4"/>
        <v>0.12885571365184595</v>
      </c>
      <c r="AG48">
        <f t="shared" si="5"/>
        <v>0.15379345795195276</v>
      </c>
      <c r="AH48">
        <f t="shared" si="6"/>
        <v>0.12335878461793869</v>
      </c>
      <c r="AI48">
        <f t="shared" si="7"/>
        <v>3.0434673334014076E-2</v>
      </c>
      <c r="AJ48" s="12"/>
    </row>
    <row r="49" spans="1:36" x14ac:dyDescent="0.25">
      <c r="A49" s="9">
        <v>13</v>
      </c>
      <c r="B49" s="9">
        <v>2017</v>
      </c>
      <c r="C49" s="9">
        <v>-1.8414703029534769</v>
      </c>
      <c r="D49" s="9">
        <v>0.70631016708622618</v>
      </c>
      <c r="E49" s="9">
        <v>0.71417454775202094</v>
      </c>
      <c r="F49" s="9">
        <v>0.74246101711286649</v>
      </c>
      <c r="G49" s="9">
        <v>0.55652530301698111</v>
      </c>
      <c r="H49" s="9">
        <v>0.5886196512060109</v>
      </c>
      <c r="I49" s="9">
        <v>0.4848306634889048</v>
      </c>
      <c r="J49" s="9">
        <v>-2.9391899763047791</v>
      </c>
      <c r="K49" s="9">
        <v>2.4442681395872339</v>
      </c>
      <c r="L49" s="9">
        <v>-1.8769940266480141</v>
      </c>
      <c r="M49" s="9">
        <v>2.6419495295814581</v>
      </c>
      <c r="N49" s="9">
        <v>2.631909871823026</v>
      </c>
      <c r="O49" s="9">
        <v>-11.51292546497023</v>
      </c>
      <c r="P49" s="9">
        <v>1.0039657354354858E-2</v>
      </c>
      <c r="Q49" s="9">
        <v>1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1</v>
      </c>
      <c r="X49" s="9">
        <v>-1.9569659233093262</v>
      </c>
      <c r="Y49">
        <f t="shared" si="0"/>
        <v>0.15858408795717313</v>
      </c>
      <c r="Z49">
        <f t="shared" si="1"/>
        <v>0.14128644517349798</v>
      </c>
      <c r="AA49">
        <f t="shared" si="2"/>
        <v>1.7297642783675155E-2</v>
      </c>
      <c r="AB49">
        <f t="shared" si="3"/>
        <v>2.9920844587162914E-4</v>
      </c>
      <c r="AC49" t="str">
        <f>VLOOKUP(A49, 'state-ids'!$A$1:$B$28, 2)</f>
        <v>AM</v>
      </c>
      <c r="AD49">
        <f>VLOOKUP(A49, 'state-ids'!$A$1:$C$28, 3)</f>
        <v>4.3542842999999998E-2</v>
      </c>
      <c r="AE49">
        <f>VLOOKUP(A49, 'state-ids'!$A$1:$D$28, 4)</f>
        <v>0.91871451999999998</v>
      </c>
      <c r="AF49">
        <f t="shared" si="4"/>
        <v>0.10610750341732628</v>
      </c>
      <c r="AG49">
        <f t="shared" si="5"/>
        <v>0.15775545596873652</v>
      </c>
      <c r="AH49">
        <f t="shared" si="6"/>
        <v>0.12653673032848911</v>
      </c>
      <c r="AI49">
        <f t="shared" si="7"/>
        <v>3.1218725640247413E-2</v>
      </c>
      <c r="AJ49" s="12"/>
    </row>
    <row r="50" spans="1:36" x14ac:dyDescent="0.25">
      <c r="A50" s="9">
        <v>13</v>
      </c>
      <c r="B50" s="9">
        <v>2018</v>
      </c>
      <c r="C50" s="9">
        <v>-1.893715057180644</v>
      </c>
      <c r="D50" s="9">
        <v>0.83594797919161656</v>
      </c>
      <c r="E50" s="9">
        <v>0.70631016708622618</v>
      </c>
      <c r="F50" s="9">
        <v>0.71417454775202094</v>
      </c>
      <c r="G50" s="9">
        <v>0.59033896057826329</v>
      </c>
      <c r="H50" s="9">
        <v>0.55652530301698111</v>
      </c>
      <c r="I50" s="9">
        <v>0.5886196512060109</v>
      </c>
      <c r="J50" s="9">
        <v>-2.4850563934778158</v>
      </c>
      <c r="K50" s="9">
        <v>2.4442681395872339</v>
      </c>
      <c r="L50" s="9">
        <v>-1.8369834954172419</v>
      </c>
      <c r="M50" s="9">
        <v>2.6649035890130319</v>
      </c>
      <c r="N50" s="9">
        <v>2.6377755229258768</v>
      </c>
      <c r="O50" s="9">
        <v>3.2580965380214821</v>
      </c>
      <c r="P50" s="9">
        <v>2.7128066867589951E-2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1</v>
      </c>
      <c r="X50" s="9">
        <v>-2.0239858627319336</v>
      </c>
      <c r="Y50">
        <f t="shared" si="0"/>
        <v>0.15051160965845559</v>
      </c>
      <c r="Z50">
        <f t="shared" si="1"/>
        <v>0.13212777096245759</v>
      </c>
      <c r="AA50">
        <f t="shared" si="2"/>
        <v>1.8383838695997995E-2</v>
      </c>
      <c r="AB50">
        <f t="shared" si="3"/>
        <v>3.3796552520047325E-4</v>
      </c>
      <c r="AC50" t="str">
        <f>VLOOKUP(A50, 'state-ids'!$A$1:$B$28, 2)</f>
        <v>AM</v>
      </c>
      <c r="AD50">
        <f>VLOOKUP(A50, 'state-ids'!$A$1:$C$28, 3)</f>
        <v>4.3542842999999998E-2</v>
      </c>
      <c r="AE50">
        <f>VLOOKUP(A50, 'state-ids'!$A$1:$D$28, 4)</f>
        <v>0.91871451999999998</v>
      </c>
      <c r="AF50">
        <f t="shared" si="4"/>
        <v>0.11968168059206633</v>
      </c>
      <c r="AG50">
        <f t="shared" si="5"/>
        <v>0.14752920373018985</v>
      </c>
      <c r="AH50">
        <f t="shared" si="6"/>
        <v>0.11833418345723208</v>
      </c>
      <c r="AI50">
        <f t="shared" si="7"/>
        <v>2.919502027295777E-2</v>
      </c>
      <c r="AJ50" s="12"/>
    </row>
    <row r="51" spans="1:36" x14ac:dyDescent="0.25">
      <c r="A51" s="9">
        <v>13</v>
      </c>
      <c r="B51" s="9">
        <v>2019</v>
      </c>
      <c r="C51" s="9">
        <v>-1.856070637772256</v>
      </c>
      <c r="D51" s="9">
        <v>0.72952732465269587</v>
      </c>
      <c r="E51" s="9">
        <v>0.83594797919161656</v>
      </c>
      <c r="F51" s="9">
        <v>0.70631016708622618</v>
      </c>
      <c r="G51" s="9">
        <v>0.50162341300119118</v>
      </c>
      <c r="H51" s="9">
        <v>0.59033896057826329</v>
      </c>
      <c r="I51" s="9">
        <v>0.55652530301698111</v>
      </c>
      <c r="J51" s="9">
        <v>-1.740634359736184</v>
      </c>
      <c r="K51" s="9">
        <v>2.4442681395872339</v>
      </c>
      <c r="L51" s="9">
        <v>-1.801472811152566</v>
      </c>
      <c r="M51" s="9">
        <v>2.6855146875716001</v>
      </c>
      <c r="N51" s="9">
        <v>2.6493447628313511</v>
      </c>
      <c r="O51" s="9">
        <v>5.393627546352362</v>
      </c>
      <c r="P51" s="9">
        <v>3.6169923841953278E-2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</v>
      </c>
      <c r="X51" s="9">
        <v>-1.9586844444274902</v>
      </c>
      <c r="Y51">
        <f t="shared" si="0"/>
        <v>0.15628552788123903</v>
      </c>
      <c r="Z51">
        <f t="shared" si="1"/>
        <v>0.14104384994597283</v>
      </c>
      <c r="AA51">
        <f t="shared" si="2"/>
        <v>1.5241677935266207E-2</v>
      </c>
      <c r="AB51">
        <f t="shared" si="3"/>
        <v>2.3230874628238075E-4</v>
      </c>
      <c r="AC51" t="str">
        <f>VLOOKUP(A51, 'state-ids'!$A$1:$B$28, 2)</f>
        <v>AM</v>
      </c>
      <c r="AD51">
        <f>VLOOKUP(A51, 'state-ids'!$A$1:$C$28, 3)</f>
        <v>4.3542842999999998E-2</v>
      </c>
      <c r="AE51">
        <f>VLOOKUP(A51, 'state-ids'!$A$1:$D$28, 4)</f>
        <v>0.91871451999999998</v>
      </c>
      <c r="AF51">
        <f t="shared" si="4"/>
        <v>9.427279412663632E-2</v>
      </c>
      <c r="AG51">
        <f t="shared" si="5"/>
        <v>0.15748458270352644</v>
      </c>
      <c r="AH51">
        <f t="shared" si="6"/>
        <v>0.12631946102960745</v>
      </c>
      <c r="AI51">
        <f t="shared" si="7"/>
        <v>3.1165121673918994E-2</v>
      </c>
      <c r="AJ51" s="12"/>
    </row>
    <row r="52" spans="1:36" x14ac:dyDescent="0.25">
      <c r="A52" s="9">
        <v>13</v>
      </c>
      <c r="B52" s="9">
        <v>2020</v>
      </c>
      <c r="C52" s="9">
        <v>-1.9054095945747089</v>
      </c>
      <c r="D52" s="9">
        <v>0.69708939979256901</v>
      </c>
      <c r="E52" s="9">
        <v>0.72952732465269587</v>
      </c>
      <c r="F52" s="9">
        <v>0.83594797919161656</v>
      </c>
      <c r="G52" s="9">
        <v>0.4633565865239419</v>
      </c>
      <c r="H52" s="9">
        <v>0.50162341300119118</v>
      </c>
      <c r="I52" s="9">
        <v>0.59033896057826329</v>
      </c>
      <c r="J52" s="9">
        <v>-1.117738767835011</v>
      </c>
      <c r="K52" s="9">
        <v>2.4442681395872339</v>
      </c>
      <c r="L52" s="9">
        <v>-1.772662210141901</v>
      </c>
      <c r="M52" s="9">
        <v>2.6776327697878859</v>
      </c>
      <c r="N52" s="9">
        <v>2.670400738513004</v>
      </c>
      <c r="O52" s="9">
        <v>5.9914645471079817</v>
      </c>
      <c r="P52" s="9">
        <v>7.2320313192903996E-3</v>
      </c>
      <c r="Q52" s="9">
        <v>1</v>
      </c>
      <c r="R52" s="9">
        <v>1</v>
      </c>
      <c r="S52" s="9">
        <v>0</v>
      </c>
      <c r="T52" s="9">
        <v>0</v>
      </c>
      <c r="U52" s="9">
        <v>0</v>
      </c>
      <c r="V52" s="9">
        <v>0</v>
      </c>
      <c r="W52" s="9">
        <v>1</v>
      </c>
      <c r="X52" s="9">
        <v>-2.0581178665161133</v>
      </c>
      <c r="Y52">
        <f t="shared" si="0"/>
        <v>0.14876169815724163</v>
      </c>
      <c r="Z52">
        <f t="shared" si="1"/>
        <v>0.12769408116906728</v>
      </c>
      <c r="AA52">
        <f t="shared" si="2"/>
        <v>2.1067616988174359E-2</v>
      </c>
      <c r="AB52">
        <f t="shared" si="3"/>
        <v>4.4384448556041283E-4</v>
      </c>
      <c r="AC52" t="str">
        <f>VLOOKUP(A52, 'state-ids'!$A$1:$B$28, 2)</f>
        <v>AM</v>
      </c>
      <c r="AD52">
        <f>VLOOKUP(A52, 'state-ids'!$A$1:$C$28, 3)</f>
        <v>4.3542842999999998E-2</v>
      </c>
      <c r="AE52">
        <f>VLOOKUP(A52, 'state-ids'!$A$1:$D$28, 4)</f>
        <v>0.91871451999999998</v>
      </c>
      <c r="AF52">
        <f t="shared" si="4"/>
        <v>0.14029530675667676</v>
      </c>
      <c r="AG52">
        <f t="shared" si="5"/>
        <v>0.14257870225694999</v>
      </c>
      <c r="AH52">
        <f t="shared" si="6"/>
        <v>0.11436335236258972</v>
      </c>
      <c r="AI52">
        <f t="shared" si="7"/>
        <v>2.8215349894360267E-2</v>
      </c>
      <c r="AJ52" s="12"/>
    </row>
    <row r="53" spans="1:36" x14ac:dyDescent="0.25">
      <c r="A53" s="9">
        <v>13</v>
      </c>
      <c r="B53" s="9">
        <v>2021</v>
      </c>
      <c r="C53" s="9">
        <v>-1.9488072066913751</v>
      </c>
      <c r="D53" s="9">
        <v>0.87950225842631924</v>
      </c>
      <c r="E53" s="9">
        <v>0.69708939979256901</v>
      </c>
      <c r="F53" s="9">
        <v>0.72952732465269587</v>
      </c>
      <c r="G53" s="9">
        <v>0.64699852453396511</v>
      </c>
      <c r="H53" s="9">
        <v>0.4633565865239419</v>
      </c>
      <c r="I53" s="9">
        <v>0.50162341300119118</v>
      </c>
      <c r="J53" s="9">
        <v>-0.57906484735342401</v>
      </c>
      <c r="K53" s="9">
        <v>2.4442681395872339</v>
      </c>
      <c r="L53" s="9">
        <v>-1.7476804575463141</v>
      </c>
      <c r="M53" s="9">
        <v>2.66576729161737</v>
      </c>
      <c r="N53" s="9">
        <v>2.662939620854389</v>
      </c>
      <c r="O53" s="9">
        <v>6.6846117276679271</v>
      </c>
      <c r="P53" s="9">
        <v>2.8276706580072641E-3</v>
      </c>
      <c r="Q53" s="9">
        <v>1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</v>
      </c>
      <c r="X53" s="9">
        <v>-2.0251173973083496</v>
      </c>
      <c r="Y53">
        <f t="shared" si="0"/>
        <v>0.14244387639798167</v>
      </c>
      <c r="Z53">
        <f t="shared" si="1"/>
        <v>0.13197834837546366</v>
      </c>
      <c r="AA53">
        <f t="shared" si="2"/>
        <v>1.0465528022518017E-2</v>
      </c>
      <c r="AB53">
        <f t="shared" si="3"/>
        <v>1.0952727679010987E-4</v>
      </c>
      <c r="AC53" t="str">
        <f>VLOOKUP(A53, 'state-ids'!$A$1:$B$28, 2)</f>
        <v>AM</v>
      </c>
      <c r="AD53">
        <f>VLOOKUP(A53, 'state-ids'!$A$1:$C$28, 3)</f>
        <v>4.3542842999999998E-2</v>
      </c>
      <c r="AE53">
        <f>VLOOKUP(A53, 'state-ids'!$A$1:$D$28, 4)</f>
        <v>0.91871451999999998</v>
      </c>
      <c r="AF53">
        <f t="shared" si="4"/>
        <v>7.0107280143782258E-2</v>
      </c>
      <c r="AG53">
        <f t="shared" si="5"/>
        <v>0.14736236374554512</v>
      </c>
      <c r="AH53">
        <f t="shared" si="6"/>
        <v>0.11820035996431159</v>
      </c>
      <c r="AI53">
        <f t="shared" si="7"/>
        <v>2.9162003781233528E-2</v>
      </c>
      <c r="AJ53" s="12"/>
    </row>
    <row r="54" spans="1:36" x14ac:dyDescent="0.25">
      <c r="A54" s="9">
        <v>13</v>
      </c>
      <c r="B54" s="9">
        <v>2022</v>
      </c>
      <c r="C54" s="9">
        <v>-1.8916762122875559</v>
      </c>
      <c r="D54" s="9">
        <v>0.91788945323785209</v>
      </c>
      <c r="E54" s="9">
        <v>0.87950225842631924</v>
      </c>
      <c r="F54" s="9">
        <v>0.69708939979256901</v>
      </c>
      <c r="G54" s="9">
        <v>0.6722809878785605</v>
      </c>
      <c r="H54" s="9">
        <v>0.64699852453396511</v>
      </c>
      <c r="I54" s="9">
        <v>0.4633565865239419</v>
      </c>
      <c r="J54" s="9">
        <v>-9.9392275493521157E-2</v>
      </c>
      <c r="K54" s="9">
        <v>2.4442681395872339</v>
      </c>
      <c r="L54" s="9">
        <v>-1.698044026119633</v>
      </c>
      <c r="M54" s="9">
        <v>2.6820230415454902</v>
      </c>
      <c r="N54" s="9">
        <v>2.66576729161737</v>
      </c>
      <c r="O54" s="9">
        <v>8.0551577318196781</v>
      </c>
      <c r="P54" s="9">
        <v>1.6255749389529228E-2</v>
      </c>
      <c r="Q54" s="9">
        <v>1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1</v>
      </c>
      <c r="X54" s="9">
        <v>-2.0154194831848145</v>
      </c>
      <c r="Y54">
        <f t="shared" si="0"/>
        <v>0.15081879252786007</v>
      </c>
      <c r="Z54">
        <f t="shared" si="1"/>
        <v>0.13326448942684321</v>
      </c>
      <c r="AA54">
        <f t="shared" si="2"/>
        <v>1.7554303101016855E-2</v>
      </c>
      <c r="AB54">
        <f t="shared" si="3"/>
        <v>3.0815355736236999E-4</v>
      </c>
      <c r="AC54" t="str">
        <f>VLOOKUP(A54, 'state-ids'!$A$1:$B$28, 2)</f>
        <v>AM</v>
      </c>
      <c r="AD54">
        <f>VLOOKUP(A54, 'state-ids'!$A$1:$C$28, 3)</f>
        <v>4.3542842999999998E-2</v>
      </c>
      <c r="AE54">
        <f>VLOOKUP(A54, 'state-ids'!$A$1:$D$28, 4)</f>
        <v>0.91871451999999998</v>
      </c>
      <c r="AF54">
        <f t="shared" si="4"/>
        <v>0.11368473972560486</v>
      </c>
      <c r="AG54">
        <f t="shared" si="5"/>
        <v>0.14879842343089808</v>
      </c>
      <c r="AH54">
        <f t="shared" si="6"/>
        <v>0.11935223326102429</v>
      </c>
      <c r="AI54">
        <f t="shared" si="7"/>
        <v>2.9446190169873793E-2</v>
      </c>
      <c r="AJ54" s="12"/>
    </row>
    <row r="55" spans="1:36" x14ac:dyDescent="0.25">
      <c r="A55" s="9">
        <v>13</v>
      </c>
      <c r="B55" s="9">
        <v>2023</v>
      </c>
      <c r="C55" s="9">
        <v>-1.9308834614620309</v>
      </c>
      <c r="D55" s="9">
        <v>0.87592696568459394</v>
      </c>
      <c r="E55" s="9">
        <v>0.91788945323785209</v>
      </c>
      <c r="F55" s="9">
        <v>0.87950225842631924</v>
      </c>
      <c r="G55" s="9">
        <v>0.55002710596512761</v>
      </c>
      <c r="H55" s="9">
        <v>0.6722809878785605</v>
      </c>
      <c r="I55" s="9">
        <v>0.64699852453396511</v>
      </c>
      <c r="J55" s="9">
        <v>0.46648573499141283</v>
      </c>
      <c r="K55" s="9">
        <v>2.4442681395872339</v>
      </c>
      <c r="L55" s="9">
        <v>-1.6486901483693741</v>
      </c>
      <c r="M55" s="9">
        <v>2.7403429286794632</v>
      </c>
      <c r="N55" s="9">
        <v>2.6820230415454902</v>
      </c>
      <c r="O55" s="9">
        <v>8.4658998970286863</v>
      </c>
      <c r="P55" s="9">
        <v>5.8319885283708572E-2</v>
      </c>
      <c r="Q55" s="9">
        <v>1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1</v>
      </c>
      <c r="X55" s="9">
        <v>-2.027827262878418</v>
      </c>
      <c r="Y55">
        <f t="shared" si="0"/>
        <v>0.14502002227168886</v>
      </c>
      <c r="Z55">
        <f t="shared" si="1"/>
        <v>0.13162118893879957</v>
      </c>
      <c r="AA55">
        <f t="shared" si="2"/>
        <v>1.3398833332889298E-2</v>
      </c>
      <c r="AB55">
        <f t="shared" si="3"/>
        <v>1.7952873468254533E-4</v>
      </c>
      <c r="AC55" t="str">
        <f>VLOOKUP(A55, 'state-ids'!$A$1:$B$28, 2)</f>
        <v>AM</v>
      </c>
      <c r="AD55">
        <f>VLOOKUP(A55, 'state-ids'!$A$1:$C$28, 3)</f>
        <v>4.3542842999999998E-2</v>
      </c>
      <c r="AE55">
        <f>VLOOKUP(A55, 'state-ids'!$A$1:$D$28, 4)</f>
        <v>0.91871451999999998</v>
      </c>
      <c r="AF55">
        <f t="shared" si="4"/>
        <v>8.9063677985231335E-2</v>
      </c>
      <c r="AG55">
        <f t="shared" si="5"/>
        <v>0.14696357212958158</v>
      </c>
      <c r="AH55">
        <f t="shared" si="6"/>
        <v>0.11788048648128961</v>
      </c>
      <c r="AI55">
        <f t="shared" si="7"/>
        <v>2.908308564829197E-2</v>
      </c>
      <c r="AJ55" s="12"/>
    </row>
    <row r="56" spans="1:36" x14ac:dyDescent="0.25">
      <c r="A56" s="9">
        <v>14</v>
      </c>
      <c r="B56" s="9">
        <v>2006</v>
      </c>
      <c r="C56" s="9">
        <v>-2.1214280261521119</v>
      </c>
      <c r="D56" s="9">
        <v>1.050821624831761</v>
      </c>
      <c r="E56" s="9">
        <v>0.97093042083247871</v>
      </c>
      <c r="F56" s="9">
        <v>0.82342955082286751</v>
      </c>
      <c r="G56" s="9">
        <v>0.80200158547202738</v>
      </c>
      <c r="H56" s="9">
        <v>0.74388782226312944</v>
      </c>
      <c r="I56" s="9">
        <v>0.56866047543694154</v>
      </c>
      <c r="J56" s="9">
        <v>-11.51292546497023</v>
      </c>
      <c r="K56" s="9">
        <v>0.96965976941242327</v>
      </c>
      <c r="L56" s="9">
        <v>-2.0658096230737839</v>
      </c>
      <c r="M56" s="9">
        <v>2.5416151197443391</v>
      </c>
      <c r="N56" s="9">
        <v>2.4326114046976972</v>
      </c>
      <c r="O56" s="9">
        <v>-11.51292546497023</v>
      </c>
      <c r="P56" s="9">
        <v>0.10900371521711349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1</v>
      </c>
      <c r="X56" s="9">
        <v>-2.1175780296325684</v>
      </c>
      <c r="Y56">
        <f t="shared" si="0"/>
        <v>0.11986034253639577</v>
      </c>
      <c r="Z56">
        <f t="shared" si="1"/>
        <v>0.12032269389244891</v>
      </c>
      <c r="AA56">
        <f t="shared" si="2"/>
        <v>-4.6235135605314504E-4</v>
      </c>
      <c r="AB56">
        <f t="shared" si="3"/>
        <v>2.1376877644418209E-7</v>
      </c>
      <c r="AC56" t="str">
        <f>VLOOKUP(A56, 'state-ids'!$A$1:$B$28, 2)</f>
        <v>RR</v>
      </c>
      <c r="AD56">
        <f>VLOOKUP(A56, 'state-ids'!$A$1:$C$28, 3)</f>
        <v>4.8828349E-2</v>
      </c>
      <c r="AE56">
        <f>VLOOKUP(A56, 'state-ids'!$A$1:$D$28, 4)</f>
        <v>0.94210070000000001</v>
      </c>
      <c r="AF56">
        <f t="shared" si="4"/>
        <v>-1.2910196897318999E-3</v>
      </c>
      <c r="AG56">
        <f t="shared" si="5"/>
        <v>0.13918305863341568</v>
      </c>
      <c r="AH56">
        <f t="shared" si="6"/>
        <v>0.10401805225208732</v>
      </c>
      <c r="AI56">
        <f t="shared" si="7"/>
        <v>3.5165006381328356E-2</v>
      </c>
      <c r="AJ56" s="12"/>
    </row>
    <row r="57" spans="1:36" x14ac:dyDescent="0.25">
      <c r="A57" s="9">
        <v>14</v>
      </c>
      <c r="B57" s="9">
        <v>2007</v>
      </c>
      <c r="C57" s="9">
        <v>-2.0488611487842991</v>
      </c>
      <c r="D57" s="9">
        <v>0.92715153920690085</v>
      </c>
      <c r="E57" s="9">
        <v>1.050821624831761</v>
      </c>
      <c r="F57" s="9">
        <v>0.97093042083247871</v>
      </c>
      <c r="G57" s="9">
        <v>0.67904825618044362</v>
      </c>
      <c r="H57" s="9">
        <v>0.80200158547202738</v>
      </c>
      <c r="I57" s="9">
        <v>0.74388782226312944</v>
      </c>
      <c r="J57" s="9">
        <v>-11.51292546497023</v>
      </c>
      <c r="K57" s="9">
        <v>0.96965976941242327</v>
      </c>
      <c r="L57" s="9">
        <v>-1.9236342315961601</v>
      </c>
      <c r="M57" s="9">
        <v>2.5678029528627571</v>
      </c>
      <c r="N57" s="9">
        <v>2.5299808907507249</v>
      </c>
      <c r="O57" s="9">
        <v>-11.51292546497023</v>
      </c>
      <c r="P57" s="9">
        <v>3.7822060286998749E-2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1</v>
      </c>
      <c r="X57" s="9">
        <v>-1.989555835723877</v>
      </c>
      <c r="Y57">
        <f t="shared" si="0"/>
        <v>0.12888159700439134</v>
      </c>
      <c r="Z57">
        <f t="shared" si="1"/>
        <v>0.13675615415597966</v>
      </c>
      <c r="AA57">
        <f t="shared" si="2"/>
        <v>-7.8745571515883295E-3</v>
      </c>
      <c r="AB57">
        <f t="shared" si="3"/>
        <v>6.2008650333630907E-5</v>
      </c>
      <c r="AC57" t="str">
        <f>VLOOKUP(A57, 'state-ids'!$A$1:$B$28, 2)</f>
        <v>RR</v>
      </c>
      <c r="AD57">
        <f>VLOOKUP(A57, 'state-ids'!$A$1:$C$28, 3)</f>
        <v>4.8828349E-2</v>
      </c>
      <c r="AE57">
        <f>VLOOKUP(A57, 'state-ids'!$A$1:$D$28, 4)</f>
        <v>0.94210070000000001</v>
      </c>
      <c r="AF57">
        <f t="shared" si="4"/>
        <v>-5.587157694794289E-2</v>
      </c>
      <c r="AG57">
        <f t="shared" si="5"/>
        <v>0.1581924340838472</v>
      </c>
      <c r="AH57">
        <f t="shared" si="6"/>
        <v>0.1182246534598568</v>
      </c>
      <c r="AI57">
        <f t="shared" si="7"/>
        <v>3.9967780623990395E-2</v>
      </c>
      <c r="AJ57" s="12"/>
    </row>
    <row r="58" spans="1:36" x14ac:dyDescent="0.25">
      <c r="A58" s="9">
        <v>14</v>
      </c>
      <c r="B58" s="9">
        <v>2008</v>
      </c>
      <c r="C58" s="9">
        <v>-1.8916961888322019</v>
      </c>
      <c r="D58" s="9">
        <v>0.8885906012318765</v>
      </c>
      <c r="E58" s="9">
        <v>0.92715153920690085</v>
      </c>
      <c r="F58" s="9">
        <v>1.050821624831761</v>
      </c>
      <c r="G58" s="9">
        <v>0.6598488951584307</v>
      </c>
      <c r="H58" s="9">
        <v>0.67904825618044362</v>
      </c>
      <c r="I58" s="9">
        <v>0.80200158547202738</v>
      </c>
      <c r="J58" s="9">
        <v>-11.51292546497023</v>
      </c>
      <c r="K58" s="9">
        <v>0.96965976941242327</v>
      </c>
      <c r="L58" s="9">
        <v>-1.786369245775409</v>
      </c>
      <c r="M58" s="9">
        <v>2.613589893895834</v>
      </c>
      <c r="N58" s="9">
        <v>2.5563049465615411</v>
      </c>
      <c r="O58" s="9">
        <v>-11.51292546497023</v>
      </c>
      <c r="P58" s="9">
        <v>5.7284947484731674E-2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1</v>
      </c>
      <c r="X58" s="9">
        <v>-1.8828446865081787</v>
      </c>
      <c r="Y58">
        <f t="shared" si="0"/>
        <v>0.15081577971961052</v>
      </c>
      <c r="Z58">
        <f t="shared" si="1"/>
        <v>0.15215665155471741</v>
      </c>
      <c r="AA58">
        <f t="shared" si="2"/>
        <v>-1.3408718351068938E-3</v>
      </c>
      <c r="AB58">
        <f t="shared" si="3"/>
        <v>1.7979372781829289E-6</v>
      </c>
      <c r="AC58" t="str">
        <f>VLOOKUP(A58, 'state-ids'!$A$1:$B$28, 2)</f>
        <v>RR</v>
      </c>
      <c r="AD58">
        <f>VLOOKUP(A58, 'state-ids'!$A$1:$C$28, 3)</f>
        <v>4.8828349E-2</v>
      </c>
      <c r="AE58">
        <f>VLOOKUP(A58, 'state-ids'!$A$1:$D$28, 4)</f>
        <v>0.94210070000000001</v>
      </c>
      <c r="AF58">
        <f t="shared" si="4"/>
        <v>-8.3390065355138914E-3</v>
      </c>
      <c r="AG58">
        <f t="shared" si="5"/>
        <v>0.17600693160788242</v>
      </c>
      <c r="AH58">
        <f t="shared" si="6"/>
        <v>0.13153826614012085</v>
      </c>
      <c r="AI58">
        <f t="shared" si="7"/>
        <v>4.446866546776157E-2</v>
      </c>
      <c r="AJ58" s="12"/>
    </row>
    <row r="59" spans="1:36" x14ac:dyDescent="0.25">
      <c r="A59" s="9">
        <v>14</v>
      </c>
      <c r="B59" s="9">
        <v>2009</v>
      </c>
      <c r="C59" s="9">
        <v>-1.731314898936454</v>
      </c>
      <c r="D59" s="9">
        <v>0.85010819341370714</v>
      </c>
      <c r="E59" s="9">
        <v>0.8885906012318765</v>
      </c>
      <c r="F59" s="9">
        <v>0.92715153920690085</v>
      </c>
      <c r="G59" s="9">
        <v>0.6269539578251464</v>
      </c>
      <c r="H59" s="9">
        <v>0.6598488951584307</v>
      </c>
      <c r="I59" s="9">
        <v>0.67904825618044362</v>
      </c>
      <c r="J59" s="9">
        <v>-6.0438174049598743</v>
      </c>
      <c r="K59" s="9">
        <v>0.96965976941242327</v>
      </c>
      <c r="L59" s="9">
        <v>-1.6727758863447291</v>
      </c>
      <c r="M59" s="9">
        <v>2.680348433775428</v>
      </c>
      <c r="N59" s="9">
        <v>2.59269452008478</v>
      </c>
      <c r="O59" s="9">
        <v>-11.51292546497023</v>
      </c>
      <c r="P59" s="9">
        <v>8.7653912603855133E-2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1</v>
      </c>
      <c r="X59" s="9">
        <v>-1.7765681743621826</v>
      </c>
      <c r="Y59">
        <f t="shared" si="0"/>
        <v>0.17705145207936435</v>
      </c>
      <c r="Z59">
        <f t="shared" si="1"/>
        <v>0.16921787818463815</v>
      </c>
      <c r="AA59">
        <f t="shared" si="2"/>
        <v>7.8335738947261924E-3</v>
      </c>
      <c r="AB59">
        <f t="shared" si="3"/>
        <v>6.1364879964135688E-5</v>
      </c>
      <c r="AC59" t="str">
        <f>VLOOKUP(A59, 'state-ids'!$A$1:$B$28, 2)</f>
        <v>RR</v>
      </c>
      <c r="AD59">
        <f>VLOOKUP(A59, 'state-ids'!$A$1:$C$28, 3)</f>
        <v>4.8828349E-2</v>
      </c>
      <c r="AE59">
        <f>VLOOKUP(A59, 'state-ids'!$A$1:$D$28, 4)</f>
        <v>0.94210070000000001</v>
      </c>
      <c r="AF59">
        <f t="shared" si="4"/>
        <v>4.2633142455871763E-2</v>
      </c>
      <c r="AG59">
        <f t="shared" si="5"/>
        <v>0.19574247466772141</v>
      </c>
      <c r="AH59">
        <f t="shared" si="6"/>
        <v>0.14628756658931211</v>
      </c>
      <c r="AI59">
        <f t="shared" si="7"/>
        <v>4.9454908078409299E-2</v>
      </c>
      <c r="AJ59" s="12"/>
    </row>
    <row r="60" spans="1:36" x14ac:dyDescent="0.25">
      <c r="A60" s="9">
        <v>14</v>
      </c>
      <c r="B60" s="9">
        <v>2010</v>
      </c>
      <c r="C60" s="9">
        <v>-1.6370132101979851</v>
      </c>
      <c r="D60" s="9">
        <v>0.83971201764178083</v>
      </c>
      <c r="E60" s="9">
        <v>0.85010819341370714</v>
      </c>
      <c r="F60" s="9">
        <v>0.8885906012318765</v>
      </c>
      <c r="G60" s="9">
        <v>0.63668264357881876</v>
      </c>
      <c r="H60" s="9">
        <v>0.6269539578251464</v>
      </c>
      <c r="I60" s="9">
        <v>0.6598488951584307</v>
      </c>
      <c r="J60" s="9">
        <v>-6.0886638504851271</v>
      </c>
      <c r="K60" s="9">
        <v>0.96965976941242327</v>
      </c>
      <c r="L60" s="9">
        <v>-1.5818013322830919</v>
      </c>
      <c r="M60" s="9">
        <v>2.712075371742944</v>
      </c>
      <c r="N60" s="9">
        <v>2.6355019882501809</v>
      </c>
      <c r="O60" s="9">
        <v>-11.51292546497023</v>
      </c>
      <c r="P60" s="9">
        <v>7.6573386788368225E-2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1</v>
      </c>
      <c r="X60" s="9">
        <v>-1.6919289827346802</v>
      </c>
      <c r="Y60">
        <f t="shared" si="0"/>
        <v>0.19456028600464564</v>
      </c>
      <c r="Z60">
        <f t="shared" si="1"/>
        <v>0.18416393209257598</v>
      </c>
      <c r="AA60">
        <f t="shared" si="2"/>
        <v>1.0396353912069667E-2</v>
      </c>
      <c r="AB60">
        <f t="shared" si="3"/>
        <v>1.0808417466500627E-4</v>
      </c>
      <c r="AC60" t="str">
        <f>VLOOKUP(A60, 'state-ids'!$A$1:$B$28, 2)</f>
        <v>RR</v>
      </c>
      <c r="AD60">
        <f>VLOOKUP(A60, 'state-ids'!$A$1:$C$28, 3)</f>
        <v>4.8828349E-2</v>
      </c>
      <c r="AE60">
        <f>VLOOKUP(A60, 'state-ids'!$A$1:$D$28, 4)</f>
        <v>0.94210070000000001</v>
      </c>
      <c r="AF60">
        <f t="shared" si="4"/>
        <v>5.1736187747861234E-2</v>
      </c>
      <c r="AG60">
        <f t="shared" si="5"/>
        <v>0.21303129550534441</v>
      </c>
      <c r="AH60">
        <f t="shared" si="6"/>
        <v>0.15920831633372884</v>
      </c>
      <c r="AI60">
        <f t="shared" si="7"/>
        <v>5.3822979171615576E-2</v>
      </c>
      <c r="AJ60" s="12"/>
    </row>
    <row r="61" spans="1:36" x14ac:dyDescent="0.25">
      <c r="A61" s="9">
        <v>14</v>
      </c>
      <c r="B61" s="9">
        <v>2011</v>
      </c>
      <c r="C61" s="9">
        <v>-1.6511480036138131</v>
      </c>
      <c r="D61" s="9">
        <v>0.78024188741087908</v>
      </c>
      <c r="E61" s="9">
        <v>0.83971201764178083</v>
      </c>
      <c r="F61" s="9">
        <v>0.85010819341370714</v>
      </c>
      <c r="G61" s="9">
        <v>0.63254755843101573</v>
      </c>
      <c r="H61" s="9">
        <v>0.63668264357881876</v>
      </c>
      <c r="I61" s="9">
        <v>0.6269539578251464</v>
      </c>
      <c r="J61" s="9">
        <v>-4.1856749717641</v>
      </c>
      <c r="K61" s="9">
        <v>0.96965976941242327</v>
      </c>
      <c r="L61" s="9">
        <v>-1.524027786338819</v>
      </c>
      <c r="M61" s="9">
        <v>2.6846472020599572</v>
      </c>
      <c r="N61" s="9">
        <v>2.6691541014086368</v>
      </c>
      <c r="O61" s="9">
        <v>-11.51292546497023</v>
      </c>
      <c r="P61" s="9">
        <v>1.5493100509047508E-2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1</v>
      </c>
      <c r="X61" s="9">
        <v>-1.5986220836639404</v>
      </c>
      <c r="Y61">
        <f t="shared" si="0"/>
        <v>0.19182956113567948</v>
      </c>
      <c r="Z61">
        <f t="shared" si="1"/>
        <v>0.20217490625881537</v>
      </c>
      <c r="AA61">
        <f t="shared" si="2"/>
        <v>-1.0345345123135896E-2</v>
      </c>
      <c r="AB61">
        <f t="shared" si="3"/>
        <v>1.0702616571679168E-4</v>
      </c>
      <c r="AC61" t="str">
        <f>VLOOKUP(A61, 'state-ids'!$A$1:$B$28, 2)</f>
        <v>RR</v>
      </c>
      <c r="AD61">
        <f>VLOOKUP(A61, 'state-ids'!$A$1:$C$28, 3)</f>
        <v>4.8828349E-2</v>
      </c>
      <c r="AE61">
        <f>VLOOKUP(A61, 'state-ids'!$A$1:$D$28, 4)</f>
        <v>0.94210070000000001</v>
      </c>
      <c r="AF61">
        <f t="shared" si="4"/>
        <v>-4.9484705952918998E-2</v>
      </c>
      <c r="AG61">
        <f t="shared" si="5"/>
        <v>0.23386545731080871</v>
      </c>
      <c r="AH61">
        <f t="shared" si="6"/>
        <v>0.17477866629289357</v>
      </c>
      <c r="AI61">
        <f t="shared" si="7"/>
        <v>5.9086791017915141E-2</v>
      </c>
      <c r="AJ61" s="12"/>
    </row>
    <row r="62" spans="1:36" x14ac:dyDescent="0.25">
      <c r="A62" s="9">
        <v>14</v>
      </c>
      <c r="B62" s="9">
        <v>2012</v>
      </c>
      <c r="C62" s="9">
        <v>-1.552265536560707</v>
      </c>
      <c r="D62" s="9">
        <v>0.73400117456821146</v>
      </c>
      <c r="E62" s="9">
        <v>0.78024188741087908</v>
      </c>
      <c r="F62" s="9">
        <v>0.83971201764178083</v>
      </c>
      <c r="G62" s="9">
        <v>0.61971590247406239</v>
      </c>
      <c r="H62" s="9">
        <v>0.63254755843101573</v>
      </c>
      <c r="I62" s="9">
        <v>0.63668264357881876</v>
      </c>
      <c r="J62" s="9">
        <v>-3.849134322558645</v>
      </c>
      <c r="K62" s="9">
        <v>0.96965976941242327</v>
      </c>
      <c r="L62" s="9">
        <v>-1.457586424516502</v>
      </c>
      <c r="M62" s="9">
        <v>2.6424033786447718</v>
      </c>
      <c r="N62" s="9">
        <v>2.6645129073266771</v>
      </c>
      <c r="O62" s="9">
        <v>-11.51292546497023</v>
      </c>
      <c r="P62" s="9">
        <v>-2.2109529003500938E-2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1</v>
      </c>
      <c r="X62" s="9">
        <v>-1.5040528774261475</v>
      </c>
      <c r="Y62">
        <f t="shared" si="0"/>
        <v>0.21176766256889953</v>
      </c>
      <c r="Z62">
        <f t="shared" si="1"/>
        <v>0.22222767103349519</v>
      </c>
      <c r="AA62">
        <f t="shared" si="2"/>
        <v>-1.046000846459566E-2</v>
      </c>
      <c r="AB62">
        <f t="shared" si="3"/>
        <v>1.0941177707941286E-4</v>
      </c>
      <c r="AC62" t="str">
        <f>VLOOKUP(A62, 'state-ids'!$A$1:$B$28, 2)</f>
        <v>RR</v>
      </c>
      <c r="AD62">
        <f>VLOOKUP(A62, 'state-ids'!$A$1:$C$28, 3)</f>
        <v>4.8828349E-2</v>
      </c>
      <c r="AE62">
        <f>VLOOKUP(A62, 'state-ids'!$A$1:$D$28, 4)</f>
        <v>0.94210070000000001</v>
      </c>
      <c r="AF62">
        <f t="shared" si="4"/>
        <v>-4.5421179919529917E-2</v>
      </c>
      <c r="AG62">
        <f t="shared" si="5"/>
        <v>0.25706145671131336</v>
      </c>
      <c r="AH62">
        <f t="shared" si="6"/>
        <v>0.19211412867870009</v>
      </c>
      <c r="AI62">
        <f t="shared" si="7"/>
        <v>6.4947328032613272E-2</v>
      </c>
      <c r="AJ62" s="12"/>
    </row>
    <row r="63" spans="1:36" x14ac:dyDescent="0.25">
      <c r="A63" s="9">
        <v>14</v>
      </c>
      <c r="B63" s="9">
        <v>2013</v>
      </c>
      <c r="C63" s="9">
        <v>-1.5003883410751231</v>
      </c>
      <c r="D63" s="9">
        <v>0.72420970601176304</v>
      </c>
      <c r="E63" s="9">
        <v>0.73400117456821146</v>
      </c>
      <c r="F63" s="9">
        <v>0.78024188741087908</v>
      </c>
      <c r="G63" s="9">
        <v>0.61550991083279283</v>
      </c>
      <c r="H63" s="9">
        <v>0.61971590247406239</v>
      </c>
      <c r="I63" s="9">
        <v>0.63254755843101573</v>
      </c>
      <c r="J63" s="9">
        <v>-2.932366397932173</v>
      </c>
      <c r="K63" s="9">
        <v>0.96965976941242327</v>
      </c>
      <c r="L63" s="9">
        <v>-1.4167828025081901</v>
      </c>
      <c r="M63" s="9">
        <v>2.687003829487947</v>
      </c>
      <c r="N63" s="9">
        <v>2.603659858243808</v>
      </c>
      <c r="O63" s="9">
        <v>-11.51292546497023</v>
      </c>
      <c r="P63" s="9">
        <v>8.3343967795372009E-2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1</v>
      </c>
      <c r="X63" s="9">
        <v>-1.4370948076248169</v>
      </c>
      <c r="Y63">
        <f t="shared" si="0"/>
        <v>0.22304352636496247</v>
      </c>
      <c r="Z63">
        <f t="shared" si="1"/>
        <v>0.23761708022112291</v>
      </c>
      <c r="AA63">
        <f t="shared" si="2"/>
        <v>-1.4573553856160437E-2</v>
      </c>
      <c r="AB63">
        <f t="shared" si="3"/>
        <v>2.1238847199840874E-4</v>
      </c>
      <c r="AC63" t="str">
        <f>VLOOKUP(A63, 'state-ids'!$A$1:$B$28, 2)</f>
        <v>RR</v>
      </c>
      <c r="AD63">
        <f>VLOOKUP(A63, 'state-ids'!$A$1:$C$28, 3)</f>
        <v>4.8828349E-2</v>
      </c>
      <c r="AE63">
        <f>VLOOKUP(A63, 'state-ids'!$A$1:$D$28, 4)</f>
        <v>0.94210070000000001</v>
      </c>
      <c r="AF63">
        <f t="shared" si="4"/>
        <v>-5.9628882169006879E-2</v>
      </c>
      <c r="AG63">
        <f t="shared" si="5"/>
        <v>0.27486312796719303</v>
      </c>
      <c r="AH63">
        <f t="shared" si="6"/>
        <v>0.20541815568492949</v>
      </c>
      <c r="AI63">
        <f t="shared" si="7"/>
        <v>6.944497228226354E-2</v>
      </c>
      <c r="AJ63" s="12"/>
    </row>
    <row r="64" spans="1:36" x14ac:dyDescent="0.25">
      <c r="A64" s="9">
        <v>14</v>
      </c>
      <c r="B64" s="9">
        <v>2014</v>
      </c>
      <c r="C64" s="9">
        <v>-1.397781435692395</v>
      </c>
      <c r="D64" s="9">
        <v>0.69154589919297138</v>
      </c>
      <c r="E64" s="9">
        <v>0.72420970601176304</v>
      </c>
      <c r="F64" s="9">
        <v>0.73400117456821146</v>
      </c>
      <c r="G64" s="9">
        <v>0.57537664482543749</v>
      </c>
      <c r="H64" s="9">
        <v>0.61550991083279283</v>
      </c>
      <c r="I64" s="9">
        <v>0.61971590247406239</v>
      </c>
      <c r="J64" s="9">
        <v>-2.2964382397407608</v>
      </c>
      <c r="K64" s="9">
        <v>0.96965976941242327</v>
      </c>
      <c r="L64" s="9">
        <v>-1.360431158802089</v>
      </c>
      <c r="M64" s="9">
        <v>2.6717135384811321</v>
      </c>
      <c r="N64" s="9">
        <v>2.669005520272695</v>
      </c>
      <c r="O64" s="9">
        <v>-11.51292546497023</v>
      </c>
      <c r="P64" s="9">
        <v>2.7080182917416096E-3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1</v>
      </c>
      <c r="X64" s="9">
        <v>-1.3825035095214844</v>
      </c>
      <c r="Y64">
        <f t="shared" si="0"/>
        <v>0.24714466249174949</v>
      </c>
      <c r="Z64">
        <f t="shared" si="1"/>
        <v>0.25094951149109468</v>
      </c>
      <c r="AA64">
        <f t="shared" si="2"/>
        <v>-3.8048489993451895E-3</v>
      </c>
      <c r="AB64">
        <f t="shared" si="3"/>
        <v>1.447687590781809E-5</v>
      </c>
      <c r="AC64" t="str">
        <f>VLOOKUP(A64, 'state-ids'!$A$1:$B$28, 2)</f>
        <v>RR</v>
      </c>
      <c r="AD64">
        <f>VLOOKUP(A64, 'state-ids'!$A$1:$C$28, 3)</f>
        <v>4.8828349E-2</v>
      </c>
      <c r="AE64">
        <f>VLOOKUP(A64, 'state-ids'!$A$1:$D$28, 4)</f>
        <v>0.94210070000000001</v>
      </c>
      <c r="AF64">
        <f t="shared" si="4"/>
        <v>-1.4393344940163212E-2</v>
      </c>
      <c r="AG64">
        <f t="shared" si="5"/>
        <v>0.29028539373555384</v>
      </c>
      <c r="AH64">
        <f t="shared" si="6"/>
        <v>0.21694394095139719</v>
      </c>
      <c r="AI64">
        <f t="shared" si="7"/>
        <v>7.3341452784156658E-2</v>
      </c>
      <c r="AJ64" s="12"/>
    </row>
    <row r="65" spans="1:36" x14ac:dyDescent="0.25">
      <c r="A65" s="9">
        <v>14</v>
      </c>
      <c r="B65" s="9">
        <v>2015</v>
      </c>
      <c r="C65" s="9">
        <v>-1.406478382367957</v>
      </c>
      <c r="D65" s="9">
        <v>0.72851432439723662</v>
      </c>
      <c r="E65" s="9">
        <v>0.69154589919297138</v>
      </c>
      <c r="F65" s="9">
        <v>0.72420970601176304</v>
      </c>
      <c r="G65" s="9">
        <v>0.57391309263624701</v>
      </c>
      <c r="H65" s="9">
        <v>0.57537664482543749</v>
      </c>
      <c r="I65" s="9">
        <v>0.61550991083279283</v>
      </c>
      <c r="J65" s="9">
        <v>-1.895141054409754</v>
      </c>
      <c r="K65" s="9">
        <v>0.96965976941242327</v>
      </c>
      <c r="L65" s="9">
        <v>-1.315803727531329</v>
      </c>
      <c r="M65" s="9">
        <v>2.6312853746276921</v>
      </c>
      <c r="N65" s="9">
        <v>2.6543003889539531</v>
      </c>
      <c r="O65" s="9">
        <v>-11.51292546497023</v>
      </c>
      <c r="P65" s="9">
        <v>-2.3015014827251434E-2</v>
      </c>
      <c r="Q65" s="9">
        <v>1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1</v>
      </c>
      <c r="X65" s="9">
        <v>-1.4277093410491943</v>
      </c>
      <c r="Y65">
        <f t="shared" si="0"/>
        <v>0.24500457812978951</v>
      </c>
      <c r="Z65">
        <f t="shared" si="1"/>
        <v>0.23985772568929251</v>
      </c>
      <c r="AA65">
        <f t="shared" si="2"/>
        <v>5.1468524404970073E-3</v>
      </c>
      <c r="AB65">
        <f t="shared" si="3"/>
        <v>2.6490090044249999E-5</v>
      </c>
      <c r="AC65" t="str">
        <f>VLOOKUP(A65, 'state-ids'!$A$1:$B$28, 2)</f>
        <v>RR</v>
      </c>
      <c r="AD65">
        <f>VLOOKUP(A65, 'state-ids'!$A$1:$C$28, 3)</f>
        <v>4.8828349E-2</v>
      </c>
      <c r="AE65">
        <f>VLOOKUP(A65, 'state-ids'!$A$1:$D$28, 4)</f>
        <v>0.94210070000000001</v>
      </c>
      <c r="AF65">
        <f t="shared" si="4"/>
        <v>2.0001701035264798E-2</v>
      </c>
      <c r="AG65">
        <f t="shared" si="5"/>
        <v>0.27745499056172329</v>
      </c>
      <c r="AH65">
        <f t="shared" si="6"/>
        <v>0.2073551766229314</v>
      </c>
      <c r="AI65">
        <f t="shared" si="7"/>
        <v>7.0099813938791888E-2</v>
      </c>
      <c r="AJ65" s="12"/>
    </row>
    <row r="66" spans="1:36" x14ac:dyDescent="0.25">
      <c r="A66" s="9">
        <v>14</v>
      </c>
      <c r="B66" s="9">
        <v>2016</v>
      </c>
      <c r="C66" s="9">
        <v>-1.3755681813668039</v>
      </c>
      <c r="D66" s="9">
        <v>0.75358354936377603</v>
      </c>
      <c r="E66" s="9">
        <v>0.72851432439723662</v>
      </c>
      <c r="F66" s="9">
        <v>0.69154589919297138</v>
      </c>
      <c r="G66" s="9">
        <v>0.70066882195879143</v>
      </c>
      <c r="H66" s="9">
        <v>0.57391309263624701</v>
      </c>
      <c r="I66" s="9">
        <v>0.57537664482543749</v>
      </c>
      <c r="J66" s="9">
        <v>-1.542188325737653</v>
      </c>
      <c r="K66" s="9">
        <v>0.96965976941242327</v>
      </c>
      <c r="L66" s="9">
        <v>-1.28585620413132</v>
      </c>
      <c r="M66" s="9">
        <v>2.6090838390708408</v>
      </c>
      <c r="N66" s="9">
        <v>2.614491077793708</v>
      </c>
      <c r="O66" s="9">
        <v>-11.51292546497023</v>
      </c>
      <c r="P66" s="9">
        <v>-5.407238844782114E-3</v>
      </c>
      <c r="Q66" s="9">
        <v>1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1</v>
      </c>
      <c r="X66" s="9">
        <v>-1.3776055574417114</v>
      </c>
      <c r="Y66">
        <f t="shared" si="0"/>
        <v>0.25269597786200315</v>
      </c>
      <c r="Z66">
        <f t="shared" si="1"/>
        <v>0.25218166522451818</v>
      </c>
      <c r="AA66">
        <f t="shared" si="2"/>
        <v>5.1431263748497047E-4</v>
      </c>
      <c r="AB66">
        <f t="shared" si="3"/>
        <v>2.6451748907674668E-7</v>
      </c>
      <c r="AC66" t="str">
        <f>VLOOKUP(A66, 'state-ids'!$A$1:$B$28, 2)</f>
        <v>RR</v>
      </c>
      <c r="AD66">
        <f>VLOOKUP(A66, 'state-ids'!$A$1:$C$28, 3)</f>
        <v>4.8828349E-2</v>
      </c>
      <c r="AE66">
        <f>VLOOKUP(A66, 'state-ids'!$A$1:$D$28, 4)</f>
        <v>0.94210070000000001</v>
      </c>
      <c r="AF66">
        <f t="shared" si="4"/>
        <v>1.9194134263336123E-3</v>
      </c>
      <c r="AG66">
        <f t="shared" si="5"/>
        <v>0.29171068533912903</v>
      </c>
      <c r="AH66">
        <f t="shared" si="6"/>
        <v>0.21800912846739817</v>
      </c>
      <c r="AI66">
        <f t="shared" si="7"/>
        <v>7.3701556871730856E-2</v>
      </c>
      <c r="AJ66" s="12"/>
    </row>
    <row r="67" spans="1:36" x14ac:dyDescent="0.25">
      <c r="A67" s="9">
        <v>14</v>
      </c>
      <c r="B67" s="9">
        <v>2017</v>
      </c>
      <c r="C67" s="9">
        <v>-1.3358158736813781</v>
      </c>
      <c r="D67" s="9">
        <v>0.69309717930990367</v>
      </c>
      <c r="E67" s="9">
        <v>0.75358354936377603</v>
      </c>
      <c r="F67" s="9">
        <v>0.72851432439723662</v>
      </c>
      <c r="G67" s="9">
        <v>0.6661356313130955</v>
      </c>
      <c r="H67" s="9">
        <v>0.70066882195879143</v>
      </c>
      <c r="I67" s="9">
        <v>0.57391309263624701</v>
      </c>
      <c r="J67" s="9">
        <v>-0.87898788351104096</v>
      </c>
      <c r="K67" s="9">
        <v>0.96965976941242327</v>
      </c>
      <c r="L67" s="9">
        <v>-1.262937275707122</v>
      </c>
      <c r="M67" s="9">
        <v>2.651307984761778</v>
      </c>
      <c r="N67" s="9">
        <v>2.5928672935494101</v>
      </c>
      <c r="O67" s="9">
        <v>-11.51292546497023</v>
      </c>
      <c r="P67" s="9">
        <v>5.8440692722797394E-2</v>
      </c>
      <c r="Q67" s="9">
        <v>1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1</v>
      </c>
      <c r="X67" s="9">
        <v>-1.3066034317016602</v>
      </c>
      <c r="Y67">
        <f t="shared" ref="Y67:Y130" si="8">EXP(C67)</f>
        <v>0.26294355918842177</v>
      </c>
      <c r="Z67">
        <f t="shared" ref="Z67:Z130" si="9">EXP(X67)</f>
        <v>0.27073807681142348</v>
      </c>
      <c r="AA67">
        <f t="shared" ref="AA67:AA130" si="10">Y67-Z67</f>
        <v>-7.7945176230017066E-3</v>
      </c>
      <c r="AB67">
        <f t="shared" ref="AB67:AB130" si="11">AA67*AA67</f>
        <v>6.0754504975284171E-5</v>
      </c>
      <c r="AC67" t="str">
        <f>VLOOKUP(A67, 'state-ids'!$A$1:$B$28, 2)</f>
        <v>RR</v>
      </c>
      <c r="AD67">
        <f>VLOOKUP(A67, 'state-ids'!$A$1:$C$28, 3)</f>
        <v>4.8828349E-2</v>
      </c>
      <c r="AE67">
        <f>VLOOKUP(A67, 'state-ids'!$A$1:$D$28, 4)</f>
        <v>0.94210070000000001</v>
      </c>
      <c r="AF67">
        <f t="shared" ref="AF67:AF130" si="12">IF(B67=2006, (C67-X67)*SQRT(1 - AE67*AE67), AE67*(C67-X67) )</f>
        <v>-2.7521062037801667E-2</v>
      </c>
      <c r="AG67">
        <f t="shared" ref="AG67:AG130" si="13">EXP(X67+SQRT((AD67*AD67)/(1-(AE67*AE67))))</f>
        <v>0.3131757808948738</v>
      </c>
      <c r="AH67">
        <f t="shared" ref="AH67:AH130" si="14">EXP(X67-SQRT((AD67*AD67)/(1-(AE67*AE67))))</f>
        <v>0.23405100492158792</v>
      </c>
      <c r="AI67">
        <f t="shared" ref="AI67:AI130" si="15">AG67-AH67</f>
        <v>7.9124775973285877E-2</v>
      </c>
      <c r="AJ67" s="12"/>
    </row>
    <row r="68" spans="1:36" x14ac:dyDescent="0.25">
      <c r="A68" s="9">
        <v>14</v>
      </c>
      <c r="B68" s="9">
        <v>2018</v>
      </c>
      <c r="C68" s="9">
        <v>-1.4085563991275289</v>
      </c>
      <c r="D68" s="9">
        <v>0.78115805788265869</v>
      </c>
      <c r="E68" s="9">
        <v>0.69309717930990367</v>
      </c>
      <c r="F68" s="9">
        <v>0.75358354936377603</v>
      </c>
      <c r="G68" s="9">
        <v>0.6562757057840406</v>
      </c>
      <c r="H68" s="9">
        <v>0.6661356313130955</v>
      </c>
      <c r="I68" s="9">
        <v>0.70066882195879143</v>
      </c>
      <c r="J68" s="9">
        <v>-0.58565216278882493</v>
      </c>
      <c r="K68" s="9">
        <v>0.96965976941242327</v>
      </c>
      <c r="L68" s="9">
        <v>-1.324389958640908</v>
      </c>
      <c r="M68" s="9">
        <v>2.608562867960984</v>
      </c>
      <c r="N68" s="9">
        <v>2.5530999358944371</v>
      </c>
      <c r="O68" s="9">
        <v>3.2580965380214821</v>
      </c>
      <c r="P68" s="9">
        <v>5.5462930351495743E-2</v>
      </c>
      <c r="Q68" s="9">
        <v>1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1</v>
      </c>
      <c r="X68" s="9">
        <v>-1.4244557619094849</v>
      </c>
      <c r="Y68">
        <f t="shared" si="8"/>
        <v>0.24449598312774889</v>
      </c>
      <c r="Z68">
        <f t="shared" si="9"/>
        <v>0.240639392700288</v>
      </c>
      <c r="AA68">
        <f t="shared" si="10"/>
        <v>3.8565904274608931E-3</v>
      </c>
      <c r="AB68">
        <f t="shared" si="11"/>
        <v>1.4873289725182994E-5</v>
      </c>
      <c r="AC68" t="str">
        <f>VLOOKUP(A68, 'state-ids'!$A$1:$B$28, 2)</f>
        <v>RR</v>
      </c>
      <c r="AD68">
        <f>VLOOKUP(A68, 'state-ids'!$A$1:$C$28, 3)</f>
        <v>4.8828349E-2</v>
      </c>
      <c r="AE68">
        <f>VLOOKUP(A68, 'state-ids'!$A$1:$D$28, 4)</f>
        <v>0.94210070000000001</v>
      </c>
      <c r="AF68">
        <f t="shared" si="12"/>
        <v>1.4978800806434617E-2</v>
      </c>
      <c r="AG68">
        <f t="shared" si="13"/>
        <v>0.27835918246354718</v>
      </c>
      <c r="AH68">
        <f t="shared" si="14"/>
        <v>0.20803092179919996</v>
      </c>
      <c r="AI68">
        <f t="shared" si="15"/>
        <v>7.032826066434722E-2</v>
      </c>
      <c r="AJ68" s="12"/>
    </row>
    <row r="69" spans="1:36" x14ac:dyDescent="0.25">
      <c r="A69" s="9">
        <v>14</v>
      </c>
      <c r="B69" s="9">
        <v>2019</v>
      </c>
      <c r="C69" s="9">
        <v>-1.3716381828919499</v>
      </c>
      <c r="D69" s="9">
        <v>0.70309751141311339</v>
      </c>
      <c r="E69" s="9">
        <v>0.78115805788265869</v>
      </c>
      <c r="F69" s="9">
        <v>0.69309717930990367</v>
      </c>
      <c r="G69" s="9">
        <v>0.62202704805681974</v>
      </c>
      <c r="H69" s="9">
        <v>0.6562757057840406</v>
      </c>
      <c r="I69" s="9">
        <v>0.6661356313130955</v>
      </c>
      <c r="J69" s="9">
        <v>8.1198499646209024E-2</v>
      </c>
      <c r="K69" s="9">
        <v>0.96965976941242327</v>
      </c>
      <c r="L69" s="9">
        <v>-1.3347112254365761</v>
      </c>
      <c r="M69" s="9">
        <v>2.5844992376152001</v>
      </c>
      <c r="N69" s="9">
        <v>2.5591706350414238</v>
      </c>
      <c r="O69" s="9">
        <v>5.393627546352362</v>
      </c>
      <c r="P69" s="9">
        <v>2.5328602641820908E-2</v>
      </c>
      <c r="Q69" s="9">
        <v>1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1</v>
      </c>
      <c r="X69" s="9">
        <v>-1.380499005317688</v>
      </c>
      <c r="Y69">
        <f t="shared" si="8"/>
        <v>0.25369102665902882</v>
      </c>
      <c r="Z69">
        <f t="shared" si="9"/>
        <v>0.25145304534107732</v>
      </c>
      <c r="AA69">
        <f t="shared" si="10"/>
        <v>2.2379813179514985E-3</v>
      </c>
      <c r="AB69">
        <f t="shared" si="11"/>
        <v>5.0085603794999258E-6</v>
      </c>
      <c r="AC69" t="str">
        <f>VLOOKUP(A69, 'state-ids'!$A$1:$B$28, 2)</f>
        <v>RR</v>
      </c>
      <c r="AD69">
        <f>VLOOKUP(A69, 'state-ids'!$A$1:$C$28, 3)</f>
        <v>4.8828349E-2</v>
      </c>
      <c r="AE69">
        <f>VLOOKUP(A69, 'state-ids'!$A$1:$D$28, 4)</f>
        <v>0.94210070000000001</v>
      </c>
      <c r="AF69">
        <f t="shared" si="12"/>
        <v>8.3477870098635117E-3</v>
      </c>
      <c r="AG69">
        <f t="shared" si="13"/>
        <v>0.29086785560620215</v>
      </c>
      <c r="AH69">
        <f t="shared" si="14"/>
        <v>0.21737924212878773</v>
      </c>
      <c r="AI69">
        <f t="shared" si="15"/>
        <v>7.3488613477414422E-2</v>
      </c>
      <c r="AJ69" s="12"/>
    </row>
    <row r="70" spans="1:36" x14ac:dyDescent="0.25">
      <c r="A70" s="9">
        <v>14</v>
      </c>
      <c r="B70" s="9">
        <v>2020</v>
      </c>
      <c r="C70" s="9">
        <v>-1.394184195864542</v>
      </c>
      <c r="D70" s="9">
        <v>0.62924845470971358</v>
      </c>
      <c r="E70" s="9">
        <v>0.70309751141311339</v>
      </c>
      <c r="F70" s="9">
        <v>0.78115805788265869</v>
      </c>
      <c r="G70" s="9">
        <v>0.55382764031053344</v>
      </c>
      <c r="H70" s="9">
        <v>0.62202704805681974</v>
      </c>
      <c r="I70" s="9">
        <v>0.6562757057840406</v>
      </c>
      <c r="J70" s="9">
        <v>0.69681451263670058</v>
      </c>
      <c r="K70" s="9">
        <v>0.96965976941242327</v>
      </c>
      <c r="L70" s="9">
        <v>-1.3391835643458849</v>
      </c>
      <c r="M70" s="9">
        <v>2.5950645419388749</v>
      </c>
      <c r="N70" s="9">
        <v>2.543392088769163</v>
      </c>
      <c r="O70" s="9">
        <v>5.9914645471079817</v>
      </c>
      <c r="P70" s="9">
        <v>5.1672454923391342E-2</v>
      </c>
      <c r="Q70" s="9">
        <v>1</v>
      </c>
      <c r="R70" s="9">
        <v>1</v>
      </c>
      <c r="S70" s="9">
        <v>0</v>
      </c>
      <c r="T70" s="9">
        <v>0</v>
      </c>
      <c r="U70" s="9">
        <v>0</v>
      </c>
      <c r="V70" s="9">
        <v>0</v>
      </c>
      <c r="W70" s="9">
        <v>1</v>
      </c>
      <c r="X70" s="9">
        <v>-1.4574438333511353</v>
      </c>
      <c r="Y70">
        <f t="shared" si="8"/>
        <v>0.24803530207658339</v>
      </c>
      <c r="Z70">
        <f t="shared" si="9"/>
        <v>0.23283066871126865</v>
      </c>
      <c r="AA70">
        <f t="shared" si="10"/>
        <v>1.5204633365314746E-2</v>
      </c>
      <c r="AB70">
        <f t="shared" si="11"/>
        <v>2.3118087577364243E-4</v>
      </c>
      <c r="AC70" t="str">
        <f>VLOOKUP(A70, 'state-ids'!$A$1:$B$28, 2)</f>
        <v>RR</v>
      </c>
      <c r="AD70">
        <f>VLOOKUP(A70, 'state-ids'!$A$1:$C$28, 3)</f>
        <v>4.8828349E-2</v>
      </c>
      <c r="AE70">
        <f>VLOOKUP(A70, 'state-ids'!$A$1:$D$28, 4)</f>
        <v>0.94210070000000001</v>
      </c>
      <c r="AF70">
        <f t="shared" si="12"/>
        <v>5.9596948757865739E-2</v>
      </c>
      <c r="AG70">
        <f t="shared" si="13"/>
        <v>0.26932645510633457</v>
      </c>
      <c r="AH70">
        <f t="shared" si="14"/>
        <v>0.20128033939752954</v>
      </c>
      <c r="AI70">
        <f t="shared" si="15"/>
        <v>6.8046115708805033E-2</v>
      </c>
      <c r="AJ70" s="12"/>
    </row>
    <row r="71" spans="1:36" x14ac:dyDescent="0.25">
      <c r="A71" s="9">
        <v>14</v>
      </c>
      <c r="B71" s="9">
        <v>2021</v>
      </c>
      <c r="C71" s="9">
        <v>-1.3579953094350481</v>
      </c>
      <c r="D71" s="9">
        <v>0.85437277405916545</v>
      </c>
      <c r="E71" s="9">
        <v>0.62924845470971358</v>
      </c>
      <c r="F71" s="9">
        <v>0.70309751141311339</v>
      </c>
      <c r="G71" s="9">
        <v>0.74293684506246094</v>
      </c>
      <c r="H71" s="9">
        <v>0.55382764031053344</v>
      </c>
      <c r="I71" s="9">
        <v>0.62202704805681974</v>
      </c>
      <c r="J71" s="9">
        <v>1.1994999048513719</v>
      </c>
      <c r="K71" s="9">
        <v>0.96965976941242327</v>
      </c>
      <c r="L71" s="9">
        <v>-1.3385504162023421</v>
      </c>
      <c r="M71" s="9">
        <v>2.5663181660538141</v>
      </c>
      <c r="N71" s="9">
        <v>2.56151968691375</v>
      </c>
      <c r="O71" s="9">
        <v>6.6846117276679271</v>
      </c>
      <c r="P71" s="9">
        <v>4.7984789125621319E-3</v>
      </c>
      <c r="Q71" s="9">
        <v>1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1</v>
      </c>
      <c r="X71" s="9">
        <v>-1.4830880165100098</v>
      </c>
      <c r="Y71">
        <f t="shared" si="8"/>
        <v>0.25717581846845394</v>
      </c>
      <c r="Z71">
        <f t="shared" si="9"/>
        <v>0.22693582368640913</v>
      </c>
      <c r="AA71">
        <f t="shared" si="10"/>
        <v>3.023999478204481E-2</v>
      </c>
      <c r="AB71">
        <f t="shared" si="11"/>
        <v>9.1445728441809729E-4</v>
      </c>
      <c r="AC71" t="str">
        <f>VLOOKUP(A71, 'state-ids'!$A$1:$B$28, 2)</f>
        <v>RR</v>
      </c>
      <c r="AD71">
        <f>VLOOKUP(A71, 'state-ids'!$A$1:$C$28, 3)</f>
        <v>4.8828349E-2</v>
      </c>
      <c r="AE71">
        <f>VLOOKUP(A71, 'state-ids'!$A$1:$D$28, 4)</f>
        <v>0.94210070000000001</v>
      </c>
      <c r="AF71">
        <f t="shared" si="12"/>
        <v>0.11784992690021634</v>
      </c>
      <c r="AG71">
        <f t="shared" si="13"/>
        <v>0.26250760378088728</v>
      </c>
      <c r="AH71">
        <f t="shared" si="14"/>
        <v>0.19618429078045088</v>
      </c>
      <c r="AI71">
        <f t="shared" si="15"/>
        <v>6.6323313000436396E-2</v>
      </c>
      <c r="AJ71" s="12"/>
    </row>
    <row r="72" spans="1:36" x14ac:dyDescent="0.25">
      <c r="A72" s="9">
        <v>14</v>
      </c>
      <c r="B72" s="9">
        <v>2022</v>
      </c>
      <c r="C72" s="9">
        <v>-1.256103145630141</v>
      </c>
      <c r="D72" s="9">
        <v>0.91625073107413368</v>
      </c>
      <c r="E72" s="9">
        <v>0.85437277405916545</v>
      </c>
      <c r="F72" s="9">
        <v>0.62924845470971358</v>
      </c>
      <c r="G72" s="9">
        <v>0.82850814849039722</v>
      </c>
      <c r="H72" s="9">
        <v>0.74293684506246094</v>
      </c>
      <c r="I72" s="9">
        <v>0.55382764031053344</v>
      </c>
      <c r="J72" s="9">
        <v>1.728170888937373</v>
      </c>
      <c r="K72" s="9">
        <v>0.96965976941242327</v>
      </c>
      <c r="L72" s="9">
        <v>-1.302099310445449</v>
      </c>
      <c r="M72" s="9">
        <v>2.6316037050358618</v>
      </c>
      <c r="N72" s="9">
        <v>2.5663181660538141</v>
      </c>
      <c r="O72" s="9">
        <v>8.0551577318196781</v>
      </c>
      <c r="P72" s="9">
        <v>6.5285541117191315E-2</v>
      </c>
      <c r="Q72" s="9">
        <v>1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1</v>
      </c>
      <c r="X72" s="9">
        <v>-1.4720734357833862</v>
      </c>
      <c r="Y72">
        <f t="shared" si="8"/>
        <v>0.28476154144317628</v>
      </c>
      <c r="Z72">
        <f t="shared" si="9"/>
        <v>0.22944924335726963</v>
      </c>
      <c r="AA72">
        <f t="shared" si="10"/>
        <v>5.5312298085906653E-2</v>
      </c>
      <c r="AB72">
        <f t="shared" si="11"/>
        <v>3.0594503195441928E-3</v>
      </c>
      <c r="AC72" t="str">
        <f>VLOOKUP(A72, 'state-ids'!$A$1:$B$28, 2)</f>
        <v>RR</v>
      </c>
      <c r="AD72">
        <f>VLOOKUP(A72, 'state-ids'!$A$1:$C$28, 3)</f>
        <v>4.8828349E-2</v>
      </c>
      <c r="AE72">
        <f>VLOOKUP(A72, 'state-ids'!$A$1:$D$28, 4)</f>
        <v>0.94210070000000001</v>
      </c>
      <c r="AF72">
        <f t="shared" si="12"/>
        <v>0.20346576153257542</v>
      </c>
      <c r="AG72">
        <f t="shared" si="13"/>
        <v>0.26541499744124236</v>
      </c>
      <c r="AH72">
        <f t="shared" si="14"/>
        <v>0.19835712293868599</v>
      </c>
      <c r="AI72">
        <f t="shared" si="15"/>
        <v>6.7057874502556375E-2</v>
      </c>
      <c r="AJ72" s="12"/>
    </row>
    <row r="73" spans="1:36" x14ac:dyDescent="0.25">
      <c r="A73" s="9">
        <v>14</v>
      </c>
      <c r="B73" s="9">
        <v>2023</v>
      </c>
      <c r="C73" s="9">
        <v>-1.270274722254032</v>
      </c>
      <c r="D73" s="9">
        <v>0.81801616260581456</v>
      </c>
      <c r="E73" s="9">
        <v>0.91625073107413368</v>
      </c>
      <c r="F73" s="9">
        <v>0.85437277405916545</v>
      </c>
      <c r="G73" s="9">
        <v>0.64752200253366976</v>
      </c>
      <c r="H73" s="9">
        <v>0.82850814849039722</v>
      </c>
      <c r="I73" s="9">
        <v>0.74293684506246094</v>
      </c>
      <c r="J73" s="9">
        <v>2.3604553240936168</v>
      </c>
      <c r="K73" s="9">
        <v>0.96965976941242327</v>
      </c>
      <c r="L73" s="9">
        <v>-1.2773671272837059</v>
      </c>
      <c r="M73" s="9">
        <v>2.7560989929225941</v>
      </c>
      <c r="N73" s="9">
        <v>2.6316037050358618</v>
      </c>
      <c r="O73" s="9">
        <v>8.4658998970286863</v>
      </c>
      <c r="P73" s="9">
        <v>0.12449529021978378</v>
      </c>
      <c r="Q73" s="9">
        <v>1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1</v>
      </c>
      <c r="X73" s="9">
        <v>-1.4759992361068726</v>
      </c>
      <c r="Y73">
        <f t="shared" si="8"/>
        <v>0.28075448167877753</v>
      </c>
      <c r="Z73">
        <f t="shared" si="9"/>
        <v>0.2285502372573093</v>
      </c>
      <c r="AA73">
        <f t="shared" si="10"/>
        <v>5.2204244421468232E-2</v>
      </c>
      <c r="AB73">
        <f t="shared" si="11"/>
        <v>2.7252831356163972E-3</v>
      </c>
      <c r="AC73" t="str">
        <f>VLOOKUP(A73, 'state-ids'!$A$1:$B$28, 2)</f>
        <v>RR</v>
      </c>
      <c r="AD73">
        <f>VLOOKUP(A73, 'state-ids'!$A$1:$C$28, 3)</f>
        <v>4.8828349E-2</v>
      </c>
      <c r="AE73">
        <f>VLOOKUP(A73, 'state-ids'!$A$1:$D$28, 4)</f>
        <v>0.94210070000000001</v>
      </c>
      <c r="AF73">
        <f t="shared" si="12"/>
        <v>0.19381320850792075</v>
      </c>
      <c r="AG73">
        <f t="shared" si="13"/>
        <v>0.2643750737603911</v>
      </c>
      <c r="AH73">
        <f t="shared" si="14"/>
        <v>0.19757993901389617</v>
      </c>
      <c r="AI73">
        <f t="shared" si="15"/>
        <v>6.6795134746494927E-2</v>
      </c>
      <c r="AJ73" s="12"/>
    </row>
    <row r="74" spans="1:36" x14ac:dyDescent="0.25">
      <c r="A74" s="9">
        <v>15</v>
      </c>
      <c r="B74" s="9">
        <v>2006</v>
      </c>
      <c r="C74" s="9">
        <v>-2.791819724517338</v>
      </c>
      <c r="D74" s="9">
        <v>0.97832612279360776</v>
      </c>
      <c r="E74" s="9">
        <v>0.93106111077760501</v>
      </c>
      <c r="F74" s="9">
        <v>0.94067110059953318</v>
      </c>
      <c r="G74" s="9">
        <v>0.84156718567821853</v>
      </c>
      <c r="H74" s="9">
        <v>0.73400117456821146</v>
      </c>
      <c r="I74" s="9">
        <v>0.7437927652288373</v>
      </c>
      <c r="J74" s="9">
        <v>-11.51292546497023</v>
      </c>
      <c r="K74" s="9">
        <v>2.658156590148268</v>
      </c>
      <c r="L74" s="9">
        <v>-2.8864098341244109</v>
      </c>
      <c r="M74" s="9">
        <v>2.164708222438771</v>
      </c>
      <c r="N74" s="9">
        <v>2.1038497784591632</v>
      </c>
      <c r="O74" s="9">
        <v>-11.51292546497023</v>
      </c>
      <c r="P74" s="9">
        <v>6.0858443379402161E-2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1</v>
      </c>
      <c r="X74" s="9">
        <v>-2.7555599212646484</v>
      </c>
      <c r="Y74">
        <f t="shared" si="8"/>
        <v>6.1309545859518297E-2</v>
      </c>
      <c r="Z74">
        <f t="shared" si="9"/>
        <v>6.3573413595264916E-2</v>
      </c>
      <c r="AA74">
        <f t="shared" si="10"/>
        <v>-2.2638677357466191E-3</v>
      </c>
      <c r="AB74">
        <f t="shared" si="11"/>
        <v>5.1250971249545244E-6</v>
      </c>
      <c r="AC74" t="str">
        <f>VLOOKUP(A74, 'state-ids'!$A$1:$B$28, 2)</f>
        <v>PA</v>
      </c>
      <c r="AD74">
        <f>VLOOKUP(A74, 'state-ids'!$A$1:$C$28, 3)</f>
        <v>2.7161859E-2</v>
      </c>
      <c r="AE74">
        <f>VLOOKUP(A74, 'state-ids'!$A$1:$D$28, 4)</f>
        <v>0.79491878000000005</v>
      </c>
      <c r="AF74">
        <f t="shared" si="12"/>
        <v>-2.1999397666904948E-2</v>
      </c>
      <c r="AG74">
        <f t="shared" si="13"/>
        <v>6.648417987015344E-2</v>
      </c>
      <c r="AH74">
        <f t="shared" si="14"/>
        <v>6.0790084559183812E-2</v>
      </c>
      <c r="AI74">
        <f t="shared" si="15"/>
        <v>5.6940953109696282E-3</v>
      </c>
      <c r="AJ74" s="12"/>
    </row>
    <row r="75" spans="1:36" x14ac:dyDescent="0.25">
      <c r="A75" s="9">
        <v>15</v>
      </c>
      <c r="B75" s="9">
        <v>2007</v>
      </c>
      <c r="C75" s="9">
        <v>-2.6827612243448291</v>
      </c>
      <c r="D75" s="9">
        <v>0.92334578634783215</v>
      </c>
      <c r="E75" s="9">
        <v>0.97832612279360776</v>
      </c>
      <c r="F75" s="9">
        <v>0.93106111077760501</v>
      </c>
      <c r="G75" s="9">
        <v>0.71250853403856518</v>
      </c>
      <c r="H75" s="9">
        <v>0.84156718567821853</v>
      </c>
      <c r="I75" s="9">
        <v>0.73400117456821146</v>
      </c>
      <c r="J75" s="9">
        <v>-11.51292546497023</v>
      </c>
      <c r="K75" s="9">
        <v>2.658156590148268</v>
      </c>
      <c r="L75" s="9">
        <v>-2.761647926588747</v>
      </c>
      <c r="M75" s="9">
        <v>2.2075982400187821</v>
      </c>
      <c r="N75" s="9">
        <v>2.149978130984072</v>
      </c>
      <c r="O75" s="9">
        <v>-11.51292546497023</v>
      </c>
      <c r="P75" s="9">
        <v>5.7620108127593994E-2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1</v>
      </c>
      <c r="X75" s="9">
        <v>-2.6647601127624512</v>
      </c>
      <c r="Y75">
        <f t="shared" si="8"/>
        <v>6.8374097038544066E-2</v>
      </c>
      <c r="Z75">
        <f t="shared" si="9"/>
        <v>6.9616051532661705E-2</v>
      </c>
      <c r="AA75">
        <f t="shared" si="10"/>
        <v>-1.2419544941176391E-3</v>
      </c>
      <c r="AB75">
        <f t="shared" si="11"/>
        <v>1.542450965459001E-6</v>
      </c>
      <c r="AC75" t="str">
        <f>VLOOKUP(A75, 'state-ids'!$A$1:$B$28, 2)</f>
        <v>PA</v>
      </c>
      <c r="AD75">
        <f>VLOOKUP(A75, 'state-ids'!$A$1:$C$28, 3)</f>
        <v>2.7161859E-2</v>
      </c>
      <c r="AE75">
        <f>VLOOKUP(A75, 'state-ids'!$A$1:$D$28, 4)</f>
        <v>0.79491878000000005</v>
      </c>
      <c r="AF75">
        <f t="shared" si="12"/>
        <v>-1.430942165770774E-2</v>
      </c>
      <c r="AG75">
        <f t="shared" si="13"/>
        <v>7.2803485454052796E-2</v>
      </c>
      <c r="AH75">
        <f t="shared" si="14"/>
        <v>6.6568167729508368E-2</v>
      </c>
      <c r="AI75">
        <f t="shared" si="15"/>
        <v>6.2353177245444286E-3</v>
      </c>
      <c r="AJ75" s="12"/>
    </row>
    <row r="76" spans="1:36" x14ac:dyDescent="0.25">
      <c r="A76" s="9">
        <v>15</v>
      </c>
      <c r="B76" s="9">
        <v>2008</v>
      </c>
      <c r="C76" s="9">
        <v>-2.572277832481626</v>
      </c>
      <c r="D76" s="9">
        <v>0.91063476701799762</v>
      </c>
      <c r="E76" s="9">
        <v>0.92334578634783215</v>
      </c>
      <c r="F76" s="9">
        <v>0.97832612279360776</v>
      </c>
      <c r="G76" s="9">
        <v>0.66449047131014083</v>
      </c>
      <c r="H76" s="9">
        <v>0.71250853403856518</v>
      </c>
      <c r="I76" s="9">
        <v>0.84156718567821853</v>
      </c>
      <c r="J76" s="9">
        <v>-11.51292546497023</v>
      </c>
      <c r="K76" s="9">
        <v>2.658156590148268</v>
      </c>
      <c r="L76" s="9">
        <v>-2.6214783804307662</v>
      </c>
      <c r="M76" s="9">
        <v>2.2708117660566969</v>
      </c>
      <c r="N76" s="9">
        <v>2.1930821148220612</v>
      </c>
      <c r="O76" s="9">
        <v>-11.51292546497023</v>
      </c>
      <c r="P76" s="9">
        <v>7.7729649841785431E-2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1</v>
      </c>
      <c r="X76" s="9">
        <v>-2.5921483039855957</v>
      </c>
      <c r="Y76">
        <f t="shared" si="8"/>
        <v>7.6361408675010067E-2</v>
      </c>
      <c r="Z76">
        <f t="shared" si="9"/>
        <v>7.4859047226929765E-2</v>
      </c>
      <c r="AA76">
        <f t="shared" si="10"/>
        <v>1.5023614480803027E-3</v>
      </c>
      <c r="AB76">
        <f t="shared" si="11"/>
        <v>2.2570899206779442E-6</v>
      </c>
      <c r="AC76" t="str">
        <f>VLOOKUP(A76, 'state-ids'!$A$1:$B$28, 2)</f>
        <v>PA</v>
      </c>
      <c r="AD76">
        <f>VLOOKUP(A76, 'state-ids'!$A$1:$C$28, 3)</f>
        <v>2.7161859E-2</v>
      </c>
      <c r="AE76">
        <f>VLOOKUP(A76, 'state-ids'!$A$1:$D$28, 4)</f>
        <v>0.79491878000000005</v>
      </c>
      <c r="AF76">
        <f t="shared" si="12"/>
        <v>1.579541096596036E-2</v>
      </c>
      <c r="AG76">
        <f t="shared" si="13"/>
        <v>7.8286536451051963E-2</v>
      </c>
      <c r="AH76">
        <f t="shared" si="14"/>
        <v>7.1581618063119704E-2</v>
      </c>
      <c r="AI76">
        <f t="shared" si="15"/>
        <v>6.7049183879322599E-3</v>
      </c>
      <c r="AJ76" s="12"/>
    </row>
    <row r="77" spans="1:36" x14ac:dyDescent="0.25">
      <c r="A77" s="9">
        <v>15</v>
      </c>
      <c r="B77" s="9">
        <v>2009</v>
      </c>
      <c r="C77" s="9">
        <v>-2.5411629062929411</v>
      </c>
      <c r="D77" s="9">
        <v>0.87208802919442241</v>
      </c>
      <c r="E77" s="9">
        <v>0.91063476701799762</v>
      </c>
      <c r="F77" s="9">
        <v>0.92334578634783215</v>
      </c>
      <c r="G77" s="9">
        <v>0.5987815545242241</v>
      </c>
      <c r="H77" s="9">
        <v>0.66449047131014083</v>
      </c>
      <c r="I77" s="9">
        <v>0.71250853403856518</v>
      </c>
      <c r="J77" s="9">
        <v>-11.51292546497023</v>
      </c>
      <c r="K77" s="9">
        <v>2.658156590148268</v>
      </c>
      <c r="L77" s="9">
        <v>-2.4867244716184009</v>
      </c>
      <c r="M77" s="9">
        <v>2.196928113362755</v>
      </c>
      <c r="N77" s="9">
        <v>2.255962494629093</v>
      </c>
      <c r="O77" s="9">
        <v>-11.51292546497023</v>
      </c>
      <c r="P77" s="9">
        <v>-5.9034381061792374E-2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1</v>
      </c>
      <c r="X77" s="9">
        <v>-2.5168836116790771</v>
      </c>
      <c r="Y77">
        <f t="shared" si="8"/>
        <v>7.8774738864920271E-2</v>
      </c>
      <c r="Z77">
        <f t="shared" si="9"/>
        <v>8.0710741241362488E-2</v>
      </c>
      <c r="AA77">
        <f t="shared" si="10"/>
        <v>-1.9360023764422168E-3</v>
      </c>
      <c r="AB77">
        <f t="shared" si="11"/>
        <v>3.7481052015899113E-6</v>
      </c>
      <c r="AC77" t="str">
        <f>VLOOKUP(A77, 'state-ids'!$A$1:$B$28, 2)</f>
        <v>PA</v>
      </c>
      <c r="AD77">
        <f>VLOOKUP(A77, 'state-ids'!$A$1:$C$28, 3)</f>
        <v>2.7161859E-2</v>
      </c>
      <c r="AE77">
        <f>VLOOKUP(A77, 'state-ids'!$A$1:$D$28, 4)</f>
        <v>0.79491878000000005</v>
      </c>
      <c r="AF77">
        <f t="shared" si="12"/>
        <v>-1.9300067253713273E-2</v>
      </c>
      <c r="AG77">
        <f t="shared" si="13"/>
        <v>8.4406155571671637E-2</v>
      </c>
      <c r="AH77">
        <f t="shared" si="14"/>
        <v>7.7177117090693248E-2</v>
      </c>
      <c r="AI77">
        <f t="shared" si="15"/>
        <v>7.2290384809783892E-3</v>
      </c>
      <c r="AJ77" s="12"/>
    </row>
    <row r="78" spans="1:36" x14ac:dyDescent="0.25">
      <c r="A78" s="9">
        <v>15</v>
      </c>
      <c r="B78" s="9">
        <v>2010</v>
      </c>
      <c r="C78" s="9">
        <v>-2.415976061203883</v>
      </c>
      <c r="D78" s="9">
        <v>0.81828091131671099</v>
      </c>
      <c r="E78" s="9">
        <v>0.87208802919442241</v>
      </c>
      <c r="F78" s="9">
        <v>0.91063476701799762</v>
      </c>
      <c r="G78" s="9">
        <v>0.55555039254549876</v>
      </c>
      <c r="H78" s="9">
        <v>0.5987815545242241</v>
      </c>
      <c r="I78" s="9">
        <v>0.66449047131014083</v>
      </c>
      <c r="J78" s="9">
        <v>-8.9306008074694034</v>
      </c>
      <c r="K78" s="9">
        <v>2.658156590148268</v>
      </c>
      <c r="L78" s="9">
        <v>-2.3643504076358099</v>
      </c>
      <c r="M78" s="9">
        <v>2.3921868492462859</v>
      </c>
      <c r="N78" s="9">
        <v>2.1797457154757458</v>
      </c>
      <c r="O78" s="9">
        <v>-11.51292546497023</v>
      </c>
      <c r="P78" s="9">
        <v>0.21244113147258759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1</v>
      </c>
      <c r="X78" s="9">
        <v>-2.391937255859375</v>
      </c>
      <c r="Y78">
        <f t="shared" si="8"/>
        <v>8.928015348542015E-2</v>
      </c>
      <c r="Z78">
        <f t="shared" si="9"/>
        <v>9.1452345565824142E-2</v>
      </c>
      <c r="AA78">
        <f t="shared" si="10"/>
        <v>-2.1721920804039924E-3</v>
      </c>
      <c r="AB78">
        <f t="shared" si="11"/>
        <v>4.7184184341698243E-6</v>
      </c>
      <c r="AC78" t="str">
        <f>VLOOKUP(A78, 'state-ids'!$A$1:$B$28, 2)</f>
        <v>PA</v>
      </c>
      <c r="AD78">
        <f>VLOOKUP(A78, 'state-ids'!$A$1:$C$28, 3)</f>
        <v>2.7161859E-2</v>
      </c>
      <c r="AE78">
        <f>VLOOKUP(A78, 'state-ids'!$A$1:$D$28, 4)</f>
        <v>0.79491878000000005</v>
      </c>
      <c r="AF78">
        <f t="shared" si="12"/>
        <v>-1.9108897817113758E-2</v>
      </c>
      <c r="AG78">
        <f t="shared" si="13"/>
        <v>9.5639573971194505E-2</v>
      </c>
      <c r="AH78">
        <f t="shared" si="14"/>
        <v>8.7448439617787393E-2</v>
      </c>
      <c r="AI78">
        <f t="shared" si="15"/>
        <v>8.1911343534071118E-3</v>
      </c>
      <c r="AJ78" s="12"/>
    </row>
    <row r="79" spans="1:36" x14ac:dyDescent="0.25">
      <c r="A79" s="9">
        <v>15</v>
      </c>
      <c r="B79" s="9">
        <v>2011</v>
      </c>
      <c r="C79" s="9">
        <v>-2.3029320827237609</v>
      </c>
      <c r="D79" s="9">
        <v>0.77320527273052442</v>
      </c>
      <c r="E79" s="9">
        <v>0.81828091131671099</v>
      </c>
      <c r="F79" s="9">
        <v>0.87208802919442241</v>
      </c>
      <c r="G79" s="9">
        <v>0.58661931715011228</v>
      </c>
      <c r="H79" s="9">
        <v>0.55555039254549876</v>
      </c>
      <c r="I79" s="9">
        <v>0.5987815545242241</v>
      </c>
      <c r="J79" s="9">
        <v>-7.155733611642173</v>
      </c>
      <c r="K79" s="9">
        <v>2.658156590148268</v>
      </c>
      <c r="L79" s="9">
        <v>-2.244777471879833</v>
      </c>
      <c r="M79" s="9">
        <v>2.472549286109806</v>
      </c>
      <c r="N79" s="9">
        <v>2.3752945758448392</v>
      </c>
      <c r="O79" s="9">
        <v>-11.51292546497023</v>
      </c>
      <c r="P79" s="9">
        <v>9.7254708409309387E-2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1</v>
      </c>
      <c r="X79" s="9">
        <v>-2.2672727108001709</v>
      </c>
      <c r="Y79">
        <f t="shared" si="8"/>
        <v>9.9965307046425853E-2</v>
      </c>
      <c r="Z79">
        <f t="shared" si="9"/>
        <v>0.103594326849079</v>
      </c>
      <c r="AA79">
        <f t="shared" si="10"/>
        <v>-3.6290198026531495E-3</v>
      </c>
      <c r="AB79">
        <f t="shared" si="11"/>
        <v>1.3169784728048705E-5</v>
      </c>
      <c r="AC79" t="str">
        <f>VLOOKUP(A79, 'state-ids'!$A$1:$B$28, 2)</f>
        <v>PA</v>
      </c>
      <c r="AD79">
        <f>VLOOKUP(A79, 'state-ids'!$A$1:$C$28, 3)</f>
        <v>2.7161859E-2</v>
      </c>
      <c r="AE79">
        <f>VLOOKUP(A79, 'state-ids'!$A$1:$D$28, 4)</f>
        <v>0.79491878000000005</v>
      </c>
      <c r="AF79">
        <f t="shared" si="12"/>
        <v>-2.8346304425066443E-2</v>
      </c>
      <c r="AG79">
        <f t="shared" si="13"/>
        <v>0.10833748685589885</v>
      </c>
      <c r="AH79">
        <f t="shared" si="14"/>
        <v>9.9058828728308068E-2</v>
      </c>
      <c r="AI79">
        <f t="shared" si="15"/>
        <v>9.2786581275907803E-3</v>
      </c>
      <c r="AJ79" s="12"/>
    </row>
    <row r="80" spans="1:36" x14ac:dyDescent="0.25">
      <c r="A80" s="9">
        <v>15</v>
      </c>
      <c r="B80" s="9">
        <v>2012</v>
      </c>
      <c r="C80" s="9">
        <v>-2.1460947892716802</v>
      </c>
      <c r="D80" s="9">
        <v>0.7234823803560182</v>
      </c>
      <c r="E80" s="9">
        <v>0.77320527273052442</v>
      </c>
      <c r="F80" s="9">
        <v>0.81828091131671099</v>
      </c>
      <c r="G80" s="9">
        <v>0.52986325264312839</v>
      </c>
      <c r="H80" s="9">
        <v>0.58661931715011228</v>
      </c>
      <c r="I80" s="9">
        <v>0.55555039254549876</v>
      </c>
      <c r="J80" s="9">
        <v>-6.7617711801891964</v>
      </c>
      <c r="K80" s="9">
        <v>2.658156590148268</v>
      </c>
      <c r="L80" s="9">
        <v>-2.1238520324279468</v>
      </c>
      <c r="M80" s="9">
        <v>2.466003040936068</v>
      </c>
      <c r="N80" s="9">
        <v>2.4610466094545189</v>
      </c>
      <c r="O80" s="9">
        <v>-11.51292546497023</v>
      </c>
      <c r="P80" s="9">
        <v>4.9564316868782043E-3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1</v>
      </c>
      <c r="X80" s="9">
        <v>-2.1491923332214355</v>
      </c>
      <c r="Y80">
        <f t="shared" si="8"/>
        <v>0.11693994234425953</v>
      </c>
      <c r="Z80">
        <f t="shared" si="9"/>
        <v>0.11657827616099077</v>
      </c>
      <c r="AA80">
        <f t="shared" si="10"/>
        <v>3.6166618326875788E-4</v>
      </c>
      <c r="AB80">
        <f t="shared" si="11"/>
        <v>1.3080242812019077E-7</v>
      </c>
      <c r="AC80" t="str">
        <f>VLOOKUP(A80, 'state-ids'!$A$1:$B$28, 2)</f>
        <v>PA</v>
      </c>
      <c r="AD80">
        <f>VLOOKUP(A80, 'state-ids'!$A$1:$C$28, 3)</f>
        <v>2.7161859E-2</v>
      </c>
      <c r="AE80">
        <f>VLOOKUP(A80, 'state-ids'!$A$1:$D$28, 4)</f>
        <v>0.79491878000000005</v>
      </c>
      <c r="AF80">
        <f t="shared" si="12"/>
        <v>2.462295857535917E-3</v>
      </c>
      <c r="AG80">
        <f t="shared" si="13"/>
        <v>0.12191591803742646</v>
      </c>
      <c r="AH80">
        <f t="shared" si="14"/>
        <v>0.11147432338159598</v>
      </c>
      <c r="AI80">
        <f t="shared" si="15"/>
        <v>1.0441594655830486E-2</v>
      </c>
      <c r="AJ80" s="12"/>
    </row>
    <row r="81" spans="1:36" x14ac:dyDescent="0.25">
      <c r="A81" s="9">
        <v>15</v>
      </c>
      <c r="B81" s="9">
        <v>2013</v>
      </c>
      <c r="C81" s="9">
        <v>-2.0794751396877462</v>
      </c>
      <c r="D81" s="9">
        <v>0.71417454775202094</v>
      </c>
      <c r="E81" s="9">
        <v>0.7234823803560182</v>
      </c>
      <c r="F81" s="9">
        <v>0.77320527273052442</v>
      </c>
      <c r="G81" s="9">
        <v>0.55048854682236659</v>
      </c>
      <c r="H81" s="9">
        <v>0.52986325264312839</v>
      </c>
      <c r="I81" s="9">
        <v>0.58661931715011228</v>
      </c>
      <c r="J81" s="9">
        <v>-5.9388739203204928</v>
      </c>
      <c r="K81" s="9">
        <v>2.658156590148268</v>
      </c>
      <c r="L81" s="9">
        <v>-2.0273691443881439</v>
      </c>
      <c r="M81" s="9">
        <v>2.4933019337384188</v>
      </c>
      <c r="N81" s="9">
        <v>2.4416024404175549</v>
      </c>
      <c r="O81" s="9">
        <v>-11.51292546497023</v>
      </c>
      <c r="P81" s="9">
        <v>5.1699493080377579E-2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1</v>
      </c>
      <c r="X81" s="9">
        <v>-2.0472640991210938</v>
      </c>
      <c r="Y81">
        <f t="shared" si="8"/>
        <v>0.12499580031956206</v>
      </c>
      <c r="Z81">
        <f t="shared" si="9"/>
        <v>0.12908759176362739</v>
      </c>
      <c r="AA81">
        <f t="shared" si="10"/>
        <v>-4.0917914440653236E-3</v>
      </c>
      <c r="AB81">
        <f t="shared" si="11"/>
        <v>1.6742757221726186E-5</v>
      </c>
      <c r="AC81" t="str">
        <f>VLOOKUP(A81, 'state-ids'!$A$1:$B$28, 2)</f>
        <v>PA</v>
      </c>
      <c r="AD81">
        <f>VLOOKUP(A81, 'state-ids'!$A$1:$C$28, 3)</f>
        <v>2.7161859E-2</v>
      </c>
      <c r="AE81">
        <f>VLOOKUP(A81, 'state-ids'!$A$1:$D$28, 4)</f>
        <v>0.79491878000000005</v>
      </c>
      <c r="AF81">
        <f t="shared" si="12"/>
        <v>-2.5605161069773893E-2</v>
      </c>
      <c r="AG81">
        <f t="shared" si="13"/>
        <v>0.13499798397576007</v>
      </c>
      <c r="AH81">
        <f t="shared" si="14"/>
        <v>0.12343596442392056</v>
      </c>
      <c r="AI81">
        <f t="shared" si="15"/>
        <v>1.1562019551839511E-2</v>
      </c>
      <c r="AJ81" s="12"/>
    </row>
    <row r="82" spans="1:36" x14ac:dyDescent="0.25">
      <c r="A82" s="9">
        <v>15</v>
      </c>
      <c r="B82" s="9">
        <v>2014</v>
      </c>
      <c r="C82" s="9">
        <v>-1.9944988859265049</v>
      </c>
      <c r="D82" s="9">
        <v>0.69798545720019456</v>
      </c>
      <c r="E82" s="9">
        <v>0.71417454775202094</v>
      </c>
      <c r="F82" s="9">
        <v>0.7234823803560182</v>
      </c>
      <c r="G82" s="9">
        <v>0.54968088553466399</v>
      </c>
      <c r="H82" s="9">
        <v>0.55048854682236659</v>
      </c>
      <c r="I82" s="9">
        <v>0.52986325264312839</v>
      </c>
      <c r="J82" s="9">
        <v>-5.3075154343242641</v>
      </c>
      <c r="K82" s="9">
        <v>2.658156590148268</v>
      </c>
      <c r="L82" s="9">
        <v>-1.937401166075847</v>
      </c>
      <c r="M82" s="9">
        <v>2.4321034362056979</v>
      </c>
      <c r="N82" s="9">
        <v>2.4803034033441338</v>
      </c>
      <c r="O82" s="9">
        <v>-11.51292546497023</v>
      </c>
      <c r="P82" s="9">
        <v>-4.8199966549873352E-2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1</v>
      </c>
      <c r="X82" s="9">
        <v>-1.9713820219039917</v>
      </c>
      <c r="Y82">
        <f t="shared" si="8"/>
        <v>0.13608182960354839</v>
      </c>
      <c r="Z82">
        <f t="shared" si="9"/>
        <v>0.13926425690398833</v>
      </c>
      <c r="AA82">
        <f t="shared" si="10"/>
        <v>-3.1824273004399384E-3</v>
      </c>
      <c r="AB82">
        <f t="shared" si="11"/>
        <v>1.0127843522585434E-5</v>
      </c>
      <c r="AC82" t="str">
        <f>VLOOKUP(A82, 'state-ids'!$A$1:$B$28, 2)</f>
        <v>PA</v>
      </c>
      <c r="AD82">
        <f>VLOOKUP(A82, 'state-ids'!$A$1:$C$28, 3)</f>
        <v>2.7161859E-2</v>
      </c>
      <c r="AE82">
        <f>VLOOKUP(A82, 'state-ids'!$A$1:$D$28, 4)</f>
        <v>0.79491878000000005</v>
      </c>
      <c r="AF82">
        <f t="shared" si="12"/>
        <v>-1.8376029346202111E-2</v>
      </c>
      <c r="AG82">
        <f t="shared" si="13"/>
        <v>0.14564059693937279</v>
      </c>
      <c r="AH82">
        <f t="shared" si="14"/>
        <v>0.13316708155963969</v>
      </c>
      <c r="AI82">
        <f t="shared" si="15"/>
        <v>1.2473515379733097E-2</v>
      </c>
      <c r="AJ82" s="12"/>
    </row>
    <row r="83" spans="1:36" x14ac:dyDescent="0.25">
      <c r="A83" s="9">
        <v>15</v>
      </c>
      <c r="B83" s="9">
        <v>2015</v>
      </c>
      <c r="C83" s="9">
        <v>-1.977138365634671</v>
      </c>
      <c r="D83" s="9">
        <v>0.72290013870929315</v>
      </c>
      <c r="E83" s="9">
        <v>0.69798545720019456</v>
      </c>
      <c r="F83" s="9">
        <v>0.71417454775202094</v>
      </c>
      <c r="G83" s="9">
        <v>0.53719487878605887</v>
      </c>
      <c r="H83" s="9">
        <v>0.54968088553466399</v>
      </c>
      <c r="I83" s="9">
        <v>0.55048854682236659</v>
      </c>
      <c r="J83" s="9">
        <v>-4.914505256077792</v>
      </c>
      <c r="K83" s="9">
        <v>2.658156590148268</v>
      </c>
      <c r="L83" s="9">
        <v>-1.8675500656126871</v>
      </c>
      <c r="M83" s="9">
        <v>2.3961545716299142</v>
      </c>
      <c r="N83" s="9">
        <v>2.419648506343997</v>
      </c>
      <c r="O83" s="9">
        <v>-11.51292546497023</v>
      </c>
      <c r="P83" s="9">
        <v>-2.34939344227314E-2</v>
      </c>
      <c r="Q83" s="9">
        <v>1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1</v>
      </c>
      <c r="X83" s="9">
        <v>-1.9800344705581665</v>
      </c>
      <c r="Y83">
        <f t="shared" si="8"/>
        <v>0.13846490684593599</v>
      </c>
      <c r="Z83">
        <f t="shared" si="9"/>
        <v>0.13806447806924441</v>
      </c>
      <c r="AA83">
        <f t="shared" si="10"/>
        <v>4.0042877669158039E-4</v>
      </c>
      <c r="AB83">
        <f t="shared" si="11"/>
        <v>1.6034320520271555E-7</v>
      </c>
      <c r="AC83" t="str">
        <f>VLOOKUP(A83, 'state-ids'!$A$1:$B$28, 2)</f>
        <v>PA</v>
      </c>
      <c r="AD83">
        <f>VLOOKUP(A83, 'state-ids'!$A$1:$C$28, 3)</f>
        <v>2.7161859E-2</v>
      </c>
      <c r="AE83">
        <f>VLOOKUP(A83, 'state-ids'!$A$1:$D$28, 4)</f>
        <v>0.79491878000000005</v>
      </c>
      <c r="AF83">
        <f t="shared" si="12"/>
        <v>2.3021681925370022E-3</v>
      </c>
      <c r="AG83">
        <f t="shared" si="13"/>
        <v>0.14438588514488987</v>
      </c>
      <c r="AH83">
        <f t="shared" si="14"/>
        <v>0.13201983064621958</v>
      </c>
      <c r="AI83">
        <f t="shared" si="15"/>
        <v>1.2366054498670287E-2</v>
      </c>
      <c r="AJ83" s="12"/>
    </row>
    <row r="84" spans="1:36" x14ac:dyDescent="0.25">
      <c r="A84" s="9">
        <v>15</v>
      </c>
      <c r="B84" s="9">
        <v>2016</v>
      </c>
      <c r="C84" s="9">
        <v>-1.969222467654441</v>
      </c>
      <c r="D84" s="9">
        <v>0.77904960956064861</v>
      </c>
      <c r="E84" s="9">
        <v>0.72290013870929315</v>
      </c>
      <c r="F84" s="9">
        <v>0.69798545720019456</v>
      </c>
      <c r="G84" s="9">
        <v>0.66186289052017888</v>
      </c>
      <c r="H84" s="9">
        <v>0.53719487878605887</v>
      </c>
      <c r="I84" s="9">
        <v>0.54968088553466399</v>
      </c>
      <c r="J84" s="9">
        <v>-4.5780678606058327</v>
      </c>
      <c r="K84" s="9">
        <v>2.658156590148268</v>
      </c>
      <c r="L84" s="9">
        <v>-1.8200658920119981</v>
      </c>
      <c r="M84" s="9">
        <v>2.359967969315607</v>
      </c>
      <c r="N84" s="9">
        <v>2.384285272833663</v>
      </c>
      <c r="O84" s="9">
        <v>-11.51292546497023</v>
      </c>
      <c r="P84" s="9">
        <v>-2.4317303672432899E-2</v>
      </c>
      <c r="Q84" s="9">
        <v>1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1</v>
      </c>
      <c r="X84" s="9">
        <v>-1.951033353805542</v>
      </c>
      <c r="Y84">
        <f t="shared" si="8"/>
        <v>0.13956533059727363</v>
      </c>
      <c r="Z84">
        <f t="shared" si="9"/>
        <v>0.14212712806860717</v>
      </c>
      <c r="AA84">
        <f t="shared" si="10"/>
        <v>-2.5617974713335323E-3</v>
      </c>
      <c r="AB84">
        <f t="shared" si="11"/>
        <v>6.5628062841308806E-6</v>
      </c>
      <c r="AC84" t="str">
        <f>VLOOKUP(A84, 'state-ids'!$A$1:$B$28, 2)</f>
        <v>PA</v>
      </c>
      <c r="AD84">
        <f>VLOOKUP(A84, 'state-ids'!$A$1:$C$28, 3)</f>
        <v>2.7161859E-2</v>
      </c>
      <c r="AE84">
        <f>VLOOKUP(A84, 'state-ids'!$A$1:$D$28, 4)</f>
        <v>0.79491878000000005</v>
      </c>
      <c r="AF84">
        <f t="shared" si="12"/>
        <v>-1.4458868190047887E-2</v>
      </c>
      <c r="AG84">
        <f t="shared" si="13"/>
        <v>0.14863454725113912</v>
      </c>
      <c r="AH84">
        <f t="shared" si="14"/>
        <v>0.13590461239740786</v>
      </c>
      <c r="AI84">
        <f t="shared" si="15"/>
        <v>1.2729934853731251E-2</v>
      </c>
      <c r="AJ84" s="12"/>
    </row>
    <row r="85" spans="1:36" x14ac:dyDescent="0.25">
      <c r="A85" s="9">
        <v>15</v>
      </c>
      <c r="B85" s="9">
        <v>2017</v>
      </c>
      <c r="C85" s="9">
        <v>-1.980966370515546</v>
      </c>
      <c r="D85" s="9">
        <v>0.75996435359726244</v>
      </c>
      <c r="E85" s="9">
        <v>0.77904960956064861</v>
      </c>
      <c r="F85" s="9">
        <v>0.72290013870929315</v>
      </c>
      <c r="G85" s="9">
        <v>0.64961317853621692</v>
      </c>
      <c r="H85" s="9">
        <v>0.66186289052017888</v>
      </c>
      <c r="I85" s="9">
        <v>0.53719487878605887</v>
      </c>
      <c r="J85" s="9">
        <v>-3.8787146204293661</v>
      </c>
      <c r="K85" s="9">
        <v>2.658156590148268</v>
      </c>
      <c r="L85" s="9">
        <v>-1.78349431897405</v>
      </c>
      <c r="M85" s="9">
        <v>2.429515831059414</v>
      </c>
      <c r="N85" s="9">
        <v>2.348680871484607</v>
      </c>
      <c r="O85" s="9">
        <v>-11.51292546497023</v>
      </c>
      <c r="P85" s="9">
        <v>8.0834962427616119E-2</v>
      </c>
      <c r="Q85" s="9">
        <v>1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1</v>
      </c>
      <c r="X85" s="9">
        <v>-1.9021395444869995</v>
      </c>
      <c r="Y85">
        <f t="shared" si="8"/>
        <v>0.13793587571958507</v>
      </c>
      <c r="Z85">
        <f t="shared" si="9"/>
        <v>0.1492489526003723</v>
      </c>
      <c r="AA85">
        <f t="shared" si="10"/>
        <v>-1.1313076880787226E-2</v>
      </c>
      <c r="AB85">
        <f t="shared" si="11"/>
        <v>1.2798570851060243E-4</v>
      </c>
      <c r="AC85" t="str">
        <f>VLOOKUP(A85, 'state-ids'!$A$1:$B$28, 2)</f>
        <v>PA</v>
      </c>
      <c r="AD85">
        <f>VLOOKUP(A85, 'state-ids'!$A$1:$C$28, 3)</f>
        <v>2.7161859E-2</v>
      </c>
      <c r="AE85">
        <f>VLOOKUP(A85, 'state-ids'!$A$1:$D$28, 4)</f>
        <v>0.79491878000000005</v>
      </c>
      <c r="AF85">
        <f t="shared" si="12"/>
        <v>-6.2660924377884439E-2</v>
      </c>
      <c r="AG85">
        <f t="shared" si="13"/>
        <v>0.15608245096428519</v>
      </c>
      <c r="AH85">
        <f t="shared" si="14"/>
        <v>0.14271463393027578</v>
      </c>
      <c r="AI85">
        <f t="shared" si="15"/>
        <v>1.336781703400941E-2</v>
      </c>
      <c r="AJ85" s="12"/>
    </row>
    <row r="86" spans="1:36" x14ac:dyDescent="0.25">
      <c r="A86" s="9">
        <v>15</v>
      </c>
      <c r="B86" s="9">
        <v>2018</v>
      </c>
      <c r="C86" s="9">
        <v>-2.0136574169095001</v>
      </c>
      <c r="D86" s="9">
        <v>0.83373486886959214</v>
      </c>
      <c r="E86" s="9">
        <v>0.75996435359726244</v>
      </c>
      <c r="F86" s="9">
        <v>0.77904960956064861</v>
      </c>
      <c r="G86" s="9">
        <v>0.63747589568948049</v>
      </c>
      <c r="H86" s="9">
        <v>0.64961317853621692</v>
      </c>
      <c r="I86" s="9">
        <v>0.66186289052017888</v>
      </c>
      <c r="J86" s="9">
        <v>-3.4772540333013628</v>
      </c>
      <c r="K86" s="9">
        <v>2.658156590148268</v>
      </c>
      <c r="L86" s="9">
        <v>-1.7534362500636049</v>
      </c>
      <c r="M86" s="9">
        <v>2.4068090466206389</v>
      </c>
      <c r="N86" s="9">
        <v>2.412113980507431</v>
      </c>
      <c r="O86" s="9">
        <v>3.2580965380214821</v>
      </c>
      <c r="P86" s="9">
        <v>-5.3049339912831783E-3</v>
      </c>
      <c r="Q86" s="9">
        <v>1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1</v>
      </c>
      <c r="X86" s="9">
        <v>-1.9690959453582764</v>
      </c>
      <c r="Y86">
        <f t="shared" si="8"/>
        <v>0.1334995172958891</v>
      </c>
      <c r="Z86">
        <f t="shared" si="9"/>
        <v>0.1395829898404862</v>
      </c>
      <c r="AA86">
        <f t="shared" si="10"/>
        <v>-6.0834725445970961E-3</v>
      </c>
      <c r="AB86">
        <f t="shared" si="11"/>
        <v>3.7008638200866668E-5</v>
      </c>
      <c r="AC86" t="str">
        <f>VLOOKUP(A86, 'state-ids'!$A$1:$B$28, 2)</f>
        <v>PA</v>
      </c>
      <c r="AD86">
        <f>VLOOKUP(A86, 'state-ids'!$A$1:$C$28, 3)</f>
        <v>2.7161859E-2</v>
      </c>
      <c r="AE86">
        <f>VLOOKUP(A86, 'state-ids'!$A$1:$D$28, 4)</f>
        <v>0.79491878000000005</v>
      </c>
      <c r="AF86">
        <f t="shared" si="12"/>
        <v>-3.5422750600503448E-2</v>
      </c>
      <c r="AG86">
        <f t="shared" si="13"/>
        <v>0.14597392335181894</v>
      </c>
      <c r="AH86">
        <f t="shared" si="14"/>
        <v>0.13347185994207572</v>
      </c>
      <c r="AI86">
        <f t="shared" si="15"/>
        <v>1.2502063409743219E-2</v>
      </c>
      <c r="AJ86" s="12"/>
    </row>
    <row r="87" spans="1:36" x14ac:dyDescent="0.25">
      <c r="A87" s="9">
        <v>15</v>
      </c>
      <c r="B87" s="9">
        <v>2019</v>
      </c>
      <c r="C87" s="9">
        <v>-1.989495320601522</v>
      </c>
      <c r="D87" s="9">
        <v>0.80258437525832049</v>
      </c>
      <c r="E87" s="9">
        <v>0.83373486886959214</v>
      </c>
      <c r="F87" s="9">
        <v>0.75996435359726244</v>
      </c>
      <c r="G87" s="9">
        <v>0.6141039732194925</v>
      </c>
      <c r="H87" s="9">
        <v>0.63747589568948049</v>
      </c>
      <c r="I87" s="9">
        <v>0.64961317853621692</v>
      </c>
      <c r="J87" s="9">
        <v>-2.7020082997897301</v>
      </c>
      <c r="K87" s="9">
        <v>2.658156590148268</v>
      </c>
      <c r="L87" s="9">
        <v>-1.7152019280639921</v>
      </c>
      <c r="M87" s="9">
        <v>2.4553175654782078</v>
      </c>
      <c r="N87" s="9">
        <v>2.3963665458019352</v>
      </c>
      <c r="O87" s="9">
        <v>5.393627546352362</v>
      </c>
      <c r="P87" s="9">
        <v>5.8951020240783691E-2</v>
      </c>
      <c r="Q87" s="9">
        <v>1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1</v>
      </c>
      <c r="X87" s="9">
        <v>-1.9325789213180542</v>
      </c>
      <c r="Y87">
        <f t="shared" si="8"/>
        <v>0.13676443022179224</v>
      </c>
      <c r="Z87">
        <f t="shared" si="9"/>
        <v>0.14477435496398597</v>
      </c>
      <c r="AA87">
        <f t="shared" si="10"/>
        <v>-8.0099247421937247E-3</v>
      </c>
      <c r="AB87">
        <f t="shared" si="11"/>
        <v>6.4158894375607203E-5</v>
      </c>
      <c r="AC87" t="str">
        <f>VLOOKUP(A87, 'state-ids'!$A$1:$B$28, 2)</f>
        <v>PA</v>
      </c>
      <c r="AD87">
        <f>VLOOKUP(A87, 'state-ids'!$A$1:$C$28, 3)</f>
        <v>2.7161859E-2</v>
      </c>
      <c r="AE87">
        <f>VLOOKUP(A87, 'state-ids'!$A$1:$D$28, 4)</f>
        <v>0.79491878000000005</v>
      </c>
      <c r="AF87">
        <f t="shared" si="12"/>
        <v>-4.5243914680407109E-2</v>
      </c>
      <c r="AG87">
        <f t="shared" si="13"/>
        <v>0.15140297982564194</v>
      </c>
      <c r="AH87">
        <f t="shared" si="14"/>
        <v>0.13843594016032995</v>
      </c>
      <c r="AI87">
        <f t="shared" si="15"/>
        <v>1.2967039665311986E-2</v>
      </c>
      <c r="AJ87" s="12"/>
    </row>
    <row r="88" spans="1:36" x14ac:dyDescent="0.25">
      <c r="A88" s="9">
        <v>15</v>
      </c>
      <c r="B88" s="9">
        <v>2020</v>
      </c>
      <c r="C88" s="9">
        <v>-1.9726510838674469</v>
      </c>
      <c r="D88" s="9">
        <v>0.72251178918984926</v>
      </c>
      <c r="E88" s="9">
        <v>0.80258437525832049</v>
      </c>
      <c r="F88" s="9">
        <v>0.83373486886959214</v>
      </c>
      <c r="G88" s="9">
        <v>0.59094832823969778</v>
      </c>
      <c r="H88" s="9">
        <v>0.6141039732194925</v>
      </c>
      <c r="I88" s="9">
        <v>0.63747589568948049</v>
      </c>
      <c r="J88" s="9">
        <v>-1.9471472867106581</v>
      </c>
      <c r="K88" s="9">
        <v>2.658156590148268</v>
      </c>
      <c r="L88" s="9">
        <v>-1.6794511083473891</v>
      </c>
      <c r="M88" s="9">
        <v>2.5735186755350341</v>
      </c>
      <c r="N88" s="9">
        <v>2.4451541864662971</v>
      </c>
      <c r="O88" s="9">
        <v>5.9914645471079817</v>
      </c>
      <c r="P88" s="9">
        <v>0.12836448848247528</v>
      </c>
      <c r="Q88" s="9">
        <v>1</v>
      </c>
      <c r="R88" s="9">
        <v>1</v>
      </c>
      <c r="S88" s="9">
        <v>0</v>
      </c>
      <c r="T88" s="9">
        <v>0</v>
      </c>
      <c r="U88" s="9">
        <v>0</v>
      </c>
      <c r="V88" s="9">
        <v>0</v>
      </c>
      <c r="W88" s="9">
        <v>1</v>
      </c>
      <c r="X88" s="9">
        <v>-1.9553360939025879</v>
      </c>
      <c r="Y88">
        <f t="shared" si="8"/>
        <v>0.13908763402907337</v>
      </c>
      <c r="Z88">
        <f t="shared" si="9"/>
        <v>0.14151690573129716</v>
      </c>
      <c r="AA88">
        <f t="shared" si="10"/>
        <v>-2.4292717022237897E-3</v>
      </c>
      <c r="AB88">
        <f t="shared" si="11"/>
        <v>5.9013610032252693E-6</v>
      </c>
      <c r="AC88" t="str">
        <f>VLOOKUP(A88, 'state-ids'!$A$1:$B$28, 2)</f>
        <v>PA</v>
      </c>
      <c r="AD88">
        <f>VLOOKUP(A88, 'state-ids'!$A$1:$C$28, 3)</f>
        <v>2.7161859E-2</v>
      </c>
      <c r="AE88">
        <f>VLOOKUP(A88, 'state-ids'!$A$1:$D$28, 4)</f>
        <v>0.79491878000000005</v>
      </c>
      <c r="AF88">
        <f t="shared" si="12"/>
        <v>-1.3764010698577982E-2</v>
      </c>
      <c r="AG88">
        <f t="shared" si="13"/>
        <v>0.14799638533186904</v>
      </c>
      <c r="AH88">
        <f t="shared" si="14"/>
        <v>0.13532110640980832</v>
      </c>
      <c r="AI88">
        <f t="shared" si="15"/>
        <v>1.2675278922060718E-2</v>
      </c>
      <c r="AJ88" s="12"/>
    </row>
    <row r="89" spans="1:36" x14ac:dyDescent="0.25">
      <c r="A89" s="9">
        <v>15</v>
      </c>
      <c r="B89" s="9">
        <v>2021</v>
      </c>
      <c r="C89" s="9">
        <v>-1.9530323459470831</v>
      </c>
      <c r="D89" s="9">
        <v>0.91432880856061438</v>
      </c>
      <c r="E89" s="9">
        <v>0.72251178918984926</v>
      </c>
      <c r="F89" s="9">
        <v>0.80258437525832049</v>
      </c>
      <c r="G89" s="9">
        <v>0.80209126754912441</v>
      </c>
      <c r="H89" s="9">
        <v>0.59094832823969778</v>
      </c>
      <c r="I89" s="9">
        <v>0.6141039732194925</v>
      </c>
      <c r="J89" s="9">
        <v>-1.327568907024141</v>
      </c>
      <c r="K89" s="9">
        <v>2.658156590148268</v>
      </c>
      <c r="L89" s="9">
        <v>-1.6435472986523569</v>
      </c>
      <c r="M89" s="9">
        <v>2.637780974935688</v>
      </c>
      <c r="N89" s="9">
        <v>2.563628550518342</v>
      </c>
      <c r="O89" s="9">
        <v>6.6846117276679271</v>
      </c>
      <c r="P89" s="9">
        <v>7.4152424931526184E-2</v>
      </c>
      <c r="Q89" s="9">
        <v>1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1</v>
      </c>
      <c r="X89" s="9">
        <v>-1.9189867973327637</v>
      </c>
      <c r="Y89">
        <f t="shared" si="8"/>
        <v>0.14184330083521651</v>
      </c>
      <c r="Z89">
        <f t="shared" si="9"/>
        <v>0.14675557997269914</v>
      </c>
      <c r="AA89">
        <f t="shared" si="10"/>
        <v>-4.912279137482628E-3</v>
      </c>
      <c r="AB89">
        <f t="shared" si="11"/>
        <v>2.4130486324547071E-5</v>
      </c>
      <c r="AC89" t="str">
        <f>VLOOKUP(A89, 'state-ids'!$A$1:$B$28, 2)</f>
        <v>PA</v>
      </c>
      <c r="AD89">
        <f>VLOOKUP(A89, 'state-ids'!$A$1:$C$28, 3)</f>
        <v>2.7161859E-2</v>
      </c>
      <c r="AE89">
        <f>VLOOKUP(A89, 'state-ids'!$A$1:$D$28, 4)</f>
        <v>0.79491878000000005</v>
      </c>
      <c r="AF89">
        <f t="shared" si="12"/>
        <v>-2.7063445968925477E-2</v>
      </c>
      <c r="AG89">
        <f t="shared" si="13"/>
        <v>0.1534749170143718</v>
      </c>
      <c r="AH89">
        <f t="shared" si="14"/>
        <v>0.14033042448953725</v>
      </c>
      <c r="AI89">
        <f t="shared" si="15"/>
        <v>1.3144492524834545E-2</v>
      </c>
      <c r="AJ89" s="12"/>
    </row>
    <row r="90" spans="1:36" x14ac:dyDescent="0.25">
      <c r="A90" s="9">
        <v>15</v>
      </c>
      <c r="B90" s="9">
        <v>2022</v>
      </c>
      <c r="C90" s="9">
        <v>-1.908586636941215</v>
      </c>
      <c r="D90" s="9">
        <v>0.91464938560202946</v>
      </c>
      <c r="E90" s="9">
        <v>0.91432880856061438</v>
      </c>
      <c r="F90" s="9">
        <v>0.72251178918984926</v>
      </c>
      <c r="G90" s="9">
        <v>0.79443943204181766</v>
      </c>
      <c r="H90" s="9">
        <v>0.80209126754912441</v>
      </c>
      <c r="I90" s="9">
        <v>0.59094832823969778</v>
      </c>
      <c r="J90" s="9">
        <v>-1.0537338753800061</v>
      </c>
      <c r="K90" s="9">
        <v>2.658156590148268</v>
      </c>
      <c r="L90" s="9">
        <v>-1.5993037542301021</v>
      </c>
      <c r="M90" s="9">
        <v>2.448217692813218</v>
      </c>
      <c r="N90" s="9">
        <v>2.637780974935688</v>
      </c>
      <c r="O90" s="9">
        <v>8.0551577318196781</v>
      </c>
      <c r="P90" s="9">
        <v>-0.18956328928470612</v>
      </c>
      <c r="Q90" s="9">
        <v>1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1</v>
      </c>
      <c r="X90" s="9">
        <v>-1.8971569538116455</v>
      </c>
      <c r="Y90">
        <f t="shared" si="8"/>
        <v>0.1482898259156416</v>
      </c>
      <c r="Z90">
        <f t="shared" si="9"/>
        <v>0.14999445476363671</v>
      </c>
      <c r="AA90">
        <f t="shared" si="10"/>
        <v>-1.7046288479951044E-3</v>
      </c>
      <c r="AB90">
        <f t="shared" si="11"/>
        <v>2.9057595094171169E-6</v>
      </c>
      <c r="AC90" t="str">
        <f>VLOOKUP(A90, 'state-ids'!$A$1:$B$28, 2)</f>
        <v>PA</v>
      </c>
      <c r="AD90">
        <f>VLOOKUP(A90, 'state-ids'!$A$1:$C$28, 3)</f>
        <v>2.7161859E-2</v>
      </c>
      <c r="AE90">
        <f>VLOOKUP(A90, 'state-ids'!$A$1:$D$28, 4)</f>
        <v>0.79491878000000005</v>
      </c>
      <c r="AF90">
        <f t="shared" si="12"/>
        <v>-9.0856697691439614E-3</v>
      </c>
      <c r="AG90">
        <f t="shared" si="13"/>
        <v>0.15686208661876813</v>
      </c>
      <c r="AH90">
        <f t="shared" si="14"/>
        <v>0.14342749701219895</v>
      </c>
      <c r="AI90">
        <f t="shared" si="15"/>
        <v>1.3434589606569181E-2</v>
      </c>
      <c r="AJ90" s="12"/>
    </row>
    <row r="91" spans="1:36" x14ac:dyDescent="0.25">
      <c r="A91" s="9">
        <v>15</v>
      </c>
      <c r="B91" s="9">
        <v>2023</v>
      </c>
      <c r="C91" s="9">
        <v>-1.847081082694251</v>
      </c>
      <c r="D91" s="9">
        <v>0.75832612158491663</v>
      </c>
      <c r="E91" s="9">
        <v>0.91464938560202946</v>
      </c>
      <c r="F91" s="9">
        <v>0.91432880856061438</v>
      </c>
      <c r="G91" s="9">
        <v>0.56326625970542532</v>
      </c>
      <c r="H91" s="9">
        <v>0.79443943204181766</v>
      </c>
      <c r="I91" s="9">
        <v>0.80209126754912441</v>
      </c>
      <c r="J91" s="9">
        <v>-0.52137701541721804</v>
      </c>
      <c r="K91" s="9">
        <v>2.658156590148268</v>
      </c>
      <c r="L91" s="9">
        <v>-1.548441725126622</v>
      </c>
      <c r="M91" s="9">
        <v>2.4729604138669519</v>
      </c>
      <c r="N91" s="9">
        <v>2.448217692813218</v>
      </c>
      <c r="O91" s="9">
        <v>8.4658998970286863</v>
      </c>
      <c r="P91" s="9">
        <v>2.4742720648646355E-2</v>
      </c>
      <c r="Q91" s="9">
        <v>1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1</v>
      </c>
      <c r="X91" s="9">
        <v>-1.8249585628509521</v>
      </c>
      <c r="Y91">
        <f t="shared" si="8"/>
        <v>0.15769679908817513</v>
      </c>
      <c r="Z91">
        <f t="shared" si="9"/>
        <v>0.16122432466773598</v>
      </c>
      <c r="AA91">
        <f t="shared" si="10"/>
        <v>-3.5275255795608473E-3</v>
      </c>
      <c r="AB91">
        <f t="shared" si="11"/>
        <v>1.2443436714456093E-5</v>
      </c>
      <c r="AC91" t="str">
        <f>VLOOKUP(A91, 'state-ids'!$A$1:$B$28, 2)</f>
        <v>PA</v>
      </c>
      <c r="AD91">
        <f>VLOOKUP(A91, 'state-ids'!$A$1:$C$28, 3)</f>
        <v>2.7161859E-2</v>
      </c>
      <c r="AE91">
        <f>VLOOKUP(A91, 'state-ids'!$A$1:$D$28, 4)</f>
        <v>0.79491878000000005</v>
      </c>
      <c r="AF91">
        <f t="shared" si="12"/>
        <v>-1.7585606484360895E-2</v>
      </c>
      <c r="AG91">
        <f t="shared" si="13"/>
        <v>0.16860612627936875</v>
      </c>
      <c r="AH91">
        <f t="shared" si="14"/>
        <v>0.15416570819911049</v>
      </c>
      <c r="AI91">
        <f t="shared" si="15"/>
        <v>1.4440418080258255E-2</v>
      </c>
      <c r="AJ91" s="12"/>
    </row>
    <row r="92" spans="1:36" x14ac:dyDescent="0.25">
      <c r="A92" s="9">
        <v>16</v>
      </c>
      <c r="B92" s="9">
        <v>2006</v>
      </c>
      <c r="C92" s="9">
        <v>-2.253877144019103</v>
      </c>
      <c r="D92" s="9">
        <v>0.94778939893352609</v>
      </c>
      <c r="E92" s="9">
        <v>0.93106111077760501</v>
      </c>
      <c r="F92" s="9">
        <v>0.91916659261961942</v>
      </c>
      <c r="G92" s="9">
        <v>0.78390154382840938</v>
      </c>
      <c r="H92" s="9">
        <v>0.73400117456821146</v>
      </c>
      <c r="I92" s="9">
        <v>0.71221424327717098</v>
      </c>
      <c r="J92" s="9">
        <v>-11.51292546497023</v>
      </c>
      <c r="K92" s="9">
        <v>0.40282887289318459</v>
      </c>
      <c r="L92" s="9">
        <v>-2.549210999081668</v>
      </c>
      <c r="M92" s="9">
        <v>2.4470563670874861</v>
      </c>
      <c r="N92" s="9">
        <v>2.308626042536269</v>
      </c>
      <c r="O92" s="9">
        <v>-11.51292546497023</v>
      </c>
      <c r="P92" s="9">
        <v>0.13843032717704773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1</v>
      </c>
      <c r="X92" s="9">
        <v>-2.285679817199707</v>
      </c>
      <c r="Y92">
        <f t="shared" si="8"/>
        <v>0.10499136775943416</v>
      </c>
      <c r="Z92">
        <f t="shared" si="9"/>
        <v>0.10170489786056545</v>
      </c>
      <c r="AA92">
        <f t="shared" si="10"/>
        <v>3.2864698988687019E-3</v>
      </c>
      <c r="AB92">
        <f t="shared" si="11"/>
        <v>1.0800884396170055E-5</v>
      </c>
      <c r="AC92" t="str">
        <f>VLOOKUP(A92, 'state-ids'!$A$1:$B$28, 2)</f>
        <v>AP</v>
      </c>
      <c r="AD92">
        <f>VLOOKUP(A92, 'state-ids'!$A$1:$C$28, 3)</f>
        <v>4.0092233999999997E-2</v>
      </c>
      <c r="AE92">
        <f>VLOOKUP(A92, 'state-ids'!$A$1:$D$28, 4)</f>
        <v>0.72732532000000005</v>
      </c>
      <c r="AF92">
        <f t="shared" si="12"/>
        <v>2.182594728252522E-2</v>
      </c>
      <c r="AG92">
        <f t="shared" si="13"/>
        <v>0.10782332552019114</v>
      </c>
      <c r="AH92">
        <f t="shared" si="14"/>
        <v>9.5933659984277164E-2</v>
      </c>
      <c r="AI92">
        <f t="shared" si="15"/>
        <v>1.1889665535913974E-2</v>
      </c>
      <c r="AJ92" s="12"/>
    </row>
    <row r="93" spans="1:36" x14ac:dyDescent="0.25">
      <c r="A93" s="9">
        <v>16</v>
      </c>
      <c r="B93" s="9">
        <v>2007</v>
      </c>
      <c r="C93" s="9">
        <v>-2.139332813232802</v>
      </c>
      <c r="D93" s="9">
        <v>0.84835444486232792</v>
      </c>
      <c r="E93" s="9">
        <v>0.94778939893352609</v>
      </c>
      <c r="F93" s="9">
        <v>0.93106111077760501</v>
      </c>
      <c r="G93" s="9">
        <v>0.64950872353011579</v>
      </c>
      <c r="H93" s="9">
        <v>0.78390154382840938</v>
      </c>
      <c r="I93" s="9">
        <v>0.73400117456821146</v>
      </c>
      <c r="J93" s="9">
        <v>-11.51292546497023</v>
      </c>
      <c r="K93" s="9">
        <v>0.40282887289318459</v>
      </c>
      <c r="L93" s="9">
        <v>-2.398758219080602</v>
      </c>
      <c r="M93" s="9">
        <v>2.5164897477429151</v>
      </c>
      <c r="N93" s="9">
        <v>2.4491292773411559</v>
      </c>
      <c r="O93" s="9">
        <v>-11.51292546497023</v>
      </c>
      <c r="P93" s="9">
        <v>6.7360468208789825E-2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1</v>
      </c>
      <c r="X93" s="9">
        <v>-2.1503252983093262</v>
      </c>
      <c r="Y93">
        <f t="shared" si="8"/>
        <v>0.11773336696829627</v>
      </c>
      <c r="Z93">
        <f t="shared" si="9"/>
        <v>0.11644627183635969</v>
      </c>
      <c r="AA93">
        <f t="shared" si="10"/>
        <v>1.2870951319365748E-3</v>
      </c>
      <c r="AB93">
        <f t="shared" si="11"/>
        <v>1.6566138786548288E-6</v>
      </c>
      <c r="AC93" t="str">
        <f>VLOOKUP(A93, 'state-ids'!$A$1:$B$28, 2)</f>
        <v>AP</v>
      </c>
      <c r="AD93">
        <f>VLOOKUP(A93, 'state-ids'!$A$1:$C$28, 3)</f>
        <v>4.0092233999999997E-2</v>
      </c>
      <c r="AE93">
        <f>VLOOKUP(A93, 'state-ids'!$A$1:$D$28, 4)</f>
        <v>0.72732532000000005</v>
      </c>
      <c r="AF93">
        <f t="shared" si="12"/>
        <v>7.9951127258781687E-3</v>
      </c>
      <c r="AG93">
        <f t="shared" si="13"/>
        <v>0.12345152040797371</v>
      </c>
      <c r="AH93">
        <f t="shared" si="14"/>
        <v>0.1098385356435963</v>
      </c>
      <c r="AI93">
        <f t="shared" si="15"/>
        <v>1.3612984764377403E-2</v>
      </c>
      <c r="AJ93" s="12"/>
    </row>
    <row r="94" spans="1:36" x14ac:dyDescent="0.25">
      <c r="A94" s="9">
        <v>16</v>
      </c>
      <c r="B94" s="9">
        <v>2008</v>
      </c>
      <c r="C94" s="9">
        <v>-2.0057206848228928</v>
      </c>
      <c r="D94" s="9">
        <v>0.85840734942560504</v>
      </c>
      <c r="E94" s="9">
        <v>0.84835444486232792</v>
      </c>
      <c r="F94" s="9">
        <v>0.94778939893352609</v>
      </c>
      <c r="G94" s="9">
        <v>0.6598488951584307</v>
      </c>
      <c r="H94" s="9">
        <v>0.64950872353011579</v>
      </c>
      <c r="I94" s="9">
        <v>0.78390154382840938</v>
      </c>
      <c r="J94" s="9">
        <v>-11.51292546497023</v>
      </c>
      <c r="K94" s="9">
        <v>0.40282887289318459</v>
      </c>
      <c r="L94" s="9">
        <v>-2.2470832121638229</v>
      </c>
      <c r="M94" s="9">
        <v>2.57937795119713</v>
      </c>
      <c r="N94" s="9">
        <v>2.5185653329997022</v>
      </c>
      <c r="O94" s="9">
        <v>-11.51292546497023</v>
      </c>
      <c r="P94" s="9">
        <v>6.0812618583440781E-2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1</v>
      </c>
      <c r="X94" s="9">
        <v>-2.0598061084747314</v>
      </c>
      <c r="Y94">
        <f t="shared" si="8"/>
        <v>0.13456328302612999</v>
      </c>
      <c r="Z94">
        <f t="shared" si="9"/>
        <v>0.12747868453534744</v>
      </c>
      <c r="AA94">
        <f t="shared" si="10"/>
        <v>7.084598490782551E-3</v>
      </c>
      <c r="AB94">
        <f t="shared" si="11"/>
        <v>5.0191535775598401E-5</v>
      </c>
      <c r="AC94" t="str">
        <f>VLOOKUP(A94, 'state-ids'!$A$1:$B$28, 2)</f>
        <v>AP</v>
      </c>
      <c r="AD94">
        <f>VLOOKUP(A94, 'state-ids'!$A$1:$C$28, 3)</f>
        <v>4.0092233999999997E-2</v>
      </c>
      <c r="AE94">
        <f>VLOOKUP(A94, 'state-ids'!$A$1:$D$28, 4)</f>
        <v>0.72732532000000005</v>
      </c>
      <c r="AF94">
        <f t="shared" si="12"/>
        <v>3.9337698064909124E-2</v>
      </c>
      <c r="AG94">
        <f t="shared" si="13"/>
        <v>0.13514762797741334</v>
      </c>
      <c r="AH94">
        <f t="shared" si="14"/>
        <v>0.12024491479479432</v>
      </c>
      <c r="AI94">
        <f t="shared" si="15"/>
        <v>1.4902713182619015E-2</v>
      </c>
      <c r="AJ94" s="12"/>
    </row>
    <row r="95" spans="1:36" x14ac:dyDescent="0.25">
      <c r="A95" s="9">
        <v>16</v>
      </c>
      <c r="B95" s="9">
        <v>2009</v>
      </c>
      <c r="C95" s="9">
        <v>-1.9859295162137669</v>
      </c>
      <c r="D95" s="9">
        <v>0.85377682648491271</v>
      </c>
      <c r="E95" s="9">
        <v>0.85840734942560504</v>
      </c>
      <c r="F95" s="9">
        <v>0.84835444486232792</v>
      </c>
      <c r="G95" s="9">
        <v>0.55995858631620055</v>
      </c>
      <c r="H95" s="9">
        <v>0.6598488951584307</v>
      </c>
      <c r="I95" s="9">
        <v>0.64950872353011579</v>
      </c>
      <c r="J95" s="9">
        <v>-11.51292546497023</v>
      </c>
      <c r="K95" s="9">
        <v>0.40282887289318459</v>
      </c>
      <c r="L95" s="9">
        <v>-2.1205439204507179</v>
      </c>
      <c r="M95" s="9">
        <v>2.561962092626465</v>
      </c>
      <c r="N95" s="9">
        <v>2.5576909081762151</v>
      </c>
      <c r="O95" s="9">
        <v>-11.51292546497023</v>
      </c>
      <c r="P95" s="9">
        <v>4.2711845599114895E-3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1</v>
      </c>
      <c r="X95" s="9">
        <v>-2.0111427307128906</v>
      </c>
      <c r="Y95">
        <f t="shared" si="8"/>
        <v>0.1372529759387433</v>
      </c>
      <c r="Z95">
        <f t="shared" si="9"/>
        <v>0.1338356491452164</v>
      </c>
      <c r="AA95">
        <f t="shared" si="10"/>
        <v>3.4173267935269092E-3</v>
      </c>
      <c r="AB95">
        <f t="shared" si="11"/>
        <v>1.1678122413756907E-5</v>
      </c>
      <c r="AC95" t="str">
        <f>VLOOKUP(A95, 'state-ids'!$A$1:$B$28, 2)</f>
        <v>AP</v>
      </c>
      <c r="AD95">
        <f>VLOOKUP(A95, 'state-ids'!$A$1:$C$28, 3)</f>
        <v>4.0092233999999997E-2</v>
      </c>
      <c r="AE95">
        <f>VLOOKUP(A95, 'state-ids'!$A$1:$D$28, 4)</f>
        <v>0.72732532000000005</v>
      </c>
      <c r="AF95">
        <f t="shared" si="12"/>
        <v>1.8338209303803806E-2</v>
      </c>
      <c r="AG95">
        <f t="shared" si="13"/>
        <v>0.14188701889042463</v>
      </c>
      <c r="AH95">
        <f t="shared" si="14"/>
        <v>0.12624115385745319</v>
      </c>
      <c r="AI95">
        <f t="shared" si="15"/>
        <v>1.564586503297144E-2</v>
      </c>
      <c r="AJ95" s="12"/>
    </row>
    <row r="96" spans="1:36" x14ac:dyDescent="0.25">
      <c r="A96" s="9">
        <v>16</v>
      </c>
      <c r="B96" s="9">
        <v>2010</v>
      </c>
      <c r="C96" s="9">
        <v>-1.886218851799045</v>
      </c>
      <c r="D96" s="9">
        <v>0.84672626848824584</v>
      </c>
      <c r="E96" s="9">
        <v>0.85377682648491271</v>
      </c>
      <c r="F96" s="9">
        <v>0.85840734942560504</v>
      </c>
      <c r="G96" s="9">
        <v>0.57874592024996996</v>
      </c>
      <c r="H96" s="9">
        <v>0.55995858631620055</v>
      </c>
      <c r="I96" s="9">
        <v>0.6598488951584307</v>
      </c>
      <c r="J96" s="9">
        <v>-6.4853357535740814</v>
      </c>
      <c r="K96" s="9">
        <v>0.40282887289318459</v>
      </c>
      <c r="L96" s="9">
        <v>-2.013719817614553</v>
      </c>
      <c r="M96" s="9">
        <v>2.5311522364316139</v>
      </c>
      <c r="N96" s="9">
        <v>2.516949080697501</v>
      </c>
      <c r="O96" s="9">
        <v>-11.51292546497023</v>
      </c>
      <c r="P96" s="9">
        <v>1.4203155413269997E-2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1</v>
      </c>
      <c r="X96" s="9">
        <v>-1.9620680809020996</v>
      </c>
      <c r="Y96">
        <f t="shared" si="8"/>
        <v>0.15164411503999473</v>
      </c>
      <c r="Z96">
        <f t="shared" si="9"/>
        <v>0.14056741532611314</v>
      </c>
      <c r="AA96">
        <f t="shared" si="10"/>
        <v>1.1076699713881588E-2</v>
      </c>
      <c r="AB96">
        <f t="shared" si="11"/>
        <v>1.2269327655150446E-4</v>
      </c>
      <c r="AC96" t="str">
        <f>VLOOKUP(A96, 'state-ids'!$A$1:$B$28, 2)</f>
        <v>AP</v>
      </c>
      <c r="AD96">
        <f>VLOOKUP(A96, 'state-ids'!$A$1:$C$28, 3)</f>
        <v>4.0092233999999997E-2</v>
      </c>
      <c r="AE96">
        <f>VLOOKUP(A96, 'state-ids'!$A$1:$D$28, 4)</f>
        <v>0.72732532000000005</v>
      </c>
      <c r="AF96">
        <f t="shared" si="12"/>
        <v>5.5167064829132494E-2</v>
      </c>
      <c r="AG96">
        <f t="shared" si="13"/>
        <v>0.14902375892475173</v>
      </c>
      <c r="AH96">
        <f t="shared" si="14"/>
        <v>0.1325909264001402</v>
      </c>
      <c r="AI96">
        <f t="shared" si="15"/>
        <v>1.6432832524611529E-2</v>
      </c>
      <c r="AJ96" s="12"/>
    </row>
    <row r="97" spans="1:36" x14ac:dyDescent="0.25">
      <c r="A97" s="9">
        <v>16</v>
      </c>
      <c r="B97" s="9">
        <v>2011</v>
      </c>
      <c r="C97" s="9">
        <v>-1.8323425651355261</v>
      </c>
      <c r="D97" s="9">
        <v>0.76607231057450187</v>
      </c>
      <c r="E97" s="9">
        <v>0.84672626848824584</v>
      </c>
      <c r="F97" s="9">
        <v>0.85377682648491271</v>
      </c>
      <c r="G97" s="9">
        <v>0.56064383074685153</v>
      </c>
      <c r="H97" s="9">
        <v>0.57874592024996996</v>
      </c>
      <c r="I97" s="9">
        <v>0.55995858631620055</v>
      </c>
      <c r="J97" s="9">
        <v>-4.7366501007701718</v>
      </c>
      <c r="K97" s="9">
        <v>0.40282887289318459</v>
      </c>
      <c r="L97" s="9">
        <v>-1.9358485464253019</v>
      </c>
      <c r="M97" s="9">
        <v>2.5411299922494281</v>
      </c>
      <c r="N97" s="9">
        <v>2.488078420007426</v>
      </c>
      <c r="O97" s="9">
        <v>-11.51292546497023</v>
      </c>
      <c r="P97" s="9">
        <v>5.3051572293043137E-2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1</v>
      </c>
      <c r="X97" s="9">
        <v>-1.8493673801422119</v>
      </c>
      <c r="Y97">
        <f t="shared" si="8"/>
        <v>0.16003822834421283</v>
      </c>
      <c r="Z97">
        <f t="shared" si="9"/>
        <v>0.1573366691378327</v>
      </c>
      <c r="AA97">
        <f t="shared" si="10"/>
        <v>2.7015592063801275E-3</v>
      </c>
      <c r="AB97">
        <f t="shared" si="11"/>
        <v>7.2984221455772238E-6</v>
      </c>
      <c r="AC97" t="str">
        <f>VLOOKUP(A97, 'state-ids'!$A$1:$B$28, 2)</f>
        <v>AP</v>
      </c>
      <c r="AD97">
        <f>VLOOKUP(A97, 'state-ids'!$A$1:$C$28, 3)</f>
        <v>4.0092233999999997E-2</v>
      </c>
      <c r="AE97">
        <f>VLOOKUP(A97, 'state-ids'!$A$1:$D$28, 4)</f>
        <v>0.72732532000000005</v>
      </c>
      <c r="AF97">
        <f t="shared" si="12"/>
        <v>1.2382579022678586E-2</v>
      </c>
      <c r="AG97">
        <f t="shared" si="13"/>
        <v>0.16680182812797359</v>
      </c>
      <c r="AH97">
        <f t="shared" si="14"/>
        <v>0.14840860998475064</v>
      </c>
      <c r="AI97">
        <f t="shared" si="15"/>
        <v>1.839321814322295E-2</v>
      </c>
      <c r="AJ97" s="12"/>
    </row>
    <row r="98" spans="1:36" x14ac:dyDescent="0.25">
      <c r="A98" s="9">
        <v>16</v>
      </c>
      <c r="B98" s="9">
        <v>2012</v>
      </c>
      <c r="C98" s="9">
        <v>-1.697172032400051</v>
      </c>
      <c r="D98" s="9">
        <v>0.67666204430008292</v>
      </c>
      <c r="E98" s="9">
        <v>0.76607231057450187</v>
      </c>
      <c r="F98" s="9">
        <v>0.84672626848824584</v>
      </c>
      <c r="G98" s="9">
        <v>0.50386142996435779</v>
      </c>
      <c r="H98" s="9">
        <v>0.56064383074685153</v>
      </c>
      <c r="I98" s="9">
        <v>0.57874592024996996</v>
      </c>
      <c r="J98" s="9">
        <v>-4.2464961022431877</v>
      </c>
      <c r="K98" s="9">
        <v>0.40282887289318459</v>
      </c>
      <c r="L98" s="9">
        <v>-1.8797725681329061</v>
      </c>
      <c r="M98" s="9">
        <v>2.6120553067830841</v>
      </c>
      <c r="N98" s="9">
        <v>2.5204583670104239</v>
      </c>
      <c r="O98" s="9">
        <v>-11.51292546497023</v>
      </c>
      <c r="P98" s="9">
        <v>9.1596938669681549E-2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1</v>
      </c>
      <c r="X98" s="9">
        <v>-1.729944109916687</v>
      </c>
      <c r="Y98">
        <f t="shared" si="8"/>
        <v>0.18320087832557019</v>
      </c>
      <c r="Z98">
        <f t="shared" si="9"/>
        <v>0.17729431868721807</v>
      </c>
      <c r="AA98">
        <f t="shared" si="10"/>
        <v>5.9065596383521268E-3</v>
      </c>
      <c r="AB98">
        <f t="shared" si="11"/>
        <v>3.4887446761410405E-5</v>
      </c>
      <c r="AC98" t="str">
        <f>VLOOKUP(A98, 'state-ids'!$A$1:$B$28, 2)</f>
        <v>AP</v>
      </c>
      <c r="AD98">
        <f>VLOOKUP(A98, 'state-ids'!$A$1:$C$28, 3)</f>
        <v>4.0092233999999997E-2</v>
      </c>
      <c r="AE98">
        <f>VLOOKUP(A98, 'state-ids'!$A$1:$D$28, 4)</f>
        <v>0.72732532000000005</v>
      </c>
      <c r="AF98">
        <f t="shared" si="12"/>
        <v>2.3835961766852102E-2</v>
      </c>
      <c r="AG98">
        <f t="shared" si="13"/>
        <v>0.18796010259899726</v>
      </c>
      <c r="AH98">
        <f t="shared" si="14"/>
        <v>0.1672337639963202</v>
      </c>
      <c r="AI98">
        <f t="shared" si="15"/>
        <v>2.0726338602677058E-2</v>
      </c>
      <c r="AJ98" s="12"/>
    </row>
    <row r="99" spans="1:36" x14ac:dyDescent="0.25">
      <c r="A99" s="9">
        <v>16</v>
      </c>
      <c r="B99" s="9">
        <v>2013</v>
      </c>
      <c r="C99" s="9">
        <v>-1.673337722549276</v>
      </c>
      <c r="D99" s="9">
        <v>0.66957144403123958</v>
      </c>
      <c r="E99" s="9">
        <v>0.67666204430008292</v>
      </c>
      <c r="F99" s="9">
        <v>0.76607231057450187</v>
      </c>
      <c r="G99" s="9">
        <v>0.50603416302985993</v>
      </c>
      <c r="H99" s="9">
        <v>0.50386142996435779</v>
      </c>
      <c r="I99" s="9">
        <v>0.56064383074685153</v>
      </c>
      <c r="J99" s="9">
        <v>-3.421811226673213</v>
      </c>
      <c r="K99" s="9">
        <v>0.40282887289318459</v>
      </c>
      <c r="L99" s="9">
        <v>-1.857649659108747</v>
      </c>
      <c r="M99" s="9">
        <v>2.625774611983184</v>
      </c>
      <c r="N99" s="9">
        <v>2.561271444999154</v>
      </c>
      <c r="O99" s="9">
        <v>-11.51292546497023</v>
      </c>
      <c r="P99" s="9">
        <v>6.4503170549869537E-2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1</v>
      </c>
      <c r="X99" s="9">
        <v>-1.6836001873016357</v>
      </c>
      <c r="Y99">
        <f t="shared" si="8"/>
        <v>0.18761979657032152</v>
      </c>
      <c r="Z99">
        <f t="shared" si="9"/>
        <v>0.18570420119838826</v>
      </c>
      <c r="AA99">
        <f t="shared" si="10"/>
        <v>1.9155953719332541E-3</v>
      </c>
      <c r="AB99">
        <f t="shared" si="11"/>
        <v>3.6695056289721023E-6</v>
      </c>
      <c r="AC99" t="str">
        <f>VLOOKUP(A99, 'state-ids'!$A$1:$B$28, 2)</f>
        <v>AP</v>
      </c>
      <c r="AD99">
        <f>VLOOKUP(A99, 'state-ids'!$A$1:$C$28, 3)</f>
        <v>4.0092233999999997E-2</v>
      </c>
      <c r="AE99">
        <f>VLOOKUP(A99, 'state-ids'!$A$1:$D$28, 4)</f>
        <v>0.72732532000000005</v>
      </c>
      <c r="AF99">
        <f t="shared" si="12"/>
        <v>7.4641504599987406E-3</v>
      </c>
      <c r="AG99">
        <f t="shared" si="13"/>
        <v>0.19687591214861835</v>
      </c>
      <c r="AH99">
        <f t="shared" si="14"/>
        <v>0.17516642826623971</v>
      </c>
      <c r="AI99">
        <f t="shared" si="15"/>
        <v>2.1709483882378644E-2</v>
      </c>
      <c r="AJ99" s="12"/>
    </row>
    <row r="100" spans="1:36" x14ac:dyDescent="0.25">
      <c r="A100" s="9">
        <v>16</v>
      </c>
      <c r="B100" s="9">
        <v>2014</v>
      </c>
      <c r="C100" s="9">
        <v>-1.5816291422594899</v>
      </c>
      <c r="D100" s="9">
        <v>0.64532155107734079</v>
      </c>
      <c r="E100" s="9">
        <v>0.66957144403123958</v>
      </c>
      <c r="F100" s="9">
        <v>0.67666204430008292</v>
      </c>
      <c r="G100" s="9">
        <v>0.58978466756479209</v>
      </c>
      <c r="H100" s="9">
        <v>0.50603416302985993</v>
      </c>
      <c r="I100" s="9">
        <v>0.50386142996435779</v>
      </c>
      <c r="J100" s="9">
        <v>-2.7926470713120639</v>
      </c>
      <c r="K100" s="9">
        <v>0.40282887289318459</v>
      </c>
      <c r="L100" s="9">
        <v>-1.807593059522477</v>
      </c>
      <c r="M100" s="9">
        <v>2.5774979851936082</v>
      </c>
      <c r="N100" s="9">
        <v>2.6043512012031829</v>
      </c>
      <c r="O100" s="9">
        <v>-11.51292546497023</v>
      </c>
      <c r="P100" s="9">
        <v>-2.685321681201458E-2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1</v>
      </c>
      <c r="X100" s="9">
        <v>-1.5782771110534668</v>
      </c>
      <c r="Y100">
        <f t="shared" si="8"/>
        <v>0.20563980865933701</v>
      </c>
      <c r="Z100">
        <f t="shared" si="9"/>
        <v>0.20633027630319395</v>
      </c>
      <c r="AA100">
        <f t="shared" si="10"/>
        <v>-6.9046764385694015E-4</v>
      </c>
      <c r="AB100">
        <f t="shared" si="11"/>
        <v>4.7674556721335436E-7</v>
      </c>
      <c r="AC100" t="str">
        <f>VLOOKUP(A100, 'state-ids'!$A$1:$B$28, 2)</f>
        <v>AP</v>
      </c>
      <c r="AD100">
        <f>VLOOKUP(A100, 'state-ids'!$A$1:$C$28, 3)</f>
        <v>4.0092233999999997E-2</v>
      </c>
      <c r="AE100">
        <f>VLOOKUP(A100, 'state-ids'!$A$1:$D$28, 4)</f>
        <v>0.72732532000000005</v>
      </c>
      <c r="AF100">
        <f t="shared" si="12"/>
        <v>-2.4380171695707522E-3</v>
      </c>
      <c r="AG100">
        <f t="shared" si="13"/>
        <v>0.21874282374296827</v>
      </c>
      <c r="AH100">
        <f t="shared" si="14"/>
        <v>0.19462207806815368</v>
      </c>
      <c r="AI100">
        <f t="shared" si="15"/>
        <v>2.4120745674814592E-2</v>
      </c>
      <c r="AJ100" s="12"/>
    </row>
    <row r="101" spans="1:36" x14ac:dyDescent="0.25">
      <c r="A101" s="9">
        <v>16</v>
      </c>
      <c r="B101" s="9">
        <v>2015</v>
      </c>
      <c r="C101" s="9">
        <v>-1.606719350519505</v>
      </c>
      <c r="D101" s="9">
        <v>0.66474770603824729</v>
      </c>
      <c r="E101" s="9">
        <v>0.64532155107734079</v>
      </c>
      <c r="F101" s="9">
        <v>0.66957144403123958</v>
      </c>
      <c r="G101" s="9">
        <v>0.50609444939008918</v>
      </c>
      <c r="H101" s="9">
        <v>0.58978466756479209</v>
      </c>
      <c r="I101" s="9">
        <v>0.50603416302985993</v>
      </c>
      <c r="J101" s="9">
        <v>-2.437375580685293</v>
      </c>
      <c r="K101" s="9">
        <v>0.40282887289318459</v>
      </c>
      <c r="L101" s="9">
        <v>-1.7745875972242799</v>
      </c>
      <c r="M101" s="9">
        <v>2.517606577909357</v>
      </c>
      <c r="N101" s="9">
        <v>2.5567182529185071</v>
      </c>
      <c r="O101" s="9">
        <v>-11.51292546497023</v>
      </c>
      <c r="P101" s="9">
        <v>-3.9111673831939697E-2</v>
      </c>
      <c r="Q101" s="9">
        <v>1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1</v>
      </c>
      <c r="X101" s="9">
        <v>-1.6275787353515625</v>
      </c>
      <c r="Y101">
        <f t="shared" si="8"/>
        <v>0.20054445211098773</v>
      </c>
      <c r="Z101">
        <f t="shared" si="9"/>
        <v>0.19640454626290263</v>
      </c>
      <c r="AA101">
        <f t="shared" si="10"/>
        <v>4.1399058480851014E-3</v>
      </c>
      <c r="AB101">
        <f t="shared" si="11"/>
        <v>1.7138820431009223E-5</v>
      </c>
      <c r="AC101" t="str">
        <f>VLOOKUP(A101, 'state-ids'!$A$1:$B$28, 2)</f>
        <v>AP</v>
      </c>
      <c r="AD101">
        <f>VLOOKUP(A101, 'state-ids'!$A$1:$C$28, 3)</f>
        <v>4.0092233999999997E-2</v>
      </c>
      <c r="AE101">
        <f>VLOOKUP(A101, 'state-ids'!$A$1:$D$28, 4)</f>
        <v>0.72732532000000005</v>
      </c>
      <c r="AF101">
        <f t="shared" si="12"/>
        <v>1.517155874797938E-2</v>
      </c>
      <c r="AG101">
        <f t="shared" si="13"/>
        <v>0.20821997534851713</v>
      </c>
      <c r="AH101">
        <f t="shared" si="14"/>
        <v>0.18525958293948755</v>
      </c>
      <c r="AI101">
        <f t="shared" si="15"/>
        <v>2.2960392409029584E-2</v>
      </c>
      <c r="AJ101" s="12"/>
    </row>
    <row r="102" spans="1:36" x14ac:dyDescent="0.25">
      <c r="A102" s="9">
        <v>16</v>
      </c>
      <c r="B102" s="9">
        <v>2016</v>
      </c>
      <c r="C102" s="9">
        <v>-1.6413975343736871</v>
      </c>
      <c r="D102" s="9">
        <v>0.6924969692183589</v>
      </c>
      <c r="E102" s="9">
        <v>0.66474770603824729</v>
      </c>
      <c r="F102" s="9">
        <v>0.64532155107734079</v>
      </c>
      <c r="G102" s="9">
        <v>0.69524497864209145</v>
      </c>
      <c r="H102" s="9">
        <v>0.50609444939008918</v>
      </c>
      <c r="I102" s="9">
        <v>0.58978466756479209</v>
      </c>
      <c r="J102" s="9">
        <v>-2.1189371249906608</v>
      </c>
      <c r="K102" s="9">
        <v>0.40282887289318459</v>
      </c>
      <c r="L102" s="9">
        <v>-1.7664090653759601</v>
      </c>
      <c r="M102" s="9">
        <v>2.453624418700683</v>
      </c>
      <c r="N102" s="9">
        <v>2.4974428707249521</v>
      </c>
      <c r="O102" s="9">
        <v>-11.51292546497023</v>
      </c>
      <c r="P102" s="9">
        <v>-4.3818451464176178E-2</v>
      </c>
      <c r="Q102" s="9">
        <v>1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1</v>
      </c>
      <c r="X102" s="9">
        <v>-1.5651253461837769</v>
      </c>
      <c r="Y102">
        <f t="shared" si="8"/>
        <v>0.19370913785720215</v>
      </c>
      <c r="Z102">
        <f t="shared" si="9"/>
        <v>0.20906180643125005</v>
      </c>
      <c r="AA102">
        <f t="shared" si="10"/>
        <v>-1.5352668574047906E-2</v>
      </c>
      <c r="AB102">
        <f t="shared" si="11"/>
        <v>2.3570443234455818E-4</v>
      </c>
      <c r="AC102" t="str">
        <f>VLOOKUP(A102, 'state-ids'!$A$1:$B$28, 2)</f>
        <v>AP</v>
      </c>
      <c r="AD102">
        <f>VLOOKUP(A102, 'state-ids'!$A$1:$C$28, 3)</f>
        <v>4.0092233999999997E-2</v>
      </c>
      <c r="AE102">
        <f>VLOOKUP(A102, 'state-ids'!$A$1:$D$28, 4)</f>
        <v>0.72732532000000005</v>
      </c>
      <c r="AF102">
        <f t="shared" si="12"/>
        <v>-5.5474693682326673E-2</v>
      </c>
      <c r="AG102">
        <f t="shared" si="13"/>
        <v>0.22163867899046466</v>
      </c>
      <c r="AH102">
        <f t="shared" si="14"/>
        <v>0.19719860769508474</v>
      </c>
      <c r="AI102">
        <f t="shared" si="15"/>
        <v>2.4440071295379923E-2</v>
      </c>
      <c r="AJ102" s="12"/>
    </row>
    <row r="103" spans="1:36" x14ac:dyDescent="0.25">
      <c r="A103" s="9">
        <v>16</v>
      </c>
      <c r="B103" s="9">
        <v>2017</v>
      </c>
      <c r="C103" s="9">
        <v>-1.640089231748751</v>
      </c>
      <c r="D103" s="9">
        <v>0.67701779863006162</v>
      </c>
      <c r="E103" s="9">
        <v>0.6924969692183589</v>
      </c>
      <c r="F103" s="9">
        <v>0.66474770603824729</v>
      </c>
      <c r="G103" s="9">
        <v>0.68778281806079467</v>
      </c>
      <c r="H103" s="9">
        <v>0.69524497864209145</v>
      </c>
      <c r="I103" s="9">
        <v>0.50609444939008918</v>
      </c>
      <c r="J103" s="9">
        <v>-1.4832631345614169</v>
      </c>
      <c r="K103" s="9">
        <v>0.40282887289318459</v>
      </c>
      <c r="L103" s="9">
        <v>-1.7503629032432411</v>
      </c>
      <c r="M103" s="9">
        <v>2.4745106219275401</v>
      </c>
      <c r="N103" s="9">
        <v>2.4340961601341049</v>
      </c>
      <c r="O103" s="9">
        <v>-11.51292546497023</v>
      </c>
      <c r="P103" s="9">
        <v>4.0414460003376007E-2</v>
      </c>
      <c r="Q103" s="9">
        <v>1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1</v>
      </c>
      <c r="X103" s="9">
        <v>-1.5237890481948853</v>
      </c>
      <c r="Y103">
        <f t="shared" si="8"/>
        <v>0.19396273388473664</v>
      </c>
      <c r="Z103">
        <f t="shared" si="9"/>
        <v>0.21788474510152486</v>
      </c>
      <c r="AA103">
        <f t="shared" si="10"/>
        <v>-2.3922011216788219E-2</v>
      </c>
      <c r="AB103">
        <f t="shared" si="11"/>
        <v>5.7226262065614142E-4</v>
      </c>
      <c r="AC103" t="str">
        <f>VLOOKUP(A103, 'state-ids'!$A$1:$B$28, 2)</f>
        <v>AP</v>
      </c>
      <c r="AD103">
        <f>VLOOKUP(A103, 'state-ids'!$A$1:$C$28, 3)</f>
        <v>4.0092233999999997E-2</v>
      </c>
      <c r="AE103">
        <f>VLOOKUP(A103, 'state-ids'!$A$1:$D$28, 4)</f>
        <v>0.72732532000000005</v>
      </c>
      <c r="AF103">
        <f t="shared" si="12"/>
        <v>-8.4588068219374132E-2</v>
      </c>
      <c r="AG103">
        <f t="shared" si="13"/>
        <v>0.23099239359321622</v>
      </c>
      <c r="AH103">
        <f t="shared" si="14"/>
        <v>0.20552088927897355</v>
      </c>
      <c r="AI103">
        <f t="shared" si="15"/>
        <v>2.5471504314242666E-2</v>
      </c>
      <c r="AJ103" s="12"/>
    </row>
    <row r="104" spans="1:36" x14ac:dyDescent="0.25">
      <c r="A104" s="9">
        <v>16</v>
      </c>
      <c r="B104" s="9">
        <v>2018</v>
      </c>
      <c r="C104" s="9">
        <v>-1.6581562884260019</v>
      </c>
      <c r="D104" s="9">
        <v>0.73553594705173186</v>
      </c>
      <c r="E104" s="9">
        <v>0.67701779863006162</v>
      </c>
      <c r="F104" s="9">
        <v>0.6924969692183589</v>
      </c>
      <c r="G104" s="9">
        <v>0.6773226302129739</v>
      </c>
      <c r="H104" s="9">
        <v>0.68778281806079467</v>
      </c>
      <c r="I104" s="9">
        <v>0.69524497864209145</v>
      </c>
      <c r="J104" s="9">
        <v>-1.082461206997537</v>
      </c>
      <c r="K104" s="9">
        <v>0.40282887289318459</v>
      </c>
      <c r="L104" s="9">
        <v>-1.7459804863662149</v>
      </c>
      <c r="M104" s="9">
        <v>2.4729213320469849</v>
      </c>
      <c r="N104" s="9">
        <v>2.4354549114234989</v>
      </c>
      <c r="O104" s="9">
        <v>3.2580965380214821</v>
      </c>
      <c r="P104" s="9">
        <v>3.7466421723365784E-2</v>
      </c>
      <c r="Q104" s="9">
        <v>1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1</v>
      </c>
      <c r="X104" s="9">
        <v>-1.5648822784423828</v>
      </c>
      <c r="Y104">
        <f t="shared" si="8"/>
        <v>0.19048986490559303</v>
      </c>
      <c r="Z104">
        <f t="shared" si="9"/>
        <v>0.20911262878873865</v>
      </c>
      <c r="AA104">
        <f t="shared" si="10"/>
        <v>-1.8622763883145627E-2</v>
      </c>
      <c r="AB104">
        <f t="shared" si="11"/>
        <v>3.4680733464739316E-4</v>
      </c>
      <c r="AC104" t="str">
        <f>VLOOKUP(A104, 'state-ids'!$A$1:$B$28, 2)</f>
        <v>AP</v>
      </c>
      <c r="AD104">
        <f>VLOOKUP(A104, 'state-ids'!$A$1:$C$28, 3)</f>
        <v>4.0092233999999997E-2</v>
      </c>
      <c r="AE104">
        <f>VLOOKUP(A104, 'state-ids'!$A$1:$D$28, 4)</f>
        <v>0.72732532000000005</v>
      </c>
      <c r="AF104">
        <f t="shared" si="12"/>
        <v>-6.7840549159018979E-2</v>
      </c>
      <c r="AG104">
        <f t="shared" si="13"/>
        <v>0.22169255875152308</v>
      </c>
      <c r="AH104">
        <f t="shared" si="14"/>
        <v>0.19724654614117212</v>
      </c>
      <c r="AI104">
        <f t="shared" si="15"/>
        <v>2.4446012610350953E-2</v>
      </c>
      <c r="AJ104" s="12"/>
    </row>
    <row r="105" spans="1:36" x14ac:dyDescent="0.25">
      <c r="A105" s="9">
        <v>16</v>
      </c>
      <c r="B105" s="9">
        <v>2019</v>
      </c>
      <c r="C105" s="9">
        <v>-1.603972938715956</v>
      </c>
      <c r="D105" s="9">
        <v>0.6634093622959889</v>
      </c>
      <c r="E105" s="9">
        <v>0.73553594705173186</v>
      </c>
      <c r="F105" s="9">
        <v>0.67701779863006162</v>
      </c>
      <c r="G105" s="9">
        <v>0.60070289016866529</v>
      </c>
      <c r="H105" s="9">
        <v>0.6773226302129739</v>
      </c>
      <c r="I105" s="9">
        <v>0.68778281806079467</v>
      </c>
      <c r="J105" s="9">
        <v>-0.38409368144506473</v>
      </c>
      <c r="K105" s="9">
        <v>0.40282887289318459</v>
      </c>
      <c r="L105" s="9">
        <v>-1.713594278535002</v>
      </c>
      <c r="M105" s="9">
        <v>2.45307765398797</v>
      </c>
      <c r="N105" s="9">
        <v>2.4535358662373121</v>
      </c>
      <c r="O105" s="9">
        <v>5.393627546352362</v>
      </c>
      <c r="P105" s="9">
        <v>-4.5821224921382964E-4</v>
      </c>
      <c r="Q105" s="9">
        <v>1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1</v>
      </c>
      <c r="X105" s="9">
        <v>-1.5231668949127197</v>
      </c>
      <c r="Y105">
        <f t="shared" si="8"/>
        <v>0.20109598678539628</v>
      </c>
      <c r="Z105">
        <f t="shared" si="9"/>
        <v>0.218020344988407</v>
      </c>
      <c r="AA105">
        <f t="shared" si="10"/>
        <v>-1.692435820301072E-2</v>
      </c>
      <c r="AB105">
        <f t="shared" si="11"/>
        <v>2.8643390058381623E-4</v>
      </c>
      <c r="AC105" t="str">
        <f>VLOOKUP(A105, 'state-ids'!$A$1:$B$28, 2)</f>
        <v>AP</v>
      </c>
      <c r="AD105">
        <f>VLOOKUP(A105, 'state-ids'!$A$1:$C$28, 3)</f>
        <v>4.0092233999999997E-2</v>
      </c>
      <c r="AE105">
        <f>VLOOKUP(A105, 'state-ids'!$A$1:$D$28, 4)</f>
        <v>0.72732532000000005</v>
      </c>
      <c r="AF105">
        <f t="shared" si="12"/>
        <v>-5.8772281667122866E-2</v>
      </c>
      <c r="AG105">
        <f t="shared" si="13"/>
        <v>0.23113615098397469</v>
      </c>
      <c r="AH105">
        <f t="shared" si="14"/>
        <v>0.20564879455901119</v>
      </c>
      <c r="AI105">
        <f t="shared" si="15"/>
        <v>2.5487356424963498E-2</v>
      </c>
      <c r="AJ105" s="12"/>
    </row>
    <row r="106" spans="1:36" x14ac:dyDescent="0.25">
      <c r="A106" s="9">
        <v>16</v>
      </c>
      <c r="B106" s="9">
        <v>2020</v>
      </c>
      <c r="C106" s="9">
        <v>-1.603693240766175</v>
      </c>
      <c r="D106" s="9">
        <v>0.50675735959003665</v>
      </c>
      <c r="E106" s="9">
        <v>0.6634093622959889</v>
      </c>
      <c r="F106" s="9">
        <v>0.73553594705173186</v>
      </c>
      <c r="G106" s="9">
        <v>0.57784855619648245</v>
      </c>
      <c r="H106" s="9">
        <v>0.60070289016866529</v>
      </c>
      <c r="I106" s="9">
        <v>0.6773226302129739</v>
      </c>
      <c r="J106" s="9">
        <v>0.21548701610898499</v>
      </c>
      <c r="K106" s="9">
        <v>0.40282887289318459</v>
      </c>
      <c r="L106" s="9">
        <v>-1.688855747449572</v>
      </c>
      <c r="M106" s="9">
        <v>2.4256603698466122</v>
      </c>
      <c r="N106" s="9">
        <v>2.4342871012128651</v>
      </c>
      <c r="O106" s="9">
        <v>5.9914645471079817</v>
      </c>
      <c r="P106" s="9">
        <v>-8.6267311125993729E-3</v>
      </c>
      <c r="Q106" s="9">
        <v>1</v>
      </c>
      <c r="R106" s="9">
        <v>1</v>
      </c>
      <c r="S106" s="9">
        <v>0</v>
      </c>
      <c r="T106" s="9">
        <v>0</v>
      </c>
      <c r="U106" s="9">
        <v>0</v>
      </c>
      <c r="V106" s="9">
        <v>0</v>
      </c>
      <c r="W106" s="9">
        <v>1</v>
      </c>
      <c r="X106" s="9">
        <v>-1.4816429615020752</v>
      </c>
      <c r="Y106">
        <f t="shared" si="8"/>
        <v>0.20115224078730712</v>
      </c>
      <c r="Z106">
        <f t="shared" si="9"/>
        <v>0.22726399549095483</v>
      </c>
      <c r="AA106">
        <f t="shared" si="10"/>
        <v>-2.611175470364771E-2</v>
      </c>
      <c r="AB106">
        <f t="shared" si="11"/>
        <v>6.8182373370346834E-4</v>
      </c>
      <c r="AC106" t="str">
        <f>VLOOKUP(A106, 'state-ids'!$A$1:$B$28, 2)</f>
        <v>AP</v>
      </c>
      <c r="AD106">
        <f>VLOOKUP(A106, 'state-ids'!$A$1:$C$28, 3)</f>
        <v>4.0092233999999997E-2</v>
      </c>
      <c r="AE106">
        <f>VLOOKUP(A106, 'state-ids'!$A$1:$D$28, 4)</f>
        <v>0.72732532000000005</v>
      </c>
      <c r="AF106">
        <f t="shared" si="12"/>
        <v>-8.8770258421850781E-2</v>
      </c>
      <c r="AG106">
        <f t="shared" si="13"/>
        <v>0.24093588686786019</v>
      </c>
      <c r="AH106">
        <f t="shared" si="14"/>
        <v>0.21436791470935698</v>
      </c>
      <c r="AI106">
        <f t="shared" si="15"/>
        <v>2.6567972158503206E-2</v>
      </c>
      <c r="AJ106" s="12"/>
    </row>
    <row r="107" spans="1:36" x14ac:dyDescent="0.25">
      <c r="A107" s="9">
        <v>16</v>
      </c>
      <c r="B107" s="9">
        <v>2021</v>
      </c>
      <c r="C107" s="9">
        <v>-1.528306146515986</v>
      </c>
      <c r="D107" s="9">
        <v>0.76504914984902317</v>
      </c>
      <c r="E107" s="9">
        <v>0.50675735959003665</v>
      </c>
      <c r="F107" s="9">
        <v>0.6634093622959889</v>
      </c>
      <c r="G107" s="9">
        <v>0.81920698022067795</v>
      </c>
      <c r="H107" s="9">
        <v>0.57784855619648245</v>
      </c>
      <c r="I107" s="9">
        <v>0.60070289016866529</v>
      </c>
      <c r="J107" s="9">
        <v>0.70660096568781861</v>
      </c>
      <c r="K107" s="9">
        <v>0.40282887289318459</v>
      </c>
      <c r="L107" s="9">
        <v>-1.675913481839175</v>
      </c>
      <c r="M107" s="9">
        <v>2.3693990305980459</v>
      </c>
      <c r="N107" s="9">
        <v>2.4074465427846561</v>
      </c>
      <c r="O107" s="9">
        <v>6.6846117276679271</v>
      </c>
      <c r="P107" s="9">
        <v>-3.8047511130571365E-2</v>
      </c>
      <c r="Q107" s="9">
        <v>1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1</v>
      </c>
      <c r="X107" s="9">
        <v>-1.4892810583114624</v>
      </c>
      <c r="Y107">
        <f t="shared" si="8"/>
        <v>0.21690275782149993</v>
      </c>
      <c r="Z107">
        <f t="shared" si="9"/>
        <v>0.22553474359591133</v>
      </c>
      <c r="AA107">
        <f t="shared" si="10"/>
        <v>-8.6319857744114048E-3</v>
      </c>
      <c r="AB107">
        <f t="shared" si="11"/>
        <v>7.4511178409640853E-5</v>
      </c>
      <c r="AC107" t="str">
        <f>VLOOKUP(A107, 'state-ids'!$A$1:$B$28, 2)</f>
        <v>AP</v>
      </c>
      <c r="AD107">
        <f>VLOOKUP(A107, 'state-ids'!$A$1:$C$28, 3)</f>
        <v>4.0092233999999997E-2</v>
      </c>
      <c r="AE107">
        <f>VLOOKUP(A107, 'state-ids'!$A$1:$D$28, 4)</f>
        <v>0.72732532000000005</v>
      </c>
      <c r="AF107">
        <f t="shared" si="12"/>
        <v>-2.8383934766383317E-2</v>
      </c>
      <c r="AG107">
        <f t="shared" si="13"/>
        <v>0.23910260554210433</v>
      </c>
      <c r="AH107">
        <f t="shared" si="14"/>
        <v>0.21273678910168264</v>
      </c>
      <c r="AI107">
        <f t="shared" si="15"/>
        <v>2.6365816440421685E-2</v>
      </c>
      <c r="AJ107" s="12"/>
    </row>
    <row r="108" spans="1:36" x14ac:dyDescent="0.25">
      <c r="A108" s="9">
        <v>16</v>
      </c>
      <c r="B108" s="9">
        <v>2022</v>
      </c>
      <c r="C108" s="9">
        <v>-1.4997510253728921</v>
      </c>
      <c r="D108" s="9">
        <v>0.79624513856351264</v>
      </c>
      <c r="E108" s="9">
        <v>0.76504914984902317</v>
      </c>
      <c r="F108" s="9">
        <v>0.50675735959003665</v>
      </c>
      <c r="G108" s="9">
        <v>0.85462807148204811</v>
      </c>
      <c r="H108" s="9">
        <v>0.81920698022067795</v>
      </c>
      <c r="I108" s="9">
        <v>0.57784855619648245</v>
      </c>
      <c r="J108" s="9">
        <v>1.24896447296841</v>
      </c>
      <c r="K108" s="9">
        <v>0.40282887289318459</v>
      </c>
      <c r="L108" s="9">
        <v>-1.6517963590735101</v>
      </c>
      <c r="M108" s="9">
        <v>2.4483353558842298</v>
      </c>
      <c r="N108" s="9">
        <v>2.3693990305980459</v>
      </c>
      <c r="O108" s="9">
        <v>8.0551577318196781</v>
      </c>
      <c r="P108" s="9">
        <v>7.8936323523521423E-2</v>
      </c>
      <c r="Q108" s="9">
        <v>1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1</v>
      </c>
      <c r="X108" s="9">
        <v>-1.4371792078018188</v>
      </c>
      <c r="Y108">
        <f t="shared" si="8"/>
        <v>0.22318572081316021</v>
      </c>
      <c r="Z108">
        <f t="shared" si="9"/>
        <v>0.2375970261437893</v>
      </c>
      <c r="AA108">
        <f t="shared" si="10"/>
        <v>-1.4411305330629093E-2</v>
      </c>
      <c r="AB108">
        <f t="shared" si="11"/>
        <v>2.0768572133261852E-4</v>
      </c>
      <c r="AC108" t="str">
        <f>VLOOKUP(A108, 'state-ids'!$A$1:$B$28, 2)</f>
        <v>AP</v>
      </c>
      <c r="AD108">
        <f>VLOOKUP(A108, 'state-ids'!$A$1:$C$28, 3)</f>
        <v>4.0092233999999997E-2</v>
      </c>
      <c r="AE108">
        <f>VLOOKUP(A108, 'state-ids'!$A$1:$D$28, 4)</f>
        <v>0.72732532000000005</v>
      </c>
      <c r="AF108">
        <f t="shared" si="12"/>
        <v>-4.5510067237862453E-2</v>
      </c>
      <c r="AG108">
        <f t="shared" si="13"/>
        <v>0.25189053852306503</v>
      </c>
      <c r="AH108">
        <f t="shared" si="14"/>
        <v>0.22411459820354976</v>
      </c>
      <c r="AI108">
        <f t="shared" si="15"/>
        <v>2.7775940319515274E-2</v>
      </c>
      <c r="AJ108" s="12"/>
    </row>
    <row r="109" spans="1:36" x14ac:dyDescent="0.25">
      <c r="A109" s="9">
        <v>16</v>
      </c>
      <c r="B109" s="9">
        <v>2023</v>
      </c>
      <c r="C109" s="9">
        <v>-1.4824782413667701</v>
      </c>
      <c r="D109" s="9">
        <v>0.70255280863404101</v>
      </c>
      <c r="E109" s="9">
        <v>0.79624513856351264</v>
      </c>
      <c r="F109" s="9">
        <v>0.76504914984902317</v>
      </c>
      <c r="G109" s="9">
        <v>0.72338536362055528</v>
      </c>
      <c r="H109" s="9">
        <v>0.85462807148204811</v>
      </c>
      <c r="I109" s="9">
        <v>0.81920698022067795</v>
      </c>
      <c r="J109" s="9">
        <v>1.877485982623855</v>
      </c>
      <c r="K109" s="9">
        <v>0.40282887289318459</v>
      </c>
      <c r="L109" s="9">
        <v>-1.6311483237791999</v>
      </c>
      <c r="M109" s="9">
        <v>2.5690980120587579</v>
      </c>
      <c r="N109" s="9">
        <v>2.4483353558842298</v>
      </c>
      <c r="O109" s="9">
        <v>8.4658998970286863</v>
      </c>
      <c r="P109" s="9">
        <v>0.1207626536488533</v>
      </c>
      <c r="Q109" s="9">
        <v>1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1</v>
      </c>
      <c r="X109" s="9">
        <v>-1.433708667755127</v>
      </c>
      <c r="Y109">
        <f t="shared" si="8"/>
        <v>0.22707424570966919</v>
      </c>
      <c r="Z109">
        <f t="shared" si="9"/>
        <v>0.23842304868104799</v>
      </c>
      <c r="AA109">
        <f t="shared" si="10"/>
        <v>-1.1348802971378802E-2</v>
      </c>
      <c r="AB109">
        <f t="shared" si="11"/>
        <v>1.2879532888317632E-4</v>
      </c>
      <c r="AC109" t="str">
        <f>VLOOKUP(A109, 'state-ids'!$A$1:$B$28, 2)</f>
        <v>AP</v>
      </c>
      <c r="AD109">
        <f>VLOOKUP(A109, 'state-ids'!$A$1:$C$28, 3)</f>
        <v>4.0092233999999997E-2</v>
      </c>
      <c r="AE109">
        <f>VLOOKUP(A109, 'state-ids'!$A$1:$D$28, 4)</f>
        <v>0.72732532000000005</v>
      </c>
      <c r="AF109">
        <f t="shared" si="12"/>
        <v>-3.5471345733351901E-2</v>
      </c>
      <c r="AG109">
        <f t="shared" si="13"/>
        <v>0.2527662534472761</v>
      </c>
      <c r="AH109">
        <f t="shared" si="14"/>
        <v>0.22489374814515203</v>
      </c>
      <c r="AI109">
        <f t="shared" si="15"/>
        <v>2.7872505302124068E-2</v>
      </c>
      <c r="AJ109" s="12"/>
    </row>
    <row r="110" spans="1:36" x14ac:dyDescent="0.25">
      <c r="A110" s="9">
        <v>17</v>
      </c>
      <c r="B110" s="9">
        <v>2006</v>
      </c>
      <c r="C110" s="9">
        <v>-2.302468246616844</v>
      </c>
      <c r="D110" s="9">
        <v>1.0116009116784801</v>
      </c>
      <c r="E110" s="9">
        <v>0.94720783450887658</v>
      </c>
      <c r="F110" s="9">
        <v>0.8792532337715917</v>
      </c>
      <c r="G110" s="9">
        <v>0.70309751141311339</v>
      </c>
      <c r="H110" s="9">
        <v>0.51950782414882457</v>
      </c>
      <c r="I110" s="9">
        <v>0.40832767372164103</v>
      </c>
      <c r="J110" s="9">
        <v>-11.51292546497023</v>
      </c>
      <c r="K110" s="9">
        <v>1.221842963958693</v>
      </c>
      <c r="L110" s="9">
        <v>-2.1105228304649279</v>
      </c>
      <c r="M110" s="9">
        <v>2.1691989286444682</v>
      </c>
      <c r="N110" s="9">
        <v>2.1187108704670079</v>
      </c>
      <c r="O110" s="9">
        <v>-11.51292546497023</v>
      </c>
      <c r="P110" s="9">
        <v>5.0488058477640152E-2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1</v>
      </c>
      <c r="X110" s="9">
        <v>-2.2646322250366211</v>
      </c>
      <c r="Y110">
        <f t="shared" si="8"/>
        <v>0.10001168532040056</v>
      </c>
      <c r="Z110">
        <f t="shared" si="9"/>
        <v>0.10386822765075213</v>
      </c>
      <c r="AA110">
        <f t="shared" si="10"/>
        <v>-3.85654233035157E-3</v>
      </c>
      <c r="AB110">
        <f t="shared" si="11"/>
        <v>1.4872918745793518E-5</v>
      </c>
      <c r="AC110" t="str">
        <f>VLOOKUP(A110, 'state-ids'!$A$1:$B$28, 2)</f>
        <v>TO</v>
      </c>
      <c r="AD110">
        <f>VLOOKUP(A110, 'state-ids'!$A$1:$C$28, 3)</f>
        <v>4.3023500999999999E-2</v>
      </c>
      <c r="AE110">
        <f>VLOOKUP(A110, 'state-ids'!$A$1:$D$28, 4)</f>
        <v>0.85814005000000004</v>
      </c>
      <c r="AF110">
        <f t="shared" si="12"/>
        <v>-1.9425606531299953E-2</v>
      </c>
      <c r="AG110">
        <f t="shared" si="13"/>
        <v>0.11294733263873109</v>
      </c>
      <c r="AH110">
        <f t="shared" si="14"/>
        <v>9.5518933145738713E-2</v>
      </c>
      <c r="AI110">
        <f t="shared" si="15"/>
        <v>1.742839949299238E-2</v>
      </c>
      <c r="AJ110" s="12"/>
    </row>
    <row r="111" spans="1:36" x14ac:dyDescent="0.25">
      <c r="A111" s="9">
        <v>17</v>
      </c>
      <c r="B111" s="9">
        <v>2007</v>
      </c>
      <c r="C111" s="9">
        <v>-2.11853423260757</v>
      </c>
      <c r="D111" s="9">
        <v>0.96065205557290867</v>
      </c>
      <c r="E111" s="9">
        <v>1.0116009116784801</v>
      </c>
      <c r="F111" s="9">
        <v>0.94720783450887658</v>
      </c>
      <c r="G111" s="9">
        <v>0.51024545550092504</v>
      </c>
      <c r="H111" s="9">
        <v>0.70309751141311339</v>
      </c>
      <c r="I111" s="9">
        <v>0.51950782414882457</v>
      </c>
      <c r="J111" s="9">
        <v>-11.51292546497023</v>
      </c>
      <c r="K111" s="9">
        <v>1.221842963958693</v>
      </c>
      <c r="L111" s="9">
        <v>-1.9746220161420369</v>
      </c>
      <c r="M111" s="9">
        <v>2.2899529957657978</v>
      </c>
      <c r="N111" s="9">
        <v>2.1888773255111871</v>
      </c>
      <c r="O111" s="9">
        <v>-11.51292546497023</v>
      </c>
      <c r="P111" s="9">
        <v>0.1010756716132164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1</v>
      </c>
      <c r="X111" s="9">
        <v>-2.1895275115966797</v>
      </c>
      <c r="Y111">
        <f t="shared" si="8"/>
        <v>0.1202076959640315</v>
      </c>
      <c r="Z111">
        <f t="shared" si="9"/>
        <v>0.11196964047759919</v>
      </c>
      <c r="AA111">
        <f t="shared" si="10"/>
        <v>8.2380554864323052E-3</v>
      </c>
      <c r="AB111">
        <f t="shared" si="11"/>
        <v>6.7865558197537402E-5</v>
      </c>
      <c r="AC111" t="str">
        <f>VLOOKUP(A111, 'state-ids'!$A$1:$B$28, 2)</f>
        <v>TO</v>
      </c>
      <c r="AD111">
        <f>VLOOKUP(A111, 'state-ids'!$A$1:$C$28, 3)</f>
        <v>4.3023500999999999E-2</v>
      </c>
      <c r="AE111">
        <f>VLOOKUP(A111, 'state-ids'!$A$1:$D$28, 4)</f>
        <v>0.85814005000000004</v>
      </c>
      <c r="AF111">
        <f t="shared" si="12"/>
        <v>6.0922175981378529E-2</v>
      </c>
      <c r="AG111">
        <f t="shared" si="13"/>
        <v>0.12175688865112688</v>
      </c>
      <c r="AH111">
        <f t="shared" si="14"/>
        <v>0.1029691258340707</v>
      </c>
      <c r="AI111">
        <f t="shared" si="15"/>
        <v>1.8787762817056186E-2</v>
      </c>
      <c r="AJ111" s="12"/>
    </row>
    <row r="112" spans="1:36" x14ac:dyDescent="0.25">
      <c r="A112" s="9">
        <v>17</v>
      </c>
      <c r="B112" s="9">
        <v>2008</v>
      </c>
      <c r="C112" s="9">
        <v>-1.995429635360918</v>
      </c>
      <c r="D112" s="9">
        <v>0.90700777827523826</v>
      </c>
      <c r="E112" s="9">
        <v>0.96065205557290867</v>
      </c>
      <c r="F112" s="9">
        <v>1.0116009116784801</v>
      </c>
      <c r="G112" s="9">
        <v>0.4529210492644597</v>
      </c>
      <c r="H112" s="9">
        <v>0.51024545550092504</v>
      </c>
      <c r="I112" s="9">
        <v>0.70309751141311339</v>
      </c>
      <c r="J112" s="9">
        <v>-11.51292546497023</v>
      </c>
      <c r="K112" s="9">
        <v>1.221842963958693</v>
      </c>
      <c r="L112" s="9">
        <v>-1.841829783458155</v>
      </c>
      <c r="M112" s="9">
        <v>2.398755838764338</v>
      </c>
      <c r="N112" s="9">
        <v>2.3100264184129382</v>
      </c>
      <c r="O112" s="9">
        <v>-11.51292546497023</v>
      </c>
      <c r="P112" s="9">
        <v>8.8729418814182281E-2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1</v>
      </c>
      <c r="X112" s="9">
        <v>-2.0961284637451172</v>
      </c>
      <c r="Y112">
        <f t="shared" si="8"/>
        <v>0.13595523044279897</v>
      </c>
      <c r="Z112">
        <f t="shared" si="9"/>
        <v>0.12293144167713035</v>
      </c>
      <c r="AA112">
        <f t="shared" si="10"/>
        <v>1.302378876566862E-2</v>
      </c>
      <c r="AB112">
        <f t="shared" si="11"/>
        <v>1.6961907381275615E-4</v>
      </c>
      <c r="AC112" t="str">
        <f>VLOOKUP(A112, 'state-ids'!$A$1:$B$28, 2)</f>
        <v>TO</v>
      </c>
      <c r="AD112">
        <f>VLOOKUP(A112, 'state-ids'!$A$1:$C$28, 3)</f>
        <v>4.3023500999999999E-2</v>
      </c>
      <c r="AE112">
        <f>VLOOKUP(A112, 'state-ids'!$A$1:$D$28, 4)</f>
        <v>0.85814005000000004</v>
      </c>
      <c r="AF112">
        <f t="shared" si="12"/>
        <v>8.6413697624558111E-2</v>
      </c>
      <c r="AG112">
        <f t="shared" si="13"/>
        <v>0.13367685912146274</v>
      </c>
      <c r="AH112">
        <f t="shared" si="14"/>
        <v>0.11304977878846155</v>
      </c>
      <c r="AI112">
        <f t="shared" si="15"/>
        <v>2.0627080333001188E-2</v>
      </c>
      <c r="AJ112" s="12"/>
    </row>
    <row r="113" spans="1:36" x14ac:dyDescent="0.25">
      <c r="A113" s="9">
        <v>17</v>
      </c>
      <c r="B113" s="9">
        <v>2009</v>
      </c>
      <c r="C113" s="9">
        <v>-1.9843049276434861</v>
      </c>
      <c r="D113" s="9">
        <v>0.86478688900703937</v>
      </c>
      <c r="E113" s="9">
        <v>0.90700777827523826</v>
      </c>
      <c r="F113" s="9">
        <v>0.96065205557290867</v>
      </c>
      <c r="G113" s="9">
        <v>0.40499833251872053</v>
      </c>
      <c r="H113" s="9">
        <v>0.4529210492644597</v>
      </c>
      <c r="I113" s="9">
        <v>0.51024545550092504</v>
      </c>
      <c r="J113" s="9">
        <v>-11.51292546497023</v>
      </c>
      <c r="K113" s="9">
        <v>1.221842963958693</v>
      </c>
      <c r="L113" s="9">
        <v>-1.742575435337741</v>
      </c>
      <c r="M113" s="9">
        <v>2.4412936220622892</v>
      </c>
      <c r="N113" s="9">
        <v>2.3897857393889552</v>
      </c>
      <c r="O113" s="9">
        <v>-11.51292546497023</v>
      </c>
      <c r="P113" s="9">
        <v>5.150788277387619E-2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1</v>
      </c>
      <c r="X113" s="9">
        <v>-2.0267164707183838</v>
      </c>
      <c r="Y113">
        <f t="shared" si="8"/>
        <v>0.13747613677788259</v>
      </c>
      <c r="Z113">
        <f t="shared" si="9"/>
        <v>0.13176747395465027</v>
      </c>
      <c r="AA113">
        <f t="shared" si="10"/>
        <v>5.7086628232323189E-3</v>
      </c>
      <c r="AB113">
        <f t="shared" si="11"/>
        <v>3.2588831229354791E-5</v>
      </c>
      <c r="AC113" t="str">
        <f>VLOOKUP(A113, 'state-ids'!$A$1:$B$28, 2)</f>
        <v>TO</v>
      </c>
      <c r="AD113">
        <f>VLOOKUP(A113, 'state-ids'!$A$1:$C$28, 3)</f>
        <v>4.3023500999999999E-2</v>
      </c>
      <c r="AE113">
        <f>VLOOKUP(A113, 'state-ids'!$A$1:$D$28, 4)</f>
        <v>0.85814005000000004</v>
      </c>
      <c r="AF113">
        <f t="shared" si="12"/>
        <v>3.6395043694869865E-2</v>
      </c>
      <c r="AG113">
        <f t="shared" si="13"/>
        <v>0.14328524755195871</v>
      </c>
      <c r="AH113">
        <f t="shared" si="14"/>
        <v>0.12117553962485436</v>
      </c>
      <c r="AI113">
        <f t="shared" si="15"/>
        <v>2.2109707927104344E-2</v>
      </c>
      <c r="AJ113" s="12"/>
    </row>
    <row r="114" spans="1:36" x14ac:dyDescent="0.25">
      <c r="A114" s="9">
        <v>17</v>
      </c>
      <c r="B114" s="9">
        <v>2010</v>
      </c>
      <c r="C114" s="9">
        <v>-1.824144273938767</v>
      </c>
      <c r="D114" s="9">
        <v>0.83616468739487027</v>
      </c>
      <c r="E114" s="9">
        <v>0.86478688900703937</v>
      </c>
      <c r="F114" s="9">
        <v>0.90700777827523826</v>
      </c>
      <c r="G114" s="9">
        <v>0.43599431314298731</v>
      </c>
      <c r="H114" s="9">
        <v>0.40499833251872053</v>
      </c>
      <c r="I114" s="9">
        <v>0.4529210492644597</v>
      </c>
      <c r="J114" s="9">
        <v>-7.2052431173826657</v>
      </c>
      <c r="K114" s="9">
        <v>1.221842963958693</v>
      </c>
      <c r="L114" s="9">
        <v>-1.6607651362205169</v>
      </c>
      <c r="M114" s="9">
        <v>2.5000871118570078</v>
      </c>
      <c r="N114" s="9">
        <v>2.4000366619273419</v>
      </c>
      <c r="O114" s="9">
        <v>-11.51292546497023</v>
      </c>
      <c r="P114" s="9">
        <v>0.10005044937133789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1</v>
      </c>
      <c r="X114" s="9">
        <v>-1.9331927299499512</v>
      </c>
      <c r="Y114">
        <f t="shared" si="8"/>
        <v>0.16135566131341755</v>
      </c>
      <c r="Z114">
        <f t="shared" si="9"/>
        <v>0.14468551848232056</v>
      </c>
      <c r="AA114">
        <f t="shared" si="10"/>
        <v>1.6670142831096996E-2</v>
      </c>
      <c r="AB114">
        <f t="shared" si="11"/>
        <v>2.7789366200917456E-4</v>
      </c>
      <c r="AC114" t="str">
        <f>VLOOKUP(A114, 'state-ids'!$A$1:$B$28, 2)</f>
        <v>TO</v>
      </c>
      <c r="AD114">
        <f>VLOOKUP(A114, 'state-ids'!$A$1:$C$28, 3)</f>
        <v>4.3023500999999999E-2</v>
      </c>
      <c r="AE114">
        <f>VLOOKUP(A114, 'state-ids'!$A$1:$D$28, 4)</f>
        <v>0.85814005000000004</v>
      </c>
      <c r="AF114">
        <f t="shared" si="12"/>
        <v>9.3578847493860404E-2</v>
      </c>
      <c r="AG114">
        <f t="shared" si="13"/>
        <v>0.15733245626350689</v>
      </c>
      <c r="AH114">
        <f t="shared" si="14"/>
        <v>0.13305518616856121</v>
      </c>
      <c r="AI114">
        <f t="shared" si="15"/>
        <v>2.427727009494568E-2</v>
      </c>
      <c r="AJ114" s="12"/>
    </row>
    <row r="115" spans="1:36" x14ac:dyDescent="0.25">
      <c r="A115" s="9">
        <v>17</v>
      </c>
      <c r="B115" s="9">
        <v>2011</v>
      </c>
      <c r="C115" s="9">
        <v>-1.7247077077691031</v>
      </c>
      <c r="D115" s="9">
        <v>0.80459910585408823</v>
      </c>
      <c r="E115" s="9">
        <v>0.83616468739487027</v>
      </c>
      <c r="F115" s="9">
        <v>0.86478688900703937</v>
      </c>
      <c r="G115" s="9">
        <v>0.48316661577201642</v>
      </c>
      <c r="H115" s="9">
        <v>0.43599431314298731</v>
      </c>
      <c r="I115" s="9">
        <v>0.40499833251872053</v>
      </c>
      <c r="J115" s="9">
        <v>-5.4531049863431234</v>
      </c>
      <c r="K115" s="9">
        <v>1.221842963958693</v>
      </c>
      <c r="L115" s="9">
        <v>-1.5932247588185009</v>
      </c>
      <c r="M115" s="9">
        <v>2.4923787573361502</v>
      </c>
      <c r="N115" s="9">
        <v>2.460465773668489</v>
      </c>
      <c r="O115" s="9">
        <v>-11.51292546497023</v>
      </c>
      <c r="P115" s="9">
        <v>3.191298246383667E-2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1</v>
      </c>
      <c r="X115" s="9">
        <v>-1.831160306930542</v>
      </c>
      <c r="Y115">
        <f t="shared" si="8"/>
        <v>0.17822513798351336</v>
      </c>
      <c r="Z115">
        <f t="shared" si="9"/>
        <v>0.16022754674234727</v>
      </c>
      <c r="AA115">
        <f t="shared" si="10"/>
        <v>1.7997591241166094E-2</v>
      </c>
      <c r="AB115">
        <f t="shared" si="11"/>
        <v>3.2391329048409853E-4</v>
      </c>
      <c r="AC115" t="str">
        <f>VLOOKUP(A115, 'state-ids'!$A$1:$B$28, 2)</f>
        <v>TO</v>
      </c>
      <c r="AD115">
        <f>VLOOKUP(A115, 'state-ids'!$A$1:$C$28, 3)</f>
        <v>4.3023500999999999E-2</v>
      </c>
      <c r="AE115">
        <f>VLOOKUP(A115, 'state-ids'!$A$1:$D$28, 4)</f>
        <v>0.85814005000000004</v>
      </c>
      <c r="AF115">
        <f t="shared" si="12"/>
        <v>9.1351238767027138E-2</v>
      </c>
      <c r="AG115">
        <f t="shared" si="13"/>
        <v>0.17423301070127278</v>
      </c>
      <c r="AH115">
        <f t="shared" si="14"/>
        <v>0.14734789137684079</v>
      </c>
      <c r="AI115">
        <f t="shared" si="15"/>
        <v>2.6885119324431994E-2</v>
      </c>
      <c r="AJ115" s="12"/>
    </row>
    <row r="116" spans="1:36" x14ac:dyDescent="0.25">
      <c r="A116" s="9">
        <v>17</v>
      </c>
      <c r="B116" s="9">
        <v>2012</v>
      </c>
      <c r="C116" s="9">
        <v>-1.5657446252089551</v>
      </c>
      <c r="D116" s="9">
        <v>0.74782474185064107</v>
      </c>
      <c r="E116" s="9">
        <v>0.80459910585408823</v>
      </c>
      <c r="F116" s="9">
        <v>0.83616468739487027</v>
      </c>
      <c r="G116" s="9">
        <v>0.45444573032978619</v>
      </c>
      <c r="H116" s="9">
        <v>0.48316661577201642</v>
      </c>
      <c r="I116" s="9">
        <v>0.43599431314298731</v>
      </c>
      <c r="J116" s="9">
        <v>-5.0595623095713167</v>
      </c>
      <c r="K116" s="9">
        <v>1.221842963958693</v>
      </c>
      <c r="L116" s="9">
        <v>-1.5064707603457781</v>
      </c>
      <c r="M116" s="9">
        <v>2.5240087087748391</v>
      </c>
      <c r="N116" s="9">
        <v>2.4804563259997732</v>
      </c>
      <c r="O116" s="9">
        <v>-11.51292546497023</v>
      </c>
      <c r="P116" s="9">
        <v>4.3552383780479431E-2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1</v>
      </c>
      <c r="X116" s="9">
        <v>-1.7019973993301392</v>
      </c>
      <c r="Y116">
        <f t="shared" si="8"/>
        <v>0.20893237891956928</v>
      </c>
      <c r="Z116">
        <f t="shared" si="9"/>
        <v>0.18231899627912312</v>
      </c>
      <c r="AA116">
        <f t="shared" si="10"/>
        <v>2.6613382640446159E-2</v>
      </c>
      <c r="AB116">
        <f t="shared" si="11"/>
        <v>7.0827213556680097E-4</v>
      </c>
      <c r="AC116" t="str">
        <f>VLOOKUP(A116, 'state-ids'!$A$1:$B$28, 2)</f>
        <v>TO</v>
      </c>
      <c r="AD116">
        <f>VLOOKUP(A116, 'state-ids'!$A$1:$C$28, 3)</f>
        <v>4.3023500999999999E-2</v>
      </c>
      <c r="AE116">
        <f>VLOOKUP(A116, 'state-ids'!$A$1:$D$28, 4)</f>
        <v>0.85814005000000004</v>
      </c>
      <c r="AF116">
        <f t="shared" si="12"/>
        <v>0.11692396239699163</v>
      </c>
      <c r="AG116">
        <f t="shared" si="13"/>
        <v>0.19825547027083198</v>
      </c>
      <c r="AH116">
        <f t="shared" si="14"/>
        <v>0.16766355227837224</v>
      </c>
      <c r="AI116">
        <f t="shared" si="15"/>
        <v>3.059191799245975E-2</v>
      </c>
      <c r="AJ116" s="12"/>
    </row>
    <row r="117" spans="1:36" x14ac:dyDescent="0.25">
      <c r="A117" s="9">
        <v>17</v>
      </c>
      <c r="B117" s="9">
        <v>2013</v>
      </c>
      <c r="C117" s="9">
        <v>-1.5546741198978691</v>
      </c>
      <c r="D117" s="9">
        <v>0.73414515959401738</v>
      </c>
      <c r="E117" s="9">
        <v>0.74782474185064107</v>
      </c>
      <c r="F117" s="9">
        <v>0.80459910585408823</v>
      </c>
      <c r="G117" s="9">
        <v>0.43320996841672321</v>
      </c>
      <c r="H117" s="9">
        <v>0.45444573032978619</v>
      </c>
      <c r="I117" s="9">
        <v>0.48316661577201642</v>
      </c>
      <c r="J117" s="9">
        <v>-4.2075136027519253</v>
      </c>
      <c r="K117" s="9">
        <v>1.221842963958693</v>
      </c>
      <c r="L117" s="9">
        <v>-1.4613651130510541</v>
      </c>
      <c r="M117" s="9">
        <v>2.550040241402205</v>
      </c>
      <c r="N117" s="9">
        <v>2.4822395395721339</v>
      </c>
      <c r="O117" s="9">
        <v>-11.51292546497023</v>
      </c>
      <c r="P117" s="9">
        <v>6.7800700664520264E-2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1</v>
      </c>
      <c r="X117" s="9">
        <v>-1.6463825702667236</v>
      </c>
      <c r="Y117">
        <f t="shared" si="8"/>
        <v>0.21125821627370164</v>
      </c>
      <c r="Z117">
        <f t="shared" si="9"/>
        <v>0.19274589375016246</v>
      </c>
      <c r="AA117">
        <f t="shared" si="10"/>
        <v>1.8512322523539182E-2</v>
      </c>
      <c r="AB117">
        <f t="shared" si="11"/>
        <v>3.4270608521553609E-4</v>
      </c>
      <c r="AC117" t="str">
        <f>VLOOKUP(A117, 'state-ids'!$A$1:$B$28, 2)</f>
        <v>TO</v>
      </c>
      <c r="AD117">
        <f>VLOOKUP(A117, 'state-ids'!$A$1:$C$28, 3)</f>
        <v>4.3023500999999999E-2</v>
      </c>
      <c r="AE117">
        <f>VLOOKUP(A117, 'state-ids'!$A$1:$D$28, 4)</f>
        <v>0.85814005000000004</v>
      </c>
      <c r="AF117">
        <f t="shared" si="12"/>
        <v>7.8698694184951373E-2</v>
      </c>
      <c r="AG117">
        <f t="shared" si="13"/>
        <v>0.20959378116423921</v>
      </c>
      <c r="AH117">
        <f t="shared" si="14"/>
        <v>0.1772522989526924</v>
      </c>
      <c r="AI117">
        <f t="shared" si="15"/>
        <v>3.2341482211546813E-2</v>
      </c>
      <c r="AJ117" s="12"/>
    </row>
    <row r="118" spans="1:36" x14ac:dyDescent="0.25">
      <c r="A118" s="9">
        <v>17</v>
      </c>
      <c r="B118" s="9">
        <v>2014</v>
      </c>
      <c r="C118" s="9">
        <v>-1.4522185817100099</v>
      </c>
      <c r="D118" s="9">
        <v>0.69798545720019456</v>
      </c>
      <c r="E118" s="9">
        <v>0.73414515959401738</v>
      </c>
      <c r="F118" s="9">
        <v>0.74782474185064107</v>
      </c>
      <c r="G118" s="9">
        <v>0.41031997083434663</v>
      </c>
      <c r="H118" s="9">
        <v>0.43320996841672321</v>
      </c>
      <c r="I118" s="9">
        <v>0.45444573032978619</v>
      </c>
      <c r="J118" s="9">
        <v>-3.5044757311156589</v>
      </c>
      <c r="K118" s="9">
        <v>1.221842963958693</v>
      </c>
      <c r="L118" s="9">
        <v>-1.396360352554918</v>
      </c>
      <c r="M118" s="9">
        <v>2.5577241399757078</v>
      </c>
      <c r="N118" s="9">
        <v>2.5374580766264669</v>
      </c>
      <c r="O118" s="9">
        <v>-11.51292546497023</v>
      </c>
      <c r="P118" s="9">
        <v>2.0266063511371613E-2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1</v>
      </c>
      <c r="X118" s="9">
        <v>-1.5731102228164673</v>
      </c>
      <c r="Y118">
        <f t="shared" si="8"/>
        <v>0.23405045160600713</v>
      </c>
      <c r="Z118">
        <f t="shared" si="9"/>
        <v>0.20739912070265232</v>
      </c>
      <c r="AA118">
        <f t="shared" si="10"/>
        <v>2.6651330903354808E-2</v>
      </c>
      <c r="AB118">
        <f t="shared" si="11"/>
        <v>7.1029343892011507E-4</v>
      </c>
      <c r="AC118" t="str">
        <f>VLOOKUP(A118, 'state-ids'!$A$1:$B$28, 2)</f>
        <v>TO</v>
      </c>
      <c r="AD118">
        <f>VLOOKUP(A118, 'state-ids'!$A$1:$C$28, 3)</f>
        <v>4.3023500999999999E-2</v>
      </c>
      <c r="AE118">
        <f>VLOOKUP(A118, 'state-ids'!$A$1:$D$28, 4)</f>
        <v>0.85814005000000004</v>
      </c>
      <c r="AF118">
        <f t="shared" si="12"/>
        <v>0.10374195894367735</v>
      </c>
      <c r="AG118">
        <f t="shared" si="13"/>
        <v>0.22552784431585693</v>
      </c>
      <c r="AH118">
        <f t="shared" si="14"/>
        <v>0.19072764783753571</v>
      </c>
      <c r="AI118">
        <f t="shared" si="15"/>
        <v>3.4800196478321221E-2</v>
      </c>
      <c r="AJ118" s="12"/>
    </row>
    <row r="119" spans="1:36" x14ac:dyDescent="0.25">
      <c r="A119" s="9">
        <v>17</v>
      </c>
      <c r="B119" s="9">
        <v>2015</v>
      </c>
      <c r="C119" s="9">
        <v>-1.470524415473089</v>
      </c>
      <c r="D119" s="9">
        <v>0.71720544565301625</v>
      </c>
      <c r="E119" s="9">
        <v>0.69798545720019456</v>
      </c>
      <c r="F119" s="9">
        <v>0.73414515959401738</v>
      </c>
      <c r="G119" s="9">
        <v>0.4295071025884023</v>
      </c>
      <c r="H119" s="9">
        <v>0.41031997083434663</v>
      </c>
      <c r="I119" s="9">
        <v>0.43320996841672321</v>
      </c>
      <c r="J119" s="9">
        <v>-3.060574005760694</v>
      </c>
      <c r="K119" s="9">
        <v>1.221842963958693</v>
      </c>
      <c r="L119" s="9">
        <v>-1.3427466483832651</v>
      </c>
      <c r="M119" s="9">
        <v>2.5722097934308761</v>
      </c>
      <c r="N119" s="9">
        <v>2.5456084780596759</v>
      </c>
      <c r="O119" s="9">
        <v>-11.51292546497023</v>
      </c>
      <c r="P119" s="9">
        <v>2.6601314544677734E-2</v>
      </c>
      <c r="Q119" s="9">
        <v>1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1</v>
      </c>
      <c r="X119" s="9">
        <v>-1.5795097351074219</v>
      </c>
      <c r="Y119">
        <f t="shared" si="8"/>
        <v>0.22980494031519494</v>
      </c>
      <c r="Z119">
        <f t="shared" si="9"/>
        <v>0.20607610532237727</v>
      </c>
      <c r="AA119">
        <f t="shared" si="10"/>
        <v>2.3728834992817666E-2</v>
      </c>
      <c r="AB119">
        <f t="shared" si="11"/>
        <v>5.6305761011636818E-4</v>
      </c>
      <c r="AC119" t="str">
        <f>VLOOKUP(A119, 'state-ids'!$A$1:$B$28, 2)</f>
        <v>TO</v>
      </c>
      <c r="AD119">
        <f>VLOOKUP(A119, 'state-ids'!$A$1:$C$28, 3)</f>
        <v>4.3023500999999999E-2</v>
      </c>
      <c r="AE119">
        <f>VLOOKUP(A119, 'state-ids'!$A$1:$D$28, 4)</f>
        <v>0.85814005000000004</v>
      </c>
      <c r="AF119">
        <f t="shared" si="12"/>
        <v>9.352466764027241E-2</v>
      </c>
      <c r="AG119">
        <f t="shared" si="13"/>
        <v>0.22408918437506609</v>
      </c>
      <c r="AH119">
        <f t="shared" si="14"/>
        <v>0.18951098110009804</v>
      </c>
      <c r="AI119">
        <f t="shared" si="15"/>
        <v>3.457820327496805E-2</v>
      </c>
      <c r="AJ119" s="12"/>
    </row>
    <row r="120" spans="1:36" x14ac:dyDescent="0.25">
      <c r="A120" s="9">
        <v>17</v>
      </c>
      <c r="B120" s="9">
        <v>2016</v>
      </c>
      <c r="C120" s="9">
        <v>-1.438978308135985</v>
      </c>
      <c r="D120" s="9">
        <v>0.74843996630865406</v>
      </c>
      <c r="E120" s="9">
        <v>0.71720544565301625</v>
      </c>
      <c r="F120" s="9">
        <v>0.69798545720019456</v>
      </c>
      <c r="G120" s="9">
        <v>0.57334961710434951</v>
      </c>
      <c r="H120" s="9">
        <v>0.4295071025884023</v>
      </c>
      <c r="I120" s="9">
        <v>0.41031997083434663</v>
      </c>
      <c r="J120" s="9">
        <v>-2.6809575997302382</v>
      </c>
      <c r="K120" s="9">
        <v>1.221842963958693</v>
      </c>
      <c r="L120" s="9">
        <v>-1.313431115730904</v>
      </c>
      <c r="M120" s="9">
        <v>2.5704131665247072</v>
      </c>
      <c r="N120" s="9">
        <v>2.560545726345123</v>
      </c>
      <c r="O120" s="9">
        <v>-11.51292546497023</v>
      </c>
      <c r="P120" s="9">
        <v>9.867439977824688E-3</v>
      </c>
      <c r="Q120" s="9">
        <v>1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1</v>
      </c>
      <c r="X120" s="9">
        <v>-1.5206571817398071</v>
      </c>
      <c r="Y120">
        <f t="shared" si="8"/>
        <v>0.23716994954667683</v>
      </c>
      <c r="Z120">
        <f t="shared" si="9"/>
        <v>0.21856820071298871</v>
      </c>
      <c r="AA120">
        <f t="shared" si="10"/>
        <v>1.860174883368812E-2</v>
      </c>
      <c r="AB120">
        <f t="shared" si="11"/>
        <v>3.4602505967161733E-4</v>
      </c>
      <c r="AC120" t="str">
        <f>VLOOKUP(A120, 'state-ids'!$A$1:$B$28, 2)</f>
        <v>TO</v>
      </c>
      <c r="AD120">
        <f>VLOOKUP(A120, 'state-ids'!$A$1:$C$28, 3)</f>
        <v>4.3023500999999999E-2</v>
      </c>
      <c r="AE120">
        <f>VLOOKUP(A120, 'state-ids'!$A$1:$D$28, 4)</f>
        <v>0.85814005000000004</v>
      </c>
      <c r="AF120">
        <f t="shared" si="12"/>
        <v>7.0091912678327567E-2</v>
      </c>
      <c r="AG120">
        <f t="shared" si="13"/>
        <v>0.23767321180434253</v>
      </c>
      <c r="AH120">
        <f t="shared" si="14"/>
        <v>0.20099891780080059</v>
      </c>
      <c r="AI120">
        <f t="shared" si="15"/>
        <v>3.6674294003541941E-2</v>
      </c>
      <c r="AJ120" s="12"/>
    </row>
    <row r="121" spans="1:36" x14ac:dyDescent="0.25">
      <c r="A121" s="9">
        <v>17</v>
      </c>
      <c r="B121" s="9">
        <v>2017</v>
      </c>
      <c r="C121" s="9">
        <v>-1.407715696413816</v>
      </c>
      <c r="D121" s="9">
        <v>0.724500488217941</v>
      </c>
      <c r="E121" s="9">
        <v>0.74843996630865406</v>
      </c>
      <c r="F121" s="9">
        <v>0.71720544565301625</v>
      </c>
      <c r="G121" s="9">
        <v>0.58950740580018557</v>
      </c>
      <c r="H121" s="9">
        <v>0.57334961710434951</v>
      </c>
      <c r="I121" s="9">
        <v>0.4295071025884023</v>
      </c>
      <c r="J121" s="9">
        <v>-2.0182591945820141</v>
      </c>
      <c r="K121" s="9">
        <v>1.221842963958693</v>
      </c>
      <c r="L121" s="9">
        <v>-1.2870098313439291</v>
      </c>
      <c r="M121" s="9">
        <v>2.5999991389301131</v>
      </c>
      <c r="N121" s="9">
        <v>2.559195753040874</v>
      </c>
      <c r="O121" s="9">
        <v>-11.51292546497023</v>
      </c>
      <c r="P121" s="9">
        <v>4.0803384035825729E-2</v>
      </c>
      <c r="Q121" s="9">
        <v>1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1</v>
      </c>
      <c r="X121" s="9">
        <v>-1.4531508684158325</v>
      </c>
      <c r="Y121">
        <f t="shared" si="8"/>
        <v>0.24470161799103857</v>
      </c>
      <c r="Z121">
        <f t="shared" si="9"/>
        <v>0.23383235116335166</v>
      </c>
      <c r="AA121">
        <f t="shared" si="10"/>
        <v>1.0869266827686908E-2</v>
      </c>
      <c r="AB121">
        <f t="shared" si="11"/>
        <v>1.1814096137145501E-4</v>
      </c>
      <c r="AC121" t="str">
        <f>VLOOKUP(A121, 'state-ids'!$A$1:$B$28, 2)</f>
        <v>TO</v>
      </c>
      <c r="AD121">
        <f>VLOOKUP(A121, 'state-ids'!$A$1:$C$28, 3)</f>
        <v>4.3023500999999999E-2</v>
      </c>
      <c r="AE121">
        <f>VLOOKUP(A121, 'state-ids'!$A$1:$D$28, 4)</f>
        <v>0.85814005000000004</v>
      </c>
      <c r="AF121">
        <f t="shared" si="12"/>
        <v>3.8989740773569058E-2</v>
      </c>
      <c r="AG121">
        <f t="shared" si="13"/>
        <v>0.25427159917802272</v>
      </c>
      <c r="AH121">
        <f t="shared" si="14"/>
        <v>0.21503608199789431</v>
      </c>
      <c r="AI121">
        <f t="shared" si="15"/>
        <v>3.923551718012841E-2</v>
      </c>
      <c r="AJ121" s="12"/>
    </row>
    <row r="122" spans="1:36" x14ac:dyDescent="0.25">
      <c r="A122" s="9">
        <v>17</v>
      </c>
      <c r="B122" s="9">
        <v>2018</v>
      </c>
      <c r="C122" s="9">
        <v>-1.4943806311362959</v>
      </c>
      <c r="D122" s="9">
        <v>0.86873780201460749</v>
      </c>
      <c r="E122" s="9">
        <v>0.724500488217941</v>
      </c>
      <c r="F122" s="9">
        <v>0.74843996630865406</v>
      </c>
      <c r="G122" s="9">
        <v>0.63206933105135488</v>
      </c>
      <c r="H122" s="9">
        <v>0.58950740580018557</v>
      </c>
      <c r="I122" s="9">
        <v>0.57334961710434951</v>
      </c>
      <c r="J122" s="9">
        <v>-1.5873266978714839</v>
      </c>
      <c r="K122" s="9">
        <v>1.221842963958693</v>
      </c>
      <c r="L122" s="9">
        <v>-1.2511554948762029</v>
      </c>
      <c r="M122" s="9">
        <v>2.5974685645963511</v>
      </c>
      <c r="N122" s="9">
        <v>2.5967564216500461</v>
      </c>
      <c r="O122" s="9">
        <v>3.2580965380214821</v>
      </c>
      <c r="P122" s="9">
        <v>7.12142966222018E-4</v>
      </c>
      <c r="Q122" s="9">
        <v>1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1</v>
      </c>
      <c r="X122" s="9">
        <v>-1.5395253896713257</v>
      </c>
      <c r="Y122">
        <f t="shared" si="8"/>
        <v>0.22438754035579317</v>
      </c>
      <c r="Z122">
        <f t="shared" si="9"/>
        <v>0.21448287306101174</v>
      </c>
      <c r="AA122">
        <f t="shared" si="10"/>
        <v>9.9046672947814274E-3</v>
      </c>
      <c r="AB122">
        <f t="shared" si="11"/>
        <v>9.810243422031284E-5</v>
      </c>
      <c r="AC122" t="str">
        <f>VLOOKUP(A122, 'state-ids'!$A$1:$B$28, 2)</f>
        <v>TO</v>
      </c>
      <c r="AD122">
        <f>VLOOKUP(A122, 'state-ids'!$A$1:$C$28, 3)</f>
        <v>4.3023500999999999E-2</v>
      </c>
      <c r="AE122">
        <f>VLOOKUP(A122, 'state-ids'!$A$1:$D$28, 4)</f>
        <v>0.85814005000000004</v>
      </c>
      <c r="AF122">
        <f t="shared" si="12"/>
        <v>3.8740525346488357E-2</v>
      </c>
      <c r="AG122">
        <f t="shared" si="13"/>
        <v>0.23323078632272598</v>
      </c>
      <c r="AH122">
        <f t="shared" si="14"/>
        <v>0.19724198319535294</v>
      </c>
      <c r="AI122">
        <f t="shared" si="15"/>
        <v>3.5988803127373042E-2</v>
      </c>
      <c r="AJ122" s="12"/>
    </row>
    <row r="123" spans="1:36" x14ac:dyDescent="0.25">
      <c r="A123" s="9">
        <v>17</v>
      </c>
      <c r="B123" s="9">
        <v>2019</v>
      </c>
      <c r="C123" s="9">
        <v>-1.4596560471649751</v>
      </c>
      <c r="D123" s="9">
        <v>0.80919537892261229</v>
      </c>
      <c r="E123" s="9">
        <v>0.86873780201460749</v>
      </c>
      <c r="F123" s="9">
        <v>0.724500488217941</v>
      </c>
      <c r="G123" s="9">
        <v>0.59260835518133248</v>
      </c>
      <c r="H123" s="9">
        <v>0.63206933105135488</v>
      </c>
      <c r="I123" s="9">
        <v>0.58950740580018557</v>
      </c>
      <c r="J123" s="9">
        <v>-0.81386930112935651</v>
      </c>
      <c r="K123" s="9">
        <v>1.221842963958693</v>
      </c>
      <c r="L123" s="9">
        <v>-1.222852066708241</v>
      </c>
      <c r="M123" s="9">
        <v>2.6432611633831229</v>
      </c>
      <c r="N123" s="9">
        <v>2.5861919333581311</v>
      </c>
      <c r="O123" s="9">
        <v>5.393627546352362</v>
      </c>
      <c r="P123" s="9">
        <v>5.7069230824708939E-2</v>
      </c>
      <c r="Q123" s="9">
        <v>1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1</v>
      </c>
      <c r="X123" s="9">
        <v>-1.4873954057693481</v>
      </c>
      <c r="Y123">
        <f t="shared" si="8"/>
        <v>0.23231616679361106</v>
      </c>
      <c r="Z123">
        <f t="shared" si="9"/>
        <v>0.22596042497596383</v>
      </c>
      <c r="AA123">
        <f t="shared" si="10"/>
        <v>6.3557418176472258E-3</v>
      </c>
      <c r="AB123">
        <f t="shared" si="11"/>
        <v>4.0395454052589664E-5</v>
      </c>
      <c r="AC123" t="str">
        <f>VLOOKUP(A123, 'state-ids'!$A$1:$B$28, 2)</f>
        <v>TO</v>
      </c>
      <c r="AD123">
        <f>VLOOKUP(A123, 'state-ids'!$A$1:$C$28, 3)</f>
        <v>4.3023500999999999E-2</v>
      </c>
      <c r="AE123">
        <f>VLOOKUP(A123, 'state-ids'!$A$1:$D$28, 4)</f>
        <v>0.85814005000000004</v>
      </c>
      <c r="AF123">
        <f t="shared" si="12"/>
        <v>2.3804254579724616E-2</v>
      </c>
      <c r="AG123">
        <f t="shared" si="13"/>
        <v>0.24571158919514327</v>
      </c>
      <c r="AH123">
        <f t="shared" si="14"/>
        <v>0.2077969290034912</v>
      </c>
      <c r="AI123">
        <f t="shared" si="15"/>
        <v>3.7914660191652072E-2</v>
      </c>
      <c r="AJ123" s="12"/>
    </row>
    <row r="124" spans="1:36" x14ac:dyDescent="0.25">
      <c r="A124" s="9">
        <v>17</v>
      </c>
      <c r="B124" s="9">
        <v>2020</v>
      </c>
      <c r="C124" s="9">
        <v>-1.5052165785067599</v>
      </c>
      <c r="D124" s="9">
        <v>0.76057215687473445</v>
      </c>
      <c r="E124" s="9">
        <v>0.80919537892261229</v>
      </c>
      <c r="F124" s="9">
        <v>0.86873780201460749</v>
      </c>
      <c r="G124" s="9">
        <v>0.52915658045071412</v>
      </c>
      <c r="H124" s="9">
        <v>0.59260835518133248</v>
      </c>
      <c r="I124" s="9">
        <v>0.63206933105135488</v>
      </c>
      <c r="J124" s="9">
        <v>-0.14907923907206291</v>
      </c>
      <c r="K124" s="9">
        <v>1.221842963958693</v>
      </c>
      <c r="L124" s="9">
        <v>-1.195705225362957</v>
      </c>
      <c r="M124" s="9">
        <v>2.673105898450244</v>
      </c>
      <c r="N124" s="9">
        <v>2.63227061737877</v>
      </c>
      <c r="O124" s="9">
        <v>5.9914645471079817</v>
      </c>
      <c r="P124" s="9">
        <v>4.083527997136116E-2</v>
      </c>
      <c r="Q124" s="9">
        <v>1</v>
      </c>
      <c r="R124" s="9">
        <v>1</v>
      </c>
      <c r="S124" s="9">
        <v>0</v>
      </c>
      <c r="T124" s="9">
        <v>0</v>
      </c>
      <c r="U124" s="9">
        <v>0</v>
      </c>
      <c r="V124" s="9">
        <v>0</v>
      </c>
      <c r="W124" s="9">
        <v>1</v>
      </c>
      <c r="X124" s="9">
        <v>-1.5853731632232666</v>
      </c>
      <c r="Y124">
        <f t="shared" si="8"/>
        <v>0.22196921486459981</v>
      </c>
      <c r="Z124">
        <f t="shared" si="9"/>
        <v>0.20487132840551284</v>
      </c>
      <c r="AA124">
        <f t="shared" si="10"/>
        <v>1.7097886459086969E-2</v>
      </c>
      <c r="AB124">
        <f t="shared" si="11"/>
        <v>2.9233772136782956E-4</v>
      </c>
      <c r="AC124" t="str">
        <f>VLOOKUP(A124, 'state-ids'!$A$1:$B$28, 2)</f>
        <v>TO</v>
      </c>
      <c r="AD124">
        <f>VLOOKUP(A124, 'state-ids'!$A$1:$C$28, 3)</f>
        <v>4.3023500999999999E-2</v>
      </c>
      <c r="AE124">
        <f>VLOOKUP(A124, 'state-ids'!$A$1:$D$28, 4)</f>
        <v>0.85814005000000004</v>
      </c>
      <c r="AF124">
        <f t="shared" si="12"/>
        <v>6.8785575616452266E-2</v>
      </c>
      <c r="AG124">
        <f t="shared" si="13"/>
        <v>0.22277909810265853</v>
      </c>
      <c r="AH124">
        <f t="shared" si="14"/>
        <v>0.18840304840132854</v>
      </c>
      <c r="AI124">
        <f t="shared" si="15"/>
        <v>3.4376049701329986E-2</v>
      </c>
      <c r="AJ124" s="12"/>
    </row>
    <row r="125" spans="1:36" x14ac:dyDescent="0.25">
      <c r="A125" s="9">
        <v>17</v>
      </c>
      <c r="B125" s="9">
        <v>2021</v>
      </c>
      <c r="C125" s="9">
        <v>-1.472059130755873</v>
      </c>
      <c r="D125" s="9">
        <v>0.94468380637537297</v>
      </c>
      <c r="E125" s="9">
        <v>0.76057215687473445</v>
      </c>
      <c r="F125" s="9">
        <v>0.80919537892261229</v>
      </c>
      <c r="G125" s="9">
        <v>0.75902854967345812</v>
      </c>
      <c r="H125" s="9">
        <v>0.52915658045071412</v>
      </c>
      <c r="I125" s="9">
        <v>0.59260835518133248</v>
      </c>
      <c r="J125" s="9">
        <v>0.44249546405242501</v>
      </c>
      <c r="K125" s="9">
        <v>1.221842963958693</v>
      </c>
      <c r="L125" s="9">
        <v>-1.168648539218301</v>
      </c>
      <c r="M125" s="9">
        <v>2.7105608839877759</v>
      </c>
      <c r="N125" s="9">
        <v>2.662400929370047</v>
      </c>
      <c r="O125" s="9">
        <v>6.6846117276679271</v>
      </c>
      <c r="P125" s="9">
        <v>4.8159953206777573E-2</v>
      </c>
      <c r="Q125" s="9">
        <v>1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1</v>
      </c>
      <c r="X125" s="9">
        <v>-1.5397322177886963</v>
      </c>
      <c r="Y125">
        <f t="shared" si="8"/>
        <v>0.2294525256584854</v>
      </c>
      <c r="Z125">
        <f t="shared" si="9"/>
        <v>0.21443851655941226</v>
      </c>
      <c r="AA125">
        <f t="shared" si="10"/>
        <v>1.5014009099073133E-2</v>
      </c>
      <c r="AB125">
        <f t="shared" si="11"/>
        <v>2.2542046922705084E-4</v>
      </c>
      <c r="AC125" t="str">
        <f>VLOOKUP(A125, 'state-ids'!$A$1:$B$28, 2)</f>
        <v>TO</v>
      </c>
      <c r="AD125">
        <f>VLOOKUP(A125, 'state-ids'!$A$1:$C$28, 3)</f>
        <v>4.3023500999999999E-2</v>
      </c>
      <c r="AE125">
        <f>VLOOKUP(A125, 'state-ids'!$A$1:$D$28, 4)</f>
        <v>0.85814005000000004</v>
      </c>
      <c r="AF125">
        <f t="shared" si="12"/>
        <v>5.8072986290001308E-2</v>
      </c>
      <c r="AG125">
        <f t="shared" si="13"/>
        <v>0.23318255262649223</v>
      </c>
      <c r="AH125">
        <f t="shared" si="14"/>
        <v>0.19720119222580734</v>
      </c>
      <c r="AI125">
        <f t="shared" si="15"/>
        <v>3.5981360400684892E-2</v>
      </c>
      <c r="AJ125" s="12"/>
    </row>
    <row r="126" spans="1:36" x14ac:dyDescent="0.25">
      <c r="A126" s="9">
        <v>17</v>
      </c>
      <c r="B126" s="9">
        <v>2022</v>
      </c>
      <c r="C126" s="9">
        <v>-1.4005988251003509</v>
      </c>
      <c r="D126" s="9">
        <v>0.94491706066247805</v>
      </c>
      <c r="E126" s="9">
        <v>0.94468380637537297</v>
      </c>
      <c r="F126" s="9">
        <v>0.76057215687473445</v>
      </c>
      <c r="G126" s="9">
        <v>0.75155758810636775</v>
      </c>
      <c r="H126" s="9">
        <v>0.75902854967345812</v>
      </c>
      <c r="I126" s="9">
        <v>0.52915658045071412</v>
      </c>
      <c r="J126" s="9">
        <v>0.94077266061330322</v>
      </c>
      <c r="K126" s="9">
        <v>1.221842963958693</v>
      </c>
      <c r="L126" s="9">
        <v>-1.132133701084872</v>
      </c>
      <c r="M126" s="9">
        <v>2.745375215049402</v>
      </c>
      <c r="N126" s="9">
        <v>2.7105608839877759</v>
      </c>
      <c r="O126" s="9">
        <v>8.0551577318196781</v>
      </c>
      <c r="P126" s="9">
        <v>3.481433168053627E-2</v>
      </c>
      <c r="Q126" s="9">
        <v>1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1</v>
      </c>
      <c r="X126" s="9">
        <v>-1.5087339878082275</v>
      </c>
      <c r="Y126">
        <f t="shared" si="8"/>
        <v>0.24644933969489149</v>
      </c>
      <c r="Z126">
        <f t="shared" si="9"/>
        <v>0.22118982979529847</v>
      </c>
      <c r="AA126">
        <f t="shared" si="10"/>
        <v>2.5259509899593025E-2</v>
      </c>
      <c r="AB126">
        <f t="shared" si="11"/>
        <v>6.3804284036763801E-4</v>
      </c>
      <c r="AC126" t="str">
        <f>VLOOKUP(A126, 'state-ids'!$A$1:$B$28, 2)</f>
        <v>TO</v>
      </c>
      <c r="AD126">
        <f>VLOOKUP(A126, 'state-ids'!$A$1:$C$28, 3)</f>
        <v>4.3023500999999999E-2</v>
      </c>
      <c r="AE126">
        <f>VLOOKUP(A126, 'state-ids'!$A$1:$D$28, 4)</f>
        <v>0.85814005000000004</v>
      </c>
      <c r="AF126">
        <f t="shared" si="12"/>
        <v>9.2795113932895357E-2</v>
      </c>
      <c r="AG126">
        <f t="shared" si="13"/>
        <v>0.24052399706093364</v>
      </c>
      <c r="AH126">
        <f t="shared" si="14"/>
        <v>0.20340981109040279</v>
      </c>
      <c r="AI126">
        <f t="shared" si="15"/>
        <v>3.7114185970530844E-2</v>
      </c>
      <c r="AJ126" s="12"/>
    </row>
    <row r="127" spans="1:36" x14ac:dyDescent="0.25">
      <c r="A127" s="9">
        <v>17</v>
      </c>
      <c r="B127" s="9">
        <v>2023</v>
      </c>
      <c r="C127" s="9">
        <v>-1.3222695926871251</v>
      </c>
      <c r="D127" s="9">
        <v>0.79908253096861415</v>
      </c>
      <c r="E127" s="9">
        <v>0.94491706066247805</v>
      </c>
      <c r="F127" s="9">
        <v>0.94468380637537297</v>
      </c>
      <c r="G127" s="9">
        <v>0.538829820175588</v>
      </c>
      <c r="H127" s="9">
        <v>0.75155758810636775</v>
      </c>
      <c r="I127" s="9">
        <v>0.75902854967345812</v>
      </c>
      <c r="J127" s="9">
        <v>1.498096223740661</v>
      </c>
      <c r="K127" s="9">
        <v>1.221842963958693</v>
      </c>
      <c r="L127" s="9">
        <v>-1.0940140857053751</v>
      </c>
      <c r="M127" s="9">
        <v>2.794865533481202</v>
      </c>
      <c r="N127" s="9">
        <v>2.745375215049402</v>
      </c>
      <c r="O127" s="9">
        <v>8.4658998970286863</v>
      </c>
      <c r="P127" s="9">
        <v>4.9490317702293396E-2</v>
      </c>
      <c r="Q127" s="9">
        <v>1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1</v>
      </c>
      <c r="X127" s="9">
        <v>-1.4622253179550171</v>
      </c>
      <c r="Y127">
        <f t="shared" si="8"/>
        <v>0.26652970113160479</v>
      </c>
      <c r="Z127">
        <f t="shared" si="9"/>
        <v>0.23172004977315933</v>
      </c>
      <c r="AA127">
        <f t="shared" si="10"/>
        <v>3.4809651358445465E-2</v>
      </c>
      <c r="AB127">
        <f t="shared" si="11"/>
        <v>1.2117118276965242E-3</v>
      </c>
      <c r="AC127" t="str">
        <f>VLOOKUP(A127, 'state-ids'!$A$1:$B$28, 2)</f>
        <v>TO</v>
      </c>
      <c r="AD127">
        <f>VLOOKUP(A127, 'state-ids'!$A$1:$C$28, 3)</f>
        <v>4.3023500999999999E-2</v>
      </c>
      <c r="AE127">
        <f>VLOOKUP(A127, 'state-ids'!$A$1:$D$28, 4)</f>
        <v>0.85814005000000004</v>
      </c>
      <c r="AF127">
        <f t="shared" si="12"/>
        <v>0.12010161307917512</v>
      </c>
      <c r="AG127">
        <f t="shared" si="13"/>
        <v>0.2519746618647809</v>
      </c>
      <c r="AH127">
        <f t="shared" si="14"/>
        <v>0.21309357484400457</v>
      </c>
      <c r="AI127">
        <f t="shared" si="15"/>
        <v>3.8881087020776334E-2</v>
      </c>
      <c r="AJ127" s="12"/>
    </row>
    <row r="128" spans="1:36" x14ac:dyDescent="0.25">
      <c r="A128" s="9">
        <v>21</v>
      </c>
      <c r="B128" s="9">
        <v>2006</v>
      </c>
      <c r="C128" s="9">
        <v>-3.005073666255865</v>
      </c>
      <c r="D128" s="9">
        <v>1.004301609196868</v>
      </c>
      <c r="E128" s="9">
        <v>0.88533655655224996</v>
      </c>
      <c r="F128" s="9">
        <v>0.83768033129224362</v>
      </c>
      <c r="G128" s="9">
        <v>0.72754860727727766</v>
      </c>
      <c r="H128" s="9">
        <v>0.62972803269029043</v>
      </c>
      <c r="I128" s="9">
        <v>0.59305056402166012</v>
      </c>
      <c r="J128" s="9">
        <v>-11.51292546497023</v>
      </c>
      <c r="K128" s="9">
        <v>1.9117730239483881</v>
      </c>
      <c r="L128" s="9">
        <v>-2.9883568839150541</v>
      </c>
      <c r="M128" s="9">
        <v>1.86745654039763</v>
      </c>
      <c r="N128" s="9">
        <v>1.7645335624207239</v>
      </c>
      <c r="O128" s="9">
        <v>-11.51292546497023</v>
      </c>
      <c r="P128" s="9">
        <v>0.10292297601699829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1</v>
      </c>
      <c r="W128" s="9">
        <v>0</v>
      </c>
      <c r="X128" s="9">
        <v>-3.1047773361206055</v>
      </c>
      <c r="Y128">
        <f t="shared" si="8"/>
        <v>4.9535105128305383E-2</v>
      </c>
      <c r="Z128">
        <f t="shared" si="9"/>
        <v>4.4834500471725706E-2</v>
      </c>
      <c r="AA128">
        <f t="shared" si="10"/>
        <v>4.7006046565796766E-3</v>
      </c>
      <c r="AB128">
        <f t="shared" si="11"/>
        <v>2.2095684137458538E-5</v>
      </c>
      <c r="AC128" t="str">
        <f>VLOOKUP(A128, 'state-ids'!$A$1:$B$28, 2)</f>
        <v>MA</v>
      </c>
      <c r="AD128">
        <f>VLOOKUP(A128, 'state-ids'!$A$1:$C$28, 3)</f>
        <v>3.0837322E-2</v>
      </c>
      <c r="AE128">
        <f>VLOOKUP(A128, 'state-ids'!$A$1:$D$28, 4)</f>
        <v>0.88261568999999995</v>
      </c>
      <c r="AF128">
        <f t="shared" si="12"/>
        <v>4.6870221578454163E-2</v>
      </c>
      <c r="AG128">
        <f t="shared" si="13"/>
        <v>4.7874163379323376E-2</v>
      </c>
      <c r="AH128">
        <f t="shared" si="14"/>
        <v>4.1987834160614051E-2</v>
      </c>
      <c r="AI128">
        <f t="shared" si="15"/>
        <v>5.8863292187093241E-3</v>
      </c>
      <c r="AJ128" s="12"/>
    </row>
    <row r="129" spans="1:36" x14ac:dyDescent="0.25">
      <c r="A129" s="9">
        <v>21</v>
      </c>
      <c r="B129" s="9">
        <v>2007</v>
      </c>
      <c r="C129" s="9">
        <v>-2.9476599042238991</v>
      </c>
      <c r="D129" s="9">
        <v>0.96065205557290867</v>
      </c>
      <c r="E129" s="9">
        <v>1.004301609196868</v>
      </c>
      <c r="F129" s="9">
        <v>0.88533655655224996</v>
      </c>
      <c r="G129" s="9">
        <v>0.58232734545470155</v>
      </c>
      <c r="H129" s="9">
        <v>0.72754860727727766</v>
      </c>
      <c r="I129" s="9">
        <v>0.62972803269029043</v>
      </c>
      <c r="J129" s="9">
        <v>-11.51292546497023</v>
      </c>
      <c r="K129" s="9">
        <v>1.9117730239483881</v>
      </c>
      <c r="L129" s="9">
        <v>-2.8345867363429988</v>
      </c>
      <c r="M129" s="9">
        <v>1.829081620106173</v>
      </c>
      <c r="N129" s="9">
        <v>1.857721618177999</v>
      </c>
      <c r="O129" s="9">
        <v>-11.51292546497023</v>
      </c>
      <c r="P129" s="9">
        <v>-2.8639998286962509E-2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1</v>
      </c>
      <c r="W129" s="9">
        <v>0</v>
      </c>
      <c r="X129" s="9">
        <v>-3.0536923408508301</v>
      </c>
      <c r="Y129">
        <f t="shared" si="8"/>
        <v>5.2462329292471792E-2</v>
      </c>
      <c r="Z129">
        <f t="shared" si="9"/>
        <v>4.718438153412146E-2</v>
      </c>
      <c r="AA129">
        <f t="shared" si="10"/>
        <v>5.277947758350332E-3</v>
      </c>
      <c r="AB129">
        <f t="shared" si="11"/>
        <v>2.7856732539875295E-5</v>
      </c>
      <c r="AC129" t="str">
        <f>VLOOKUP(A129, 'state-ids'!$A$1:$B$28, 2)</f>
        <v>MA</v>
      </c>
      <c r="AD129">
        <f>VLOOKUP(A129, 'state-ids'!$A$1:$C$28, 3)</f>
        <v>3.0837322E-2</v>
      </c>
      <c r="AE129">
        <f>VLOOKUP(A129, 'state-ids'!$A$1:$D$28, 4)</f>
        <v>0.88261568999999995</v>
      </c>
      <c r="AF129">
        <f t="shared" si="12"/>
        <v>9.3585892215859931E-2</v>
      </c>
      <c r="AG129">
        <f t="shared" si="13"/>
        <v>5.038336028615762E-2</v>
      </c>
      <c r="AH129">
        <f t="shared" si="14"/>
        <v>4.4188514781718854E-2</v>
      </c>
      <c r="AI129">
        <f t="shared" si="15"/>
        <v>6.194845504438766E-3</v>
      </c>
      <c r="AJ129" s="12"/>
    </row>
    <row r="130" spans="1:36" x14ac:dyDescent="0.25">
      <c r="A130" s="9">
        <v>21</v>
      </c>
      <c r="B130" s="9">
        <v>2008</v>
      </c>
      <c r="C130" s="9">
        <v>-2.8313528680447839</v>
      </c>
      <c r="D130" s="9">
        <v>0.87359197734103988</v>
      </c>
      <c r="E130" s="9">
        <v>0.96065205557290867</v>
      </c>
      <c r="F130" s="9">
        <v>1.004301609196868</v>
      </c>
      <c r="G130" s="9">
        <v>0.48679928916313631</v>
      </c>
      <c r="H130" s="9">
        <v>0.58232734545470155</v>
      </c>
      <c r="I130" s="9">
        <v>0.72754860727727766</v>
      </c>
      <c r="J130" s="9">
        <v>-11.51292546497023</v>
      </c>
      <c r="K130" s="9">
        <v>1.9117730239483881</v>
      </c>
      <c r="L130" s="9">
        <v>-2.681932127359647</v>
      </c>
      <c r="M130" s="9">
        <v>1.945834833156987</v>
      </c>
      <c r="N130" s="9">
        <v>1.81944071224341</v>
      </c>
      <c r="O130" s="9">
        <v>-11.51292546497023</v>
      </c>
      <c r="P130" s="9">
        <v>0.126394122838974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1</v>
      </c>
      <c r="W130" s="9">
        <v>0</v>
      </c>
      <c r="X130" s="9">
        <v>-2.9362850189208984</v>
      </c>
      <c r="Y130">
        <f t="shared" si="8"/>
        <v>5.8933071045336807E-2</v>
      </c>
      <c r="Z130">
        <f t="shared" si="9"/>
        <v>5.3062489174703104E-2</v>
      </c>
      <c r="AA130">
        <f t="shared" si="10"/>
        <v>5.8705818706337037E-3</v>
      </c>
      <c r="AB130">
        <f t="shared" si="11"/>
        <v>3.4463731499813114E-5</v>
      </c>
      <c r="AC130" t="str">
        <f>VLOOKUP(A130, 'state-ids'!$A$1:$B$28, 2)</f>
        <v>MA</v>
      </c>
      <c r="AD130">
        <f>VLOOKUP(A130, 'state-ids'!$A$1:$C$28, 3)</f>
        <v>3.0837322E-2</v>
      </c>
      <c r="AE130">
        <f>VLOOKUP(A130, 'state-ids'!$A$1:$D$28, 4)</f>
        <v>0.88261568999999995</v>
      </c>
      <c r="AF130">
        <f t="shared" si="12"/>
        <v>9.261476274870592E-2</v>
      </c>
      <c r="AG130">
        <f t="shared" si="13"/>
        <v>5.6659988386964087E-2</v>
      </c>
      <c r="AH130">
        <f t="shared" si="14"/>
        <v>4.9693405127193474E-2</v>
      </c>
      <c r="AI130">
        <f t="shared" si="15"/>
        <v>6.9665832597706132E-3</v>
      </c>
      <c r="AJ130" s="12"/>
    </row>
    <row r="131" spans="1:36" x14ac:dyDescent="0.25">
      <c r="A131" s="9">
        <v>21</v>
      </c>
      <c r="B131" s="9">
        <v>2009</v>
      </c>
      <c r="C131" s="9">
        <v>-2.786799355345857</v>
      </c>
      <c r="D131" s="9">
        <v>0.81235142803842186</v>
      </c>
      <c r="E131" s="9">
        <v>0.87359197734103988</v>
      </c>
      <c r="F131" s="9">
        <v>0.96065205557290867</v>
      </c>
      <c r="G131" s="9">
        <v>0.43346930451776172</v>
      </c>
      <c r="H131" s="9">
        <v>0.48679928916313631</v>
      </c>
      <c r="I131" s="9">
        <v>0.58232734545470155</v>
      </c>
      <c r="J131" s="9">
        <v>-11.51292546497023</v>
      </c>
      <c r="K131" s="9">
        <v>1.9117730239483881</v>
      </c>
      <c r="L131" s="9">
        <v>-2.5194505085653351</v>
      </c>
      <c r="M131" s="9">
        <v>1.9431627463908681</v>
      </c>
      <c r="N131" s="9">
        <v>1.936112894388776</v>
      </c>
      <c r="O131" s="9">
        <v>-11.51292546497023</v>
      </c>
      <c r="P131" s="9">
        <v>7.0498520508408546E-3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1</v>
      </c>
      <c r="W131" s="9">
        <v>0</v>
      </c>
      <c r="X131" s="9">
        <v>-2.8130433559417725</v>
      </c>
      <c r="Y131">
        <f t="shared" ref="Y131:Y194" si="16">EXP(C131)</f>
        <v>6.1618116334214795E-2</v>
      </c>
      <c r="Z131">
        <f t="shared" ref="Z131:Z194" si="17">EXP(X131)</f>
        <v>6.002204569821077E-2</v>
      </c>
      <c r="AA131">
        <f t="shared" ref="AA131:AA194" si="18">Y131-Z131</f>
        <v>1.5960706360040253E-3</v>
      </c>
      <c r="AB131">
        <f t="shared" ref="AB131:AB194" si="19">AA131*AA131</f>
        <v>2.5474414751142937E-6</v>
      </c>
      <c r="AC131" t="str">
        <f>VLOOKUP(A131, 'state-ids'!$A$1:$B$28, 2)</f>
        <v>MA</v>
      </c>
      <c r="AD131">
        <f>VLOOKUP(A131, 'state-ids'!$A$1:$C$28, 3)</f>
        <v>3.0837322E-2</v>
      </c>
      <c r="AE131">
        <f>VLOOKUP(A131, 'state-ids'!$A$1:$D$28, 4)</f>
        <v>0.88261568999999995</v>
      </c>
      <c r="AF131">
        <f t="shared" ref="AF131:AF194" si="20">IF(B131=2006, (C131-X131)*SQRT(1 - AE131*AE131), AE131*(C131-X131) )</f>
        <v>2.3163366694324346E-2</v>
      </c>
      <c r="AG131">
        <f t="shared" ref="AG131:AG194" si="21">EXP(X131+SQRT((AD131*AD131)/(1-(AE131*AE131))))</f>
        <v>6.4091384801521212E-2</v>
      </c>
      <c r="AH131">
        <f t="shared" ref="AH131:AH194" si="22">EXP(X131-SQRT((AD131*AD131)/(1-(AE131*AE131))))</f>
        <v>5.6211080178011595E-2</v>
      </c>
      <c r="AI131">
        <f t="shared" ref="AI131:AI194" si="23">AG131-AH131</f>
        <v>7.8803046235096166E-3</v>
      </c>
      <c r="AJ131" s="12"/>
    </row>
    <row r="132" spans="1:36" x14ac:dyDescent="0.25">
      <c r="A132" s="9">
        <v>21</v>
      </c>
      <c r="B132" s="9">
        <v>2010</v>
      </c>
      <c r="C132" s="9">
        <v>-2.5223313753588679</v>
      </c>
      <c r="D132" s="9">
        <v>0.74720913865847582</v>
      </c>
      <c r="E132" s="9">
        <v>0.81235142803842186</v>
      </c>
      <c r="F132" s="9">
        <v>0.87359197734103988</v>
      </c>
      <c r="G132" s="9">
        <v>0.44654306986601078</v>
      </c>
      <c r="H132" s="9">
        <v>0.43346930451776172</v>
      </c>
      <c r="I132" s="9">
        <v>0.48679928916313631</v>
      </c>
      <c r="J132" s="9">
        <v>-11.51292546497023</v>
      </c>
      <c r="K132" s="9">
        <v>1.9117730239483881</v>
      </c>
      <c r="L132" s="9">
        <v>-2.357243868179896</v>
      </c>
      <c r="M132" s="9">
        <v>1.9625560030249369</v>
      </c>
      <c r="N132" s="9">
        <v>1.921518828866686</v>
      </c>
      <c r="O132" s="9">
        <v>-11.51292546497023</v>
      </c>
      <c r="P132" s="9">
        <v>4.1037175804376602E-2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1</v>
      </c>
      <c r="W132" s="9">
        <v>0</v>
      </c>
      <c r="X132" s="9">
        <v>-2.61635422706604</v>
      </c>
      <c r="Y132">
        <f t="shared" si="16"/>
        <v>8.0272243696639406E-2</v>
      </c>
      <c r="Z132">
        <f t="shared" si="17"/>
        <v>7.3068769958227975E-2</v>
      </c>
      <c r="AA132">
        <f t="shared" si="18"/>
        <v>7.2034737384114311E-3</v>
      </c>
      <c r="AB132">
        <f t="shared" si="19"/>
        <v>5.1890033899983162E-5</v>
      </c>
      <c r="AC132" t="str">
        <f>VLOOKUP(A132, 'state-ids'!$A$1:$B$28, 2)</f>
        <v>MA</v>
      </c>
      <c r="AD132">
        <f>VLOOKUP(A132, 'state-ids'!$A$1:$C$28, 3)</f>
        <v>3.0837322E-2</v>
      </c>
      <c r="AE132">
        <f>VLOOKUP(A132, 'state-ids'!$A$1:$D$28, 4)</f>
        <v>0.88261568999999995</v>
      </c>
      <c r="AF132">
        <f t="shared" si="20"/>
        <v>8.2986044135293438E-2</v>
      </c>
      <c r="AG132">
        <f t="shared" si="21"/>
        <v>7.8022643145370538E-2</v>
      </c>
      <c r="AH132">
        <f t="shared" si="22"/>
        <v>6.8429431867116017E-2</v>
      </c>
      <c r="AI132">
        <f t="shared" si="23"/>
        <v>9.5932112782545209E-3</v>
      </c>
      <c r="AJ132" s="12"/>
    </row>
    <row r="133" spans="1:36" x14ac:dyDescent="0.25">
      <c r="A133" s="9">
        <v>21</v>
      </c>
      <c r="B133" s="9">
        <v>2011</v>
      </c>
      <c r="C133" s="9">
        <v>-2.3577793505236322</v>
      </c>
      <c r="D133" s="9">
        <v>0.71098709868827636</v>
      </c>
      <c r="E133" s="9">
        <v>0.74720913865847582</v>
      </c>
      <c r="F133" s="9">
        <v>0.81235142803842186</v>
      </c>
      <c r="G133" s="9">
        <v>0.52034021613457626</v>
      </c>
      <c r="H133" s="9">
        <v>0.44654306986601078</v>
      </c>
      <c r="I133" s="9">
        <v>0.43346930451776172</v>
      </c>
      <c r="J133" s="9">
        <v>-7.7031221981193232</v>
      </c>
      <c r="K133" s="9">
        <v>1.9117730239483881</v>
      </c>
      <c r="L133" s="9">
        <v>-2.2084365600939542</v>
      </c>
      <c r="M133" s="9">
        <v>1.98011437004853</v>
      </c>
      <c r="N133" s="9">
        <v>1.941370787801832</v>
      </c>
      <c r="O133" s="9">
        <v>-11.51292546497023</v>
      </c>
      <c r="P133" s="9">
        <v>3.8743581622838974E-2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1</v>
      </c>
      <c r="W133" s="9">
        <v>0</v>
      </c>
      <c r="X133" s="9">
        <v>-2.4355599880218506</v>
      </c>
      <c r="Y133">
        <f t="shared" si="16"/>
        <v>9.4630130394397174E-2</v>
      </c>
      <c r="Z133">
        <f t="shared" si="17"/>
        <v>8.7548707091145372E-2</v>
      </c>
      <c r="AA133">
        <f t="shared" si="18"/>
        <v>7.081423303251802E-3</v>
      </c>
      <c r="AB133">
        <f t="shared" si="19"/>
        <v>5.0146555999837666E-5</v>
      </c>
      <c r="AC133" t="str">
        <f>VLOOKUP(A133, 'state-ids'!$A$1:$B$28, 2)</f>
        <v>MA</v>
      </c>
      <c r="AD133">
        <f>VLOOKUP(A133, 'state-ids'!$A$1:$C$28, 3)</f>
        <v>3.0837322E-2</v>
      </c>
      <c r="AE133">
        <f>VLOOKUP(A133, 'state-ids'!$A$1:$D$28, 4)</f>
        <v>0.88261568999999995</v>
      </c>
      <c r="AF133">
        <f t="shared" si="20"/>
        <v>6.8650411034129902E-2</v>
      </c>
      <c r="AG133">
        <f t="shared" si="21"/>
        <v>9.3484282479587857E-2</v>
      </c>
      <c r="AH133">
        <f t="shared" si="22"/>
        <v>8.1989997783902979E-2</v>
      </c>
      <c r="AI133">
        <f t="shared" si="23"/>
        <v>1.1494284695684878E-2</v>
      </c>
      <c r="AJ133" s="12"/>
    </row>
    <row r="134" spans="1:36" x14ac:dyDescent="0.25">
      <c r="A134" s="9">
        <v>21</v>
      </c>
      <c r="B134" s="9">
        <v>2012</v>
      </c>
      <c r="C134" s="9">
        <v>-2.190907054860967</v>
      </c>
      <c r="D134" s="9">
        <v>0.65044842602683006</v>
      </c>
      <c r="E134" s="9">
        <v>0.71098709868827636</v>
      </c>
      <c r="F134" s="9">
        <v>0.74720913865847582</v>
      </c>
      <c r="G134" s="9">
        <v>0.46360822215687519</v>
      </c>
      <c r="H134" s="9">
        <v>0.52034021613457626</v>
      </c>
      <c r="I134" s="9">
        <v>0.44654306986601078</v>
      </c>
      <c r="J134" s="9">
        <v>-7.2025590319598756</v>
      </c>
      <c r="K134" s="9">
        <v>1.9117730239483881</v>
      </c>
      <c r="L134" s="9">
        <v>-2.0839929282431999</v>
      </c>
      <c r="M134" s="9">
        <v>2.0418972720225601</v>
      </c>
      <c r="N134" s="9">
        <v>1.969851912441885</v>
      </c>
      <c r="O134" s="9">
        <v>-11.51292546497023</v>
      </c>
      <c r="P134" s="9">
        <v>7.2045356035232544E-2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1</v>
      </c>
      <c r="W134" s="9">
        <v>0</v>
      </c>
      <c r="X134" s="9">
        <v>-2.2737891674041748</v>
      </c>
      <c r="Y134">
        <f t="shared" si="16"/>
        <v>0.11181528001222457</v>
      </c>
      <c r="Z134">
        <f t="shared" si="17"/>
        <v>0.10292145366926789</v>
      </c>
      <c r="AA134">
        <f t="shared" si="18"/>
        <v>8.8938263429566844E-3</v>
      </c>
      <c r="AB134">
        <f t="shared" si="19"/>
        <v>7.9100147018670267E-5</v>
      </c>
      <c r="AC134" t="str">
        <f>VLOOKUP(A134, 'state-ids'!$A$1:$B$28, 2)</f>
        <v>MA</v>
      </c>
      <c r="AD134">
        <f>VLOOKUP(A134, 'state-ids'!$A$1:$C$28, 3)</f>
        <v>3.0837322E-2</v>
      </c>
      <c r="AE134">
        <f>VLOOKUP(A134, 'state-ids'!$A$1:$D$28, 4)</f>
        <v>0.88261568999999995</v>
      </c>
      <c r="AF134">
        <f t="shared" si="20"/>
        <v>7.3153052950980971E-2</v>
      </c>
      <c r="AG134">
        <f t="shared" si="21"/>
        <v>0.10989926142496706</v>
      </c>
      <c r="AH134">
        <f t="shared" si="22"/>
        <v>9.6386686207417624E-2</v>
      </c>
      <c r="AI134">
        <f t="shared" si="23"/>
        <v>1.3512575217549436E-2</v>
      </c>
      <c r="AJ134" s="12"/>
    </row>
    <row r="135" spans="1:36" x14ac:dyDescent="0.25">
      <c r="A135" s="9">
        <v>21</v>
      </c>
      <c r="B135" s="9">
        <v>2013</v>
      </c>
      <c r="C135" s="9">
        <v>-2.135224945684894</v>
      </c>
      <c r="D135" s="9">
        <v>0.65902146583056942</v>
      </c>
      <c r="E135" s="9">
        <v>0.65044842602683006</v>
      </c>
      <c r="F135" s="9">
        <v>0.71098709868827636</v>
      </c>
      <c r="G135" s="9">
        <v>0.47666886711449652</v>
      </c>
      <c r="H135" s="9">
        <v>0.46360822215687519</v>
      </c>
      <c r="I135" s="9">
        <v>0.52034021613457626</v>
      </c>
      <c r="J135" s="9">
        <v>-6.1847821219213737</v>
      </c>
      <c r="K135" s="9">
        <v>1.9117730239483881</v>
      </c>
      <c r="L135" s="9">
        <v>-1.9804072502349901</v>
      </c>
      <c r="M135" s="9">
        <v>2.0702218116349851</v>
      </c>
      <c r="N135" s="9">
        <v>2.030054764879913</v>
      </c>
      <c r="O135" s="9">
        <v>-11.51292546497023</v>
      </c>
      <c r="P135" s="9">
        <v>4.0167048573493958E-2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1</v>
      </c>
      <c r="W135" s="9">
        <v>0</v>
      </c>
      <c r="X135" s="9">
        <v>-2.1914551258087158</v>
      </c>
      <c r="Y135">
        <f t="shared" si="16"/>
        <v>0.11821799475766515</v>
      </c>
      <c r="Z135">
        <f t="shared" si="17"/>
        <v>0.11175401409630338</v>
      </c>
      <c r="AA135">
        <f t="shared" si="18"/>
        <v>6.4639806613617651E-3</v>
      </c>
      <c r="AB135">
        <f t="shared" si="19"/>
        <v>4.1783045990458881E-5</v>
      </c>
      <c r="AC135" t="str">
        <f>VLOOKUP(A135, 'state-ids'!$A$1:$B$28, 2)</f>
        <v>MA</v>
      </c>
      <c r="AD135">
        <f>VLOOKUP(A135, 'state-ids'!$A$1:$C$28, 3)</f>
        <v>3.0837322E-2</v>
      </c>
      <c r="AE135">
        <f>VLOOKUP(A135, 'state-ids'!$A$1:$D$28, 4)</f>
        <v>0.88261568999999995</v>
      </c>
      <c r="AF135">
        <f t="shared" si="20"/>
        <v>4.9629639228811313E-2</v>
      </c>
      <c r="AG135">
        <f t="shared" si="21"/>
        <v>0.11933064655232693</v>
      </c>
      <c r="AH135">
        <f t="shared" si="22"/>
        <v>0.10465844296888409</v>
      </c>
      <c r="AI135">
        <f t="shared" si="23"/>
        <v>1.4672203583442844E-2</v>
      </c>
      <c r="AJ135" s="12"/>
    </row>
    <row r="136" spans="1:36" x14ac:dyDescent="0.25">
      <c r="A136" s="9">
        <v>21</v>
      </c>
      <c r="B136" s="9">
        <v>2014</v>
      </c>
      <c r="C136" s="9">
        <v>-2.044258364194691</v>
      </c>
      <c r="D136" s="9">
        <v>0.6553933909480294</v>
      </c>
      <c r="E136" s="9">
        <v>0.65902146583056942</v>
      </c>
      <c r="F136" s="9">
        <v>0.65044842602683006</v>
      </c>
      <c r="G136" s="9">
        <v>0.49231536100689388</v>
      </c>
      <c r="H136" s="9">
        <v>0.47666886711449652</v>
      </c>
      <c r="I136" s="9">
        <v>0.46360822215687519</v>
      </c>
      <c r="J136" s="9">
        <v>-5.464837144038321</v>
      </c>
      <c r="K136" s="9">
        <v>1.9117730239483881</v>
      </c>
      <c r="L136" s="9">
        <v>-1.891020291388652</v>
      </c>
      <c r="M136" s="9">
        <v>2.1131293082677032</v>
      </c>
      <c r="N136" s="9">
        <v>2.0619282891468131</v>
      </c>
      <c r="O136" s="9">
        <v>-11.51292546497023</v>
      </c>
      <c r="P136" s="9">
        <v>5.1201019436120987E-2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1</v>
      </c>
      <c r="W136" s="9">
        <v>0</v>
      </c>
      <c r="X136" s="9">
        <v>-2.1114985942840576</v>
      </c>
      <c r="Y136">
        <f t="shared" si="16"/>
        <v>0.12947617854863699</v>
      </c>
      <c r="Z136">
        <f t="shared" si="17"/>
        <v>0.1210564159790873</v>
      </c>
      <c r="AA136">
        <f t="shared" si="18"/>
        <v>8.4197625695496964E-3</v>
      </c>
      <c r="AB136">
        <f t="shared" si="19"/>
        <v>7.0892401727590102E-5</v>
      </c>
      <c r="AC136" t="str">
        <f>VLOOKUP(A136, 'state-ids'!$A$1:$B$28, 2)</f>
        <v>MA</v>
      </c>
      <c r="AD136">
        <f>VLOOKUP(A136, 'state-ids'!$A$1:$C$28, 3)</f>
        <v>3.0837322E-2</v>
      </c>
      <c r="AE136">
        <f>VLOOKUP(A136, 'state-ids'!$A$1:$D$28, 4)</f>
        <v>0.88261568999999995</v>
      </c>
      <c r="AF136">
        <f t="shared" si="20"/>
        <v>5.9347282076085091E-2</v>
      </c>
      <c r="AG136">
        <f t="shared" si="21"/>
        <v>0.12926372716816595</v>
      </c>
      <c r="AH136">
        <f t="shared" si="22"/>
        <v>0.11337020965391796</v>
      </c>
      <c r="AI136">
        <f t="shared" si="23"/>
        <v>1.5893517514247987E-2</v>
      </c>
      <c r="AJ136" s="12"/>
    </row>
    <row r="137" spans="1:36" x14ac:dyDescent="0.25">
      <c r="A137" s="9">
        <v>21</v>
      </c>
      <c r="B137" s="9">
        <v>2015</v>
      </c>
      <c r="C137" s="9">
        <v>-2.0487350496512291</v>
      </c>
      <c r="D137" s="9">
        <v>0.65570488508407532</v>
      </c>
      <c r="E137" s="9">
        <v>0.6553933909480294</v>
      </c>
      <c r="F137" s="9">
        <v>0.65902146583056942</v>
      </c>
      <c r="G137" s="9">
        <v>0.46304195291218431</v>
      </c>
      <c r="H137" s="9">
        <v>0.49231536100689388</v>
      </c>
      <c r="I137" s="9">
        <v>0.47666886711449652</v>
      </c>
      <c r="J137" s="9">
        <v>-5.1022215211707733</v>
      </c>
      <c r="K137" s="9">
        <v>1.9117730239483881</v>
      </c>
      <c r="L137" s="9">
        <v>-1.8198934792654149</v>
      </c>
      <c r="M137" s="9">
        <v>2.05347612818084</v>
      </c>
      <c r="N137" s="9">
        <v>2.1053711428383539</v>
      </c>
      <c r="O137" s="9">
        <v>-11.51292546497023</v>
      </c>
      <c r="P137" s="9">
        <v>-5.1895014941692352E-2</v>
      </c>
      <c r="Q137" s="9">
        <v>1</v>
      </c>
      <c r="R137" s="9">
        <v>0</v>
      </c>
      <c r="S137" s="9">
        <v>0</v>
      </c>
      <c r="T137" s="9">
        <v>0</v>
      </c>
      <c r="U137" s="9">
        <v>0</v>
      </c>
      <c r="V137" s="9">
        <v>1</v>
      </c>
      <c r="W137" s="9">
        <v>0</v>
      </c>
      <c r="X137" s="9">
        <v>-2.1215579509735107</v>
      </c>
      <c r="Y137">
        <f t="shared" si="16"/>
        <v>0.12889784988675793</v>
      </c>
      <c r="Z137">
        <f t="shared" si="17"/>
        <v>0.11984477071440393</v>
      </c>
      <c r="AA137">
        <f t="shared" si="18"/>
        <v>9.0530791723539977E-3</v>
      </c>
      <c r="AB137">
        <f t="shared" si="19"/>
        <v>8.1958242500909751E-5</v>
      </c>
      <c r="AC137" t="str">
        <f>VLOOKUP(A137, 'state-ids'!$A$1:$B$28, 2)</f>
        <v>MA</v>
      </c>
      <c r="AD137">
        <f>VLOOKUP(A137, 'state-ids'!$A$1:$C$28, 3)</f>
        <v>3.0837322E-2</v>
      </c>
      <c r="AE137">
        <f>VLOOKUP(A137, 'state-ids'!$A$1:$D$28, 4)</f>
        <v>0.88261568999999995</v>
      </c>
      <c r="AF137">
        <f t="shared" si="20"/>
        <v>6.4274635298367522E-2</v>
      </c>
      <c r="AG137">
        <f t="shared" si="21"/>
        <v>0.12796993549548261</v>
      </c>
      <c r="AH137">
        <f t="shared" si="22"/>
        <v>0.11223549509482296</v>
      </c>
      <c r="AI137">
        <f t="shared" si="23"/>
        <v>1.5734440400659647E-2</v>
      </c>
      <c r="AJ137" s="12"/>
    </row>
    <row r="138" spans="1:36" x14ac:dyDescent="0.25">
      <c r="A138" s="9">
        <v>21</v>
      </c>
      <c r="B138" s="9">
        <v>2016</v>
      </c>
      <c r="C138" s="9">
        <v>-2.0136726042920658</v>
      </c>
      <c r="D138" s="9">
        <v>0.67309752275424151</v>
      </c>
      <c r="E138" s="9">
        <v>0.65570488508407532</v>
      </c>
      <c r="F138" s="9">
        <v>0.6553933909480294</v>
      </c>
      <c r="G138" s="9">
        <v>0.56713033997645834</v>
      </c>
      <c r="H138" s="9">
        <v>0.46304195291218431</v>
      </c>
      <c r="I138" s="9">
        <v>0.49231536100689388</v>
      </c>
      <c r="J138" s="9">
        <v>-4.7039427630394961</v>
      </c>
      <c r="K138" s="9">
        <v>1.9117730239483881</v>
      </c>
      <c r="L138" s="9">
        <v>-1.7743265505814669</v>
      </c>
      <c r="M138" s="9">
        <v>2.0518692545532669</v>
      </c>
      <c r="N138" s="9">
        <v>2.04628977820395</v>
      </c>
      <c r="O138" s="9">
        <v>-11.51292546497023</v>
      </c>
      <c r="P138" s="9">
        <v>5.5794762447476387E-3</v>
      </c>
      <c r="Q138" s="9">
        <v>1</v>
      </c>
      <c r="R138" s="9">
        <v>0</v>
      </c>
      <c r="S138" s="9">
        <v>0</v>
      </c>
      <c r="T138" s="9">
        <v>0</v>
      </c>
      <c r="U138" s="9">
        <v>0</v>
      </c>
      <c r="V138" s="9">
        <v>1</v>
      </c>
      <c r="W138" s="9">
        <v>0</v>
      </c>
      <c r="X138" s="9">
        <v>-2.0589790344238281</v>
      </c>
      <c r="Y138">
        <f t="shared" si="16"/>
        <v>0.13349748980304377</v>
      </c>
      <c r="Z138">
        <f t="shared" si="17"/>
        <v>0.12758416246038459</v>
      </c>
      <c r="AA138">
        <f t="shared" si="18"/>
        <v>5.9133273426591748E-3</v>
      </c>
      <c r="AB138">
        <f t="shared" si="19"/>
        <v>3.4967440261440618E-5</v>
      </c>
      <c r="AC138" t="str">
        <f>VLOOKUP(A138, 'state-ids'!$A$1:$B$28, 2)</f>
        <v>MA</v>
      </c>
      <c r="AD138">
        <f>VLOOKUP(A138, 'state-ids'!$A$1:$C$28, 3)</f>
        <v>3.0837322E-2</v>
      </c>
      <c r="AE138">
        <f>VLOOKUP(A138, 'state-ids'!$A$1:$D$28, 4)</f>
        <v>0.88261568999999995</v>
      </c>
      <c r="AF138">
        <f t="shared" si="20"/>
        <v>3.9988166092182149E-2</v>
      </c>
      <c r="AG138">
        <f t="shared" si="21"/>
        <v>0.13623403793903111</v>
      </c>
      <c r="AH138">
        <f t="shared" si="22"/>
        <v>0.11948349147518172</v>
      </c>
      <c r="AI138">
        <f t="shared" si="23"/>
        <v>1.6750546463849381E-2</v>
      </c>
      <c r="AJ138" s="12"/>
    </row>
    <row r="139" spans="1:36" x14ac:dyDescent="0.25">
      <c r="A139" s="9">
        <v>21</v>
      </c>
      <c r="B139" s="9">
        <v>2017</v>
      </c>
      <c r="C139" s="9">
        <v>-1.9919801311725109</v>
      </c>
      <c r="D139" s="9">
        <v>0.64684142768343389</v>
      </c>
      <c r="E139" s="9">
        <v>0.67309752275424151</v>
      </c>
      <c r="F139" s="9">
        <v>0.65570488508407532</v>
      </c>
      <c r="G139" s="9">
        <v>0.55652530301698111</v>
      </c>
      <c r="H139" s="9">
        <v>0.56713033997645834</v>
      </c>
      <c r="I139" s="9">
        <v>0.46304195291218431</v>
      </c>
      <c r="J139" s="9">
        <v>-4.0745746486765393</v>
      </c>
      <c r="K139" s="9">
        <v>1.9117730239483881</v>
      </c>
      <c r="L139" s="9">
        <v>-1.7337510635998139</v>
      </c>
      <c r="M139" s="9">
        <v>2.0576167726293</v>
      </c>
      <c r="N139" s="9">
        <v>2.0452486021962279</v>
      </c>
      <c r="O139" s="9">
        <v>-11.51292546497023</v>
      </c>
      <c r="P139" s="9">
        <v>1.2368170544505119E-2</v>
      </c>
      <c r="Q139" s="9">
        <v>1</v>
      </c>
      <c r="R139" s="9">
        <v>0</v>
      </c>
      <c r="S139" s="9">
        <v>0</v>
      </c>
      <c r="T139" s="9">
        <v>0</v>
      </c>
      <c r="U139" s="9">
        <v>0</v>
      </c>
      <c r="V139" s="9">
        <v>1</v>
      </c>
      <c r="W139" s="9">
        <v>0</v>
      </c>
      <c r="X139" s="9">
        <v>-2.0003714561462402</v>
      </c>
      <c r="Y139">
        <f t="shared" si="16"/>
        <v>0.13642501838154156</v>
      </c>
      <c r="Z139">
        <f t="shared" si="17"/>
        <v>0.13528502144945409</v>
      </c>
      <c r="AA139">
        <f t="shared" si="18"/>
        <v>1.139996932087467E-3</v>
      </c>
      <c r="AB139">
        <f t="shared" si="19"/>
        <v>1.2995930051688369E-6</v>
      </c>
      <c r="AC139" t="str">
        <f>VLOOKUP(A139, 'state-ids'!$A$1:$B$28, 2)</f>
        <v>MA</v>
      </c>
      <c r="AD139">
        <f>VLOOKUP(A139, 'state-ids'!$A$1:$C$28, 3)</f>
        <v>3.0837322E-2</v>
      </c>
      <c r="AE139">
        <f>VLOOKUP(A139, 'state-ids'!$A$1:$D$28, 4)</f>
        <v>0.88261568999999995</v>
      </c>
      <c r="AF139">
        <f t="shared" si="20"/>
        <v>7.4063150817023152E-3</v>
      </c>
      <c r="AG139">
        <f t="shared" si="21"/>
        <v>0.14445699520463828</v>
      </c>
      <c r="AH139">
        <f t="shared" si="22"/>
        <v>0.12669540164983029</v>
      </c>
      <c r="AI139">
        <f t="shared" si="23"/>
        <v>1.7761593554807997E-2</v>
      </c>
      <c r="AJ139" s="12"/>
    </row>
    <row r="140" spans="1:36" x14ac:dyDescent="0.25">
      <c r="A140" s="9">
        <v>21</v>
      </c>
      <c r="B140" s="9">
        <v>2018</v>
      </c>
      <c r="C140" s="9">
        <v>-2.0092145665183549</v>
      </c>
      <c r="D140" s="9">
        <v>0.75738878262140996</v>
      </c>
      <c r="E140" s="9">
        <v>0.64684142768343389</v>
      </c>
      <c r="F140" s="9">
        <v>0.67309752275424151</v>
      </c>
      <c r="G140" s="9">
        <v>0.59597526880767171</v>
      </c>
      <c r="H140" s="9">
        <v>0.55652530301698111</v>
      </c>
      <c r="I140" s="9">
        <v>0.56713033997645834</v>
      </c>
      <c r="J140" s="9">
        <v>-3.5959705986656392</v>
      </c>
      <c r="K140" s="9">
        <v>1.9117730239483881</v>
      </c>
      <c r="L140" s="9">
        <v>-1.694604976055627</v>
      </c>
      <c r="M140" s="9">
        <v>2.1007802679097818</v>
      </c>
      <c r="N140" s="9">
        <v>2.052654126846841</v>
      </c>
      <c r="O140" s="9">
        <v>3.2580965380214821</v>
      </c>
      <c r="P140" s="9">
        <v>4.8126142472028732E-2</v>
      </c>
      <c r="Q140" s="9">
        <v>1</v>
      </c>
      <c r="R140" s="9">
        <v>0</v>
      </c>
      <c r="S140" s="9">
        <v>0</v>
      </c>
      <c r="T140" s="9">
        <v>0</v>
      </c>
      <c r="U140" s="9">
        <v>0</v>
      </c>
      <c r="V140" s="9">
        <v>1</v>
      </c>
      <c r="W140" s="9">
        <v>0</v>
      </c>
      <c r="X140" s="9">
        <v>-2.0511739253997803</v>
      </c>
      <c r="Y140">
        <f t="shared" si="16"/>
        <v>0.13409395520006584</v>
      </c>
      <c r="Z140">
        <f t="shared" si="17"/>
        <v>0.12858386708478312</v>
      </c>
      <c r="AA140">
        <f t="shared" si="18"/>
        <v>5.5100881152827241E-3</v>
      </c>
      <c r="AB140">
        <f t="shared" si="19"/>
        <v>3.0361071038179922E-5</v>
      </c>
      <c r="AC140" t="str">
        <f>VLOOKUP(A140, 'state-ids'!$A$1:$B$28, 2)</f>
        <v>MA</v>
      </c>
      <c r="AD140">
        <f>VLOOKUP(A140, 'state-ids'!$A$1:$C$28, 3)</f>
        <v>3.0837322E-2</v>
      </c>
      <c r="AE140">
        <f>VLOOKUP(A140, 'state-ids'!$A$1:$D$28, 4)</f>
        <v>0.88261568999999995</v>
      </c>
      <c r="AF140">
        <f t="shared" si="20"/>
        <v>3.7033988491086842E-2</v>
      </c>
      <c r="AG140">
        <f t="shared" si="21"/>
        <v>0.13730151994543158</v>
      </c>
      <c r="AH140">
        <f t="shared" si="22"/>
        <v>0.12041972209082817</v>
      </c>
      <c r="AI140">
        <f t="shared" si="23"/>
        <v>1.6881797854603406E-2</v>
      </c>
      <c r="AJ140" s="12"/>
    </row>
    <row r="141" spans="1:36" x14ac:dyDescent="0.25">
      <c r="A141" s="9">
        <v>21</v>
      </c>
      <c r="B141" s="9">
        <v>2019</v>
      </c>
      <c r="C141" s="9">
        <v>-2.0085411139061842</v>
      </c>
      <c r="D141" s="9">
        <v>0.76216005184689939</v>
      </c>
      <c r="E141" s="9">
        <v>0.75738878262140996</v>
      </c>
      <c r="F141" s="9">
        <v>0.64684142768343389</v>
      </c>
      <c r="G141" s="9">
        <v>0.58439202072290786</v>
      </c>
      <c r="H141" s="9">
        <v>0.59597526880767171</v>
      </c>
      <c r="I141" s="9">
        <v>0.55652530301698111</v>
      </c>
      <c r="J141" s="9">
        <v>-2.9163133160424231</v>
      </c>
      <c r="K141" s="9">
        <v>1.9117730239483881</v>
      </c>
      <c r="L141" s="9">
        <v>-1.6580637480208309</v>
      </c>
      <c r="M141" s="9">
        <v>2.045129995645639</v>
      </c>
      <c r="N141" s="9">
        <v>2.095092750257237</v>
      </c>
      <c r="O141" s="9">
        <v>5.393627546352362</v>
      </c>
      <c r="P141" s="9">
        <v>-4.9962755292654037E-2</v>
      </c>
      <c r="Q141" s="9">
        <v>1</v>
      </c>
      <c r="R141" s="9">
        <v>0</v>
      </c>
      <c r="S141" s="9">
        <v>0</v>
      </c>
      <c r="T141" s="9">
        <v>0</v>
      </c>
      <c r="U141" s="9">
        <v>0</v>
      </c>
      <c r="V141" s="9">
        <v>1</v>
      </c>
      <c r="W141" s="9">
        <v>0</v>
      </c>
      <c r="X141" s="9">
        <v>-2.0571084022521973</v>
      </c>
      <c r="Y141">
        <f t="shared" si="16"/>
        <v>0.13418429153967934</v>
      </c>
      <c r="Z141">
        <f t="shared" si="17"/>
        <v>0.12782304886390888</v>
      </c>
      <c r="AA141">
        <f t="shared" si="18"/>
        <v>6.3612426757704565E-3</v>
      </c>
      <c r="AB141">
        <f t="shared" si="19"/>
        <v>4.0465408380043276E-5</v>
      </c>
      <c r="AC141" t="str">
        <f>VLOOKUP(A141, 'state-ids'!$A$1:$B$28, 2)</f>
        <v>MA</v>
      </c>
      <c r="AD141">
        <f>VLOOKUP(A141, 'state-ids'!$A$1:$C$28, 3)</f>
        <v>3.0837322E-2</v>
      </c>
      <c r="AE141">
        <f>VLOOKUP(A141, 'state-ids'!$A$1:$D$28, 4)</f>
        <v>0.88261568999999995</v>
      </c>
      <c r="AF141">
        <f t="shared" si="20"/>
        <v>4.2866250714945306E-2</v>
      </c>
      <c r="AG141">
        <f t="shared" si="21"/>
        <v>0.13648912022144963</v>
      </c>
      <c r="AH141">
        <f t="shared" si="22"/>
        <v>0.11970721032091147</v>
      </c>
      <c r="AI141">
        <f t="shared" si="23"/>
        <v>1.6781909900538156E-2</v>
      </c>
      <c r="AJ141" s="12"/>
    </row>
    <row r="142" spans="1:36" x14ac:dyDescent="0.25">
      <c r="A142" s="9">
        <v>21</v>
      </c>
      <c r="B142" s="9">
        <v>2020</v>
      </c>
      <c r="C142" s="9">
        <v>-2.0383230366867711</v>
      </c>
      <c r="D142" s="9">
        <v>0.67818581541978507</v>
      </c>
      <c r="E142" s="9">
        <v>0.76216005184689939</v>
      </c>
      <c r="F142" s="9">
        <v>0.75738878262140996</v>
      </c>
      <c r="G142" s="9">
        <v>0.53192153206072357</v>
      </c>
      <c r="H142" s="9">
        <v>0.58439202072290786</v>
      </c>
      <c r="I142" s="9">
        <v>0.59597526880767171</v>
      </c>
      <c r="J142" s="9">
        <v>-2.2498308020460218</v>
      </c>
      <c r="K142" s="9">
        <v>1.9117730239483881</v>
      </c>
      <c r="L142" s="9">
        <v>-1.624555692732911</v>
      </c>
      <c r="M142" s="9">
        <v>2.0706915026668651</v>
      </c>
      <c r="N142" s="9">
        <v>2.039574292292329</v>
      </c>
      <c r="O142" s="9">
        <v>5.9914645471079817</v>
      </c>
      <c r="P142" s="9">
        <v>3.1117210164666176E-2</v>
      </c>
      <c r="Q142" s="9">
        <v>1</v>
      </c>
      <c r="R142" s="9">
        <v>1</v>
      </c>
      <c r="S142" s="9">
        <v>0</v>
      </c>
      <c r="T142" s="9">
        <v>0</v>
      </c>
      <c r="U142" s="9">
        <v>0</v>
      </c>
      <c r="V142" s="9">
        <v>1</v>
      </c>
      <c r="W142" s="9">
        <v>0</v>
      </c>
      <c r="X142" s="9">
        <v>-2.098198413848877</v>
      </c>
      <c r="Y142">
        <f t="shared" si="16"/>
        <v>0.13024694719223764</v>
      </c>
      <c r="Z142">
        <f t="shared" si="17"/>
        <v>0.12267724290682457</v>
      </c>
      <c r="AA142">
        <f t="shared" si="18"/>
        <v>7.5697042854130786E-3</v>
      </c>
      <c r="AB142">
        <f t="shared" si="19"/>
        <v>5.7300422968601126E-5</v>
      </c>
      <c r="AC142" t="str">
        <f>VLOOKUP(A142, 'state-ids'!$A$1:$B$28, 2)</f>
        <v>MA</v>
      </c>
      <c r="AD142">
        <f>VLOOKUP(A142, 'state-ids'!$A$1:$C$28, 3)</f>
        <v>3.0837322E-2</v>
      </c>
      <c r="AE142">
        <f>VLOOKUP(A142, 'state-ids'!$A$1:$D$28, 4)</f>
        <v>0.88261568999999995</v>
      </c>
      <c r="AF142">
        <f t="shared" si="20"/>
        <v>5.2846947327942331E-2</v>
      </c>
      <c r="AG142">
        <f t="shared" si="21"/>
        <v>0.1309944419599374</v>
      </c>
      <c r="AH142">
        <f t="shared" si="22"/>
        <v>0.11488812580172489</v>
      </c>
      <c r="AI142">
        <f t="shared" si="23"/>
        <v>1.6106316158212508E-2</v>
      </c>
      <c r="AJ142" s="12"/>
    </row>
    <row r="143" spans="1:36" x14ac:dyDescent="0.25">
      <c r="A143" s="9">
        <v>21</v>
      </c>
      <c r="B143" s="9">
        <v>2021</v>
      </c>
      <c r="C143" s="9">
        <v>-2.0070508998401348</v>
      </c>
      <c r="D143" s="9">
        <v>0.87771620989437926</v>
      </c>
      <c r="E143" s="9">
        <v>0.67818581541978507</v>
      </c>
      <c r="F143" s="9">
        <v>0.76216005184689939</v>
      </c>
      <c r="G143" s="9">
        <v>0.73476885525076474</v>
      </c>
      <c r="H143" s="9">
        <v>0.53192153206072357</v>
      </c>
      <c r="I143" s="9">
        <v>0.58439202072290786</v>
      </c>
      <c r="J143" s="9">
        <v>-1.662292095590983</v>
      </c>
      <c r="K143" s="9">
        <v>1.9117730239483881</v>
      </c>
      <c r="L143" s="9">
        <v>-1.5916949111130609</v>
      </c>
      <c r="M143" s="9">
        <v>2.0987281041157519</v>
      </c>
      <c r="N143" s="9">
        <v>2.0652717558173901</v>
      </c>
      <c r="O143" s="9">
        <v>6.6846117276679271</v>
      </c>
      <c r="P143" s="9">
        <v>3.345634788274765E-2</v>
      </c>
      <c r="Q143" s="9">
        <v>1</v>
      </c>
      <c r="R143" s="9">
        <v>0</v>
      </c>
      <c r="S143" s="9">
        <v>0</v>
      </c>
      <c r="T143" s="9">
        <v>0</v>
      </c>
      <c r="U143" s="9">
        <v>0</v>
      </c>
      <c r="V143" s="9">
        <v>1</v>
      </c>
      <c r="W143" s="9">
        <v>0</v>
      </c>
      <c r="X143" s="9">
        <v>-2.0837917327880859</v>
      </c>
      <c r="Y143">
        <f t="shared" si="16"/>
        <v>0.13438440392648834</v>
      </c>
      <c r="Z143">
        <f t="shared" si="17"/>
        <v>0.12445740715842216</v>
      </c>
      <c r="AA143">
        <f t="shared" si="18"/>
        <v>9.9269967680661875E-3</v>
      </c>
      <c r="AB143">
        <f t="shared" si="19"/>
        <v>9.8545264833196537E-5</v>
      </c>
      <c r="AC143" t="str">
        <f>VLOOKUP(A143, 'state-ids'!$A$1:$B$28, 2)</f>
        <v>MA</v>
      </c>
      <c r="AD143">
        <f>VLOOKUP(A143, 'state-ids'!$A$1:$C$28, 3)</f>
        <v>3.0837322E-2</v>
      </c>
      <c r="AE143">
        <f>VLOOKUP(A143, 'state-ids'!$A$1:$D$28, 4)</f>
        <v>0.88261568999999995</v>
      </c>
      <c r="AF143">
        <f t="shared" si="20"/>
        <v>6.7732663223530581E-2</v>
      </c>
      <c r="AG143">
        <f t="shared" si="21"/>
        <v>0.13289529673307712</v>
      </c>
      <c r="AH143">
        <f t="shared" si="22"/>
        <v>0.11655526250645679</v>
      </c>
      <c r="AI143">
        <f t="shared" si="23"/>
        <v>1.6340034226620337E-2</v>
      </c>
      <c r="AJ143" s="12"/>
    </row>
    <row r="144" spans="1:36" x14ac:dyDescent="0.25">
      <c r="A144" s="9">
        <v>21</v>
      </c>
      <c r="B144" s="9">
        <v>2022</v>
      </c>
      <c r="C144" s="9">
        <v>-1.96379964741039</v>
      </c>
      <c r="D144" s="9">
        <v>0.8950262365694307</v>
      </c>
      <c r="E144" s="9">
        <v>0.87771620989437926</v>
      </c>
      <c r="F144" s="9">
        <v>0.67818581541978507</v>
      </c>
      <c r="G144" s="9">
        <v>0.75155758810636775</v>
      </c>
      <c r="H144" s="9">
        <v>0.73476885525076474</v>
      </c>
      <c r="I144" s="9">
        <v>0.53192153206072357</v>
      </c>
      <c r="J144" s="9">
        <v>-1.1691607852262771</v>
      </c>
      <c r="K144" s="9">
        <v>1.9117730239483881</v>
      </c>
      <c r="L144" s="9">
        <v>-1.553505106231033</v>
      </c>
      <c r="M144" s="9">
        <v>2.1285004102261289</v>
      </c>
      <c r="N144" s="9">
        <v>2.0987281041157519</v>
      </c>
      <c r="O144" s="9">
        <v>8.0551577318196781</v>
      </c>
      <c r="P144" s="9">
        <v>2.9772305861115456E-2</v>
      </c>
      <c r="Q144" s="9">
        <v>1</v>
      </c>
      <c r="R144" s="9">
        <v>0</v>
      </c>
      <c r="S144" s="9">
        <v>0</v>
      </c>
      <c r="T144" s="9">
        <v>0</v>
      </c>
      <c r="U144" s="9">
        <v>0</v>
      </c>
      <c r="V144" s="9">
        <v>1</v>
      </c>
      <c r="W144" s="9">
        <v>0</v>
      </c>
      <c r="X144" s="9">
        <v>-2.0520899295806885</v>
      </c>
      <c r="Y144">
        <f t="shared" si="16"/>
        <v>0.14032422410922443</v>
      </c>
      <c r="Z144">
        <f t="shared" si="17"/>
        <v>0.12846613765349363</v>
      </c>
      <c r="AA144">
        <f t="shared" si="18"/>
        <v>1.1858086455730804E-2</v>
      </c>
      <c r="AB144">
        <f t="shared" si="19"/>
        <v>1.4061421439158633E-4</v>
      </c>
      <c r="AC144" t="str">
        <f>VLOOKUP(A144, 'state-ids'!$A$1:$B$28, 2)</f>
        <v>MA</v>
      </c>
      <c r="AD144">
        <f>VLOOKUP(A144, 'state-ids'!$A$1:$C$28, 3)</f>
        <v>3.0837322E-2</v>
      </c>
      <c r="AE144">
        <f>VLOOKUP(A144, 'state-ids'!$A$1:$D$28, 4)</f>
        <v>0.88261568999999995</v>
      </c>
      <c r="AF144">
        <f t="shared" si="20"/>
        <v>7.7926388318032655E-2</v>
      </c>
      <c r="AG144">
        <f t="shared" si="21"/>
        <v>0.13717580876389043</v>
      </c>
      <c r="AH144">
        <f t="shared" si="22"/>
        <v>0.12030946762641356</v>
      </c>
      <c r="AI144">
        <f t="shared" si="23"/>
        <v>1.686634113747687E-2</v>
      </c>
      <c r="AJ144" s="12"/>
    </row>
    <row r="145" spans="1:36" x14ac:dyDescent="0.25">
      <c r="A145" s="9">
        <v>21</v>
      </c>
      <c r="B145" s="9">
        <v>2023</v>
      </c>
      <c r="C145" s="9">
        <v>-1.8928906138512589</v>
      </c>
      <c r="D145" s="9">
        <v>0.71397869013987836</v>
      </c>
      <c r="E145" s="9">
        <v>0.8950262365694307</v>
      </c>
      <c r="F145" s="9">
        <v>0.87771620989437926</v>
      </c>
      <c r="G145" s="9">
        <v>0.538829820175588</v>
      </c>
      <c r="H145" s="9">
        <v>0.75155758810636775</v>
      </c>
      <c r="I145" s="9">
        <v>0.73476885525076474</v>
      </c>
      <c r="J145" s="9">
        <v>-0.64634611206753934</v>
      </c>
      <c r="K145" s="9">
        <v>1.9117730239483881</v>
      </c>
      <c r="L145" s="9">
        <v>-1.512016901871964</v>
      </c>
      <c r="M145" s="9">
        <v>2.1435270983319512</v>
      </c>
      <c r="N145" s="9">
        <v>2.1285004102261289</v>
      </c>
      <c r="O145" s="9">
        <v>8.4658998970286863</v>
      </c>
      <c r="P145" s="9">
        <v>1.5026687644422054E-2</v>
      </c>
      <c r="Q145" s="9">
        <v>1</v>
      </c>
      <c r="R145" s="9">
        <v>0</v>
      </c>
      <c r="S145" s="9">
        <v>0</v>
      </c>
      <c r="T145" s="9">
        <v>0</v>
      </c>
      <c r="U145" s="9">
        <v>0</v>
      </c>
      <c r="V145" s="9">
        <v>1</v>
      </c>
      <c r="W145" s="9">
        <v>0</v>
      </c>
      <c r="X145" s="9">
        <v>-1.9788413047790527</v>
      </c>
      <c r="Y145">
        <f t="shared" si="16"/>
        <v>0.15063574911697622</v>
      </c>
      <c r="Z145">
        <f t="shared" si="17"/>
        <v>0.13822931019625925</v>
      </c>
      <c r="AA145">
        <f t="shared" si="18"/>
        <v>1.2406438920716967E-2</v>
      </c>
      <c r="AB145">
        <f t="shared" si="19"/>
        <v>1.5391972669348078E-4</v>
      </c>
      <c r="AC145" t="str">
        <f>VLOOKUP(A145, 'state-ids'!$A$1:$B$28, 2)</f>
        <v>MA</v>
      </c>
      <c r="AD145">
        <f>VLOOKUP(A145, 'state-ids'!$A$1:$C$28, 3)</f>
        <v>3.0837322E-2</v>
      </c>
      <c r="AE145">
        <f>VLOOKUP(A145, 'state-ids'!$A$1:$D$28, 4)</f>
        <v>0.88261568999999995</v>
      </c>
      <c r="AF145">
        <f t="shared" si="20"/>
        <v>7.586142837921149E-2</v>
      </c>
      <c r="AG145">
        <f t="shared" si="21"/>
        <v>0.14760089909600305</v>
      </c>
      <c r="AH145">
        <f t="shared" si="22"/>
        <v>0.12945274936913365</v>
      </c>
      <c r="AI145">
        <f t="shared" si="23"/>
        <v>1.81481497268694E-2</v>
      </c>
      <c r="AJ145" s="12"/>
    </row>
    <row r="146" spans="1:36" x14ac:dyDescent="0.25">
      <c r="A146" s="9">
        <v>22</v>
      </c>
      <c r="B146" s="9">
        <v>2006</v>
      </c>
      <c r="C146" s="9">
        <v>-2.7417032668890182</v>
      </c>
      <c r="D146" s="9">
        <v>0.9242589015233319</v>
      </c>
      <c r="E146" s="9">
        <v>0.91880756199842939</v>
      </c>
      <c r="F146" s="9">
        <v>0.86558673749944925</v>
      </c>
      <c r="G146" s="9">
        <v>0.75141608868392118</v>
      </c>
      <c r="H146" s="9">
        <v>0.6832483483806977</v>
      </c>
      <c r="I146" s="9">
        <v>0.58700858449827797</v>
      </c>
      <c r="J146" s="9">
        <v>-11.51292546497023</v>
      </c>
      <c r="K146" s="9">
        <v>1.090797042355631</v>
      </c>
      <c r="L146" s="9">
        <v>-2.4851958602947479</v>
      </c>
      <c r="M146" s="9">
        <v>1.7796680853385549</v>
      </c>
      <c r="N146" s="9">
        <v>1.624263083542117</v>
      </c>
      <c r="O146" s="9">
        <v>-11.51292546497023</v>
      </c>
      <c r="P146" s="9">
        <v>0.15540499985218048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1</v>
      </c>
      <c r="W146" s="9">
        <v>0</v>
      </c>
      <c r="X146" s="9">
        <v>-2.5972445011138916</v>
      </c>
      <c r="Y146">
        <f t="shared" si="16"/>
        <v>6.4460459969238715E-2</v>
      </c>
      <c r="Z146">
        <f t="shared" si="17"/>
        <v>7.4478521206790674E-2</v>
      </c>
      <c r="AA146">
        <f t="shared" si="18"/>
        <v>-1.0018061237551959E-2</v>
      </c>
      <c r="AB146">
        <f t="shared" si="19"/>
        <v>1.0036155095934109E-4</v>
      </c>
      <c r="AC146" t="str">
        <f>VLOOKUP(A146, 'state-ids'!$A$1:$B$28, 2)</f>
        <v>PI</v>
      </c>
      <c r="AD146">
        <f>VLOOKUP(A146, 'state-ids'!$A$1:$C$28, 3)</f>
        <v>2.9989333999999999E-2</v>
      </c>
      <c r="AE146">
        <f>VLOOKUP(A146, 'state-ids'!$A$1:$D$28, 4)</f>
        <v>0.87431186000000005</v>
      </c>
      <c r="AF146">
        <f t="shared" si="20"/>
        <v>-7.0115167574283974E-2</v>
      </c>
      <c r="AG146">
        <f t="shared" si="21"/>
        <v>7.9225483670930227E-2</v>
      </c>
      <c r="AH146">
        <f t="shared" si="22"/>
        <v>7.0015983041397528E-2</v>
      </c>
      <c r="AI146">
        <f t="shared" si="23"/>
        <v>9.2095006295326992E-3</v>
      </c>
      <c r="AJ146" s="12"/>
    </row>
    <row r="147" spans="1:36" x14ac:dyDescent="0.25">
      <c r="A147" s="9">
        <v>22</v>
      </c>
      <c r="B147" s="9">
        <v>2007</v>
      </c>
      <c r="C147" s="9">
        <v>-2.6679518417291561</v>
      </c>
      <c r="D147" s="9">
        <v>0.89637369803379618</v>
      </c>
      <c r="E147" s="9">
        <v>0.9242589015233319</v>
      </c>
      <c r="F147" s="9">
        <v>0.91880756199842939</v>
      </c>
      <c r="G147" s="9">
        <v>0.60867802393349535</v>
      </c>
      <c r="H147" s="9">
        <v>0.75141608868392118</v>
      </c>
      <c r="I147" s="9">
        <v>0.6832483483806977</v>
      </c>
      <c r="J147" s="9">
        <v>-11.51292546497023</v>
      </c>
      <c r="K147" s="9">
        <v>1.090797042355631</v>
      </c>
      <c r="L147" s="9">
        <v>-2.364682292812764</v>
      </c>
      <c r="M147" s="9">
        <v>1.732619982246111</v>
      </c>
      <c r="N147" s="9">
        <v>1.767296839428945</v>
      </c>
      <c r="O147" s="9">
        <v>-11.51292546497023</v>
      </c>
      <c r="P147" s="9">
        <v>-3.467685729265213E-2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1</v>
      </c>
      <c r="W147" s="9">
        <v>0</v>
      </c>
      <c r="X147" s="9">
        <v>-2.5649220943450928</v>
      </c>
      <c r="Y147">
        <f t="shared" si="16"/>
        <v>6.9394210181497801E-2</v>
      </c>
      <c r="Z147">
        <f t="shared" si="17"/>
        <v>7.6925174114468156E-2</v>
      </c>
      <c r="AA147">
        <f t="shared" si="18"/>
        <v>-7.5309639329703554E-3</v>
      </c>
      <c r="AB147">
        <f t="shared" si="19"/>
        <v>5.6715417759700322E-5</v>
      </c>
      <c r="AC147" t="str">
        <f>VLOOKUP(A147, 'state-ids'!$A$1:$B$28, 2)</f>
        <v>PI</v>
      </c>
      <c r="AD147">
        <f>VLOOKUP(A147, 'state-ids'!$A$1:$C$28, 3)</f>
        <v>2.9989333999999999E-2</v>
      </c>
      <c r="AE147">
        <f>VLOOKUP(A147, 'state-ids'!$A$1:$D$28, 4)</f>
        <v>0.87431186000000005</v>
      </c>
      <c r="AF147">
        <f t="shared" si="20"/>
        <v>-9.0080130070690559E-2</v>
      </c>
      <c r="AG147">
        <f t="shared" si="21"/>
        <v>8.1828076429820332E-2</v>
      </c>
      <c r="AH147">
        <f t="shared" si="22"/>
        <v>7.2316039563955256E-2</v>
      </c>
      <c r="AI147">
        <f t="shared" si="23"/>
        <v>9.5120368658650756E-3</v>
      </c>
      <c r="AJ147" s="12"/>
    </row>
    <row r="148" spans="1:36" x14ac:dyDescent="0.25">
      <c r="A148" s="9">
        <v>22</v>
      </c>
      <c r="B148" s="9">
        <v>2008</v>
      </c>
      <c r="C148" s="9">
        <v>-2.5370566115124791</v>
      </c>
      <c r="D148" s="9">
        <v>0.8545429795827455</v>
      </c>
      <c r="E148" s="9">
        <v>0.89637369803379618</v>
      </c>
      <c r="F148" s="9">
        <v>0.9242589015233319</v>
      </c>
      <c r="G148" s="9">
        <v>0.54615415681928514</v>
      </c>
      <c r="H148" s="9">
        <v>0.60867802393349535</v>
      </c>
      <c r="I148" s="9">
        <v>0.75141608868392118</v>
      </c>
      <c r="J148" s="9">
        <v>-11.51292546497023</v>
      </c>
      <c r="K148" s="9">
        <v>1.090797042355631</v>
      </c>
      <c r="L148" s="9">
        <v>-2.2254787055347012</v>
      </c>
      <c r="M148" s="9">
        <v>1.8014473158845341</v>
      </c>
      <c r="N148" s="9">
        <v>1.7204002370384639</v>
      </c>
      <c r="O148" s="9">
        <v>-11.51292546497023</v>
      </c>
      <c r="P148" s="9">
        <v>8.1047080457210541E-2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1</v>
      </c>
      <c r="W148" s="9">
        <v>0</v>
      </c>
      <c r="X148" s="9">
        <v>-2.4615867137908936</v>
      </c>
      <c r="Y148">
        <f t="shared" si="16"/>
        <v>7.9098876210240573E-2</v>
      </c>
      <c r="Z148">
        <f t="shared" si="17"/>
        <v>8.5299497643644209E-2</v>
      </c>
      <c r="AA148">
        <f t="shared" si="18"/>
        <v>-6.2006214334036358E-3</v>
      </c>
      <c r="AB148">
        <f t="shared" si="19"/>
        <v>3.8447706160384561E-5</v>
      </c>
      <c r="AC148" t="str">
        <f>VLOOKUP(A148, 'state-ids'!$A$1:$B$28, 2)</f>
        <v>PI</v>
      </c>
      <c r="AD148">
        <f>VLOOKUP(A148, 'state-ids'!$A$1:$C$28, 3)</f>
        <v>2.9989333999999999E-2</v>
      </c>
      <c r="AE148">
        <f>VLOOKUP(A148, 'state-ids'!$A$1:$D$28, 4)</f>
        <v>0.87431186000000005</v>
      </c>
      <c r="AF148">
        <f t="shared" si="20"/>
        <v>-6.5984226650969202E-2</v>
      </c>
      <c r="AG148">
        <f t="shared" si="21"/>
        <v>9.0736145780092717E-2</v>
      </c>
      <c r="AH148">
        <f t="shared" si="22"/>
        <v>8.0188597782102411E-2</v>
      </c>
      <c r="AI148">
        <f t="shared" si="23"/>
        <v>1.0547547997990306E-2</v>
      </c>
      <c r="AJ148" s="12"/>
    </row>
    <row r="149" spans="1:36" x14ac:dyDescent="0.25">
      <c r="A149" s="9">
        <v>22</v>
      </c>
      <c r="B149" s="9">
        <v>2009</v>
      </c>
      <c r="C149" s="9">
        <v>-2.4214216906929669</v>
      </c>
      <c r="D149" s="9">
        <v>0.80074519115796339</v>
      </c>
      <c r="E149" s="9">
        <v>0.8545429795827455</v>
      </c>
      <c r="F149" s="9">
        <v>0.89637369803379618</v>
      </c>
      <c r="G149" s="9">
        <v>0.49341493350619681</v>
      </c>
      <c r="H149" s="9">
        <v>0.54615415681928514</v>
      </c>
      <c r="I149" s="9">
        <v>0.60867802393349535</v>
      </c>
      <c r="J149" s="9">
        <v>-11.51292546497023</v>
      </c>
      <c r="K149" s="9">
        <v>1.090797042355631</v>
      </c>
      <c r="L149" s="9">
        <v>-2.0901934209052611</v>
      </c>
      <c r="M149" s="9">
        <v>1.8765724808055899</v>
      </c>
      <c r="N149" s="9">
        <v>1.790757458948911</v>
      </c>
      <c r="O149" s="9">
        <v>-11.51292546497023</v>
      </c>
      <c r="P149" s="9">
        <v>8.5815019905567169E-2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1</v>
      </c>
      <c r="W149" s="9">
        <v>0</v>
      </c>
      <c r="X149" s="9">
        <v>-2.358004093170166</v>
      </c>
      <c r="Y149">
        <f t="shared" si="16"/>
        <v>8.8795288245252846E-2</v>
      </c>
      <c r="Z149">
        <f t="shared" si="17"/>
        <v>9.460886535812027E-2</v>
      </c>
      <c r="AA149">
        <f t="shared" si="18"/>
        <v>-5.8135771128674241E-3</v>
      </c>
      <c r="AB149">
        <f t="shared" si="19"/>
        <v>3.3797678847255937E-5</v>
      </c>
      <c r="AC149" t="str">
        <f>VLOOKUP(A149, 'state-ids'!$A$1:$B$28, 2)</f>
        <v>PI</v>
      </c>
      <c r="AD149">
        <f>VLOOKUP(A149, 'state-ids'!$A$1:$C$28, 3)</f>
        <v>2.9989333999999999E-2</v>
      </c>
      <c r="AE149">
        <f>VLOOKUP(A149, 'state-ids'!$A$1:$D$28, 4)</f>
        <v>0.87431186000000005</v>
      </c>
      <c r="AF149">
        <f t="shared" si="20"/>
        <v>-5.5446757646891408E-2</v>
      </c>
      <c r="AG149">
        <f t="shared" si="21"/>
        <v>0.10063885528478496</v>
      </c>
      <c r="AH149">
        <f t="shared" si="22"/>
        <v>8.8940175035001207E-2</v>
      </c>
      <c r="AI149">
        <f t="shared" si="23"/>
        <v>1.1698680249783752E-2</v>
      </c>
      <c r="AJ149" s="12"/>
    </row>
    <row r="150" spans="1:36" x14ac:dyDescent="0.25">
      <c r="A150" s="9">
        <v>22</v>
      </c>
      <c r="B150" s="9">
        <v>2010</v>
      </c>
      <c r="C150" s="9">
        <v>-2.2082007102813228</v>
      </c>
      <c r="D150" s="9">
        <v>0.7236763855947681</v>
      </c>
      <c r="E150" s="9">
        <v>0.80074519115796339</v>
      </c>
      <c r="F150" s="9">
        <v>0.8545429795827455</v>
      </c>
      <c r="G150" s="9">
        <v>0.49255981495909817</v>
      </c>
      <c r="H150" s="9">
        <v>0.49341493350619681</v>
      </c>
      <c r="I150" s="9">
        <v>0.54615415681928514</v>
      </c>
      <c r="J150" s="9">
        <v>-11.51292546497023</v>
      </c>
      <c r="K150" s="9">
        <v>1.090797042355631</v>
      </c>
      <c r="L150" s="9">
        <v>-1.931148313878714</v>
      </c>
      <c r="M150" s="9">
        <v>1.95807987253376</v>
      </c>
      <c r="N150" s="9">
        <v>1.8773673090886771</v>
      </c>
      <c r="O150" s="9">
        <v>-11.51292546497023</v>
      </c>
      <c r="P150" s="9">
        <v>8.0712564289569855E-2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1</v>
      </c>
      <c r="W150" s="9">
        <v>0</v>
      </c>
      <c r="X150" s="9">
        <v>-2.1726603507995605</v>
      </c>
      <c r="Y150">
        <f t="shared" si="16"/>
        <v>0.10989820944589365</v>
      </c>
      <c r="Z150">
        <f t="shared" si="17"/>
        <v>0.11387426808245663</v>
      </c>
      <c r="AA150">
        <f t="shared" si="18"/>
        <v>-3.9760586365629735E-3</v>
      </c>
      <c r="AB150">
        <f t="shared" si="19"/>
        <v>1.5809042281387014E-5</v>
      </c>
      <c r="AC150" t="str">
        <f>VLOOKUP(A150, 'state-ids'!$A$1:$B$28, 2)</f>
        <v>PI</v>
      </c>
      <c r="AD150">
        <f>VLOOKUP(A150, 'state-ids'!$A$1:$C$28, 3)</f>
        <v>2.9989333999999999E-2</v>
      </c>
      <c r="AE150">
        <f>VLOOKUP(A150, 'state-ids'!$A$1:$D$28, 4)</f>
        <v>0.87431186000000005</v>
      </c>
      <c r="AF150">
        <f t="shared" si="20"/>
        <v>-3.1073357803568201E-2</v>
      </c>
      <c r="AG150">
        <f t="shared" si="21"/>
        <v>0.12113215757139965</v>
      </c>
      <c r="AH150">
        <f t="shared" si="22"/>
        <v>0.10705125039708616</v>
      </c>
      <c r="AI150">
        <f t="shared" si="23"/>
        <v>1.4080907174313498E-2</v>
      </c>
      <c r="AJ150" s="12"/>
    </row>
    <row r="151" spans="1:36" x14ac:dyDescent="0.25">
      <c r="A151" s="9">
        <v>22</v>
      </c>
      <c r="B151" s="9">
        <v>2011</v>
      </c>
      <c r="C151" s="9">
        <v>-2.127864435876516</v>
      </c>
      <c r="D151" s="9">
        <v>0.71476189053235328</v>
      </c>
      <c r="E151" s="9">
        <v>0.7236763855947681</v>
      </c>
      <c r="F151" s="9">
        <v>0.80074519115796339</v>
      </c>
      <c r="G151" s="9">
        <v>0.56064383074685153</v>
      </c>
      <c r="H151" s="9">
        <v>0.49255981495909817</v>
      </c>
      <c r="I151" s="9">
        <v>0.49341493350619681</v>
      </c>
      <c r="J151" s="9">
        <v>-6.6657881709257252</v>
      </c>
      <c r="K151" s="9">
        <v>1.090797042355631</v>
      </c>
      <c r="L151" s="9">
        <v>-1.7876086576556209</v>
      </c>
      <c r="M151" s="9">
        <v>2.0316048036389418</v>
      </c>
      <c r="N151" s="9">
        <v>1.9588750146332901</v>
      </c>
      <c r="O151" s="9">
        <v>-11.51292546497023</v>
      </c>
      <c r="P151" s="9">
        <v>7.2729788720607758E-2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1</v>
      </c>
      <c r="W151" s="9">
        <v>0</v>
      </c>
      <c r="X151" s="9">
        <v>-2.0319442749023438</v>
      </c>
      <c r="Y151">
        <f t="shared" si="16"/>
        <v>0.11909134969340784</v>
      </c>
      <c r="Z151">
        <f t="shared" si="17"/>
        <v>0.13108041686772531</v>
      </c>
      <c r="AA151">
        <f t="shared" si="18"/>
        <v>-1.1989067174317469E-2</v>
      </c>
      <c r="AB151">
        <f t="shared" si="19"/>
        <v>1.4373773171029667E-4</v>
      </c>
      <c r="AC151" t="str">
        <f>VLOOKUP(A151, 'state-ids'!$A$1:$B$28, 2)</f>
        <v>PI</v>
      </c>
      <c r="AD151">
        <f>VLOOKUP(A151, 'state-ids'!$A$1:$C$28, 3)</f>
        <v>2.9989333999999999E-2</v>
      </c>
      <c r="AE151">
        <f>VLOOKUP(A151, 'state-ids'!$A$1:$D$28, 4)</f>
        <v>0.87431186000000005</v>
      </c>
      <c r="AF151">
        <f t="shared" si="20"/>
        <v>-8.3864134352827926E-2</v>
      </c>
      <c r="AG151">
        <f t="shared" si="21"/>
        <v>0.1394349573254664</v>
      </c>
      <c r="AH151">
        <f t="shared" si="22"/>
        <v>0.12322645637643494</v>
      </c>
      <c r="AI151">
        <f t="shared" si="23"/>
        <v>1.6208500949031465E-2</v>
      </c>
      <c r="AJ151" s="12"/>
    </row>
    <row r="152" spans="1:36" x14ac:dyDescent="0.25">
      <c r="A152" s="9">
        <v>22</v>
      </c>
      <c r="B152" s="9">
        <v>2012</v>
      </c>
      <c r="C152" s="9">
        <v>-1.9384638846484969</v>
      </c>
      <c r="D152" s="9">
        <v>0.62748803175367107</v>
      </c>
      <c r="E152" s="9">
        <v>0.71476189053235328</v>
      </c>
      <c r="F152" s="9">
        <v>0.7236763855947681</v>
      </c>
      <c r="G152" s="9">
        <v>0.50386142996435779</v>
      </c>
      <c r="H152" s="9">
        <v>0.56064383074685153</v>
      </c>
      <c r="I152" s="9">
        <v>0.49255981495909817</v>
      </c>
      <c r="J152" s="9">
        <v>-6.4491260749965029</v>
      </c>
      <c r="K152" s="9">
        <v>1.090797042355631</v>
      </c>
      <c r="L152" s="9">
        <v>-1.669451473269018</v>
      </c>
      <c r="M152" s="9">
        <v>2.047573872737356</v>
      </c>
      <c r="N152" s="9">
        <v>2.025123348253953</v>
      </c>
      <c r="O152" s="9">
        <v>-11.51292546497023</v>
      </c>
      <c r="P152" s="9">
        <v>2.2450525313615799E-2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1</v>
      </c>
      <c r="W152" s="9">
        <v>0</v>
      </c>
      <c r="X152" s="9">
        <v>-1.8601638078689575</v>
      </c>
      <c r="Y152">
        <f t="shared" si="16"/>
        <v>0.14392486525341461</v>
      </c>
      <c r="Z152">
        <f t="shared" si="17"/>
        <v>0.15564713205463093</v>
      </c>
      <c r="AA152">
        <f t="shared" si="18"/>
        <v>-1.1722266801216324E-2</v>
      </c>
      <c r="AB152">
        <f t="shared" si="19"/>
        <v>1.3741153895889839E-4</v>
      </c>
      <c r="AC152" t="str">
        <f>VLOOKUP(A152, 'state-ids'!$A$1:$B$28, 2)</f>
        <v>PI</v>
      </c>
      <c r="AD152">
        <f>VLOOKUP(A152, 'state-ids'!$A$1:$C$28, 3)</f>
        <v>2.9989333999999999E-2</v>
      </c>
      <c r="AE152">
        <f>VLOOKUP(A152, 'state-ids'!$A$1:$D$28, 4)</f>
        <v>0.87431186000000005</v>
      </c>
      <c r="AF152">
        <f t="shared" si="20"/>
        <v>-6.8458685767261926E-2</v>
      </c>
      <c r="AG152">
        <f t="shared" si="21"/>
        <v>0.16556745648565552</v>
      </c>
      <c r="AH152">
        <f t="shared" si="22"/>
        <v>0.14632120484939998</v>
      </c>
      <c r="AI152">
        <f t="shared" si="23"/>
        <v>1.924625163625554E-2</v>
      </c>
      <c r="AJ152" s="12"/>
    </row>
    <row r="153" spans="1:36" x14ac:dyDescent="0.25">
      <c r="A153" s="9">
        <v>22</v>
      </c>
      <c r="B153" s="9">
        <v>2013</v>
      </c>
      <c r="C153" s="9">
        <v>-1.851334602865897</v>
      </c>
      <c r="D153" s="9">
        <v>0.62288564751927877</v>
      </c>
      <c r="E153" s="9">
        <v>0.62748803175367107</v>
      </c>
      <c r="F153" s="9">
        <v>0.71476189053235328</v>
      </c>
      <c r="G153" s="9">
        <v>0.5019261405789579</v>
      </c>
      <c r="H153" s="9">
        <v>0.50386142996435779</v>
      </c>
      <c r="I153" s="9">
        <v>0.56064383074685153</v>
      </c>
      <c r="J153" s="9">
        <v>-5.5009963238221262</v>
      </c>
      <c r="K153" s="9">
        <v>1.090797042355631</v>
      </c>
      <c r="L153" s="9">
        <v>-1.5648872687125539</v>
      </c>
      <c r="M153" s="9">
        <v>2.056199324434782</v>
      </c>
      <c r="N153" s="9">
        <v>2.0401921788843018</v>
      </c>
      <c r="O153" s="9">
        <v>-11.51292546497023</v>
      </c>
      <c r="P153" s="9">
        <v>1.6007145866751671E-2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1</v>
      </c>
      <c r="W153" s="9">
        <v>0</v>
      </c>
      <c r="X153" s="9">
        <v>-1.7722241878509521</v>
      </c>
      <c r="Y153">
        <f t="shared" si="16"/>
        <v>0.1570274571112184</v>
      </c>
      <c r="Z153">
        <f t="shared" si="17"/>
        <v>0.16995455726849201</v>
      </c>
      <c r="AA153">
        <f t="shared" si="18"/>
        <v>-1.2927100157273608E-2</v>
      </c>
      <c r="AB153">
        <f t="shared" si="19"/>
        <v>1.6710991847618332E-4</v>
      </c>
      <c r="AC153" t="str">
        <f>VLOOKUP(A153, 'state-ids'!$A$1:$B$28, 2)</f>
        <v>PI</v>
      </c>
      <c r="AD153">
        <f>VLOOKUP(A153, 'state-ids'!$A$1:$C$28, 3)</f>
        <v>2.9989333999999999E-2</v>
      </c>
      <c r="AE153">
        <f>VLOOKUP(A153, 'state-ids'!$A$1:$D$28, 4)</f>
        <v>0.87431186000000005</v>
      </c>
      <c r="AF153">
        <f t="shared" si="20"/>
        <v>-6.9167174097088377E-2</v>
      </c>
      <c r="AG153">
        <f t="shared" si="21"/>
        <v>0.1807867796446988</v>
      </c>
      <c r="AH153">
        <f t="shared" si="22"/>
        <v>0.15977137041268222</v>
      </c>
      <c r="AI153">
        <f t="shared" si="23"/>
        <v>2.1015409232016585E-2</v>
      </c>
      <c r="AJ153" s="12"/>
    </row>
    <row r="154" spans="1:36" x14ac:dyDescent="0.25">
      <c r="A154" s="9">
        <v>22</v>
      </c>
      <c r="B154" s="9">
        <v>2014</v>
      </c>
      <c r="C154" s="9">
        <v>-1.7250043316309409</v>
      </c>
      <c r="D154" s="9">
        <v>0.60042863955673875</v>
      </c>
      <c r="E154" s="9">
        <v>0.62288564751927877</v>
      </c>
      <c r="F154" s="9">
        <v>0.62748803175367107</v>
      </c>
      <c r="G154" s="9">
        <v>0.49621947137662858</v>
      </c>
      <c r="H154" s="9">
        <v>0.5019261405789579</v>
      </c>
      <c r="I154" s="9">
        <v>0.50386142996435779</v>
      </c>
      <c r="J154" s="9">
        <v>-4.6680567183432871</v>
      </c>
      <c r="K154" s="9">
        <v>1.090797042355631</v>
      </c>
      <c r="L154" s="9">
        <v>-1.4703241790521</v>
      </c>
      <c r="M154" s="9">
        <v>2.1645396151373499</v>
      </c>
      <c r="N154" s="9">
        <v>2.052890905712994</v>
      </c>
      <c r="O154" s="9">
        <v>-11.51292546497023</v>
      </c>
      <c r="P154" s="9">
        <v>0.11164870858192444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1</v>
      </c>
      <c r="W154" s="9">
        <v>0</v>
      </c>
      <c r="X154" s="9">
        <v>-1.663596510887146</v>
      </c>
      <c r="Y154">
        <f t="shared" si="16"/>
        <v>0.17817227999466606</v>
      </c>
      <c r="Z154">
        <f t="shared" si="17"/>
        <v>0.18945637143006272</v>
      </c>
      <c r="AA154">
        <f t="shared" si="18"/>
        <v>-1.1284091435396659E-2</v>
      </c>
      <c r="AB154">
        <f t="shared" si="19"/>
        <v>1.2733071952239223E-4</v>
      </c>
      <c r="AC154" t="str">
        <f>VLOOKUP(A154, 'state-ids'!$A$1:$B$28, 2)</f>
        <v>PI</v>
      </c>
      <c r="AD154">
        <f>VLOOKUP(A154, 'state-ids'!$A$1:$C$28, 3)</f>
        <v>2.9989333999999999E-2</v>
      </c>
      <c r="AE154">
        <f>VLOOKUP(A154, 'state-ids'!$A$1:$D$28, 4)</f>
        <v>0.87431186000000005</v>
      </c>
      <c r="AF154">
        <f t="shared" si="20"/>
        <v>-5.368958597305392E-2</v>
      </c>
      <c r="AG154">
        <f t="shared" si="21"/>
        <v>0.20153156128612279</v>
      </c>
      <c r="AH154">
        <f t="shared" si="22"/>
        <v>0.17810469212058591</v>
      </c>
      <c r="AI154">
        <f t="shared" si="23"/>
        <v>2.3426869165536879E-2</v>
      </c>
      <c r="AJ154" s="12"/>
    </row>
    <row r="155" spans="1:36" x14ac:dyDescent="0.25">
      <c r="A155" s="9">
        <v>22</v>
      </c>
      <c r="B155" s="9">
        <v>2015</v>
      </c>
      <c r="C155" s="9">
        <v>-1.709276608751034</v>
      </c>
      <c r="D155" s="9">
        <v>0.64048452797663935</v>
      </c>
      <c r="E155" s="9">
        <v>0.60042863955673875</v>
      </c>
      <c r="F155" s="9">
        <v>0.62288564751927877</v>
      </c>
      <c r="G155" s="9">
        <v>0.46304195291218431</v>
      </c>
      <c r="H155" s="9">
        <v>0.49621947137662858</v>
      </c>
      <c r="I155" s="9">
        <v>0.5019261405789579</v>
      </c>
      <c r="J155" s="9">
        <v>-4.2655015574558997</v>
      </c>
      <c r="K155" s="9">
        <v>1.090797042355631</v>
      </c>
      <c r="L155" s="9">
        <v>-1.3976885176837111</v>
      </c>
      <c r="M155" s="9">
        <v>2.1258028532792732</v>
      </c>
      <c r="N155" s="9">
        <v>2.1616296679165679</v>
      </c>
      <c r="O155" s="9">
        <v>-11.51292546497023</v>
      </c>
      <c r="P155" s="9">
        <v>-3.582681342959404E-2</v>
      </c>
      <c r="Q155" s="9">
        <v>1</v>
      </c>
      <c r="R155" s="9">
        <v>0</v>
      </c>
      <c r="S155" s="9">
        <v>0</v>
      </c>
      <c r="T155" s="9">
        <v>0</v>
      </c>
      <c r="U155" s="9">
        <v>0</v>
      </c>
      <c r="V155" s="9">
        <v>1</v>
      </c>
      <c r="W155" s="9">
        <v>0</v>
      </c>
      <c r="X155" s="9">
        <v>-1.716910719871521</v>
      </c>
      <c r="Y155">
        <f t="shared" si="16"/>
        <v>0.18099667668322506</v>
      </c>
      <c r="Z155">
        <f t="shared" si="17"/>
        <v>0.17962018875697564</v>
      </c>
      <c r="AA155">
        <f t="shared" si="18"/>
        <v>1.3764879262494201E-3</v>
      </c>
      <c r="AB155">
        <f t="shared" si="19"/>
        <v>1.8947190111104288E-6</v>
      </c>
      <c r="AC155" t="str">
        <f>VLOOKUP(A155, 'state-ids'!$A$1:$B$28, 2)</f>
        <v>PI</v>
      </c>
      <c r="AD155">
        <f>VLOOKUP(A155, 'state-ids'!$A$1:$C$28, 3)</f>
        <v>2.9989333999999999E-2</v>
      </c>
      <c r="AE155">
        <f>VLOOKUP(A155, 'state-ids'!$A$1:$D$28, 4)</f>
        <v>0.87431186000000005</v>
      </c>
      <c r="AF155">
        <f t="shared" si="20"/>
        <v>6.6745938931996318E-3</v>
      </c>
      <c r="AG155">
        <f t="shared" si="21"/>
        <v>0.19106845974860331</v>
      </c>
      <c r="AH155">
        <f t="shared" si="22"/>
        <v>0.16885786514185475</v>
      </c>
      <c r="AI155">
        <f t="shared" si="23"/>
        <v>2.2210594606748568E-2</v>
      </c>
      <c r="AJ155" s="12"/>
    </row>
    <row r="156" spans="1:36" x14ac:dyDescent="0.25">
      <c r="A156" s="9">
        <v>22</v>
      </c>
      <c r="B156" s="9">
        <v>2016</v>
      </c>
      <c r="C156" s="9">
        <v>-1.684419044627796</v>
      </c>
      <c r="D156" s="9">
        <v>0.69524497864209145</v>
      </c>
      <c r="E156" s="9">
        <v>0.64048452797663935</v>
      </c>
      <c r="F156" s="9">
        <v>0.60042863955673875</v>
      </c>
      <c r="G156" s="9">
        <v>0.52591126118403153</v>
      </c>
      <c r="H156" s="9">
        <v>0.46304195291218431</v>
      </c>
      <c r="I156" s="9">
        <v>0.49621947137662858</v>
      </c>
      <c r="J156" s="9">
        <v>-3.8850503713206179</v>
      </c>
      <c r="K156" s="9">
        <v>1.090797042355631</v>
      </c>
      <c r="L156" s="9">
        <v>-1.3445155182719659</v>
      </c>
      <c r="M156" s="9">
        <v>2.1016394077339058</v>
      </c>
      <c r="N156" s="9">
        <v>2.1232617871584529</v>
      </c>
      <c r="O156" s="9">
        <v>-11.51292546497023</v>
      </c>
      <c r="P156" s="9">
        <v>-2.1622380241751671E-2</v>
      </c>
      <c r="Q156" s="9">
        <v>1</v>
      </c>
      <c r="R156" s="9">
        <v>0</v>
      </c>
      <c r="S156" s="9">
        <v>0</v>
      </c>
      <c r="T156" s="9">
        <v>0</v>
      </c>
      <c r="U156" s="9">
        <v>0</v>
      </c>
      <c r="V156" s="9">
        <v>1</v>
      </c>
      <c r="W156" s="9">
        <v>0</v>
      </c>
      <c r="X156" s="9">
        <v>-1.7152915000915527</v>
      </c>
      <c r="Y156">
        <f t="shared" si="16"/>
        <v>0.18555219819561794</v>
      </c>
      <c r="Z156">
        <f t="shared" si="17"/>
        <v>0.17991126891727119</v>
      </c>
      <c r="AA156">
        <f t="shared" si="18"/>
        <v>5.6409292783467513E-3</v>
      </c>
      <c r="AB156">
        <f t="shared" si="19"/>
        <v>3.1820083123309604E-5</v>
      </c>
      <c r="AC156" t="str">
        <f>VLOOKUP(A156, 'state-ids'!$A$1:$B$28, 2)</f>
        <v>PI</v>
      </c>
      <c r="AD156">
        <f>VLOOKUP(A156, 'state-ids'!$A$1:$C$28, 3)</f>
        <v>2.9989333999999999E-2</v>
      </c>
      <c r="AE156">
        <f>VLOOKUP(A156, 'state-ids'!$A$1:$D$28, 4)</f>
        <v>0.87431186000000005</v>
      </c>
      <c r="AF156">
        <f t="shared" si="20"/>
        <v>2.6992153959284303E-2</v>
      </c>
      <c r="AG156">
        <f t="shared" si="21"/>
        <v>0.19137809219179319</v>
      </c>
      <c r="AH156">
        <f t="shared" si="22"/>
        <v>0.16913150461853493</v>
      </c>
      <c r="AI156">
        <f t="shared" si="23"/>
        <v>2.2246587573258259E-2</v>
      </c>
      <c r="AJ156" s="12"/>
    </row>
    <row r="157" spans="1:36" x14ac:dyDescent="0.25">
      <c r="A157" s="9">
        <v>22</v>
      </c>
      <c r="B157" s="9">
        <v>2017</v>
      </c>
      <c r="C157" s="9">
        <v>-1.667094603337729</v>
      </c>
      <c r="D157" s="9">
        <v>0.6634093622959889</v>
      </c>
      <c r="E157" s="9">
        <v>0.69524497864209145</v>
      </c>
      <c r="F157" s="9">
        <v>0.64048452797663935</v>
      </c>
      <c r="G157" s="9">
        <v>0.49035757512612699</v>
      </c>
      <c r="H157" s="9">
        <v>0.52591126118403153</v>
      </c>
      <c r="I157" s="9">
        <v>0.46304195291218431</v>
      </c>
      <c r="J157" s="9">
        <v>-3.1941039439846679</v>
      </c>
      <c r="K157" s="9">
        <v>1.090797042355631</v>
      </c>
      <c r="L157" s="9">
        <v>-1.29862280126731</v>
      </c>
      <c r="M157" s="9">
        <v>2.1544456128443699</v>
      </c>
      <c r="N157" s="9">
        <v>2.0994386545099091</v>
      </c>
      <c r="O157" s="9">
        <v>-11.51292546497023</v>
      </c>
      <c r="P157" s="9">
        <v>5.5006958544254303E-2</v>
      </c>
      <c r="Q157" s="9">
        <v>1</v>
      </c>
      <c r="R157" s="9">
        <v>0</v>
      </c>
      <c r="S157" s="9">
        <v>0</v>
      </c>
      <c r="T157" s="9">
        <v>0</v>
      </c>
      <c r="U157" s="9">
        <v>0</v>
      </c>
      <c r="V157" s="9">
        <v>1</v>
      </c>
      <c r="W157" s="9">
        <v>0</v>
      </c>
      <c r="X157" s="9">
        <v>-1.6804401874542236</v>
      </c>
      <c r="Y157">
        <f t="shared" si="16"/>
        <v>0.1887947933327471</v>
      </c>
      <c r="Z157">
        <f t="shared" si="17"/>
        <v>0.1862919546070908</v>
      </c>
      <c r="AA157">
        <f t="shared" si="18"/>
        <v>2.5028387256562923E-3</v>
      </c>
      <c r="AB157">
        <f t="shared" si="19"/>
        <v>6.2642016866448128E-6</v>
      </c>
      <c r="AC157" t="str">
        <f>VLOOKUP(A157, 'state-ids'!$A$1:$B$28, 2)</f>
        <v>PI</v>
      </c>
      <c r="AD157">
        <f>VLOOKUP(A157, 'state-ids'!$A$1:$C$28, 3)</f>
        <v>2.9989333999999999E-2</v>
      </c>
      <c r="AE157">
        <f>VLOOKUP(A157, 'state-ids'!$A$1:$D$28, 4)</f>
        <v>0.87431186000000005</v>
      </c>
      <c r="AF157">
        <f t="shared" si="20"/>
        <v>1.1668202471678912E-2</v>
      </c>
      <c r="AG157">
        <f t="shared" si="21"/>
        <v>0.19816545721646356</v>
      </c>
      <c r="AH157">
        <f t="shared" si="22"/>
        <v>0.17512987802622504</v>
      </c>
      <c r="AI157">
        <f t="shared" si="23"/>
        <v>2.303557919023852E-2</v>
      </c>
      <c r="AJ157" s="12"/>
    </row>
    <row r="158" spans="1:36" x14ac:dyDescent="0.25">
      <c r="A158" s="9">
        <v>22</v>
      </c>
      <c r="B158" s="9">
        <v>2018</v>
      </c>
      <c r="C158" s="9">
        <v>-1.7671186474372851</v>
      </c>
      <c r="D158" s="9">
        <v>0.81801616260581456</v>
      </c>
      <c r="E158" s="9">
        <v>0.6634093622959889</v>
      </c>
      <c r="F158" s="9">
        <v>0.69524497864209145</v>
      </c>
      <c r="G158" s="9">
        <v>0.55566513723868272</v>
      </c>
      <c r="H158" s="9">
        <v>0.49035757512612699</v>
      </c>
      <c r="I158" s="9">
        <v>0.52591126118403153</v>
      </c>
      <c r="J158" s="9">
        <v>-2.7248953716540978</v>
      </c>
      <c r="K158" s="9">
        <v>1.090797042355631</v>
      </c>
      <c r="L158" s="9">
        <v>-1.2680772242681011</v>
      </c>
      <c r="M158" s="9">
        <v>2.2013351426972991</v>
      </c>
      <c r="N158" s="9">
        <v>2.1404800927394581</v>
      </c>
      <c r="O158" s="9">
        <v>3.2580965380214821</v>
      </c>
      <c r="P158" s="9">
        <v>6.0855049639940262E-2</v>
      </c>
      <c r="Q158" s="9">
        <v>1</v>
      </c>
      <c r="R158" s="9">
        <v>0</v>
      </c>
      <c r="S158" s="9">
        <v>0</v>
      </c>
      <c r="T158" s="9">
        <v>0</v>
      </c>
      <c r="U158" s="9">
        <v>0</v>
      </c>
      <c r="V158" s="9">
        <v>1</v>
      </c>
      <c r="W158" s="9">
        <v>0</v>
      </c>
      <c r="X158" s="9">
        <v>-1.7932174205780029</v>
      </c>
      <c r="Y158">
        <f t="shared" si="16"/>
        <v>0.17082448596750946</v>
      </c>
      <c r="Z158">
        <f t="shared" si="17"/>
        <v>0.16642385182413347</v>
      </c>
      <c r="AA158">
        <f t="shared" si="18"/>
        <v>4.4006341433759921E-3</v>
      </c>
      <c r="AB158">
        <f t="shared" si="19"/>
        <v>1.9365580863846553E-5</v>
      </c>
      <c r="AC158" t="str">
        <f>VLOOKUP(A158, 'state-ids'!$A$1:$B$28, 2)</f>
        <v>PI</v>
      </c>
      <c r="AD158">
        <f>VLOOKUP(A158, 'state-ids'!$A$1:$C$28, 3)</f>
        <v>2.9989333999999999E-2</v>
      </c>
      <c r="AE158">
        <f>VLOOKUP(A158, 'state-ids'!$A$1:$D$28, 4)</f>
        <v>0.87431186000000005</v>
      </c>
      <c r="AF158">
        <f t="shared" si="20"/>
        <v>2.2818466888379064E-2</v>
      </c>
      <c r="AG158">
        <f t="shared" si="21"/>
        <v>0.17703104118485155</v>
      </c>
      <c r="AH158">
        <f t="shared" si="22"/>
        <v>0.1564522146546079</v>
      </c>
      <c r="AI158">
        <f t="shared" si="23"/>
        <v>2.0578826530243649E-2</v>
      </c>
      <c r="AJ158" s="12"/>
    </row>
    <row r="159" spans="1:36" x14ac:dyDescent="0.25">
      <c r="A159" s="9">
        <v>22</v>
      </c>
      <c r="B159" s="9">
        <v>2019</v>
      </c>
      <c r="C159" s="9">
        <v>-1.764018016116248</v>
      </c>
      <c r="D159" s="9">
        <v>0.80258437525832049</v>
      </c>
      <c r="E159" s="9">
        <v>0.81801616260581456</v>
      </c>
      <c r="F159" s="9">
        <v>0.6634093622959889</v>
      </c>
      <c r="G159" s="9">
        <v>0.52514264436078373</v>
      </c>
      <c r="H159" s="9">
        <v>0.55566513723868272</v>
      </c>
      <c r="I159" s="9">
        <v>0.49035757512612699</v>
      </c>
      <c r="J159" s="9">
        <v>-1.986508739685457</v>
      </c>
      <c r="K159" s="9">
        <v>1.090797042355631</v>
      </c>
      <c r="L159" s="9">
        <v>-1.22934168582551</v>
      </c>
      <c r="M159" s="9">
        <v>2.2038845100015569</v>
      </c>
      <c r="N159" s="9">
        <v>2.1986749019455369</v>
      </c>
      <c r="O159" s="9">
        <v>5.393627546352362</v>
      </c>
      <c r="P159" s="9">
        <v>5.2096080034971237E-3</v>
      </c>
      <c r="Q159" s="9">
        <v>1</v>
      </c>
      <c r="R159" s="9">
        <v>0</v>
      </c>
      <c r="S159" s="9">
        <v>0</v>
      </c>
      <c r="T159" s="9">
        <v>0</v>
      </c>
      <c r="U159" s="9">
        <v>0</v>
      </c>
      <c r="V159" s="9">
        <v>1</v>
      </c>
      <c r="W159" s="9">
        <v>0</v>
      </c>
      <c r="X159" s="9">
        <v>-1.7878562211990356</v>
      </c>
      <c r="Y159">
        <f t="shared" si="16"/>
        <v>0.1713549717144579</v>
      </c>
      <c r="Z159">
        <f t="shared" si="17"/>
        <v>0.16731847927041804</v>
      </c>
      <c r="AA159">
        <f t="shared" si="18"/>
        <v>4.0364924440398631E-3</v>
      </c>
      <c r="AB159">
        <f t="shared" si="19"/>
        <v>1.6293271250790907E-5</v>
      </c>
      <c r="AC159" t="str">
        <f>VLOOKUP(A159, 'state-ids'!$A$1:$B$28, 2)</f>
        <v>PI</v>
      </c>
      <c r="AD159">
        <f>VLOOKUP(A159, 'state-ids'!$A$1:$C$28, 3)</f>
        <v>2.9989333999999999E-2</v>
      </c>
      <c r="AE159">
        <f>VLOOKUP(A159, 'state-ids'!$A$1:$D$28, 4)</f>
        <v>0.87431186000000005</v>
      </c>
      <c r="AF159">
        <f t="shared" si="20"/>
        <v>2.084202542499354E-2</v>
      </c>
      <c r="AG159">
        <f t="shared" si="21"/>
        <v>0.1779826885992839</v>
      </c>
      <c r="AH159">
        <f t="shared" si="22"/>
        <v>0.15729323860476818</v>
      </c>
      <c r="AI159">
        <f t="shared" si="23"/>
        <v>2.0689449994515718E-2</v>
      </c>
      <c r="AJ159" s="12"/>
    </row>
    <row r="160" spans="1:36" x14ac:dyDescent="0.25">
      <c r="A160" s="9">
        <v>22</v>
      </c>
      <c r="B160" s="9">
        <v>2020</v>
      </c>
      <c r="C160" s="9">
        <v>-1.8427194394348461</v>
      </c>
      <c r="D160" s="9">
        <v>0.72479118589440672</v>
      </c>
      <c r="E160" s="9">
        <v>0.80258437525832049</v>
      </c>
      <c r="F160" s="9">
        <v>0.81801616260581456</v>
      </c>
      <c r="G160" s="9">
        <v>0.47803380094099979</v>
      </c>
      <c r="H160" s="9">
        <v>0.52514264436078373</v>
      </c>
      <c r="I160" s="9">
        <v>0.55566513723868272</v>
      </c>
      <c r="J160" s="9">
        <v>-1.3426119005236929</v>
      </c>
      <c r="K160" s="9">
        <v>1.090797042355631</v>
      </c>
      <c r="L160" s="9">
        <v>-1.202562850060513</v>
      </c>
      <c r="M160" s="9">
        <v>2.2048166968771068</v>
      </c>
      <c r="N160" s="9">
        <v>2.2013663183077949</v>
      </c>
      <c r="O160" s="9">
        <v>5.9914645471079817</v>
      </c>
      <c r="P160" s="9">
        <v>3.450378542765975E-3</v>
      </c>
      <c r="Q160" s="9">
        <v>1</v>
      </c>
      <c r="R160" s="9">
        <v>1</v>
      </c>
      <c r="S160" s="9">
        <v>0</v>
      </c>
      <c r="T160" s="9">
        <v>0</v>
      </c>
      <c r="U160" s="9">
        <v>0</v>
      </c>
      <c r="V160" s="9">
        <v>1</v>
      </c>
      <c r="W160" s="9">
        <v>0</v>
      </c>
      <c r="X160" s="9">
        <v>-1.8551267385482788</v>
      </c>
      <c r="Y160">
        <f t="shared" si="16"/>
        <v>0.1583861184587442</v>
      </c>
      <c r="Z160">
        <f t="shared" si="17"/>
        <v>0.15643311531259826</v>
      </c>
      <c r="AA160">
        <f t="shared" si="18"/>
        <v>1.9530031461459374E-3</v>
      </c>
      <c r="AB160">
        <f t="shared" si="19"/>
        <v>3.8142212888559297E-6</v>
      </c>
      <c r="AC160" t="str">
        <f>VLOOKUP(A160, 'state-ids'!$A$1:$B$28, 2)</f>
        <v>PI</v>
      </c>
      <c r="AD160">
        <f>VLOOKUP(A160, 'state-ids'!$A$1:$C$28, 3)</f>
        <v>2.9989333999999999E-2</v>
      </c>
      <c r="AE160">
        <f>VLOOKUP(A160, 'state-ids'!$A$1:$D$28, 4)</f>
        <v>0.87431186000000005</v>
      </c>
      <c r="AF160">
        <f t="shared" si="20"/>
        <v>1.0847848765441736E-2</v>
      </c>
      <c r="AG160">
        <f t="shared" si="21"/>
        <v>0.16640353516660597</v>
      </c>
      <c r="AH160">
        <f t="shared" si="22"/>
        <v>0.14706009425763444</v>
      </c>
      <c r="AI160">
        <f t="shared" si="23"/>
        <v>1.9343440908971526E-2</v>
      </c>
      <c r="AJ160" s="12"/>
    </row>
    <row r="161" spans="1:36" x14ac:dyDescent="0.25">
      <c r="A161" s="9">
        <v>22</v>
      </c>
      <c r="B161" s="9">
        <v>2021</v>
      </c>
      <c r="C161" s="9">
        <v>-1.814326231350831</v>
      </c>
      <c r="D161" s="9">
        <v>0.95789322172866853</v>
      </c>
      <c r="E161" s="9">
        <v>0.72479118589440672</v>
      </c>
      <c r="F161" s="9">
        <v>0.80258437525832049</v>
      </c>
      <c r="G161" s="9">
        <v>0.74088917654536646</v>
      </c>
      <c r="H161" s="9">
        <v>0.47803380094099979</v>
      </c>
      <c r="I161" s="9">
        <v>0.52514264436078373</v>
      </c>
      <c r="J161" s="9">
        <v>-0.77723845825946336</v>
      </c>
      <c r="K161" s="9">
        <v>1.090797042355631</v>
      </c>
      <c r="L161" s="9">
        <v>-1.1732130300297841</v>
      </c>
      <c r="M161" s="9">
        <v>2.2067905766247828</v>
      </c>
      <c r="N161" s="9">
        <v>2.2024395009996378</v>
      </c>
      <c r="O161" s="9">
        <v>6.6846117276679271</v>
      </c>
      <c r="P161" s="9">
        <v>4.3510757386684418E-3</v>
      </c>
      <c r="Q161" s="9">
        <v>1</v>
      </c>
      <c r="R161" s="9">
        <v>0</v>
      </c>
      <c r="S161" s="9">
        <v>0</v>
      </c>
      <c r="T161" s="9">
        <v>0</v>
      </c>
      <c r="U161" s="9">
        <v>0</v>
      </c>
      <c r="V161" s="9">
        <v>1</v>
      </c>
      <c r="W161" s="9">
        <v>0</v>
      </c>
      <c r="X161" s="9">
        <v>-1.8456289768218994</v>
      </c>
      <c r="Y161">
        <f t="shared" si="16"/>
        <v>0.16294766043735884</v>
      </c>
      <c r="Z161">
        <f t="shared" si="17"/>
        <v>0.15792595787732661</v>
      </c>
      <c r="AA161">
        <f t="shared" si="18"/>
        <v>5.0217025600322318E-3</v>
      </c>
      <c r="AB161">
        <f t="shared" si="19"/>
        <v>2.521749660143427E-5</v>
      </c>
      <c r="AC161" t="str">
        <f>VLOOKUP(A161, 'state-ids'!$A$1:$B$28, 2)</f>
        <v>PI</v>
      </c>
      <c r="AD161">
        <f>VLOOKUP(A161, 'state-ids'!$A$1:$C$28, 3)</f>
        <v>2.9989333999999999E-2</v>
      </c>
      <c r="AE161">
        <f>VLOOKUP(A161, 'state-ids'!$A$1:$D$28, 4)</f>
        <v>0.87431186000000005</v>
      </c>
      <c r="AF161">
        <f t="shared" si="20"/>
        <v>2.7368361615916367E-2</v>
      </c>
      <c r="AG161">
        <f t="shared" si="21"/>
        <v>0.16799152553374516</v>
      </c>
      <c r="AH161">
        <f t="shared" si="22"/>
        <v>0.14846349000182876</v>
      </c>
      <c r="AI161">
        <f t="shared" si="23"/>
        <v>1.9528035531916399E-2</v>
      </c>
      <c r="AJ161" s="12"/>
    </row>
    <row r="162" spans="1:36" x14ac:dyDescent="0.25">
      <c r="A162" s="9">
        <v>22</v>
      </c>
      <c r="B162" s="9">
        <v>2022</v>
      </c>
      <c r="C162" s="9">
        <v>-1.784177638624346</v>
      </c>
      <c r="D162" s="9">
        <v>0.9681998366115846</v>
      </c>
      <c r="E162" s="9">
        <v>0.95789322172866853</v>
      </c>
      <c r="F162" s="9">
        <v>0.72479118589440672</v>
      </c>
      <c r="G162" s="9">
        <v>0.71074148896089639</v>
      </c>
      <c r="H162" s="9">
        <v>0.74088917654536646</v>
      </c>
      <c r="I162" s="9">
        <v>0.47803380094099979</v>
      </c>
      <c r="J162" s="9">
        <v>-0.26720680039464911</v>
      </c>
      <c r="K162" s="9">
        <v>1.090797042355631</v>
      </c>
      <c r="L162" s="9">
        <v>-1.1438969346607319</v>
      </c>
      <c r="M162" s="9">
        <v>2.2534517562846741</v>
      </c>
      <c r="N162" s="9">
        <v>2.2067905766247828</v>
      </c>
      <c r="O162" s="9">
        <v>8.0551577318196781</v>
      </c>
      <c r="P162" s="9">
        <v>4.6661179512739182E-2</v>
      </c>
      <c r="Q162" s="9">
        <v>1</v>
      </c>
      <c r="R162" s="9">
        <v>0</v>
      </c>
      <c r="S162" s="9">
        <v>0</v>
      </c>
      <c r="T162" s="9">
        <v>0</v>
      </c>
      <c r="U162" s="9">
        <v>0</v>
      </c>
      <c r="V162" s="9">
        <v>1</v>
      </c>
      <c r="W162" s="9">
        <v>0</v>
      </c>
      <c r="X162" s="9">
        <v>-1.8259328603744507</v>
      </c>
      <c r="Y162">
        <f t="shared" si="16"/>
        <v>0.16793510757640703</v>
      </c>
      <c r="Z162">
        <f t="shared" si="17"/>
        <v>0.16106732070419066</v>
      </c>
      <c r="AA162">
        <f t="shared" si="18"/>
        <v>6.8677868722163693E-3</v>
      </c>
      <c r="AB162">
        <f t="shared" si="19"/>
        <v>4.7166496522187503E-5</v>
      </c>
      <c r="AC162" t="str">
        <f>VLOOKUP(A162, 'state-ids'!$A$1:$B$28, 2)</f>
        <v>PI</v>
      </c>
      <c r="AD162">
        <f>VLOOKUP(A162, 'state-ids'!$A$1:$C$28, 3)</f>
        <v>2.9989333999999999E-2</v>
      </c>
      <c r="AE162">
        <f>VLOOKUP(A162, 'state-ids'!$A$1:$D$28, 4)</f>
        <v>0.87431186000000005</v>
      </c>
      <c r="AF162">
        <f t="shared" si="20"/>
        <v>3.6507085593046509E-2</v>
      </c>
      <c r="AG162">
        <f t="shared" si="21"/>
        <v>0.17133310623797501</v>
      </c>
      <c r="AH162">
        <f t="shared" si="22"/>
        <v>0.15141663142903175</v>
      </c>
      <c r="AI162">
        <f t="shared" si="23"/>
        <v>1.9916474808943263E-2</v>
      </c>
      <c r="AJ162" s="12"/>
    </row>
    <row r="163" spans="1:36" x14ac:dyDescent="0.25">
      <c r="A163" s="9">
        <v>22</v>
      </c>
      <c r="B163" s="9">
        <v>2023</v>
      </c>
      <c r="C163" s="9">
        <v>-1.665849576435277</v>
      </c>
      <c r="D163" s="9">
        <v>0.7437927652288373</v>
      </c>
      <c r="E163" s="9">
        <v>0.9681998366115846</v>
      </c>
      <c r="F163" s="9">
        <v>0.95789322172866853</v>
      </c>
      <c r="G163" s="9">
        <v>0.49743638664697459</v>
      </c>
      <c r="H163" s="9">
        <v>0.71074148896089639</v>
      </c>
      <c r="I163" s="9">
        <v>0.74088917654536646</v>
      </c>
      <c r="J163" s="9">
        <v>0.29546796007280218</v>
      </c>
      <c r="K163" s="9">
        <v>1.090797042355631</v>
      </c>
      <c r="L163" s="9">
        <v>-1.1046766252508049</v>
      </c>
      <c r="M163" s="9">
        <v>2.3083760538358988</v>
      </c>
      <c r="N163" s="9">
        <v>2.2534517562846741</v>
      </c>
      <c r="O163" s="9">
        <v>8.4658998970286863</v>
      </c>
      <c r="P163" s="9">
        <v>5.4924298077821732E-2</v>
      </c>
      <c r="Q163" s="9">
        <v>1</v>
      </c>
      <c r="R163" s="9">
        <v>0</v>
      </c>
      <c r="S163" s="9">
        <v>0</v>
      </c>
      <c r="T163" s="9">
        <v>0</v>
      </c>
      <c r="U163" s="9">
        <v>0</v>
      </c>
      <c r="V163" s="9">
        <v>1</v>
      </c>
      <c r="W163" s="9">
        <v>0</v>
      </c>
      <c r="X163" s="9">
        <v>-1.7186822891235352</v>
      </c>
      <c r="Y163">
        <f t="shared" si="16"/>
        <v>0.18902999431488243</v>
      </c>
      <c r="Z163">
        <f t="shared" si="17"/>
        <v>0.17930226085233317</v>
      </c>
      <c r="AA163">
        <f t="shared" si="18"/>
        <v>9.7277334625492651E-3</v>
      </c>
      <c r="AB163">
        <f t="shared" si="19"/>
        <v>9.4628798318400714E-5</v>
      </c>
      <c r="AC163" t="str">
        <f>VLOOKUP(A163, 'state-ids'!$A$1:$B$28, 2)</f>
        <v>PI</v>
      </c>
      <c r="AD163">
        <f>VLOOKUP(A163, 'state-ids'!$A$1:$C$28, 3)</f>
        <v>2.9989333999999999E-2</v>
      </c>
      <c r="AE163">
        <f>VLOOKUP(A163, 'state-ids'!$A$1:$D$28, 4)</f>
        <v>0.87431186000000005</v>
      </c>
      <c r="AF163">
        <f t="shared" si="20"/>
        <v>4.6192267299316608E-2</v>
      </c>
      <c r="AG163">
        <f t="shared" si="21"/>
        <v>0.19073026839343596</v>
      </c>
      <c r="AH163">
        <f t="shared" si="22"/>
        <v>0.16855898656022947</v>
      </c>
      <c r="AI163">
        <f t="shared" si="23"/>
        <v>2.2171281833206491E-2</v>
      </c>
      <c r="AJ163" s="12"/>
    </row>
    <row r="164" spans="1:36" x14ac:dyDescent="0.25">
      <c r="A164" s="9">
        <v>23</v>
      </c>
      <c r="B164" s="9">
        <v>2006</v>
      </c>
      <c r="C164" s="9">
        <v>-2.7400225207029112</v>
      </c>
      <c r="D164" s="9">
        <v>0.99325177301028345</v>
      </c>
      <c r="E164" s="9">
        <v>0.92290878417573041</v>
      </c>
      <c r="F164" s="9">
        <v>0.88826155915265215</v>
      </c>
      <c r="G164" s="9">
        <v>0.65232518603969014</v>
      </c>
      <c r="H164" s="9">
        <v>0.54371866706801619</v>
      </c>
      <c r="I164" s="9">
        <v>0.47828177068996119</v>
      </c>
      <c r="J164" s="9">
        <v>-11.51292546497023</v>
      </c>
      <c r="K164" s="9">
        <v>0.94240070955773636</v>
      </c>
      <c r="L164" s="9">
        <v>-2.275966422923585</v>
      </c>
      <c r="M164" s="9">
        <v>2.031247207311957</v>
      </c>
      <c r="N164" s="9">
        <v>1.9723560596672469</v>
      </c>
      <c r="O164" s="9">
        <v>-11.51292546497023</v>
      </c>
      <c r="P164" s="9">
        <v>5.8891147375106812E-2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1</v>
      </c>
      <c r="W164" s="9">
        <v>0</v>
      </c>
      <c r="X164" s="9">
        <v>-2.6172523498535156</v>
      </c>
      <c r="Y164">
        <f t="shared" si="16"/>
        <v>6.4568892739943567E-2</v>
      </c>
      <c r="Z164">
        <f t="shared" si="17"/>
        <v>7.3003174691586778E-2</v>
      </c>
      <c r="AA164">
        <f t="shared" si="18"/>
        <v>-8.4342819516432105E-3</v>
      </c>
      <c r="AB164">
        <f t="shared" si="19"/>
        <v>7.1137112039814404E-5</v>
      </c>
      <c r="AC164" t="str">
        <f>VLOOKUP(A164, 'state-ids'!$A$1:$B$28, 2)</f>
        <v>CE</v>
      </c>
      <c r="AD164">
        <f>VLOOKUP(A164, 'state-ids'!$A$1:$C$28, 3)</f>
        <v>3.5185254999999999E-2</v>
      </c>
      <c r="AE164">
        <f>VLOOKUP(A164, 'state-ids'!$A$1:$D$28, 4)</f>
        <v>0.94621211000000005</v>
      </c>
      <c r="AF164">
        <f t="shared" si="20"/>
        <v>-3.9721916992105817E-2</v>
      </c>
      <c r="AG164">
        <f t="shared" si="21"/>
        <v>8.1389921530809595E-2</v>
      </c>
      <c r="AH164">
        <f t="shared" si="22"/>
        <v>6.5480632181625878E-2</v>
      </c>
      <c r="AI164">
        <f t="shared" si="23"/>
        <v>1.5909289349183717E-2</v>
      </c>
      <c r="AJ164" s="12"/>
    </row>
    <row r="165" spans="1:36" x14ac:dyDescent="0.25">
      <c r="A165" s="9">
        <v>23</v>
      </c>
      <c r="B165" s="9">
        <v>2007</v>
      </c>
      <c r="C165" s="9">
        <v>-2.713468700183479</v>
      </c>
      <c r="D165" s="9">
        <v>0.91573057501559185</v>
      </c>
      <c r="E165" s="9">
        <v>0.99325177301028345</v>
      </c>
      <c r="F165" s="9">
        <v>0.92290878417573041</v>
      </c>
      <c r="G165" s="9">
        <v>0.50446544061330811</v>
      </c>
      <c r="H165" s="9">
        <v>0.65232518603969014</v>
      </c>
      <c r="I165" s="9">
        <v>0.54371866706801619</v>
      </c>
      <c r="J165" s="9">
        <v>-11.51292546497023</v>
      </c>
      <c r="K165" s="9">
        <v>0.94240070955773636</v>
      </c>
      <c r="L165" s="9">
        <v>-2.176155426655149</v>
      </c>
      <c r="M165" s="9">
        <v>2.0435463985610518</v>
      </c>
      <c r="N165" s="9">
        <v>2.0171424760238659</v>
      </c>
      <c r="O165" s="9">
        <v>-11.51292546497023</v>
      </c>
      <c r="P165" s="9">
        <v>2.6403922587633133E-2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1</v>
      </c>
      <c r="W165" s="9">
        <v>0</v>
      </c>
      <c r="X165" s="9">
        <v>-2.5394856929779053</v>
      </c>
      <c r="Y165">
        <f t="shared" si="16"/>
        <v>6.6306410300407653E-2</v>
      </c>
      <c r="Z165">
        <f t="shared" si="17"/>
        <v>7.8906971766226269E-2</v>
      </c>
      <c r="AA165">
        <f t="shared" si="18"/>
        <v>-1.2600561465818616E-2</v>
      </c>
      <c r="AB165">
        <f t="shared" si="19"/>
        <v>1.58774149253873E-4</v>
      </c>
      <c r="AC165" t="str">
        <f>VLOOKUP(A165, 'state-ids'!$A$1:$B$28, 2)</f>
        <v>CE</v>
      </c>
      <c r="AD165">
        <f>VLOOKUP(A165, 'state-ids'!$A$1:$C$28, 3)</f>
        <v>3.5185254999999999E-2</v>
      </c>
      <c r="AE165">
        <f>VLOOKUP(A165, 'state-ids'!$A$1:$D$28, 4)</f>
        <v>0.94621211000000005</v>
      </c>
      <c r="AF165">
        <f t="shared" si="20"/>
        <v>-0.1646248283521311</v>
      </c>
      <c r="AG165">
        <f t="shared" si="21"/>
        <v>8.7971958307548684E-2</v>
      </c>
      <c r="AH165">
        <f t="shared" si="22"/>
        <v>7.077607811740351E-2</v>
      </c>
      <c r="AI165">
        <f t="shared" si="23"/>
        <v>1.7195880190145174E-2</v>
      </c>
      <c r="AJ165" s="12"/>
    </row>
    <row r="166" spans="1:36" x14ac:dyDescent="0.25">
      <c r="A166" s="9">
        <v>23</v>
      </c>
      <c r="B166" s="9">
        <v>2008</v>
      </c>
      <c r="C166" s="9">
        <v>-2.6194848246392071</v>
      </c>
      <c r="D166" s="9">
        <v>0.8429455456483399</v>
      </c>
      <c r="E166" s="9">
        <v>0.91573057501559185</v>
      </c>
      <c r="F166" s="9">
        <v>0.99325177301028345</v>
      </c>
      <c r="G166" s="9">
        <v>0.49786195737413202</v>
      </c>
      <c r="H166" s="9">
        <v>0.50446544061330811</v>
      </c>
      <c r="I166" s="9">
        <v>0.65232518603969014</v>
      </c>
      <c r="J166" s="9">
        <v>-11.51292546497023</v>
      </c>
      <c r="K166" s="9">
        <v>0.94240070955773636</v>
      </c>
      <c r="L166" s="9">
        <v>-2.0768434254588288</v>
      </c>
      <c r="M166" s="9">
        <v>2.1184752833322422</v>
      </c>
      <c r="N166" s="9">
        <v>2.0296377285285612</v>
      </c>
      <c r="O166" s="9">
        <v>-11.51292546497023</v>
      </c>
      <c r="P166" s="9">
        <v>8.8837556540966034E-2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1</v>
      </c>
      <c r="W166" s="9">
        <v>0</v>
      </c>
      <c r="X166" s="9">
        <v>-2.4174468517303467</v>
      </c>
      <c r="Y166">
        <f t="shared" si="16"/>
        <v>7.2840378731364397E-2</v>
      </c>
      <c r="Z166">
        <f t="shared" si="17"/>
        <v>8.9148937600666792E-2</v>
      </c>
      <c r="AA166">
        <f t="shared" si="18"/>
        <v>-1.6308558869302395E-2</v>
      </c>
      <c r="AB166">
        <f t="shared" si="19"/>
        <v>2.6596909239350183E-4</v>
      </c>
      <c r="AC166" t="str">
        <f>VLOOKUP(A166, 'state-ids'!$A$1:$B$28, 2)</f>
        <v>CE</v>
      </c>
      <c r="AD166">
        <f>VLOOKUP(A166, 'state-ids'!$A$1:$C$28, 3)</f>
        <v>3.5185254999999999E-2</v>
      </c>
      <c r="AE166">
        <f>VLOOKUP(A166, 'state-ids'!$A$1:$D$28, 4)</f>
        <v>0.94621211000000005</v>
      </c>
      <c r="AF166">
        <f t="shared" si="20"/>
        <v>-0.19117077664621562</v>
      </c>
      <c r="AG166">
        <f t="shared" si="21"/>
        <v>9.9390541117241396E-2</v>
      </c>
      <c r="AH166">
        <f t="shared" si="22"/>
        <v>7.9962670350618645E-2</v>
      </c>
      <c r="AI166">
        <f t="shared" si="23"/>
        <v>1.9427870766622751E-2</v>
      </c>
      <c r="AJ166" s="12"/>
    </row>
    <row r="167" spans="1:36" x14ac:dyDescent="0.25">
      <c r="A167" s="9">
        <v>23</v>
      </c>
      <c r="B167" s="9">
        <v>2009</v>
      </c>
      <c r="C167" s="9">
        <v>-2.5522791844167401</v>
      </c>
      <c r="D167" s="9">
        <v>0.78900266620346671</v>
      </c>
      <c r="E167" s="9">
        <v>0.8429455456483399</v>
      </c>
      <c r="F167" s="9">
        <v>0.91573057501559185</v>
      </c>
      <c r="G167" s="9">
        <v>0.44462171664268602</v>
      </c>
      <c r="H167" s="9">
        <v>0.49786195737413202</v>
      </c>
      <c r="I167" s="9">
        <v>0.50446544061330811</v>
      </c>
      <c r="J167" s="9">
        <v>-11.51292546497023</v>
      </c>
      <c r="K167" s="9">
        <v>0.94240070955773636</v>
      </c>
      <c r="L167" s="9">
        <v>-1.96366765203261</v>
      </c>
      <c r="M167" s="9">
        <v>2.142870807876518</v>
      </c>
      <c r="N167" s="9">
        <v>2.1070292151570942</v>
      </c>
      <c r="O167" s="9">
        <v>-11.51292546497023</v>
      </c>
      <c r="P167" s="9">
        <v>3.5841591656208038E-2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1</v>
      </c>
      <c r="W167" s="9">
        <v>0</v>
      </c>
      <c r="X167" s="9">
        <v>-2.3028264045715332</v>
      </c>
      <c r="Y167">
        <f t="shared" si="16"/>
        <v>7.7903906135478596E-2</v>
      </c>
      <c r="Z167">
        <f t="shared" si="17"/>
        <v>9.9975871753580942E-2</v>
      </c>
      <c r="AA167">
        <f t="shared" si="18"/>
        <v>-2.2071965618102346E-2</v>
      </c>
      <c r="AB167">
        <f t="shared" si="19"/>
        <v>4.8717166624669209E-4</v>
      </c>
      <c r="AC167" t="str">
        <f>VLOOKUP(A167, 'state-ids'!$A$1:$B$28, 2)</f>
        <v>CE</v>
      </c>
      <c r="AD167">
        <f>VLOOKUP(A167, 'state-ids'!$A$1:$C$28, 3)</f>
        <v>3.5185254999999999E-2</v>
      </c>
      <c r="AE167">
        <f>VLOOKUP(A167, 'state-ids'!$A$1:$D$28, 4)</f>
        <v>0.94621211000000005</v>
      </c>
      <c r="AF167">
        <f t="shared" si="20"/>
        <v>-0.23603524116269867</v>
      </c>
      <c r="AG167">
        <f t="shared" si="21"/>
        <v>0.11146129454471498</v>
      </c>
      <c r="AH167">
        <f t="shared" si="22"/>
        <v>8.9673953399838649E-2</v>
      </c>
      <c r="AI167">
        <f t="shared" si="23"/>
        <v>2.1787341144876335E-2</v>
      </c>
      <c r="AJ167" s="12"/>
    </row>
    <row r="168" spans="1:36" x14ac:dyDescent="0.25">
      <c r="A168" s="9">
        <v>23</v>
      </c>
      <c r="B168" s="9">
        <v>2010</v>
      </c>
      <c r="C168" s="9">
        <v>-2.3428914998236441</v>
      </c>
      <c r="D168" s="9">
        <v>0.766397642299538</v>
      </c>
      <c r="E168" s="9">
        <v>0.78900266620346671</v>
      </c>
      <c r="F168" s="9">
        <v>0.8429455456483399</v>
      </c>
      <c r="G168" s="9">
        <v>0.44654306986601078</v>
      </c>
      <c r="H168" s="9">
        <v>0.44462171664268602</v>
      </c>
      <c r="I168" s="9">
        <v>0.49786195737413202</v>
      </c>
      <c r="J168" s="9">
        <v>-9.0523970759305676</v>
      </c>
      <c r="K168" s="9">
        <v>0.94240070955773636</v>
      </c>
      <c r="L168" s="9">
        <v>-1.822121436694923</v>
      </c>
      <c r="M168" s="9">
        <v>2.2290539697095291</v>
      </c>
      <c r="N168" s="9">
        <v>2.1439040037276569</v>
      </c>
      <c r="O168" s="9">
        <v>-11.51292546497023</v>
      </c>
      <c r="P168" s="9">
        <v>8.5149966180324554E-2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1</v>
      </c>
      <c r="W168" s="9">
        <v>0</v>
      </c>
      <c r="X168" s="9">
        <v>-2.1674211025238037</v>
      </c>
      <c r="Y168">
        <f t="shared" si="16"/>
        <v>9.6049509180368281E-2</v>
      </c>
      <c r="Z168">
        <f t="shared" si="17"/>
        <v>0.11447244928675727</v>
      </c>
      <c r="AA168">
        <f t="shared" si="18"/>
        <v>-1.8422940106388994E-2</v>
      </c>
      <c r="AB168">
        <f t="shared" si="19"/>
        <v>3.3940472216359609E-4</v>
      </c>
      <c r="AC168" t="str">
        <f>VLOOKUP(A168, 'state-ids'!$A$1:$B$28, 2)</f>
        <v>CE</v>
      </c>
      <c r="AD168">
        <f>VLOOKUP(A168, 'state-ids'!$A$1:$C$28, 3)</f>
        <v>3.5185254999999999E-2</v>
      </c>
      <c r="AE168">
        <f>VLOOKUP(A168, 'state-ids'!$A$1:$D$28, 4)</f>
        <v>0.94621211000000005</v>
      </c>
      <c r="AF168">
        <f t="shared" si="20"/>
        <v>-0.16603221487162026</v>
      </c>
      <c r="AG168">
        <f t="shared" si="21"/>
        <v>0.12762326712844282</v>
      </c>
      <c r="AH168">
        <f t="shared" si="22"/>
        <v>0.10267674492709174</v>
      </c>
      <c r="AI168">
        <f t="shared" si="23"/>
        <v>2.4946522201351087E-2</v>
      </c>
      <c r="AJ168" s="12"/>
    </row>
    <row r="169" spans="1:36" x14ac:dyDescent="0.25">
      <c r="A169" s="9">
        <v>23</v>
      </c>
      <c r="B169" s="9">
        <v>2011</v>
      </c>
      <c r="C169" s="9">
        <v>-2.2019487102344648</v>
      </c>
      <c r="D169" s="9">
        <v>0.73706836761787342</v>
      </c>
      <c r="E169" s="9">
        <v>0.766397642299538</v>
      </c>
      <c r="F169" s="9">
        <v>0.78900266620346671</v>
      </c>
      <c r="G169" s="9">
        <v>0.49255981495909817</v>
      </c>
      <c r="H169" s="9">
        <v>0.44654306986601078</v>
      </c>
      <c r="I169" s="9">
        <v>0.44462171664268602</v>
      </c>
      <c r="J169" s="9">
        <v>-7.441924899047299</v>
      </c>
      <c r="K169" s="9">
        <v>0.94240070955773636</v>
      </c>
      <c r="L169" s="9">
        <v>-1.6897625030897661</v>
      </c>
      <c r="M169" s="9">
        <v>2.272910098304564</v>
      </c>
      <c r="N169" s="9">
        <v>2.2300882341585</v>
      </c>
      <c r="O169" s="9">
        <v>-11.51292546497023</v>
      </c>
      <c r="P169" s="9">
        <v>4.2821865528821945E-2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1</v>
      </c>
      <c r="W169" s="9">
        <v>0</v>
      </c>
      <c r="X169" s="9">
        <v>-2.0259048938751221</v>
      </c>
      <c r="Y169">
        <f t="shared" si="16"/>
        <v>0.11058744536295065</v>
      </c>
      <c r="Z169">
        <f t="shared" si="17"/>
        <v>0.13187445679173149</v>
      </c>
      <c r="AA169">
        <f t="shared" si="18"/>
        <v>-2.1287011428780839E-2</v>
      </c>
      <c r="AB169">
        <f t="shared" si="19"/>
        <v>4.5313685556904604E-4</v>
      </c>
      <c r="AC169" t="str">
        <f>VLOOKUP(A169, 'state-ids'!$A$1:$B$28, 2)</f>
        <v>CE</v>
      </c>
      <c r="AD169">
        <f>VLOOKUP(A169, 'state-ids'!$A$1:$C$28, 3)</f>
        <v>3.5185254999999999E-2</v>
      </c>
      <c r="AE169">
        <f>VLOOKUP(A169, 'state-ids'!$A$1:$D$28, 4)</f>
        <v>0.94621211000000005</v>
      </c>
      <c r="AF169">
        <f t="shared" si="20"/>
        <v>-0.16657479092982622</v>
      </c>
      <c r="AG169">
        <f t="shared" si="21"/>
        <v>0.14702445113574103</v>
      </c>
      <c r="AH169">
        <f t="shared" si="22"/>
        <v>0.11828557916572698</v>
      </c>
      <c r="AI169">
        <f t="shared" si="23"/>
        <v>2.8738871970014054E-2</v>
      </c>
      <c r="AJ169" s="12"/>
    </row>
    <row r="170" spans="1:36" x14ac:dyDescent="0.25">
      <c r="A170" s="9">
        <v>23</v>
      </c>
      <c r="B170" s="9">
        <v>2012</v>
      </c>
      <c r="C170" s="9">
        <v>-2.0384463184817809</v>
      </c>
      <c r="D170" s="9">
        <v>0.67666204430008292</v>
      </c>
      <c r="E170" s="9">
        <v>0.73706836761787342</v>
      </c>
      <c r="F170" s="9">
        <v>0.766397642299538</v>
      </c>
      <c r="G170" s="9">
        <v>0.44980092192821608</v>
      </c>
      <c r="H170" s="9">
        <v>0.49255981495909817</v>
      </c>
      <c r="I170" s="9">
        <v>0.44654306986601078</v>
      </c>
      <c r="J170" s="9">
        <v>-7.1143053453331477</v>
      </c>
      <c r="K170" s="9">
        <v>0.94240070955773636</v>
      </c>
      <c r="L170" s="9">
        <v>-1.5917296205276319</v>
      </c>
      <c r="M170" s="9">
        <v>2.2656392122203219</v>
      </c>
      <c r="N170" s="9">
        <v>2.2640574153974211</v>
      </c>
      <c r="O170" s="9">
        <v>-11.51292546497023</v>
      </c>
      <c r="P170" s="9">
        <v>1.5817967941984534E-3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1</v>
      </c>
      <c r="W170" s="9">
        <v>0</v>
      </c>
      <c r="X170" s="9">
        <v>-1.9040180444717407</v>
      </c>
      <c r="Y170">
        <f t="shared" si="16"/>
        <v>0.13023089110452521</v>
      </c>
      <c r="Z170">
        <f t="shared" si="17"/>
        <v>0.14896885161240814</v>
      </c>
      <c r="AA170">
        <f t="shared" si="18"/>
        <v>-1.8737960507882928E-2</v>
      </c>
      <c r="AB170">
        <f t="shared" si="19"/>
        <v>3.5111116399498023E-4</v>
      </c>
      <c r="AC170" t="str">
        <f>VLOOKUP(A170, 'state-ids'!$A$1:$B$28, 2)</f>
        <v>CE</v>
      </c>
      <c r="AD170">
        <f>VLOOKUP(A170, 'state-ids'!$A$1:$C$28, 3)</f>
        <v>3.5185254999999999E-2</v>
      </c>
      <c r="AE170">
        <f>VLOOKUP(A170, 'state-ids'!$A$1:$D$28, 4)</f>
        <v>0.94621211000000005</v>
      </c>
      <c r="AF170">
        <f t="shared" si="20"/>
        <v>-0.1271976607946983</v>
      </c>
      <c r="AG170">
        <f t="shared" si="21"/>
        <v>0.16608268331467521</v>
      </c>
      <c r="AH170">
        <f t="shared" si="22"/>
        <v>0.13361849837573522</v>
      </c>
      <c r="AI170">
        <f t="shared" si="23"/>
        <v>3.2464184938939988E-2</v>
      </c>
      <c r="AJ170" s="12"/>
    </row>
    <row r="171" spans="1:36" x14ac:dyDescent="0.25">
      <c r="A171" s="9">
        <v>23</v>
      </c>
      <c r="B171" s="9">
        <v>2013</v>
      </c>
      <c r="C171" s="9">
        <v>-1.9764717302603569</v>
      </c>
      <c r="D171" s="9">
        <v>0.6660842610102562</v>
      </c>
      <c r="E171" s="9">
        <v>0.67666204430008292</v>
      </c>
      <c r="F171" s="9">
        <v>0.73706836761787342</v>
      </c>
      <c r="G171" s="9">
        <v>0.46812686923287539</v>
      </c>
      <c r="H171" s="9">
        <v>0.44980092192821608</v>
      </c>
      <c r="I171" s="9">
        <v>0.49255981495909817</v>
      </c>
      <c r="J171" s="9">
        <v>-6.2468561426310938</v>
      </c>
      <c r="K171" s="9">
        <v>0.94240070955773636</v>
      </c>
      <c r="L171" s="9">
        <v>-1.5165408069304569</v>
      </c>
      <c r="M171" s="9">
        <v>2.290664946370319</v>
      </c>
      <c r="N171" s="9">
        <v>2.2457852199213981</v>
      </c>
      <c r="O171" s="9">
        <v>-11.51292546497023</v>
      </c>
      <c r="P171" s="9">
        <v>4.4879727065563202E-2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1</v>
      </c>
      <c r="W171" s="9">
        <v>0</v>
      </c>
      <c r="X171" s="9">
        <v>-1.8144582509994507</v>
      </c>
      <c r="Y171">
        <f t="shared" si="16"/>
        <v>0.13855724322486931</v>
      </c>
      <c r="Z171">
        <f t="shared" si="17"/>
        <v>0.16292614956444471</v>
      </c>
      <c r="AA171">
        <f t="shared" si="18"/>
        <v>-2.4368906339575391E-2</v>
      </c>
      <c r="AB171">
        <f t="shared" si="19"/>
        <v>5.9384359618699771E-4</v>
      </c>
      <c r="AC171" t="str">
        <f>VLOOKUP(A171, 'state-ids'!$A$1:$B$28, 2)</f>
        <v>CE</v>
      </c>
      <c r="AD171">
        <f>VLOOKUP(A171, 'state-ids'!$A$1:$C$28, 3)</f>
        <v>3.5185254999999999E-2</v>
      </c>
      <c r="AE171">
        <f>VLOOKUP(A171, 'state-ids'!$A$1:$D$28, 4)</f>
        <v>0.94621211000000005</v>
      </c>
      <c r="AF171">
        <f t="shared" si="20"/>
        <v>-0.15329911605990335</v>
      </c>
      <c r="AG171">
        <f t="shared" si="21"/>
        <v>0.1816434228290528</v>
      </c>
      <c r="AH171">
        <f t="shared" si="22"/>
        <v>0.14613757987195394</v>
      </c>
      <c r="AI171">
        <f t="shared" si="23"/>
        <v>3.5505842957098854E-2</v>
      </c>
      <c r="AJ171" s="12"/>
    </row>
    <row r="172" spans="1:36" x14ac:dyDescent="0.25">
      <c r="A172" s="9">
        <v>23</v>
      </c>
      <c r="B172" s="9">
        <v>2014</v>
      </c>
      <c r="C172" s="9">
        <v>-1.8804784092060529</v>
      </c>
      <c r="D172" s="9">
        <v>0.6553933909480294</v>
      </c>
      <c r="E172" s="9">
        <v>0.6660842610102562</v>
      </c>
      <c r="F172" s="9">
        <v>0.67666204430008292</v>
      </c>
      <c r="G172" s="9">
        <v>0.46033200954900449</v>
      </c>
      <c r="H172" s="9">
        <v>0.46812686923287539</v>
      </c>
      <c r="I172" s="9">
        <v>0.44980092192821608</v>
      </c>
      <c r="J172" s="9">
        <v>-5.4764399171390501</v>
      </c>
      <c r="K172" s="9">
        <v>0.94240070955773636</v>
      </c>
      <c r="L172" s="9">
        <v>-1.440590910345094</v>
      </c>
      <c r="M172" s="9">
        <v>2.3528668534425492</v>
      </c>
      <c r="N172" s="9">
        <v>2.2833766032743652</v>
      </c>
      <c r="O172" s="9">
        <v>-11.51292546497023</v>
      </c>
      <c r="P172" s="9">
        <v>6.9490246474742889E-2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1</v>
      </c>
      <c r="W172" s="9">
        <v>0</v>
      </c>
      <c r="X172" s="9">
        <v>-1.7390984296798706</v>
      </c>
      <c r="Y172">
        <f t="shared" si="16"/>
        <v>0.15251712270481119</v>
      </c>
      <c r="Z172">
        <f t="shared" si="17"/>
        <v>0.17567871595625231</v>
      </c>
      <c r="AA172">
        <f t="shared" si="18"/>
        <v>-2.3161593251441126E-2</v>
      </c>
      <c r="AB172">
        <f t="shared" si="19"/>
        <v>5.3645940194520312E-4</v>
      </c>
      <c r="AC172" t="str">
        <f>VLOOKUP(A172, 'state-ids'!$A$1:$B$28, 2)</f>
        <v>CE</v>
      </c>
      <c r="AD172">
        <f>VLOOKUP(A172, 'state-ids'!$A$1:$C$28, 3)</f>
        <v>3.5185254999999999E-2</v>
      </c>
      <c r="AE172">
        <f>VLOOKUP(A172, 'state-ids'!$A$1:$D$28, 4)</f>
        <v>0.94621211000000005</v>
      </c>
      <c r="AF172">
        <f t="shared" si="20"/>
        <v>-0.13377544873922578</v>
      </c>
      <c r="AG172">
        <f t="shared" si="21"/>
        <v>0.19586102887605772</v>
      </c>
      <c r="AH172">
        <f t="shared" si="22"/>
        <v>0.1575760702225654</v>
      </c>
      <c r="AI172">
        <f t="shared" si="23"/>
        <v>3.8284958653492324E-2</v>
      </c>
      <c r="AJ172" s="12"/>
    </row>
    <row r="173" spans="1:36" x14ac:dyDescent="0.25">
      <c r="A173" s="9">
        <v>23</v>
      </c>
      <c r="B173" s="9">
        <v>2015</v>
      </c>
      <c r="C173" s="9">
        <v>-1.900325340922125</v>
      </c>
      <c r="D173" s="9">
        <v>0.69713920182948275</v>
      </c>
      <c r="E173" s="9">
        <v>0.6553933909480294</v>
      </c>
      <c r="F173" s="9">
        <v>0.6660842610102562</v>
      </c>
      <c r="G173" s="9">
        <v>0.44455760791426069</v>
      </c>
      <c r="H173" s="9">
        <v>0.46033200954900449</v>
      </c>
      <c r="I173" s="9">
        <v>0.46812686923287539</v>
      </c>
      <c r="J173" s="9">
        <v>-5.0869742562594968</v>
      </c>
      <c r="K173" s="9">
        <v>0.94240070955773636</v>
      </c>
      <c r="L173" s="9">
        <v>-1.3804406487253209</v>
      </c>
      <c r="M173" s="9">
        <v>2.308634800602293</v>
      </c>
      <c r="N173" s="9">
        <v>2.345917241733849</v>
      </c>
      <c r="O173" s="9">
        <v>-11.51292546497023</v>
      </c>
      <c r="P173" s="9">
        <v>-3.7282440811395645E-2</v>
      </c>
      <c r="Q173" s="9">
        <v>1</v>
      </c>
      <c r="R173" s="9">
        <v>0</v>
      </c>
      <c r="S173" s="9">
        <v>0</v>
      </c>
      <c r="T173" s="9">
        <v>0</v>
      </c>
      <c r="U173" s="9">
        <v>0</v>
      </c>
      <c r="V173" s="9">
        <v>1</v>
      </c>
      <c r="W173" s="9">
        <v>0</v>
      </c>
      <c r="X173" s="9">
        <v>-1.7881240844726563</v>
      </c>
      <c r="Y173">
        <f t="shared" si="16"/>
        <v>0.14951996634495138</v>
      </c>
      <c r="Z173">
        <f t="shared" si="17"/>
        <v>0.16727366679689931</v>
      </c>
      <c r="AA173">
        <f t="shared" si="18"/>
        <v>-1.7753700451947935E-2</v>
      </c>
      <c r="AB173">
        <f t="shared" si="19"/>
        <v>3.151938797374963E-4</v>
      </c>
      <c r="AC173" t="str">
        <f>VLOOKUP(A173, 'state-ids'!$A$1:$B$28, 2)</f>
        <v>CE</v>
      </c>
      <c r="AD173">
        <f>VLOOKUP(A173, 'state-ids'!$A$1:$C$28, 3)</f>
        <v>3.5185254999999999E-2</v>
      </c>
      <c r="AE173">
        <f>VLOOKUP(A173, 'state-ids'!$A$1:$D$28, 4)</f>
        <v>0.94621211000000005</v>
      </c>
      <c r="AF173">
        <f t="shared" si="20"/>
        <v>-0.10616618760970295</v>
      </c>
      <c r="AG173">
        <f t="shared" si="21"/>
        <v>0.1864903913053991</v>
      </c>
      <c r="AH173">
        <f t="shared" si="22"/>
        <v>0.15003711133759645</v>
      </c>
      <c r="AI173">
        <f t="shared" si="23"/>
        <v>3.6453279967802649E-2</v>
      </c>
      <c r="AJ173" s="12"/>
    </row>
    <row r="174" spans="1:36" x14ac:dyDescent="0.25">
      <c r="A174" s="9">
        <v>23</v>
      </c>
      <c r="B174" s="9">
        <v>2016</v>
      </c>
      <c r="C174" s="9">
        <v>-1.876780802351339</v>
      </c>
      <c r="D174" s="9">
        <v>0.76127300960754574</v>
      </c>
      <c r="E174" s="9">
        <v>0.69713920182948275</v>
      </c>
      <c r="F174" s="9">
        <v>0.6553933909480294</v>
      </c>
      <c r="G174" s="9">
        <v>0.56713033997645834</v>
      </c>
      <c r="H174" s="9">
        <v>0.44455760791426069</v>
      </c>
      <c r="I174" s="9">
        <v>0.46033200954900449</v>
      </c>
      <c r="J174" s="9">
        <v>-4.7314863869233648</v>
      </c>
      <c r="K174" s="9">
        <v>0.94240070955773636</v>
      </c>
      <c r="L174" s="9">
        <v>-1.34328618401536</v>
      </c>
      <c r="M174" s="9">
        <v>2.282031132172003</v>
      </c>
      <c r="N174" s="9">
        <v>2.3020080027038801</v>
      </c>
      <c r="O174" s="9">
        <v>-11.51292546497023</v>
      </c>
      <c r="P174" s="9">
        <v>-1.9976871088147163E-2</v>
      </c>
      <c r="Q174" s="9">
        <v>1</v>
      </c>
      <c r="R174" s="9">
        <v>0</v>
      </c>
      <c r="S174" s="9">
        <v>0</v>
      </c>
      <c r="T174" s="9">
        <v>0</v>
      </c>
      <c r="U174" s="9">
        <v>0</v>
      </c>
      <c r="V174" s="9">
        <v>1</v>
      </c>
      <c r="W174" s="9">
        <v>0</v>
      </c>
      <c r="X174" s="9">
        <v>-1.779757022857666</v>
      </c>
      <c r="Y174">
        <f t="shared" si="16"/>
        <v>0.15308211497911053</v>
      </c>
      <c r="Z174">
        <f t="shared" si="17"/>
        <v>0.16867912746213087</v>
      </c>
      <c r="AA174">
        <f t="shared" si="18"/>
        <v>-1.5597012483020339E-2</v>
      </c>
      <c r="AB174">
        <f t="shared" si="19"/>
        <v>2.4326679839549228E-4</v>
      </c>
      <c r="AC174" t="str">
        <f>VLOOKUP(A174, 'state-ids'!$A$1:$B$28, 2)</f>
        <v>CE</v>
      </c>
      <c r="AD174">
        <f>VLOOKUP(A174, 'state-ids'!$A$1:$C$28, 3)</f>
        <v>3.5185254999999999E-2</v>
      </c>
      <c r="AE174">
        <f>VLOOKUP(A174, 'state-ids'!$A$1:$D$28, 4)</f>
        <v>0.94621211000000005</v>
      </c>
      <c r="AF174">
        <f t="shared" si="20"/>
        <v>-9.1805075114883089E-2</v>
      </c>
      <c r="AG174">
        <f t="shared" si="21"/>
        <v>0.1880573140281587</v>
      </c>
      <c r="AH174">
        <f t="shared" si="22"/>
        <v>0.15129774764902493</v>
      </c>
      <c r="AI174">
        <f t="shared" si="23"/>
        <v>3.6759566379133773E-2</v>
      </c>
      <c r="AJ174" s="12"/>
    </row>
    <row r="175" spans="1:36" x14ac:dyDescent="0.25">
      <c r="A175" s="9">
        <v>23</v>
      </c>
      <c r="B175" s="9">
        <v>2017</v>
      </c>
      <c r="C175" s="9">
        <v>-1.8762247898236599</v>
      </c>
      <c r="D175" s="9">
        <v>0.73730759634559995</v>
      </c>
      <c r="E175" s="9">
        <v>0.76127300960754574</v>
      </c>
      <c r="F175" s="9">
        <v>0.69713920182948275</v>
      </c>
      <c r="G175" s="9">
        <v>0.55348273343197063</v>
      </c>
      <c r="H175" s="9">
        <v>0.56713033997645834</v>
      </c>
      <c r="I175" s="9">
        <v>0.44455760791426069</v>
      </c>
      <c r="J175" s="9">
        <v>-4.0768126881465969</v>
      </c>
      <c r="K175" s="9">
        <v>0.94240070955773636</v>
      </c>
      <c r="L175" s="9">
        <v>-1.3129630208470151</v>
      </c>
      <c r="M175" s="9">
        <v>2.306030019327109</v>
      </c>
      <c r="N175" s="9">
        <v>2.275714762023346</v>
      </c>
      <c r="O175" s="9">
        <v>-11.51292546497023</v>
      </c>
      <c r="P175" s="9">
        <v>3.0315257608890533E-2</v>
      </c>
      <c r="Q175" s="9">
        <v>1</v>
      </c>
      <c r="R175" s="9">
        <v>0</v>
      </c>
      <c r="S175" s="9">
        <v>0</v>
      </c>
      <c r="T175" s="9">
        <v>0</v>
      </c>
      <c r="U175" s="9">
        <v>0</v>
      </c>
      <c r="V175" s="9">
        <v>1</v>
      </c>
      <c r="W175" s="9">
        <v>0</v>
      </c>
      <c r="X175" s="9">
        <v>-1.7439790964126587</v>
      </c>
      <c r="Y175">
        <f t="shared" si="16"/>
        <v>0.15316725421985136</v>
      </c>
      <c r="Z175">
        <f t="shared" si="17"/>
        <v>0.17482337570489515</v>
      </c>
      <c r="AA175">
        <f t="shared" si="18"/>
        <v>-2.1656121485043783E-2</v>
      </c>
      <c r="AB175">
        <f t="shared" si="19"/>
        <v>4.6898759777497495E-4</v>
      </c>
      <c r="AC175" t="str">
        <f>VLOOKUP(A175, 'state-ids'!$A$1:$B$28, 2)</f>
        <v>CE</v>
      </c>
      <c r="AD175">
        <f>VLOOKUP(A175, 'state-ids'!$A$1:$C$28, 3)</f>
        <v>3.5185254999999999E-2</v>
      </c>
      <c r="AE175">
        <f>VLOOKUP(A175, 'state-ids'!$A$1:$D$28, 4)</f>
        <v>0.94621211000000005</v>
      </c>
      <c r="AF175">
        <f t="shared" si="20"/>
        <v>-0.12513247660083657</v>
      </c>
      <c r="AG175">
        <f t="shared" si="21"/>
        <v>0.19490742547135367</v>
      </c>
      <c r="AH175">
        <f t="shared" si="22"/>
        <v>0.1568088676916361</v>
      </c>
      <c r="AI175">
        <f t="shared" si="23"/>
        <v>3.8098557779717573E-2</v>
      </c>
      <c r="AJ175" s="12"/>
    </row>
    <row r="176" spans="1:36" x14ac:dyDescent="0.25">
      <c r="A176" s="9">
        <v>23</v>
      </c>
      <c r="B176" s="9">
        <v>2018</v>
      </c>
      <c r="C176" s="9">
        <v>-1.9205895670859261</v>
      </c>
      <c r="D176" s="9">
        <v>0.83594797919161656</v>
      </c>
      <c r="E176" s="9">
        <v>0.73730759634559995</v>
      </c>
      <c r="F176" s="9">
        <v>0.76127300960754574</v>
      </c>
      <c r="G176" s="9">
        <v>0.61003727383693873</v>
      </c>
      <c r="H176" s="9">
        <v>0.55348273343197063</v>
      </c>
      <c r="I176" s="9">
        <v>0.56713033997645834</v>
      </c>
      <c r="J176" s="9">
        <v>-3.6410794980560079</v>
      </c>
      <c r="K176" s="9">
        <v>0.94240070955773636</v>
      </c>
      <c r="L176" s="9">
        <v>-1.2814082160523841</v>
      </c>
      <c r="M176" s="9">
        <v>2.3085327992865792</v>
      </c>
      <c r="N176" s="9">
        <v>2.299930457138661</v>
      </c>
      <c r="O176" s="9">
        <v>3.2580965380214821</v>
      </c>
      <c r="P176" s="9">
        <v>8.6023425683379173E-3</v>
      </c>
      <c r="Q176" s="9">
        <v>1</v>
      </c>
      <c r="R176" s="9">
        <v>0</v>
      </c>
      <c r="S176" s="9">
        <v>0</v>
      </c>
      <c r="T176" s="9">
        <v>0</v>
      </c>
      <c r="U176" s="9">
        <v>0</v>
      </c>
      <c r="V176" s="9">
        <v>1</v>
      </c>
      <c r="W176" s="9">
        <v>0</v>
      </c>
      <c r="X176" s="9">
        <v>-1.7989150285720825</v>
      </c>
      <c r="Y176">
        <f t="shared" si="16"/>
        <v>0.14652055296541316</v>
      </c>
      <c r="Z176">
        <f t="shared" si="17"/>
        <v>0.16547833011943686</v>
      </c>
      <c r="AA176">
        <f t="shared" si="18"/>
        <v>-1.8957777154023692E-2</v>
      </c>
      <c r="AB176">
        <f t="shared" si="19"/>
        <v>3.5939731462162261E-4</v>
      </c>
      <c r="AC176" t="str">
        <f>VLOOKUP(A176, 'state-ids'!$A$1:$B$28, 2)</f>
        <v>CE</v>
      </c>
      <c r="AD176">
        <f>VLOOKUP(A176, 'state-ids'!$A$1:$C$28, 3)</f>
        <v>3.5185254999999999E-2</v>
      </c>
      <c r="AE176">
        <f>VLOOKUP(A176, 'state-ids'!$A$1:$D$28, 4)</f>
        <v>0.94621211000000005</v>
      </c>
      <c r="AF176">
        <f t="shared" si="20"/>
        <v>-0.1151299218204602</v>
      </c>
      <c r="AG176">
        <f t="shared" si="21"/>
        <v>0.1844888028550698</v>
      </c>
      <c r="AH176">
        <f t="shared" si="22"/>
        <v>0.14842677341577662</v>
      </c>
      <c r="AI176">
        <f t="shared" si="23"/>
        <v>3.6062029439293181E-2</v>
      </c>
      <c r="AJ176" s="12"/>
    </row>
    <row r="177" spans="1:36" x14ac:dyDescent="0.25">
      <c r="A177" s="9">
        <v>23</v>
      </c>
      <c r="B177" s="9">
        <v>2019</v>
      </c>
      <c r="C177" s="9">
        <v>-1.885905559529534</v>
      </c>
      <c r="D177" s="9">
        <v>0.79818264339382605</v>
      </c>
      <c r="E177" s="9">
        <v>0.83594797919161656</v>
      </c>
      <c r="F177" s="9">
        <v>0.73730759634559995</v>
      </c>
      <c r="G177" s="9">
        <v>0.59801198544490664</v>
      </c>
      <c r="H177" s="9">
        <v>0.61003727383693873</v>
      </c>
      <c r="I177" s="9">
        <v>0.55348273343197063</v>
      </c>
      <c r="J177" s="9">
        <v>-2.908948471981462</v>
      </c>
      <c r="K177" s="9">
        <v>0.94240070955773636</v>
      </c>
      <c r="L177" s="9">
        <v>-1.2479508548670499</v>
      </c>
      <c r="M177" s="9">
        <v>2.308993984237167</v>
      </c>
      <c r="N177" s="9">
        <v>2.302334422007946</v>
      </c>
      <c r="O177" s="9">
        <v>5.393627546352362</v>
      </c>
      <c r="P177" s="9">
        <v>6.6595622338354588E-3</v>
      </c>
      <c r="Q177" s="9">
        <v>1</v>
      </c>
      <c r="R177" s="9">
        <v>0</v>
      </c>
      <c r="S177" s="9">
        <v>0</v>
      </c>
      <c r="T177" s="9">
        <v>0</v>
      </c>
      <c r="U177" s="9">
        <v>0</v>
      </c>
      <c r="V177" s="9">
        <v>1</v>
      </c>
      <c r="W177" s="9">
        <v>0</v>
      </c>
      <c r="X177" s="9">
        <v>-1.7508558034896851</v>
      </c>
      <c r="Y177">
        <f t="shared" si="16"/>
        <v>0.15169163141182093</v>
      </c>
      <c r="Z177">
        <f t="shared" si="17"/>
        <v>0.17362529072105895</v>
      </c>
      <c r="AA177">
        <f t="shared" si="18"/>
        <v>-2.1933659309238018E-2</v>
      </c>
      <c r="AB177">
        <f t="shared" si="19"/>
        <v>4.8108541069372357E-4</v>
      </c>
      <c r="AC177" t="str">
        <f>VLOOKUP(A177, 'state-ids'!$A$1:$B$28, 2)</f>
        <v>CE</v>
      </c>
      <c r="AD177">
        <f>VLOOKUP(A177, 'state-ids'!$A$1:$C$28, 3)</f>
        <v>3.5185254999999999E-2</v>
      </c>
      <c r="AE177">
        <f>VLOOKUP(A177, 'state-ids'!$A$1:$D$28, 4)</f>
        <v>0.94621211000000005</v>
      </c>
      <c r="AF177">
        <f t="shared" si="20"/>
        <v>-0.1277857146174507</v>
      </c>
      <c r="AG177">
        <f t="shared" si="21"/>
        <v>0.19357170215201003</v>
      </c>
      <c r="AH177">
        <f t="shared" si="22"/>
        <v>0.15573423823229632</v>
      </c>
      <c r="AI177">
        <f t="shared" si="23"/>
        <v>3.783746391971371E-2</v>
      </c>
      <c r="AJ177" s="12"/>
    </row>
    <row r="178" spans="1:36" x14ac:dyDescent="0.25">
      <c r="A178" s="9">
        <v>23</v>
      </c>
      <c r="B178" s="9">
        <v>2020</v>
      </c>
      <c r="C178" s="9">
        <v>-1.972287231124215</v>
      </c>
      <c r="D178" s="9">
        <v>0.72706539876340592</v>
      </c>
      <c r="E178" s="9">
        <v>0.79818264339382605</v>
      </c>
      <c r="F178" s="9">
        <v>0.83594797919161656</v>
      </c>
      <c r="G178" s="9">
        <v>0.53467885978815022</v>
      </c>
      <c r="H178" s="9">
        <v>0.59801198544490664</v>
      </c>
      <c r="I178" s="9">
        <v>0.61003727383693873</v>
      </c>
      <c r="J178" s="9">
        <v>-2.3165166256601419</v>
      </c>
      <c r="K178" s="9">
        <v>0.94240070955773636</v>
      </c>
      <c r="L178" s="9">
        <v>-1.2230636868595159</v>
      </c>
      <c r="M178" s="9">
        <v>2.2604783764800769</v>
      </c>
      <c r="N178" s="9">
        <v>2.3029866015401592</v>
      </c>
      <c r="O178" s="9">
        <v>5.9914645471079817</v>
      </c>
      <c r="P178" s="9">
        <v>-4.250822588801384E-2</v>
      </c>
      <c r="Q178" s="9">
        <v>1</v>
      </c>
      <c r="R178" s="9">
        <v>1</v>
      </c>
      <c r="S178" s="9">
        <v>0</v>
      </c>
      <c r="T178" s="9">
        <v>0</v>
      </c>
      <c r="U178" s="9">
        <v>0</v>
      </c>
      <c r="V178" s="9">
        <v>1</v>
      </c>
      <c r="W178" s="9">
        <v>0</v>
      </c>
      <c r="X178" s="9">
        <v>-1.8138076066970825</v>
      </c>
      <c r="Y178">
        <f t="shared" si="16"/>
        <v>0.13913825065420501</v>
      </c>
      <c r="Z178">
        <f t="shared" si="17"/>
        <v>0.16303219102926209</v>
      </c>
      <c r="AA178">
        <f t="shared" si="18"/>
        <v>-2.3893940375057071E-2</v>
      </c>
      <c r="AB178">
        <f t="shared" si="19"/>
        <v>5.7092038664678245E-4</v>
      </c>
      <c r="AC178" t="str">
        <f>VLOOKUP(A178, 'state-ids'!$A$1:$B$28, 2)</f>
        <v>CE</v>
      </c>
      <c r="AD178">
        <f>VLOOKUP(A178, 'state-ids'!$A$1:$C$28, 3)</f>
        <v>3.5185254999999999E-2</v>
      </c>
      <c r="AE178">
        <f>VLOOKUP(A178, 'state-ids'!$A$1:$D$28, 4)</f>
        <v>0.94621211000000005</v>
      </c>
      <c r="AF178">
        <f t="shared" si="20"/>
        <v>-0.14995533982120457</v>
      </c>
      <c r="AG178">
        <f t="shared" si="21"/>
        <v>0.18176164654380167</v>
      </c>
      <c r="AH178">
        <f t="shared" si="22"/>
        <v>0.14623269439516531</v>
      </c>
      <c r="AI178">
        <f t="shared" si="23"/>
        <v>3.5528952148636356E-2</v>
      </c>
      <c r="AJ178" s="12"/>
    </row>
    <row r="179" spans="1:36" x14ac:dyDescent="0.25">
      <c r="A179" s="9">
        <v>23</v>
      </c>
      <c r="B179" s="9">
        <v>2021</v>
      </c>
      <c r="C179" s="9">
        <v>-1.941188736177095</v>
      </c>
      <c r="D179" s="9">
        <v>0.91776963775355425</v>
      </c>
      <c r="E179" s="9">
        <v>0.72706539876340592</v>
      </c>
      <c r="F179" s="9">
        <v>0.79818264339382605</v>
      </c>
      <c r="G179" s="9">
        <v>0.75902854967345812</v>
      </c>
      <c r="H179" s="9">
        <v>0.53467885978815022</v>
      </c>
      <c r="I179" s="9">
        <v>0.59801198544490664</v>
      </c>
      <c r="J179" s="9">
        <v>-1.7301286688154971</v>
      </c>
      <c r="K179" s="9">
        <v>0.94240070955773636</v>
      </c>
      <c r="L179" s="9">
        <v>-1.199099363373487</v>
      </c>
      <c r="M179" s="9">
        <v>2.2869410639737482</v>
      </c>
      <c r="N179" s="9">
        <v>2.2546743749546869</v>
      </c>
      <c r="O179" s="9">
        <v>6.6846117276679271</v>
      </c>
      <c r="P179" s="9">
        <v>3.2266687601804733E-2</v>
      </c>
      <c r="Q179" s="9">
        <v>1</v>
      </c>
      <c r="R179" s="9">
        <v>0</v>
      </c>
      <c r="S179" s="9">
        <v>0</v>
      </c>
      <c r="T179" s="9">
        <v>0</v>
      </c>
      <c r="U179" s="9">
        <v>0</v>
      </c>
      <c r="V179" s="9">
        <v>1</v>
      </c>
      <c r="W179" s="9">
        <v>0</v>
      </c>
      <c r="X179" s="9">
        <v>-1.7707105875015259</v>
      </c>
      <c r="Y179">
        <f t="shared" si="16"/>
        <v>0.14353322518716344</v>
      </c>
      <c r="Z179">
        <f t="shared" si="17"/>
        <v>0.17021199532577799</v>
      </c>
      <c r="AA179">
        <f t="shared" si="18"/>
        <v>-2.6678770138614555E-2</v>
      </c>
      <c r="AB179">
        <f t="shared" si="19"/>
        <v>7.1175677610903166E-4</v>
      </c>
      <c r="AC179" t="str">
        <f>VLOOKUP(A179, 'state-ids'!$A$1:$B$28, 2)</f>
        <v>CE</v>
      </c>
      <c r="AD179">
        <f>VLOOKUP(A179, 'state-ids'!$A$1:$C$28, 3)</f>
        <v>3.5185254999999999E-2</v>
      </c>
      <c r="AE179">
        <f>VLOOKUP(A179, 'state-ids'!$A$1:$D$28, 4)</f>
        <v>0.94621211000000005</v>
      </c>
      <c r="AF179">
        <f t="shared" si="20"/>
        <v>-0.16130848876720394</v>
      </c>
      <c r="AG179">
        <f t="shared" si="21"/>
        <v>0.18976628073633828</v>
      </c>
      <c r="AH179">
        <f t="shared" si="22"/>
        <v>0.15267266260562173</v>
      </c>
      <c r="AI179">
        <f t="shared" si="23"/>
        <v>3.7093618130716544E-2</v>
      </c>
      <c r="AJ179" s="12"/>
    </row>
    <row r="180" spans="1:36" x14ac:dyDescent="0.25">
      <c r="A180" s="9">
        <v>23</v>
      </c>
      <c r="B180" s="9">
        <v>2022</v>
      </c>
      <c r="C180" s="9">
        <v>-1.865273851998017</v>
      </c>
      <c r="D180" s="9">
        <v>0.92271008367633833</v>
      </c>
      <c r="E180" s="9">
        <v>0.91776963775355425</v>
      </c>
      <c r="F180" s="9">
        <v>0.72706539876340592</v>
      </c>
      <c r="G180" s="9">
        <v>0.75724810596646897</v>
      </c>
      <c r="H180" s="9">
        <v>0.75902854967345812</v>
      </c>
      <c r="I180" s="9">
        <v>0.53467885978815022</v>
      </c>
      <c r="J180" s="9">
        <v>-1.2570011084986299</v>
      </c>
      <c r="K180" s="9">
        <v>0.94240070955773636</v>
      </c>
      <c r="L180" s="9">
        <v>-1.1721363853870821</v>
      </c>
      <c r="M180" s="9">
        <v>2.2964373068991701</v>
      </c>
      <c r="N180" s="9">
        <v>2.2869410639737482</v>
      </c>
      <c r="O180" s="9">
        <v>8.0551577318196781</v>
      </c>
      <c r="P180" s="9">
        <v>9.4962427392601967E-3</v>
      </c>
      <c r="Q180" s="9">
        <v>1</v>
      </c>
      <c r="R180" s="9">
        <v>0</v>
      </c>
      <c r="S180" s="9">
        <v>0</v>
      </c>
      <c r="T180" s="9">
        <v>0</v>
      </c>
      <c r="U180" s="9">
        <v>0</v>
      </c>
      <c r="V180" s="9">
        <v>1</v>
      </c>
      <c r="W180" s="9">
        <v>0</v>
      </c>
      <c r="X180" s="9">
        <v>-1.7442765235900879</v>
      </c>
      <c r="Y180">
        <f t="shared" si="16"/>
        <v>0.15485379705602884</v>
      </c>
      <c r="Z180">
        <f t="shared" si="17"/>
        <v>0.17477138621363766</v>
      </c>
      <c r="AA180">
        <f t="shared" si="18"/>
        <v>-1.9917589157608828E-2</v>
      </c>
      <c r="AB180">
        <f t="shared" si="19"/>
        <v>3.9671035785129676E-4</v>
      </c>
      <c r="AC180" t="str">
        <f>VLOOKUP(A180, 'state-ids'!$A$1:$B$28, 2)</f>
        <v>CE</v>
      </c>
      <c r="AD180">
        <f>VLOOKUP(A180, 'state-ids'!$A$1:$C$28, 3)</f>
        <v>3.5185254999999999E-2</v>
      </c>
      <c r="AE180">
        <f>VLOOKUP(A180, 'state-ids'!$A$1:$D$28, 4)</f>
        <v>0.94621211000000005</v>
      </c>
      <c r="AF180">
        <f t="shared" si="20"/>
        <v>-0.11448913741722953</v>
      </c>
      <c r="AG180">
        <f t="shared" si="21"/>
        <v>0.19484946332612163</v>
      </c>
      <c r="AH180">
        <f t="shared" si="22"/>
        <v>0.15676223540792075</v>
      </c>
      <c r="AI180">
        <f t="shared" si="23"/>
        <v>3.8087227918200878E-2</v>
      </c>
      <c r="AJ180" s="12"/>
    </row>
    <row r="181" spans="1:36" x14ac:dyDescent="0.25">
      <c r="A181" s="9">
        <v>23</v>
      </c>
      <c r="B181" s="9">
        <v>2023</v>
      </c>
      <c r="C181" s="9">
        <v>-1.8008710027392021</v>
      </c>
      <c r="D181" s="9">
        <v>0.79908253096861415</v>
      </c>
      <c r="E181" s="9">
        <v>0.92271008367633833</v>
      </c>
      <c r="F181" s="9">
        <v>0.91776963775355425</v>
      </c>
      <c r="G181" s="9">
        <v>0.56984896421545173</v>
      </c>
      <c r="H181" s="9">
        <v>0.75724810596646897</v>
      </c>
      <c r="I181" s="9">
        <v>0.75902854967345812</v>
      </c>
      <c r="J181" s="9">
        <v>-0.7159780079589585</v>
      </c>
      <c r="K181" s="9">
        <v>0.94240070955773636</v>
      </c>
      <c r="L181" s="9">
        <v>-1.1419418669119821</v>
      </c>
      <c r="M181" s="9">
        <v>2.329789097685202</v>
      </c>
      <c r="N181" s="9">
        <v>2.2964373068991701</v>
      </c>
      <c r="O181" s="9">
        <v>8.4658998970286863</v>
      </c>
      <c r="P181" s="9">
        <v>3.335179015994072E-2</v>
      </c>
      <c r="Q181" s="9">
        <v>1</v>
      </c>
      <c r="R181" s="9">
        <v>0</v>
      </c>
      <c r="S181" s="9">
        <v>0</v>
      </c>
      <c r="T181" s="9">
        <v>0</v>
      </c>
      <c r="U181" s="9">
        <v>0</v>
      </c>
      <c r="V181" s="9">
        <v>1</v>
      </c>
      <c r="W181" s="9">
        <v>0</v>
      </c>
      <c r="X181" s="9">
        <v>-1.715182900428772</v>
      </c>
      <c r="Y181">
        <f t="shared" si="16"/>
        <v>0.16515497512060931</v>
      </c>
      <c r="Z181">
        <f t="shared" si="17"/>
        <v>0.17993080828137104</v>
      </c>
      <c r="AA181">
        <f t="shared" si="18"/>
        <v>-1.4775833160761725E-2</v>
      </c>
      <c r="AB181">
        <f t="shared" si="19"/>
        <v>2.1832524559466584E-4</v>
      </c>
      <c r="AC181" t="str">
        <f>VLOOKUP(A181, 'state-ids'!$A$1:$B$28, 2)</f>
        <v>CE</v>
      </c>
      <c r="AD181">
        <f>VLOOKUP(A181, 'state-ids'!$A$1:$C$28, 3)</f>
        <v>3.5185254999999999E-2</v>
      </c>
      <c r="AE181">
        <f>VLOOKUP(A181, 'state-ids'!$A$1:$D$28, 4)</f>
        <v>0.94621211000000005</v>
      </c>
      <c r="AF181">
        <f t="shared" si="20"/>
        <v>-8.1079120089047954E-2</v>
      </c>
      <c r="AG181">
        <f t="shared" si="21"/>
        <v>0.20060160984592965</v>
      </c>
      <c r="AH181">
        <f t="shared" si="22"/>
        <v>0.16139000974943779</v>
      </c>
      <c r="AI181">
        <f t="shared" si="23"/>
        <v>3.9211600096491855E-2</v>
      </c>
      <c r="AJ181" s="12"/>
    </row>
    <row r="182" spans="1:36" x14ac:dyDescent="0.25">
      <c r="A182" s="9">
        <v>24</v>
      </c>
      <c r="B182" s="9">
        <v>2006</v>
      </c>
      <c r="C182" s="9">
        <v>-2.4349504883525261</v>
      </c>
      <c r="D182" s="9">
        <v>0.96317431777300555</v>
      </c>
      <c r="E182" s="9">
        <v>0.88107797611841054</v>
      </c>
      <c r="F182" s="9">
        <v>0.82342955082286751</v>
      </c>
      <c r="G182" s="9">
        <v>0.636576829071551</v>
      </c>
      <c r="H182" s="9">
        <v>0.53168651443331993</v>
      </c>
      <c r="I182" s="9">
        <v>0.42983246455645868</v>
      </c>
      <c r="J182" s="9">
        <v>-11.51292546497023</v>
      </c>
      <c r="K182" s="9">
        <v>0.60360268067701006</v>
      </c>
      <c r="L182" s="9">
        <v>-2.1371338032071021</v>
      </c>
      <c r="M182" s="9">
        <v>2.315615472719339</v>
      </c>
      <c r="N182" s="9">
        <v>2.2445335580631198</v>
      </c>
      <c r="O182" s="9">
        <v>-11.51292546497023</v>
      </c>
      <c r="P182" s="9">
        <v>7.1081914007663727E-2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1</v>
      </c>
      <c r="W182" s="9">
        <v>0</v>
      </c>
      <c r="X182" s="9">
        <v>-2.4472589492797852</v>
      </c>
      <c r="Y182">
        <f t="shared" si="16"/>
        <v>8.7602084264199451E-2</v>
      </c>
      <c r="Z182">
        <f t="shared" si="17"/>
        <v>8.6530446070542708E-2</v>
      </c>
      <c r="AA182">
        <f t="shared" si="18"/>
        <v>1.0716381936567432E-3</v>
      </c>
      <c r="AB182">
        <f t="shared" si="19"/>
        <v>1.1484084181038875E-6</v>
      </c>
      <c r="AC182" t="str">
        <f>VLOOKUP(A182, 'state-ids'!$A$1:$B$28, 2)</f>
        <v>RN</v>
      </c>
      <c r="AD182">
        <f>VLOOKUP(A182, 'state-ids'!$A$1:$C$28, 3)</f>
        <v>2.5197596999999999E-2</v>
      </c>
      <c r="AE182">
        <f>VLOOKUP(A182, 'state-ids'!$A$1:$D$28, 4)</f>
        <v>0.49093872</v>
      </c>
      <c r="AF182">
        <f t="shared" si="20"/>
        <v>1.0723058634073123E-2</v>
      </c>
      <c r="AG182">
        <f t="shared" si="21"/>
        <v>8.9069715818123341E-2</v>
      </c>
      <c r="AH182">
        <f t="shared" si="22"/>
        <v>8.4063567828781452E-2</v>
      </c>
      <c r="AI182">
        <f t="shared" si="23"/>
        <v>5.0061479893418886E-3</v>
      </c>
      <c r="AJ182" s="12"/>
    </row>
    <row r="183" spans="1:36" x14ac:dyDescent="0.25">
      <c r="A183" s="9">
        <v>24</v>
      </c>
      <c r="B183" s="9">
        <v>2007</v>
      </c>
      <c r="C183" s="9">
        <v>-2.424065218979786</v>
      </c>
      <c r="D183" s="9">
        <v>0.8924487573885842</v>
      </c>
      <c r="E183" s="9">
        <v>0.96317431777300555</v>
      </c>
      <c r="F183" s="9">
        <v>0.88107797611841054</v>
      </c>
      <c r="G183" s="9">
        <v>0.45717165043035718</v>
      </c>
      <c r="H183" s="9">
        <v>0.636576829071551</v>
      </c>
      <c r="I183" s="9">
        <v>0.53168651443331993</v>
      </c>
      <c r="J183" s="9">
        <v>-11.51292546497023</v>
      </c>
      <c r="K183" s="9">
        <v>0.60360268067701006</v>
      </c>
      <c r="L183" s="9">
        <v>-2.008082809411563</v>
      </c>
      <c r="M183" s="9">
        <v>2.3825274780410539</v>
      </c>
      <c r="N183" s="9">
        <v>2.3053722953143039</v>
      </c>
      <c r="O183" s="9">
        <v>-11.51292546497023</v>
      </c>
      <c r="P183" s="9">
        <v>7.7155180275440216E-2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1</v>
      </c>
      <c r="W183" s="9">
        <v>0</v>
      </c>
      <c r="X183" s="9">
        <v>-2.3722426891326904</v>
      </c>
      <c r="Y183">
        <f t="shared" si="16"/>
        <v>8.8560865377298487E-2</v>
      </c>
      <c r="Z183">
        <f t="shared" si="17"/>
        <v>9.3271312981354076E-2</v>
      </c>
      <c r="AA183">
        <f t="shared" si="18"/>
        <v>-4.7104476040555898E-3</v>
      </c>
      <c r="AB183">
        <f t="shared" si="19"/>
        <v>2.2188316630553047E-5</v>
      </c>
      <c r="AC183" t="str">
        <f>VLOOKUP(A183, 'state-ids'!$A$1:$B$28, 2)</f>
        <v>RN</v>
      </c>
      <c r="AD183">
        <f>VLOOKUP(A183, 'state-ids'!$A$1:$C$28, 3)</f>
        <v>2.5197596999999999E-2</v>
      </c>
      <c r="AE183">
        <f>VLOOKUP(A183, 'state-ids'!$A$1:$D$28, 4)</f>
        <v>0.49093872</v>
      </c>
      <c r="AF183">
        <f t="shared" si="20"/>
        <v>-2.5441686470294891E-2</v>
      </c>
      <c r="AG183">
        <f t="shared" si="21"/>
        <v>9.600839610210439E-2</v>
      </c>
      <c r="AH183">
        <f t="shared" si="22"/>
        <v>9.0612260786169171E-2</v>
      </c>
      <c r="AI183">
        <f t="shared" si="23"/>
        <v>5.3961353159352188E-3</v>
      </c>
      <c r="AJ183" s="12"/>
    </row>
    <row r="184" spans="1:36" x14ac:dyDescent="0.25">
      <c r="A184" s="9">
        <v>24</v>
      </c>
      <c r="B184" s="9">
        <v>2008</v>
      </c>
      <c r="C184" s="9">
        <v>-2.32403325281124</v>
      </c>
      <c r="D184" s="9">
        <v>0.85070633066131007</v>
      </c>
      <c r="E184" s="9">
        <v>0.8924487573885842</v>
      </c>
      <c r="F184" s="9">
        <v>0.96317431777300555</v>
      </c>
      <c r="G184" s="9">
        <v>0.49237648009746082</v>
      </c>
      <c r="H184" s="9">
        <v>0.45717165043035718</v>
      </c>
      <c r="I184" s="9">
        <v>0.636576829071551</v>
      </c>
      <c r="J184" s="9">
        <v>-11.51292546497023</v>
      </c>
      <c r="K184" s="9">
        <v>0.60360268067701006</v>
      </c>
      <c r="L184" s="9">
        <v>-1.8931114226758019</v>
      </c>
      <c r="M184" s="9">
        <v>2.3817833481987249</v>
      </c>
      <c r="N184" s="9">
        <v>2.3723881603646371</v>
      </c>
      <c r="O184" s="9">
        <v>-11.51292546497023</v>
      </c>
      <c r="P184" s="9">
        <v>9.395187720656395E-3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1</v>
      </c>
      <c r="W184" s="9">
        <v>0</v>
      </c>
      <c r="X184" s="9">
        <v>-2.2764260768890381</v>
      </c>
      <c r="Y184">
        <f t="shared" si="16"/>
        <v>9.7878021629932074E-2</v>
      </c>
      <c r="Z184">
        <f t="shared" si="17"/>
        <v>0.1026504166190257</v>
      </c>
      <c r="AA184">
        <f t="shared" si="18"/>
        <v>-4.7723949890936257E-3</v>
      </c>
      <c r="AB184">
        <f t="shared" si="19"/>
        <v>2.2775753931925948E-5</v>
      </c>
      <c r="AC184" t="str">
        <f>VLOOKUP(A184, 'state-ids'!$A$1:$B$28, 2)</f>
        <v>RN</v>
      </c>
      <c r="AD184">
        <f>VLOOKUP(A184, 'state-ids'!$A$1:$C$28, 3)</f>
        <v>2.5197596999999999E-2</v>
      </c>
      <c r="AE184">
        <f>VLOOKUP(A184, 'state-ids'!$A$1:$D$28, 4)</f>
        <v>0.49093872</v>
      </c>
      <c r="AF184">
        <f t="shared" si="20"/>
        <v>-2.3372206010060605E-2</v>
      </c>
      <c r="AG184">
        <f t="shared" si="21"/>
        <v>0.10566273320046043</v>
      </c>
      <c r="AH184">
        <f t="shared" si="22"/>
        <v>9.972397753585302E-2</v>
      </c>
      <c r="AI184">
        <f t="shared" si="23"/>
        <v>5.9387556646074147E-3</v>
      </c>
      <c r="AJ184" s="12"/>
    </row>
    <row r="185" spans="1:36" x14ac:dyDescent="0.25">
      <c r="A185" s="9">
        <v>24</v>
      </c>
      <c r="B185" s="9">
        <v>2009</v>
      </c>
      <c r="C185" s="9">
        <v>-2.2391758099955328</v>
      </c>
      <c r="D185" s="9">
        <v>0.80848277923984968</v>
      </c>
      <c r="E185" s="9">
        <v>0.85070633066131007</v>
      </c>
      <c r="F185" s="9">
        <v>0.8924487573885842</v>
      </c>
      <c r="G185" s="9">
        <v>0.46115206952241822</v>
      </c>
      <c r="H185" s="9">
        <v>0.49237648009746082</v>
      </c>
      <c r="I185" s="9">
        <v>0.45717165043035718</v>
      </c>
      <c r="J185" s="9">
        <v>-11.51292546497023</v>
      </c>
      <c r="K185" s="9">
        <v>0.60360268067701006</v>
      </c>
      <c r="L185" s="9">
        <v>-1.793837456195611</v>
      </c>
      <c r="M185" s="9">
        <v>2.3695177165425099</v>
      </c>
      <c r="N185" s="9">
        <v>2.3718200644428848</v>
      </c>
      <c r="O185" s="9">
        <v>-11.51292546497023</v>
      </c>
      <c r="P185" s="9">
        <v>-2.3023479152470827E-3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1</v>
      </c>
      <c r="W185" s="9">
        <v>0</v>
      </c>
      <c r="X185" s="9">
        <v>-2.1732268333435059</v>
      </c>
      <c r="Y185">
        <f t="shared" si="16"/>
        <v>0.10654628258244267</v>
      </c>
      <c r="Z185">
        <f t="shared" si="17"/>
        <v>0.11380977856520083</v>
      </c>
      <c r="AA185">
        <f t="shared" si="18"/>
        <v>-7.2634959827581613E-3</v>
      </c>
      <c r="AB185">
        <f t="shared" si="19"/>
        <v>5.2758373891543945E-5</v>
      </c>
      <c r="AC185" t="str">
        <f>VLOOKUP(A185, 'state-ids'!$A$1:$B$28, 2)</f>
        <v>RN</v>
      </c>
      <c r="AD185">
        <f>VLOOKUP(A185, 'state-ids'!$A$1:$C$28, 3)</f>
        <v>2.5197596999999999E-2</v>
      </c>
      <c r="AE185">
        <f>VLOOKUP(A185, 'state-ids'!$A$1:$D$28, 4)</f>
        <v>0.49093872</v>
      </c>
      <c r="AF185">
        <f t="shared" si="20"/>
        <v>-3.2376906182855984E-2</v>
      </c>
      <c r="AG185">
        <f t="shared" si="21"/>
        <v>0.11714957098293398</v>
      </c>
      <c r="AH185">
        <f t="shared" si="22"/>
        <v>0.11056519958529729</v>
      </c>
      <c r="AI185">
        <f t="shared" si="23"/>
        <v>6.584371397636693E-3</v>
      </c>
      <c r="AJ185" s="12"/>
    </row>
    <row r="186" spans="1:36" x14ac:dyDescent="0.25">
      <c r="A186" s="9">
        <v>24</v>
      </c>
      <c r="B186" s="9">
        <v>2010</v>
      </c>
      <c r="C186" s="9">
        <v>-2.0605872757379622</v>
      </c>
      <c r="D186" s="9">
        <v>0.78522486876085318</v>
      </c>
      <c r="E186" s="9">
        <v>0.80848277923984968</v>
      </c>
      <c r="F186" s="9">
        <v>0.85070633066131007</v>
      </c>
      <c r="G186" s="9">
        <v>0.47237581339079121</v>
      </c>
      <c r="H186" s="9">
        <v>0.46115206952241822</v>
      </c>
      <c r="I186" s="9">
        <v>0.49237648009746082</v>
      </c>
      <c r="J186" s="9">
        <v>-8.0608870024461652</v>
      </c>
      <c r="K186" s="9">
        <v>0.60360268067701006</v>
      </c>
      <c r="L186" s="9">
        <v>-1.6886326266371581</v>
      </c>
      <c r="M186" s="9">
        <v>2.4354991821506609</v>
      </c>
      <c r="N186" s="9">
        <v>2.359825365180205</v>
      </c>
      <c r="O186" s="9">
        <v>-11.51292546497023</v>
      </c>
      <c r="P186" s="9">
        <v>7.5673818588256836E-2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1</v>
      </c>
      <c r="W186" s="9">
        <v>0</v>
      </c>
      <c r="X186" s="9">
        <v>-2.0594396591186523</v>
      </c>
      <c r="Y186">
        <f t="shared" si="16"/>
        <v>0.12737914124527039</v>
      </c>
      <c r="Z186">
        <f t="shared" si="17"/>
        <v>0.12752540757750072</v>
      </c>
      <c r="AA186">
        <f t="shared" si="18"/>
        <v>-1.4626633223033259E-4</v>
      </c>
      <c r="AB186">
        <f t="shared" si="19"/>
        <v>2.1393839944114028E-8</v>
      </c>
      <c r="AC186" t="str">
        <f>VLOOKUP(A186, 'state-ids'!$A$1:$B$28, 2)</f>
        <v>RN</v>
      </c>
      <c r="AD186">
        <f>VLOOKUP(A186, 'state-ids'!$A$1:$C$28, 3)</f>
        <v>2.5197596999999999E-2</v>
      </c>
      <c r="AE186">
        <f>VLOOKUP(A186, 'state-ids'!$A$1:$D$28, 4)</f>
        <v>0.49093872</v>
      </c>
      <c r="AF186">
        <f t="shared" si="20"/>
        <v>-5.6340943413470189E-4</v>
      </c>
      <c r="AG186">
        <f t="shared" si="21"/>
        <v>0.131267690487327</v>
      </c>
      <c r="AH186">
        <f t="shared" si="22"/>
        <v>0.12388981262207652</v>
      </c>
      <c r="AI186">
        <f t="shared" si="23"/>
        <v>7.3778778652504873E-3</v>
      </c>
      <c r="AJ186" s="12"/>
    </row>
    <row r="187" spans="1:36" x14ac:dyDescent="0.25">
      <c r="A187" s="9">
        <v>24</v>
      </c>
      <c r="B187" s="9">
        <v>2011</v>
      </c>
      <c r="C187" s="9">
        <v>-1.887333588368725</v>
      </c>
      <c r="D187" s="9">
        <v>0.73706836761787342</v>
      </c>
      <c r="E187" s="9">
        <v>0.78522486876085318</v>
      </c>
      <c r="F187" s="9">
        <v>0.80848277923984968</v>
      </c>
      <c r="G187" s="9">
        <v>0.53397558366469022</v>
      </c>
      <c r="H187" s="9">
        <v>0.47237581339079121</v>
      </c>
      <c r="I187" s="9">
        <v>0.46115206952241822</v>
      </c>
      <c r="J187" s="9">
        <v>-6.2787268439663473</v>
      </c>
      <c r="K187" s="9">
        <v>0.60360268067701006</v>
      </c>
      <c r="L187" s="9">
        <v>-1.598679576902704</v>
      </c>
      <c r="M187" s="9">
        <v>2.4707618300385872</v>
      </c>
      <c r="N187" s="9">
        <v>2.4258998714023359</v>
      </c>
      <c r="O187" s="9">
        <v>-11.51292546497023</v>
      </c>
      <c r="P187" s="9">
        <v>4.4861957430839539E-2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1</v>
      </c>
      <c r="W187" s="9">
        <v>0</v>
      </c>
      <c r="X187" s="9">
        <v>-1.9182623624801636</v>
      </c>
      <c r="Y187">
        <f t="shared" si="16"/>
        <v>0.15147516598372382</v>
      </c>
      <c r="Z187">
        <f t="shared" si="17"/>
        <v>0.14686193334803957</v>
      </c>
      <c r="AA187">
        <f t="shared" si="18"/>
        <v>4.6132326356842501E-3</v>
      </c>
      <c r="AB187">
        <f t="shared" si="19"/>
        <v>2.1281915350942252E-5</v>
      </c>
      <c r="AC187" t="str">
        <f>VLOOKUP(A187, 'state-ids'!$A$1:$B$28, 2)</f>
        <v>RN</v>
      </c>
      <c r="AD187">
        <f>VLOOKUP(A187, 'state-ids'!$A$1:$C$28, 3)</f>
        <v>2.5197596999999999E-2</v>
      </c>
      <c r="AE187">
        <f>VLOOKUP(A187, 'state-ids'!$A$1:$D$28, 4)</f>
        <v>0.49093872</v>
      </c>
      <c r="AF187">
        <f t="shared" si="20"/>
        <v>1.518413277343879E-2</v>
      </c>
      <c r="AG187">
        <f t="shared" si="21"/>
        <v>0.15117165416142661</v>
      </c>
      <c r="AH187">
        <f t="shared" si="22"/>
        <v>0.14267507745660085</v>
      </c>
      <c r="AI187">
        <f t="shared" si="23"/>
        <v>8.496576704825759E-3</v>
      </c>
      <c r="AJ187" s="12"/>
    </row>
    <row r="188" spans="1:36" x14ac:dyDescent="0.25">
      <c r="A188" s="9">
        <v>24</v>
      </c>
      <c r="B188" s="9">
        <v>2012</v>
      </c>
      <c r="C188" s="9">
        <v>-1.7483490252738081</v>
      </c>
      <c r="D188" s="9">
        <v>0.67294447324242579</v>
      </c>
      <c r="E188" s="9">
        <v>0.73706836761787342</v>
      </c>
      <c r="F188" s="9">
        <v>0.78522486876085318</v>
      </c>
      <c r="G188" s="9">
        <v>0.48168513401957352</v>
      </c>
      <c r="H188" s="9">
        <v>0.53397558366469022</v>
      </c>
      <c r="I188" s="9">
        <v>0.47237581339079121</v>
      </c>
      <c r="J188" s="9">
        <v>-5.8824547884624812</v>
      </c>
      <c r="K188" s="9">
        <v>0.60360268067701006</v>
      </c>
      <c r="L188" s="9">
        <v>-1.51478770487112</v>
      </c>
      <c r="M188" s="9">
        <v>2.509297514626756</v>
      </c>
      <c r="N188" s="9">
        <v>2.4615687774342709</v>
      </c>
      <c r="O188" s="9">
        <v>-11.51292546497023</v>
      </c>
      <c r="P188" s="9">
        <v>4.7728735953569412E-2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1</v>
      </c>
      <c r="W188" s="9">
        <v>0</v>
      </c>
      <c r="X188" s="9">
        <v>-1.7938796281814575</v>
      </c>
      <c r="Y188">
        <f t="shared" si="16"/>
        <v>0.1740610767988828</v>
      </c>
      <c r="Z188">
        <f t="shared" si="17"/>
        <v>0.16631368116600906</v>
      </c>
      <c r="AA188">
        <f t="shared" si="18"/>
        <v>7.7473956328737437E-3</v>
      </c>
      <c r="AB188">
        <f t="shared" si="19"/>
        <v>6.0022139092271157E-5</v>
      </c>
      <c r="AC188" t="str">
        <f>VLOOKUP(A188, 'state-ids'!$A$1:$B$28, 2)</f>
        <v>RN</v>
      </c>
      <c r="AD188">
        <f>VLOOKUP(A188, 'state-ids'!$A$1:$C$28, 3)</f>
        <v>2.5197596999999999E-2</v>
      </c>
      <c r="AE188">
        <f>VLOOKUP(A188, 'state-ids'!$A$1:$D$28, 4)</f>
        <v>0.49093872</v>
      </c>
      <c r="AF188">
        <f t="shared" si="20"/>
        <v>2.2352735912309688E-2</v>
      </c>
      <c r="AG188">
        <f t="shared" si="21"/>
        <v>0.17119422111895619</v>
      </c>
      <c r="AH188">
        <f t="shared" si="22"/>
        <v>0.16157227949750064</v>
      </c>
      <c r="AI188">
        <f t="shared" si="23"/>
        <v>9.6219416214555487E-3</v>
      </c>
      <c r="AJ188" s="12"/>
    </row>
    <row r="189" spans="1:36" x14ac:dyDescent="0.25">
      <c r="A189" s="9">
        <v>24</v>
      </c>
      <c r="B189" s="9">
        <v>2013</v>
      </c>
      <c r="C189" s="9">
        <v>-1.7176212697949069</v>
      </c>
      <c r="D189" s="9">
        <v>0.68006194101128981</v>
      </c>
      <c r="E189" s="9">
        <v>0.67294447324242579</v>
      </c>
      <c r="F189" s="9">
        <v>0.73706836761787342</v>
      </c>
      <c r="G189" s="9">
        <v>0.50603416302985993</v>
      </c>
      <c r="H189" s="9">
        <v>0.48168513401957352</v>
      </c>
      <c r="I189" s="9">
        <v>0.53397558366469022</v>
      </c>
      <c r="J189" s="9">
        <v>-5.079319673559997</v>
      </c>
      <c r="K189" s="9">
        <v>0.60360268067701006</v>
      </c>
      <c r="L189" s="9">
        <v>-1.475912521678826</v>
      </c>
      <c r="M189" s="9">
        <v>2.497149251437806</v>
      </c>
      <c r="N189" s="9">
        <v>2.4651347691420278</v>
      </c>
      <c r="O189" s="9">
        <v>-11.51292546497023</v>
      </c>
      <c r="P189" s="9">
        <v>3.2014481723308563E-2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1</v>
      </c>
      <c r="W189" s="9">
        <v>0</v>
      </c>
      <c r="X189" s="9">
        <v>-1.7418699264526367</v>
      </c>
      <c r="Y189">
        <f t="shared" si="16"/>
        <v>0.17949260497830577</v>
      </c>
      <c r="Z189">
        <f t="shared" si="17"/>
        <v>0.17519249705022877</v>
      </c>
      <c r="AA189">
        <f t="shared" si="18"/>
        <v>4.3001079280770016E-3</v>
      </c>
      <c r="AB189">
        <f t="shared" si="19"/>
        <v>1.8490928193110684E-5</v>
      </c>
      <c r="AC189" t="str">
        <f>VLOOKUP(A189, 'state-ids'!$A$1:$B$28, 2)</f>
        <v>RN</v>
      </c>
      <c r="AD189">
        <f>VLOOKUP(A189, 'state-ids'!$A$1:$C$28, 3)</f>
        <v>2.5197596999999999E-2</v>
      </c>
      <c r="AE189">
        <f>VLOOKUP(A189, 'state-ids'!$A$1:$D$28, 4)</f>
        <v>0.49093872</v>
      </c>
      <c r="AF189">
        <f t="shared" si="20"/>
        <v>1.1904604461265343E-2</v>
      </c>
      <c r="AG189">
        <f t="shared" si="21"/>
        <v>0.18033358932427174</v>
      </c>
      <c r="AH189">
        <f t="shared" si="22"/>
        <v>0.17019797109180823</v>
      </c>
      <c r="AI189">
        <f t="shared" si="23"/>
        <v>1.0135618232463506E-2</v>
      </c>
      <c r="AJ189" s="12"/>
    </row>
    <row r="190" spans="1:36" x14ac:dyDescent="0.25">
      <c r="A190" s="9">
        <v>24</v>
      </c>
      <c r="B190" s="9">
        <v>2014</v>
      </c>
      <c r="C190" s="9">
        <v>-1.6534556585645781</v>
      </c>
      <c r="D190" s="9">
        <v>0.66870078765501906</v>
      </c>
      <c r="E190" s="9">
        <v>0.68006194101128981</v>
      </c>
      <c r="F190" s="9">
        <v>0.67294447324242579</v>
      </c>
      <c r="G190" s="9">
        <v>0.52330740126804653</v>
      </c>
      <c r="H190" s="9">
        <v>0.50603416302985993</v>
      </c>
      <c r="I190" s="9">
        <v>0.48168513401957352</v>
      </c>
      <c r="J190" s="9">
        <v>-4.4204584579360944</v>
      </c>
      <c r="K190" s="9">
        <v>0.60360268067701006</v>
      </c>
      <c r="L190" s="9">
        <v>-1.413824844881286</v>
      </c>
      <c r="M190" s="9">
        <v>2.458882208951175</v>
      </c>
      <c r="N190" s="9">
        <v>2.4869608380808188</v>
      </c>
      <c r="O190" s="9">
        <v>-11.51292546497023</v>
      </c>
      <c r="P190" s="9">
        <v>-2.8078628703951836E-2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1</v>
      </c>
      <c r="W190" s="9">
        <v>0</v>
      </c>
      <c r="X190" s="9">
        <v>-1.6744083166122437</v>
      </c>
      <c r="Y190">
        <f t="shared" si="16"/>
        <v>0.19138739507878794</v>
      </c>
      <c r="Z190">
        <f t="shared" si="17"/>
        <v>0.1874190394139032</v>
      </c>
      <c r="AA190">
        <f t="shared" si="18"/>
        <v>3.9683556648847373E-3</v>
      </c>
      <c r="AB190">
        <f t="shared" si="19"/>
        <v>1.5747846683022785E-5</v>
      </c>
      <c r="AC190" t="str">
        <f>VLOOKUP(A190, 'state-ids'!$A$1:$B$28, 2)</f>
        <v>RN</v>
      </c>
      <c r="AD190">
        <f>VLOOKUP(A190, 'state-ids'!$A$1:$C$28, 3)</f>
        <v>2.5197596999999999E-2</v>
      </c>
      <c r="AE190">
        <f>VLOOKUP(A190, 'state-ids'!$A$1:$D$28, 4)</f>
        <v>0.49093872</v>
      </c>
      <c r="AF190">
        <f t="shared" si="20"/>
        <v>1.0286471122518624E-2</v>
      </c>
      <c r="AG190">
        <f t="shared" si="21"/>
        <v>0.19291892435054589</v>
      </c>
      <c r="AH190">
        <f t="shared" si="22"/>
        <v>0.18207594953724823</v>
      </c>
      <c r="AI190">
        <f t="shared" si="23"/>
        <v>1.0842974813297657E-2</v>
      </c>
      <c r="AJ190" s="12"/>
    </row>
    <row r="191" spans="1:36" x14ac:dyDescent="0.25">
      <c r="A191" s="9">
        <v>24</v>
      </c>
      <c r="B191" s="9">
        <v>2015</v>
      </c>
      <c r="C191" s="9">
        <v>-1.674943828750509</v>
      </c>
      <c r="D191" s="9">
        <v>0.67365850397608285</v>
      </c>
      <c r="E191" s="9">
        <v>0.66870078765501906</v>
      </c>
      <c r="F191" s="9">
        <v>0.68006194101128981</v>
      </c>
      <c r="G191" s="9">
        <v>0.45203057725548518</v>
      </c>
      <c r="H191" s="9">
        <v>0.52330740126804653</v>
      </c>
      <c r="I191" s="9">
        <v>0.50603416302985993</v>
      </c>
      <c r="J191" s="9">
        <v>-4.0167244329673659</v>
      </c>
      <c r="K191" s="9">
        <v>0.60360268067701006</v>
      </c>
      <c r="L191" s="9">
        <v>-1.3656918586521201</v>
      </c>
      <c r="M191" s="9">
        <v>2.4341584669458749</v>
      </c>
      <c r="N191" s="9">
        <v>2.4490539155791202</v>
      </c>
      <c r="O191" s="9">
        <v>-11.51292546497023</v>
      </c>
      <c r="P191" s="9">
        <v>-1.4895448461174965E-2</v>
      </c>
      <c r="Q191" s="9">
        <v>1</v>
      </c>
      <c r="R191" s="9">
        <v>0</v>
      </c>
      <c r="S191" s="9">
        <v>0</v>
      </c>
      <c r="T191" s="9">
        <v>0</v>
      </c>
      <c r="U191" s="9">
        <v>0</v>
      </c>
      <c r="V191" s="9">
        <v>1</v>
      </c>
      <c r="W191" s="9">
        <v>0</v>
      </c>
      <c r="X191" s="9">
        <v>-1.707797646522522</v>
      </c>
      <c r="Y191">
        <f t="shared" si="16"/>
        <v>0.18731870111194221</v>
      </c>
      <c r="Z191">
        <f t="shared" si="17"/>
        <v>0.18126456197881319</v>
      </c>
      <c r="AA191">
        <f t="shared" si="18"/>
        <v>6.0541391331290217E-3</v>
      </c>
      <c r="AB191">
        <f t="shared" si="19"/>
        <v>3.6652600643284222E-5</v>
      </c>
      <c r="AC191" t="str">
        <f>VLOOKUP(A191, 'state-ids'!$A$1:$B$28, 2)</f>
        <v>RN</v>
      </c>
      <c r="AD191">
        <f>VLOOKUP(A191, 'state-ids'!$A$1:$C$28, 3)</f>
        <v>2.5197596999999999E-2</v>
      </c>
      <c r="AE191">
        <f>VLOOKUP(A191, 'state-ids'!$A$1:$D$28, 4)</f>
        <v>0.49093872</v>
      </c>
      <c r="AF191">
        <f t="shared" si="20"/>
        <v>1.612921124410532E-2</v>
      </c>
      <c r="AG191">
        <f t="shared" si="21"/>
        <v>0.18658384137055492</v>
      </c>
      <c r="AH191">
        <f t="shared" si="22"/>
        <v>0.17609692880166092</v>
      </c>
      <c r="AI191">
        <f t="shared" si="23"/>
        <v>1.0486912568894002E-2</v>
      </c>
      <c r="AJ191" s="12"/>
    </row>
    <row r="192" spans="1:36" x14ac:dyDescent="0.25">
      <c r="A192" s="9">
        <v>24</v>
      </c>
      <c r="B192" s="9">
        <v>2016</v>
      </c>
      <c r="C192" s="9">
        <v>-1.6737951702802141</v>
      </c>
      <c r="D192" s="9">
        <v>0.74060312171624065</v>
      </c>
      <c r="E192" s="9">
        <v>0.67365850397608285</v>
      </c>
      <c r="F192" s="9">
        <v>0.66870078765501906</v>
      </c>
      <c r="G192" s="9">
        <v>0.55778554262926883</v>
      </c>
      <c r="H192" s="9">
        <v>0.45203057725548518</v>
      </c>
      <c r="I192" s="9">
        <v>0.52330740126804653</v>
      </c>
      <c r="J192" s="9">
        <v>-3.676012367980952</v>
      </c>
      <c r="K192" s="9">
        <v>0.60360268067701006</v>
      </c>
      <c r="L192" s="9">
        <v>-1.3317652697381079</v>
      </c>
      <c r="M192" s="9">
        <v>2.3882586401077348</v>
      </c>
      <c r="N192" s="9">
        <v>2.4246681024991741</v>
      </c>
      <c r="O192" s="9">
        <v>-11.51292546497023</v>
      </c>
      <c r="P192" s="9">
        <v>-3.6409463733434677E-2</v>
      </c>
      <c r="Q192" s="9">
        <v>1</v>
      </c>
      <c r="R192" s="9">
        <v>0</v>
      </c>
      <c r="S192" s="9">
        <v>0</v>
      </c>
      <c r="T192" s="9">
        <v>0</v>
      </c>
      <c r="U192" s="9">
        <v>0</v>
      </c>
      <c r="V192" s="9">
        <v>1</v>
      </c>
      <c r="W192" s="9">
        <v>0</v>
      </c>
      <c r="X192" s="9">
        <v>-1.7154290676116943</v>
      </c>
      <c r="Y192">
        <f t="shared" si="16"/>
        <v>0.18753398994762011</v>
      </c>
      <c r="Z192">
        <f t="shared" si="17"/>
        <v>0.17988652067247707</v>
      </c>
      <c r="AA192">
        <f t="shared" si="18"/>
        <v>7.6474692751430373E-3</v>
      </c>
      <c r="AB192">
        <f t="shared" si="19"/>
        <v>5.8483786314256771E-5</v>
      </c>
      <c r="AC192" t="str">
        <f>VLOOKUP(A192, 'state-ids'!$A$1:$B$28, 2)</f>
        <v>RN</v>
      </c>
      <c r="AD192">
        <f>VLOOKUP(A192, 'state-ids'!$A$1:$C$28, 3)</f>
        <v>2.5197596999999999E-2</v>
      </c>
      <c r="AE192">
        <f>VLOOKUP(A192, 'state-ids'!$A$1:$D$28, 4)</f>
        <v>0.49093872</v>
      </c>
      <c r="AF192">
        <f t="shared" si="20"/>
        <v>2.0439692264528336E-2</v>
      </c>
      <c r="AG192">
        <f t="shared" si="21"/>
        <v>0.18516536090368055</v>
      </c>
      <c r="AH192">
        <f t="shared" si="22"/>
        <v>0.17475817378436206</v>
      </c>
      <c r="AI192">
        <f t="shared" si="23"/>
        <v>1.0407187119318484E-2</v>
      </c>
      <c r="AJ192" s="12"/>
    </row>
    <row r="193" spans="1:36" x14ac:dyDescent="0.25">
      <c r="A193" s="9">
        <v>24</v>
      </c>
      <c r="B193" s="9">
        <v>2017</v>
      </c>
      <c r="C193" s="9">
        <v>-1.6687327971979049</v>
      </c>
      <c r="D193" s="9">
        <v>0.71935084605658173</v>
      </c>
      <c r="E193" s="9">
        <v>0.74060312171624065</v>
      </c>
      <c r="F193" s="9">
        <v>0.67365850397608285</v>
      </c>
      <c r="G193" s="9">
        <v>0.53807107265618603</v>
      </c>
      <c r="H193" s="9">
        <v>0.55778554262926883</v>
      </c>
      <c r="I193" s="9">
        <v>0.45203057725548518</v>
      </c>
      <c r="J193" s="9">
        <v>-3.0208535490691468</v>
      </c>
      <c r="K193" s="9">
        <v>0.60360268067701006</v>
      </c>
      <c r="L193" s="9">
        <v>-1.298643706120147</v>
      </c>
      <c r="M193" s="9">
        <v>2.4177344275341879</v>
      </c>
      <c r="N193" s="9">
        <v>2.3790907169950879</v>
      </c>
      <c r="O193" s="9">
        <v>-11.51292546497023</v>
      </c>
      <c r="P193" s="9">
        <v>3.8643710315227509E-2</v>
      </c>
      <c r="Q193" s="9">
        <v>1</v>
      </c>
      <c r="R193" s="9">
        <v>0</v>
      </c>
      <c r="S193" s="9">
        <v>0</v>
      </c>
      <c r="T193" s="9">
        <v>0</v>
      </c>
      <c r="U193" s="9">
        <v>0</v>
      </c>
      <c r="V193" s="9">
        <v>1</v>
      </c>
      <c r="W193" s="9">
        <v>0</v>
      </c>
      <c r="X193" s="9">
        <v>-1.6810705661773682</v>
      </c>
      <c r="Y193">
        <f t="shared" si="16"/>
        <v>0.18848576405551978</v>
      </c>
      <c r="Z193">
        <f t="shared" si="17"/>
        <v>0.18617455712893727</v>
      </c>
      <c r="AA193">
        <f t="shared" si="18"/>
        <v>2.3112069265825153E-3</v>
      </c>
      <c r="AB193">
        <f t="shared" si="19"/>
        <v>5.3416774574829959E-6</v>
      </c>
      <c r="AC193" t="str">
        <f>VLOOKUP(A193, 'state-ids'!$A$1:$B$28, 2)</f>
        <v>RN</v>
      </c>
      <c r="AD193">
        <f>VLOOKUP(A193, 'state-ids'!$A$1:$C$28, 3)</f>
        <v>2.5197596999999999E-2</v>
      </c>
      <c r="AE193">
        <f>VLOOKUP(A193, 'state-ids'!$A$1:$D$28, 4)</f>
        <v>0.49093872</v>
      </c>
      <c r="AF193">
        <f t="shared" si="20"/>
        <v>6.0570885104333991E-3</v>
      </c>
      <c r="AG193">
        <f t="shared" si="21"/>
        <v>0.19163792224670559</v>
      </c>
      <c r="AH193">
        <f t="shared" si="22"/>
        <v>0.18086694593534069</v>
      </c>
      <c r="AI193">
        <f t="shared" si="23"/>
        <v>1.0770976311364894E-2</v>
      </c>
      <c r="AJ193" s="12"/>
    </row>
    <row r="194" spans="1:36" x14ac:dyDescent="0.25">
      <c r="A194" s="9">
        <v>24</v>
      </c>
      <c r="B194" s="9">
        <v>2018</v>
      </c>
      <c r="C194" s="9">
        <v>-1.744181599365112</v>
      </c>
      <c r="D194" s="9">
        <v>0.81801616260581456</v>
      </c>
      <c r="E194" s="9">
        <v>0.71935084605658173</v>
      </c>
      <c r="F194" s="9">
        <v>0.74060312171624065</v>
      </c>
      <c r="G194" s="9">
        <v>0.57605140868369809</v>
      </c>
      <c r="H194" s="9">
        <v>0.53807107265618603</v>
      </c>
      <c r="I194" s="9">
        <v>0.55778554262926883</v>
      </c>
      <c r="J194" s="9">
        <v>-2.5672543911367551</v>
      </c>
      <c r="K194" s="9">
        <v>0.60360268067701006</v>
      </c>
      <c r="L194" s="9">
        <v>-1.2524127864998951</v>
      </c>
      <c r="M194" s="9">
        <v>2.422378828415336</v>
      </c>
      <c r="N194" s="9">
        <v>2.4257484835689902</v>
      </c>
      <c r="O194" s="9">
        <v>3.2580965380214821</v>
      </c>
      <c r="P194" s="9">
        <v>-3.3696552272886038E-3</v>
      </c>
      <c r="Q194" s="9">
        <v>1</v>
      </c>
      <c r="R194" s="9">
        <v>0</v>
      </c>
      <c r="S194" s="9">
        <v>0</v>
      </c>
      <c r="T194" s="9">
        <v>0</v>
      </c>
      <c r="U194" s="9">
        <v>0</v>
      </c>
      <c r="V194" s="9">
        <v>1</v>
      </c>
      <c r="W194" s="9">
        <v>0</v>
      </c>
      <c r="X194" s="9">
        <v>-1.7419494390487671</v>
      </c>
      <c r="Y194">
        <f t="shared" si="16"/>
        <v>0.17478797703944515</v>
      </c>
      <c r="Z194">
        <f t="shared" si="17"/>
        <v>0.17517856759375672</v>
      </c>
      <c r="AA194">
        <f t="shared" si="18"/>
        <v>-3.9059055431156509E-4</v>
      </c>
      <c r="AB194">
        <f t="shared" si="19"/>
        <v>1.5256098111741568E-7</v>
      </c>
      <c r="AC194" t="str">
        <f>VLOOKUP(A194, 'state-ids'!$A$1:$B$28, 2)</f>
        <v>RN</v>
      </c>
      <c r="AD194">
        <f>VLOOKUP(A194, 'state-ids'!$A$1:$C$28, 3)</f>
        <v>2.5197596999999999E-2</v>
      </c>
      <c r="AE194">
        <f>VLOOKUP(A194, 'state-ids'!$A$1:$D$28, 4)</f>
        <v>0.49093872</v>
      </c>
      <c r="AF194">
        <f t="shared" si="20"/>
        <v>-1.0958539285411493E-3</v>
      </c>
      <c r="AG194">
        <f t="shared" si="21"/>
        <v>0.18031925110245722</v>
      </c>
      <c r="AH194">
        <f t="shared" si="22"/>
        <v>0.17018443874727365</v>
      </c>
      <c r="AI194">
        <f t="shared" si="23"/>
        <v>1.013481235518357E-2</v>
      </c>
      <c r="AJ194" s="12"/>
    </row>
    <row r="195" spans="1:36" x14ac:dyDescent="0.25">
      <c r="A195" s="9">
        <v>24</v>
      </c>
      <c r="B195" s="9">
        <v>2019</v>
      </c>
      <c r="C195" s="9">
        <v>-1.7319081974415671</v>
      </c>
      <c r="D195" s="9">
        <v>0.79154350241613858</v>
      </c>
      <c r="E195" s="9">
        <v>0.81801616260581456</v>
      </c>
      <c r="F195" s="9">
        <v>0.71935084605658173</v>
      </c>
      <c r="G195" s="9">
        <v>0.57340597894739664</v>
      </c>
      <c r="H195" s="9">
        <v>0.57605140868369809</v>
      </c>
      <c r="I195" s="9">
        <v>0.53807107265618603</v>
      </c>
      <c r="J195" s="9">
        <v>-1.8238802548908231</v>
      </c>
      <c r="K195" s="9">
        <v>0.60360268067701006</v>
      </c>
      <c r="L195" s="9">
        <v>-1.223270775918895</v>
      </c>
      <c r="M195" s="9">
        <v>2.4362066432551361</v>
      </c>
      <c r="N195" s="9">
        <v>2.4144075448583329</v>
      </c>
      <c r="O195" s="9">
        <v>5.393627546352362</v>
      </c>
      <c r="P195" s="9">
        <v>2.1799098700284958E-2</v>
      </c>
      <c r="Q195" s="9">
        <v>1</v>
      </c>
      <c r="R195" s="9">
        <v>0</v>
      </c>
      <c r="S195" s="9">
        <v>0</v>
      </c>
      <c r="T195" s="9">
        <v>0</v>
      </c>
      <c r="U195" s="9">
        <v>0</v>
      </c>
      <c r="V195" s="9">
        <v>1</v>
      </c>
      <c r="W195" s="9">
        <v>0</v>
      </c>
      <c r="X195" s="9">
        <v>-1.7062360048294067</v>
      </c>
      <c r="Y195">
        <f t="shared" ref="Y195:Y258" si="24">EXP(C195)</f>
        <v>0.17694643887268721</v>
      </c>
      <c r="Z195">
        <f t="shared" ref="Z195:Z258" si="25">EXP(X195)</f>
        <v>0.18154785341857288</v>
      </c>
      <c r="AA195">
        <f t="shared" ref="AA195:AA258" si="26">Y195-Z195</f>
        <v>-4.6014145458856681E-3</v>
      </c>
      <c r="AB195">
        <f t="shared" ref="AB195:AB258" si="27">AA195*AA195</f>
        <v>2.117301582308821E-5</v>
      </c>
      <c r="AC195" t="str">
        <f>VLOOKUP(A195, 'state-ids'!$A$1:$B$28, 2)</f>
        <v>RN</v>
      </c>
      <c r="AD195">
        <f>VLOOKUP(A195, 'state-ids'!$A$1:$C$28, 3)</f>
        <v>2.5197596999999999E-2</v>
      </c>
      <c r="AE195">
        <f>VLOOKUP(A195, 'state-ids'!$A$1:$D$28, 4)</f>
        <v>0.49093872</v>
      </c>
      <c r="AF195">
        <f t="shared" ref="AF195:AF258" si="28">IF(B195=2006, (C195-X195)*SQRT(1 - AE195*AE195), AE195*(C195-X195) )</f>
        <v>-1.2603473380607464E-2</v>
      </c>
      <c r="AG195">
        <f t="shared" ref="AG195:AG258" si="29">EXP(X195+SQRT((AD195*AD195)/(1-(AE195*AE195))))</f>
        <v>0.18687544610829698</v>
      </c>
      <c r="AH195">
        <f t="shared" ref="AH195:AH258" si="30">EXP(X195-SQRT((AD195*AD195)/(1-(AE195*AE195))))</f>
        <v>0.17637214394549755</v>
      </c>
      <c r="AI195">
        <f t="shared" ref="AI195:AI258" si="31">AG195-AH195</f>
        <v>1.0503302162799433E-2</v>
      </c>
      <c r="AJ195" s="12"/>
    </row>
    <row r="196" spans="1:36" x14ac:dyDescent="0.25">
      <c r="A196" s="9">
        <v>24</v>
      </c>
      <c r="B196" s="9">
        <v>2020</v>
      </c>
      <c r="C196" s="9">
        <v>-1.81103430428288</v>
      </c>
      <c r="D196" s="9">
        <v>0.74507527342030444</v>
      </c>
      <c r="E196" s="9">
        <v>0.79154350241613858</v>
      </c>
      <c r="F196" s="9">
        <v>0.81801616260581456</v>
      </c>
      <c r="G196" s="9">
        <v>0.52915658045071412</v>
      </c>
      <c r="H196" s="9">
        <v>0.57340597894739664</v>
      </c>
      <c r="I196" s="9">
        <v>0.57605140868369809</v>
      </c>
      <c r="J196" s="9">
        <v>-1.2525267312583299</v>
      </c>
      <c r="K196" s="9">
        <v>0.60360268067701006</v>
      </c>
      <c r="L196" s="9">
        <v>-1.2030013353163891</v>
      </c>
      <c r="M196" s="9">
        <v>2.3690953343502521</v>
      </c>
      <c r="N196" s="9">
        <v>2.4284486352555081</v>
      </c>
      <c r="O196" s="9">
        <v>5.9914645471079817</v>
      </c>
      <c r="P196" s="9">
        <v>-5.93532994389534E-2</v>
      </c>
      <c r="Q196" s="9">
        <v>1</v>
      </c>
      <c r="R196" s="9">
        <v>1</v>
      </c>
      <c r="S196" s="9">
        <v>0</v>
      </c>
      <c r="T196" s="9">
        <v>0</v>
      </c>
      <c r="U196" s="9">
        <v>0</v>
      </c>
      <c r="V196" s="9">
        <v>1</v>
      </c>
      <c r="W196" s="9">
        <v>0</v>
      </c>
      <c r="X196" s="9">
        <v>-1.794303297996521</v>
      </c>
      <c r="Y196">
        <f t="shared" si="24"/>
        <v>0.16348495613532465</v>
      </c>
      <c r="Z196">
        <f t="shared" si="25"/>
        <v>0.16624323400368879</v>
      </c>
      <c r="AA196">
        <f t="shared" si="26"/>
        <v>-2.758277868364134E-3</v>
      </c>
      <c r="AB196">
        <f t="shared" si="27"/>
        <v>7.6080967991073911E-6</v>
      </c>
      <c r="AC196" t="str">
        <f>VLOOKUP(A196, 'state-ids'!$A$1:$B$28, 2)</f>
        <v>RN</v>
      </c>
      <c r="AD196">
        <f>VLOOKUP(A196, 'state-ids'!$A$1:$C$28, 3)</f>
        <v>2.5197596999999999E-2</v>
      </c>
      <c r="AE196">
        <f>VLOOKUP(A196, 'state-ids'!$A$1:$D$28, 4)</f>
        <v>0.49093872</v>
      </c>
      <c r="AF196">
        <f t="shared" si="28"/>
        <v>-8.2138988105370601E-3</v>
      </c>
      <c r="AG196">
        <f t="shared" si="29"/>
        <v>0.17112170665713378</v>
      </c>
      <c r="AH196">
        <f t="shared" si="30"/>
        <v>0.16150384069847692</v>
      </c>
      <c r="AI196">
        <f t="shared" si="31"/>
        <v>9.6178659586568516E-3</v>
      </c>
      <c r="AJ196" s="12"/>
    </row>
    <row r="197" spans="1:36" x14ac:dyDescent="0.25">
      <c r="A197" s="9">
        <v>24</v>
      </c>
      <c r="B197" s="9">
        <v>2021</v>
      </c>
      <c r="C197" s="9">
        <v>-1.788809764201982</v>
      </c>
      <c r="D197" s="9">
        <v>0.95624194737638279</v>
      </c>
      <c r="E197" s="9">
        <v>0.74507527342030444</v>
      </c>
      <c r="F197" s="9">
        <v>0.79154350241613858</v>
      </c>
      <c r="G197" s="9">
        <v>0.78472312404715483</v>
      </c>
      <c r="H197" s="9">
        <v>0.52915658045071412</v>
      </c>
      <c r="I197" s="9">
        <v>0.57340597894739664</v>
      </c>
      <c r="J197" s="9">
        <v>-0.71096996834871751</v>
      </c>
      <c r="K197" s="9">
        <v>0.60360268067701006</v>
      </c>
      <c r="L197" s="9">
        <v>-1.179439725978024</v>
      </c>
      <c r="M197" s="9">
        <v>2.3524061814011019</v>
      </c>
      <c r="N197" s="9">
        <v>2.3615582320765669</v>
      </c>
      <c r="O197" s="9">
        <v>6.6846117276679271</v>
      </c>
      <c r="P197" s="9">
        <v>-9.1520510613918304E-3</v>
      </c>
      <c r="Q197" s="9">
        <v>1</v>
      </c>
      <c r="R197" s="9">
        <v>0</v>
      </c>
      <c r="S197" s="9">
        <v>0</v>
      </c>
      <c r="T197" s="9">
        <v>0</v>
      </c>
      <c r="U197" s="9">
        <v>0</v>
      </c>
      <c r="V197" s="9">
        <v>1</v>
      </c>
      <c r="W197" s="9">
        <v>0</v>
      </c>
      <c r="X197" s="9">
        <v>-1.76324462890625</v>
      </c>
      <c r="Y197">
        <f t="shared" si="24"/>
        <v>0.16715900994775756</v>
      </c>
      <c r="Z197">
        <f t="shared" si="25"/>
        <v>0.17148754671724911</v>
      </c>
      <c r="AA197">
        <f t="shared" si="26"/>
        <v>-4.3285367694915478E-3</v>
      </c>
      <c r="AB197">
        <f t="shared" si="27"/>
        <v>1.8736230564840323E-5</v>
      </c>
      <c r="AC197" t="str">
        <f>VLOOKUP(A197, 'state-ids'!$A$1:$B$28, 2)</f>
        <v>RN</v>
      </c>
      <c r="AD197">
        <f>VLOOKUP(A197, 'state-ids'!$A$1:$C$28, 3)</f>
        <v>2.5197596999999999E-2</v>
      </c>
      <c r="AE197">
        <f>VLOOKUP(A197, 'state-ids'!$A$1:$D$28, 4)</f>
        <v>0.49093872</v>
      </c>
      <c r="AF197">
        <f t="shared" si="28"/>
        <v>-1.2550914798713494E-2</v>
      </c>
      <c r="AG197">
        <f t="shared" si="29"/>
        <v>0.17651991577623832</v>
      </c>
      <c r="AH197">
        <f t="shared" si="30"/>
        <v>0.16659864440666905</v>
      </c>
      <c r="AI197">
        <f t="shared" si="31"/>
        <v>9.9212713695692734E-3</v>
      </c>
      <c r="AJ197" s="12"/>
    </row>
    <row r="198" spans="1:36" x14ac:dyDescent="0.25">
      <c r="A198" s="9">
        <v>24</v>
      </c>
      <c r="B198" s="9">
        <v>2022</v>
      </c>
      <c r="C198" s="9">
        <v>-1.752015770360724</v>
      </c>
      <c r="D198" s="9">
        <v>0.95896700615459141</v>
      </c>
      <c r="E198" s="9">
        <v>0.95624194737638279</v>
      </c>
      <c r="F198" s="9">
        <v>0.74507527342030444</v>
      </c>
      <c r="G198" s="9">
        <v>0.75912216948347822</v>
      </c>
      <c r="H198" s="9">
        <v>0.78472312404715483</v>
      </c>
      <c r="I198" s="9">
        <v>0.52915658045071412</v>
      </c>
      <c r="J198" s="9">
        <v>-0.1727360987302094</v>
      </c>
      <c r="K198" s="9">
        <v>0.60360268067701006</v>
      </c>
      <c r="L198" s="9">
        <v>-1.1500920847820439</v>
      </c>
      <c r="M198" s="9">
        <v>2.4272900357337601</v>
      </c>
      <c r="N198" s="9">
        <v>2.3524061814011019</v>
      </c>
      <c r="O198" s="9">
        <v>8.0551577318196781</v>
      </c>
      <c r="P198" s="9">
        <v>7.4883855879306793E-2</v>
      </c>
      <c r="Q198" s="9">
        <v>1</v>
      </c>
      <c r="R198" s="9">
        <v>0</v>
      </c>
      <c r="S198" s="9">
        <v>0</v>
      </c>
      <c r="T198" s="9">
        <v>0</v>
      </c>
      <c r="U198" s="9">
        <v>0</v>
      </c>
      <c r="V198" s="9">
        <v>1</v>
      </c>
      <c r="W198" s="9">
        <v>0</v>
      </c>
      <c r="X198" s="9">
        <v>-1.7362431287765503</v>
      </c>
      <c r="Y198">
        <f t="shared" si="24"/>
        <v>0.17342400789911983</v>
      </c>
      <c r="Z198">
        <f t="shared" si="25"/>
        <v>0.1761810483664264</v>
      </c>
      <c r="AA198">
        <f t="shared" si="26"/>
        <v>-2.7570404673065707E-3</v>
      </c>
      <c r="AB198">
        <f t="shared" si="27"/>
        <v>7.6012721383660342E-6</v>
      </c>
      <c r="AC198" t="str">
        <f>VLOOKUP(A198, 'state-ids'!$A$1:$B$28, 2)</f>
        <v>RN</v>
      </c>
      <c r="AD198">
        <f>VLOOKUP(A198, 'state-ids'!$A$1:$C$28, 3)</f>
        <v>2.5197596999999999E-2</v>
      </c>
      <c r="AE198">
        <f>VLOOKUP(A198, 'state-ids'!$A$1:$D$28, 4)</f>
        <v>0.49093872</v>
      </c>
      <c r="AF198">
        <f t="shared" si="28"/>
        <v>-7.7434004703530014E-3</v>
      </c>
      <c r="AG198">
        <f t="shared" si="29"/>
        <v>0.18135115006507241</v>
      </c>
      <c r="AH198">
        <f t="shared" si="30"/>
        <v>0.17115834000697208</v>
      </c>
      <c r="AI198">
        <f t="shared" si="31"/>
        <v>1.0192810058100327E-2</v>
      </c>
      <c r="AJ198" s="12"/>
    </row>
    <row r="199" spans="1:36" x14ac:dyDescent="0.25">
      <c r="A199" s="9">
        <v>24</v>
      </c>
      <c r="B199" s="9">
        <v>2023</v>
      </c>
      <c r="C199" s="9">
        <v>-1.667685180494805</v>
      </c>
      <c r="D199" s="9">
        <v>0.79389708366008849</v>
      </c>
      <c r="E199" s="9">
        <v>0.95896700615459141</v>
      </c>
      <c r="F199" s="9">
        <v>0.95624194737638279</v>
      </c>
      <c r="G199" s="9">
        <v>0.56326625970542532</v>
      </c>
      <c r="H199" s="9">
        <v>0.75912216948347822</v>
      </c>
      <c r="I199" s="9">
        <v>0.78472312404715483</v>
      </c>
      <c r="J199" s="9">
        <v>0.36587091806376609</v>
      </c>
      <c r="K199" s="9">
        <v>0.60360268067701006</v>
      </c>
      <c r="L199" s="9">
        <v>-1.1176948748155009</v>
      </c>
      <c r="M199" s="9">
        <v>2.4580347094703971</v>
      </c>
      <c r="N199" s="9">
        <v>2.4272900357337601</v>
      </c>
      <c r="O199" s="9">
        <v>8.4658998970286863</v>
      </c>
      <c r="P199" s="9">
        <v>3.0744673684239388E-2</v>
      </c>
      <c r="Q199" s="9">
        <v>1</v>
      </c>
      <c r="R199" s="9">
        <v>0</v>
      </c>
      <c r="S199" s="9">
        <v>0</v>
      </c>
      <c r="T199" s="9">
        <v>0</v>
      </c>
      <c r="U199" s="9">
        <v>0</v>
      </c>
      <c r="V199" s="9">
        <v>1</v>
      </c>
      <c r="W199" s="9">
        <v>0</v>
      </c>
      <c r="X199" s="9">
        <v>-1.6814143657684326</v>
      </c>
      <c r="Y199">
        <f t="shared" si="24"/>
        <v>0.18868332835800358</v>
      </c>
      <c r="Z199">
        <f t="shared" si="25"/>
        <v>0.18611056139381385</v>
      </c>
      <c r="AA199">
        <f t="shared" si="26"/>
        <v>2.5727669641897322E-3</v>
      </c>
      <c r="AB199">
        <f t="shared" si="27"/>
        <v>6.6191298520260507E-6</v>
      </c>
      <c r="AC199" t="str">
        <f>VLOOKUP(A199, 'state-ids'!$A$1:$B$28, 2)</f>
        <v>RN</v>
      </c>
      <c r="AD199">
        <f>VLOOKUP(A199, 'state-ids'!$A$1:$C$28, 3)</f>
        <v>2.5197596999999999E-2</v>
      </c>
      <c r="AE199">
        <f>VLOOKUP(A199, 'state-ids'!$A$1:$D$28, 4)</f>
        <v>0.49093872</v>
      </c>
      <c r="AF199">
        <f t="shared" si="28"/>
        <v>6.7401886448776099E-3</v>
      </c>
      <c r="AG199">
        <f t="shared" si="29"/>
        <v>0.19157204853173171</v>
      </c>
      <c r="AH199">
        <f t="shared" si="30"/>
        <v>0.1808047746411362</v>
      </c>
      <c r="AI199">
        <f t="shared" si="31"/>
        <v>1.0767273890595508E-2</v>
      </c>
      <c r="AJ199" s="12"/>
    </row>
    <row r="200" spans="1:36" x14ac:dyDescent="0.25">
      <c r="A200" s="9">
        <v>25</v>
      </c>
      <c r="B200" s="9">
        <v>2006</v>
      </c>
      <c r="C200" s="9">
        <v>-2.5567321498197288</v>
      </c>
      <c r="D200" s="9">
        <v>0.95165787571144633</v>
      </c>
      <c r="E200" s="9">
        <v>0.88107797611841054</v>
      </c>
      <c r="F200" s="9">
        <v>0.80897274606553571</v>
      </c>
      <c r="G200" s="9">
        <v>0.636576829071551</v>
      </c>
      <c r="H200" s="9">
        <v>0.52561570923862611</v>
      </c>
      <c r="I200" s="9">
        <v>0.42271546151469203</v>
      </c>
      <c r="J200" s="9">
        <v>-11.51292546497023</v>
      </c>
      <c r="K200" s="9">
        <v>0.66290777834686254</v>
      </c>
      <c r="L200" s="9">
        <v>-2.3834282850965671</v>
      </c>
      <c r="M200" s="9">
        <v>2.0474207723978028</v>
      </c>
      <c r="N200" s="9">
        <v>1.941654197132562</v>
      </c>
      <c r="O200" s="9">
        <v>-11.51292546497023</v>
      </c>
      <c r="P200" s="9">
        <v>0.10576657205820084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1</v>
      </c>
      <c r="W200" s="9">
        <v>0</v>
      </c>
      <c r="X200" s="9">
        <v>-2.5992724895477295</v>
      </c>
      <c r="Y200">
        <f t="shared" si="24"/>
        <v>7.7557773965939047E-2</v>
      </c>
      <c r="Z200">
        <f t="shared" si="25"/>
        <v>7.4327632679022246E-2</v>
      </c>
      <c r="AA200">
        <f t="shared" si="26"/>
        <v>3.2301412869168017E-3</v>
      </c>
      <c r="AB200">
        <f t="shared" si="27"/>
        <v>1.0433812733444533E-5</v>
      </c>
      <c r="AC200" t="str">
        <f>VLOOKUP(A200, 'state-ids'!$A$1:$B$28, 2)</f>
        <v>PB</v>
      </c>
      <c r="AD200">
        <f>VLOOKUP(A200, 'state-ids'!$A$1:$C$28, 3)</f>
        <v>2.6058932999999999E-2</v>
      </c>
      <c r="AE200">
        <f>VLOOKUP(A200, 'state-ids'!$A$1:$D$28, 4)</f>
        <v>0.63557993999999995</v>
      </c>
      <c r="AF200">
        <f t="shared" si="28"/>
        <v>3.2842633899642877E-2</v>
      </c>
      <c r="AG200">
        <f t="shared" si="29"/>
        <v>7.6879276275126571E-2</v>
      </c>
      <c r="AH200">
        <f t="shared" si="30"/>
        <v>7.1860678811502765E-2</v>
      </c>
      <c r="AI200">
        <f t="shared" si="31"/>
        <v>5.0185974636238057E-3</v>
      </c>
      <c r="AJ200" s="12"/>
    </row>
    <row r="201" spans="1:36" x14ac:dyDescent="0.25">
      <c r="A201" s="9">
        <v>25</v>
      </c>
      <c r="B201" s="9">
        <v>2007</v>
      </c>
      <c r="C201" s="9">
        <v>-2.5042752606476011</v>
      </c>
      <c r="D201" s="9">
        <v>0.88459364513090055</v>
      </c>
      <c r="E201" s="9">
        <v>0.95165787571144633</v>
      </c>
      <c r="F201" s="9">
        <v>0.88107797611841054</v>
      </c>
      <c r="G201" s="9">
        <v>0.50446544061330811</v>
      </c>
      <c r="H201" s="9">
        <v>0.636576829071551</v>
      </c>
      <c r="I201" s="9">
        <v>0.52561570923862611</v>
      </c>
      <c r="J201" s="9">
        <v>-11.51292546497023</v>
      </c>
      <c r="K201" s="9">
        <v>0.66290777834686254</v>
      </c>
      <c r="L201" s="9">
        <v>-2.270006468399421</v>
      </c>
      <c r="M201" s="9">
        <v>2.06346333805116</v>
      </c>
      <c r="N201" s="9">
        <v>2.0310793250721</v>
      </c>
      <c r="O201" s="9">
        <v>-11.51292546497023</v>
      </c>
      <c r="P201" s="9">
        <v>3.2384011894464493E-2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1</v>
      </c>
      <c r="W201" s="9">
        <v>0</v>
      </c>
      <c r="X201" s="9">
        <v>-2.5257129669189453</v>
      </c>
      <c r="Y201">
        <f t="shared" si="24"/>
        <v>8.1734812960403594E-2</v>
      </c>
      <c r="Z201">
        <f t="shared" si="25"/>
        <v>8.0001254200976077E-2</v>
      </c>
      <c r="AA201">
        <f t="shared" si="26"/>
        <v>1.733558759427517E-3</v>
      </c>
      <c r="AB201">
        <f t="shared" si="27"/>
        <v>3.0052259723878719E-6</v>
      </c>
      <c r="AC201" t="str">
        <f>VLOOKUP(A201, 'state-ids'!$A$1:$B$28, 2)</f>
        <v>PB</v>
      </c>
      <c r="AD201">
        <f>VLOOKUP(A201, 'state-ids'!$A$1:$C$28, 3)</f>
        <v>2.6058932999999999E-2</v>
      </c>
      <c r="AE201">
        <f>VLOOKUP(A201, 'state-ids'!$A$1:$D$28, 4)</f>
        <v>0.63557993999999995</v>
      </c>
      <c r="AF201">
        <f t="shared" si="28"/>
        <v>1.3625376065678586E-2</v>
      </c>
      <c r="AG201">
        <f t="shared" si="29"/>
        <v>8.2747671389369185E-2</v>
      </c>
      <c r="AH201">
        <f t="shared" si="30"/>
        <v>7.7345991328421168E-2</v>
      </c>
      <c r="AI201">
        <f t="shared" si="31"/>
        <v>5.4016800609480164E-3</v>
      </c>
      <c r="AJ201" s="12"/>
    </row>
    <row r="202" spans="1:36" x14ac:dyDescent="0.25">
      <c r="A202" s="9">
        <v>25</v>
      </c>
      <c r="B202" s="9">
        <v>2008</v>
      </c>
      <c r="C202" s="9">
        <v>-2.394683198451248</v>
      </c>
      <c r="D202" s="9">
        <v>0.79511695414366257</v>
      </c>
      <c r="E202" s="9">
        <v>0.88459364513090055</v>
      </c>
      <c r="F202" s="9">
        <v>0.95165787571144633</v>
      </c>
      <c r="G202" s="9">
        <v>0.46436274935564981</v>
      </c>
      <c r="H202" s="9">
        <v>0.50446544061330811</v>
      </c>
      <c r="I202" s="9">
        <v>0.636576829071551</v>
      </c>
      <c r="J202" s="9">
        <v>-11.51292546497023</v>
      </c>
      <c r="K202" s="9">
        <v>0.66290777834686254</v>
      </c>
      <c r="L202" s="9">
        <v>-2.1509158248815639</v>
      </c>
      <c r="M202" s="9">
        <v>2.123414253380127</v>
      </c>
      <c r="N202" s="9">
        <v>2.047384912778214</v>
      </c>
      <c r="O202" s="9">
        <v>-11.51292546497023</v>
      </c>
      <c r="P202" s="9">
        <v>7.602933794260025E-2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1</v>
      </c>
      <c r="W202" s="9">
        <v>0</v>
      </c>
      <c r="X202" s="9">
        <v>-2.3900094032287598</v>
      </c>
      <c r="Y202">
        <f t="shared" si="24"/>
        <v>9.1201567144159459E-2</v>
      </c>
      <c r="Z202">
        <f t="shared" si="25"/>
        <v>9.1628822266677137E-2</v>
      </c>
      <c r="AA202">
        <f t="shared" si="26"/>
        <v>-4.2725512251767794E-4</v>
      </c>
      <c r="AB202">
        <f t="shared" si="27"/>
        <v>1.8254693971759598E-7</v>
      </c>
      <c r="AC202" t="str">
        <f>VLOOKUP(A202, 'state-ids'!$A$1:$B$28, 2)</f>
        <v>PB</v>
      </c>
      <c r="AD202">
        <f>VLOOKUP(A202, 'state-ids'!$A$1:$C$28, 3)</f>
        <v>2.6058932999999999E-2</v>
      </c>
      <c r="AE202">
        <f>VLOOKUP(A202, 'state-ids'!$A$1:$D$28, 4)</f>
        <v>0.63557993999999995</v>
      </c>
      <c r="AF202">
        <f t="shared" si="28"/>
        <v>-2.9705704870813562E-3</v>
      </c>
      <c r="AG202">
        <f t="shared" si="29"/>
        <v>9.4774410107003118E-2</v>
      </c>
      <c r="AH202">
        <f t="shared" si="30"/>
        <v>8.8587637322133192E-2</v>
      </c>
      <c r="AI202">
        <f t="shared" si="31"/>
        <v>6.1867727848699261E-3</v>
      </c>
      <c r="AJ202" s="12"/>
    </row>
    <row r="203" spans="1:36" x14ac:dyDescent="0.25">
      <c r="A203" s="9">
        <v>25</v>
      </c>
      <c r="B203" s="9">
        <v>2009</v>
      </c>
      <c r="C203" s="9">
        <v>-2.3512659415167949</v>
      </c>
      <c r="D203" s="9">
        <v>0.74060312171624065</v>
      </c>
      <c r="E203" s="9">
        <v>0.79511695414366257</v>
      </c>
      <c r="F203" s="9">
        <v>0.88459364513090055</v>
      </c>
      <c r="G203" s="9">
        <v>0.38158216764483233</v>
      </c>
      <c r="H203" s="9">
        <v>0.46436274935564981</v>
      </c>
      <c r="I203" s="9">
        <v>0.50446544061330811</v>
      </c>
      <c r="J203" s="9">
        <v>-11.51292546497023</v>
      </c>
      <c r="K203" s="9">
        <v>0.66290777834686254</v>
      </c>
      <c r="L203" s="9">
        <v>-2.0323858331525919</v>
      </c>
      <c r="M203" s="9">
        <v>2.1626525165686892</v>
      </c>
      <c r="N203" s="9">
        <v>2.1161269785712711</v>
      </c>
      <c r="O203" s="9">
        <v>-11.51292546497023</v>
      </c>
      <c r="P203" s="9">
        <v>4.6525537967681885E-2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1</v>
      </c>
      <c r="W203" s="9">
        <v>0</v>
      </c>
      <c r="X203" s="9">
        <v>-2.2864522933959961</v>
      </c>
      <c r="Y203">
        <f t="shared" si="24"/>
        <v>9.524850682112912E-2</v>
      </c>
      <c r="Z203">
        <f t="shared" si="25"/>
        <v>0.10162636358475673</v>
      </c>
      <c r="AA203">
        <f t="shared" si="26"/>
        <v>-6.3778567636276068E-3</v>
      </c>
      <c r="AB203">
        <f t="shared" si="27"/>
        <v>4.0677056897350408E-5</v>
      </c>
      <c r="AC203" t="str">
        <f>VLOOKUP(A203, 'state-ids'!$A$1:$B$28, 2)</f>
        <v>PB</v>
      </c>
      <c r="AD203">
        <f>VLOOKUP(A203, 'state-ids'!$A$1:$C$28, 3)</f>
        <v>2.6058932999999999E-2</v>
      </c>
      <c r="AE203">
        <f>VLOOKUP(A203, 'state-ids'!$A$1:$D$28, 4)</f>
        <v>0.63557993999999995</v>
      </c>
      <c r="AF203">
        <f t="shared" si="28"/>
        <v>-4.1194254583798419E-2</v>
      </c>
      <c r="AG203">
        <f t="shared" si="29"/>
        <v>0.1051151637858373</v>
      </c>
      <c r="AH203">
        <f t="shared" si="30"/>
        <v>9.825335758885724E-2</v>
      </c>
      <c r="AI203">
        <f t="shared" si="31"/>
        <v>6.8618061969800553E-3</v>
      </c>
      <c r="AJ203" s="12"/>
    </row>
    <row r="204" spans="1:36" x14ac:dyDescent="0.25">
      <c r="A204" s="9">
        <v>25</v>
      </c>
      <c r="B204" s="9">
        <v>2010</v>
      </c>
      <c r="C204" s="9">
        <v>-2.1399677883229629</v>
      </c>
      <c r="D204" s="9">
        <v>0.6954944236282935</v>
      </c>
      <c r="E204" s="9">
        <v>0.74060312171624065</v>
      </c>
      <c r="F204" s="9">
        <v>0.79511695414366257</v>
      </c>
      <c r="G204" s="9">
        <v>0.41462304589292998</v>
      </c>
      <c r="H204" s="9">
        <v>0.38158216764483233</v>
      </c>
      <c r="I204" s="9">
        <v>0.46436274935564981</v>
      </c>
      <c r="J204" s="9">
        <v>-8.2376501734829866</v>
      </c>
      <c r="K204" s="9">
        <v>0.66290777834686254</v>
      </c>
      <c r="L204" s="9">
        <v>-1.900139721059356</v>
      </c>
      <c r="M204" s="9">
        <v>2.1823217220252009</v>
      </c>
      <c r="N204" s="9">
        <v>2.1598265227134981</v>
      </c>
      <c r="O204" s="9">
        <v>-11.51292546497023</v>
      </c>
      <c r="P204" s="9">
        <v>2.2495198994874954E-2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1</v>
      </c>
      <c r="W204" s="9">
        <v>0</v>
      </c>
      <c r="X204" s="9">
        <v>-2.1363918781280518</v>
      </c>
      <c r="Y204">
        <f t="shared" si="24"/>
        <v>0.11765863294262399</v>
      </c>
      <c r="Z204">
        <f t="shared" si="25"/>
        <v>0.11808012280349092</v>
      </c>
      <c r="AA204">
        <f t="shared" si="26"/>
        <v>-4.2148986086693041E-4</v>
      </c>
      <c r="AB204">
        <f t="shared" si="27"/>
        <v>1.7765370281362437E-7</v>
      </c>
      <c r="AC204" t="str">
        <f>VLOOKUP(A204, 'state-ids'!$A$1:$B$28, 2)</f>
        <v>PB</v>
      </c>
      <c r="AD204">
        <f>VLOOKUP(A204, 'state-ids'!$A$1:$C$28, 3)</f>
        <v>2.6058932999999999E-2</v>
      </c>
      <c r="AE204">
        <f>VLOOKUP(A204, 'state-ids'!$A$1:$D$28, 4)</f>
        <v>0.63557993999999995</v>
      </c>
      <c r="AF204">
        <f t="shared" si="28"/>
        <v>-2.2727767871269866E-3</v>
      </c>
      <c r="AG204">
        <f t="shared" si="29"/>
        <v>0.12213377523824386</v>
      </c>
      <c r="AH204">
        <f t="shared" si="30"/>
        <v>0.11416101216956026</v>
      </c>
      <c r="AI204">
        <f t="shared" si="31"/>
        <v>7.9727630686835943E-3</v>
      </c>
      <c r="AJ204" s="12"/>
    </row>
    <row r="205" spans="1:36" x14ac:dyDescent="0.25">
      <c r="A205" s="9">
        <v>25</v>
      </c>
      <c r="B205" s="9">
        <v>2011</v>
      </c>
      <c r="C205" s="9">
        <v>-2.0027505400651182</v>
      </c>
      <c r="D205" s="9">
        <v>0.67645869927370994</v>
      </c>
      <c r="E205" s="9">
        <v>0.6954944236282935</v>
      </c>
      <c r="F205" s="9">
        <v>0.74060312171624065</v>
      </c>
      <c r="G205" s="9">
        <v>0.47840573250987939</v>
      </c>
      <c r="H205" s="9">
        <v>0.41462304589292998</v>
      </c>
      <c r="I205" s="9">
        <v>0.38158216764483233</v>
      </c>
      <c r="J205" s="9">
        <v>-6.8541738424771443</v>
      </c>
      <c r="K205" s="9">
        <v>0.66290777834686254</v>
      </c>
      <c r="L205" s="9">
        <v>-1.7739440801117641</v>
      </c>
      <c r="M205" s="9">
        <v>2.2012436684120029</v>
      </c>
      <c r="N205" s="9">
        <v>2.1795036919110808</v>
      </c>
      <c r="O205" s="9">
        <v>-11.51292546497023</v>
      </c>
      <c r="P205" s="9">
        <v>2.1739976480603218E-2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1</v>
      </c>
      <c r="W205" s="9">
        <v>0</v>
      </c>
      <c r="X205" s="9">
        <v>-1.989683985710144</v>
      </c>
      <c r="Y205">
        <f t="shared" si="24"/>
        <v>0.1349635495863572</v>
      </c>
      <c r="Z205">
        <f t="shared" si="25"/>
        <v>0.13673862997958811</v>
      </c>
      <c r="AA205">
        <f t="shared" si="26"/>
        <v>-1.7750803932309045E-3</v>
      </c>
      <c r="AB205">
        <f t="shared" si="27"/>
        <v>3.1509104024327826E-6</v>
      </c>
      <c r="AC205" t="str">
        <f>VLOOKUP(A205, 'state-ids'!$A$1:$B$28, 2)</f>
        <v>PB</v>
      </c>
      <c r="AD205">
        <f>VLOOKUP(A205, 'state-ids'!$A$1:$C$28, 3)</f>
        <v>2.6058932999999999E-2</v>
      </c>
      <c r="AE205">
        <f>VLOOKUP(A205, 'state-ids'!$A$1:$D$28, 4)</f>
        <v>0.63557993999999995</v>
      </c>
      <c r="AF205">
        <f t="shared" si="28"/>
        <v>-8.3048398329412208E-3</v>
      </c>
      <c r="AG205">
        <f t="shared" si="29"/>
        <v>0.1414328229324866</v>
      </c>
      <c r="AH205">
        <f t="shared" si="30"/>
        <v>0.132200238537415</v>
      </c>
      <c r="AI205">
        <f t="shared" si="31"/>
        <v>9.2325843950716024E-3</v>
      </c>
      <c r="AJ205" s="12"/>
    </row>
    <row r="206" spans="1:36" x14ac:dyDescent="0.25">
      <c r="A206" s="9">
        <v>25</v>
      </c>
      <c r="B206" s="9">
        <v>2012</v>
      </c>
      <c r="C206" s="9">
        <v>-1.869420099610005</v>
      </c>
      <c r="D206" s="9">
        <v>0.63520022060509562</v>
      </c>
      <c r="E206" s="9">
        <v>0.67645869927370994</v>
      </c>
      <c r="F206" s="9">
        <v>0.6954944236282935</v>
      </c>
      <c r="G206" s="9">
        <v>0.45444573032978619</v>
      </c>
      <c r="H206" s="9">
        <v>0.47840573250987939</v>
      </c>
      <c r="I206" s="9">
        <v>0.41462304589292998</v>
      </c>
      <c r="J206" s="9">
        <v>-6.3008306167255776</v>
      </c>
      <c r="K206" s="9">
        <v>0.66290777834686254</v>
      </c>
      <c r="L206" s="9">
        <v>-1.679318968441075</v>
      </c>
      <c r="M206" s="9">
        <v>2.2539034837379779</v>
      </c>
      <c r="N206" s="9">
        <v>2.1949711062281301</v>
      </c>
      <c r="O206" s="9">
        <v>-11.51292546497023</v>
      </c>
      <c r="P206" s="9">
        <v>5.8932378888130188E-2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1</v>
      </c>
      <c r="W206" s="9">
        <v>0</v>
      </c>
      <c r="X206" s="9">
        <v>-1.8603119850158691</v>
      </c>
      <c r="Y206">
        <f t="shared" si="24"/>
        <v>0.1542130641064319</v>
      </c>
      <c r="Z206">
        <f t="shared" si="25"/>
        <v>0.15562407041532425</v>
      </c>
      <c r="AA206">
        <f t="shared" si="26"/>
        <v>-1.4110063088923486E-3</v>
      </c>
      <c r="AB206">
        <f t="shared" si="27"/>
        <v>1.9909388037340096E-6</v>
      </c>
      <c r="AC206" t="str">
        <f>VLOOKUP(A206, 'state-ids'!$A$1:$B$28, 2)</f>
        <v>PB</v>
      </c>
      <c r="AD206">
        <f>VLOOKUP(A206, 'state-ids'!$A$1:$C$28, 3)</f>
        <v>2.6058932999999999E-2</v>
      </c>
      <c r="AE206">
        <f>VLOOKUP(A206, 'state-ids'!$A$1:$D$28, 4)</f>
        <v>0.63557993999999995</v>
      </c>
      <c r="AF206">
        <f t="shared" si="28"/>
        <v>-5.7889349272539888E-3</v>
      </c>
      <c r="AG206">
        <f t="shared" si="29"/>
        <v>0.16096659443179306</v>
      </c>
      <c r="AH206">
        <f t="shared" si="30"/>
        <v>0.15045886618975551</v>
      </c>
      <c r="AI206">
        <f t="shared" si="31"/>
        <v>1.0507728242037551E-2</v>
      </c>
      <c r="AJ206" s="12"/>
    </row>
    <row r="207" spans="1:36" x14ac:dyDescent="0.25">
      <c r="A207" s="9">
        <v>25</v>
      </c>
      <c r="B207" s="9">
        <v>2013</v>
      </c>
      <c r="C207" s="9">
        <v>-1.8343803932772089</v>
      </c>
      <c r="D207" s="9">
        <v>0.64474444133177788</v>
      </c>
      <c r="E207" s="9">
        <v>0.63520022060509562</v>
      </c>
      <c r="F207" s="9">
        <v>0.67645869927370994</v>
      </c>
      <c r="G207" s="9">
        <v>0.43760956143473151</v>
      </c>
      <c r="H207" s="9">
        <v>0.45444573032978619</v>
      </c>
      <c r="I207" s="9">
        <v>0.47840573250987939</v>
      </c>
      <c r="J207" s="9">
        <v>-5.4998339825276146</v>
      </c>
      <c r="K207" s="9">
        <v>0.66290777834686254</v>
      </c>
      <c r="L207" s="9">
        <v>-1.620454268991969</v>
      </c>
      <c r="M207" s="9">
        <v>2.2434386199640328</v>
      </c>
      <c r="N207" s="9">
        <v>2.2282215447514639</v>
      </c>
      <c r="O207" s="9">
        <v>-11.51292546497023</v>
      </c>
      <c r="P207" s="9">
        <v>1.5217075124382973E-2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1</v>
      </c>
      <c r="W207" s="9">
        <v>0</v>
      </c>
      <c r="X207" s="9">
        <v>-1.8269968032836914</v>
      </c>
      <c r="Y207">
        <f t="shared" si="24"/>
        <v>0.15971243001199928</v>
      </c>
      <c r="Z207">
        <f t="shared" si="25"/>
        <v>0.16089604540014626</v>
      </c>
      <c r="AA207">
        <f t="shared" si="26"/>
        <v>-1.1836153881469857E-3</v>
      </c>
      <c r="AB207">
        <f t="shared" si="27"/>
        <v>1.4009453870583398E-6</v>
      </c>
      <c r="AC207" t="str">
        <f>VLOOKUP(A207, 'state-ids'!$A$1:$B$28, 2)</f>
        <v>PB</v>
      </c>
      <c r="AD207">
        <f>VLOOKUP(A207, 'state-ids'!$A$1:$C$28, 3)</f>
        <v>2.6058932999999999E-2</v>
      </c>
      <c r="AE207">
        <f>VLOOKUP(A207, 'state-ids'!$A$1:$D$28, 4)</f>
        <v>0.63557993999999995</v>
      </c>
      <c r="AF207">
        <f t="shared" si="28"/>
        <v>-4.6928616850644613E-3</v>
      </c>
      <c r="AG207">
        <f t="shared" si="29"/>
        <v>0.16641955461315613</v>
      </c>
      <c r="AH207">
        <f t="shared" si="30"/>
        <v>0.15555586292477322</v>
      </c>
      <c r="AI207">
        <f t="shared" si="31"/>
        <v>1.0863691688382915E-2</v>
      </c>
      <c r="AJ207" s="12"/>
    </row>
    <row r="208" spans="1:36" x14ac:dyDescent="0.25">
      <c r="A208" s="9">
        <v>25</v>
      </c>
      <c r="B208" s="9">
        <v>2014</v>
      </c>
      <c r="C208" s="9">
        <v>-1.7486504936429701</v>
      </c>
      <c r="D208" s="9">
        <v>0.61096050957199821</v>
      </c>
      <c r="E208" s="9">
        <v>0.64474444133177788</v>
      </c>
      <c r="F208" s="9">
        <v>0.63520022060509562</v>
      </c>
      <c r="G208" s="9">
        <v>0.38872578410386638</v>
      </c>
      <c r="H208" s="9">
        <v>0.43760956143473151</v>
      </c>
      <c r="I208" s="9">
        <v>0.45444573032978619</v>
      </c>
      <c r="J208" s="9">
        <v>-4.7535610324662514</v>
      </c>
      <c r="K208" s="9">
        <v>0.66290777834686254</v>
      </c>
      <c r="L208" s="9">
        <v>-1.553078029137535</v>
      </c>
      <c r="M208" s="9">
        <v>2.292681756046643</v>
      </c>
      <c r="N208" s="9">
        <v>2.235939767649016</v>
      </c>
      <c r="O208" s="9">
        <v>-11.51292546497023</v>
      </c>
      <c r="P208" s="9">
        <v>5.6741990149021149E-2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1</v>
      </c>
      <c r="W208" s="9">
        <v>0</v>
      </c>
      <c r="X208" s="9">
        <v>-1.7653533220291138</v>
      </c>
      <c r="Y208">
        <f t="shared" si="24"/>
        <v>0.17400861079874277</v>
      </c>
      <c r="Z208">
        <f t="shared" si="25"/>
        <v>0.17112631310610016</v>
      </c>
      <c r="AA208">
        <f t="shared" si="26"/>
        <v>2.8822976926426158E-3</v>
      </c>
      <c r="AB208">
        <f t="shared" si="27"/>
        <v>8.3076399890129469E-6</v>
      </c>
      <c r="AC208" t="str">
        <f>VLOOKUP(A208, 'state-ids'!$A$1:$B$28, 2)</f>
        <v>PB</v>
      </c>
      <c r="AD208">
        <f>VLOOKUP(A208, 'state-ids'!$A$1:$C$28, 3)</f>
        <v>2.6058932999999999E-2</v>
      </c>
      <c r="AE208">
        <f>VLOOKUP(A208, 'state-ids'!$A$1:$D$28, 4)</f>
        <v>0.63557993999999995</v>
      </c>
      <c r="AF208">
        <f t="shared" si="28"/>
        <v>1.0615982663495494E-2</v>
      </c>
      <c r="AG208">
        <f t="shared" si="29"/>
        <v>0.17700102410150848</v>
      </c>
      <c r="AH208">
        <f t="shared" si="30"/>
        <v>0.16544658532875378</v>
      </c>
      <c r="AI208">
        <f t="shared" si="31"/>
        <v>1.1554438772754694E-2</v>
      </c>
      <c r="AJ208" s="12"/>
    </row>
    <row r="209" spans="1:36" x14ac:dyDescent="0.25">
      <c r="A209" s="9">
        <v>25</v>
      </c>
      <c r="B209" s="9">
        <v>2015</v>
      </c>
      <c r="C209" s="9">
        <v>-1.7912111832058371</v>
      </c>
      <c r="D209" s="9">
        <v>0.61880071843128848</v>
      </c>
      <c r="E209" s="9">
        <v>0.61096050957199821</v>
      </c>
      <c r="F209" s="9">
        <v>0.64474444133177788</v>
      </c>
      <c r="G209" s="9">
        <v>0.3342554957513682</v>
      </c>
      <c r="H209" s="9">
        <v>0.38872578410386638</v>
      </c>
      <c r="I209" s="9">
        <v>0.43760956143473151</v>
      </c>
      <c r="J209" s="9">
        <v>-4.316783966311764</v>
      </c>
      <c r="K209" s="9">
        <v>0.66290777834686254</v>
      </c>
      <c r="L209" s="9">
        <v>-1.4964916988102199</v>
      </c>
      <c r="M209" s="9">
        <v>2.2713808548730379</v>
      </c>
      <c r="N209" s="9">
        <v>2.2855274332651661</v>
      </c>
      <c r="O209" s="9">
        <v>-11.51292546497023</v>
      </c>
      <c r="P209" s="9">
        <v>-1.4146578498184681E-2</v>
      </c>
      <c r="Q209" s="9">
        <v>1</v>
      </c>
      <c r="R209" s="9">
        <v>0</v>
      </c>
      <c r="S209" s="9">
        <v>0</v>
      </c>
      <c r="T209" s="9">
        <v>0</v>
      </c>
      <c r="U209" s="9">
        <v>0</v>
      </c>
      <c r="V209" s="9">
        <v>1</v>
      </c>
      <c r="W209" s="9">
        <v>0</v>
      </c>
      <c r="X209" s="9">
        <v>-1.8120498657226563</v>
      </c>
      <c r="Y209">
        <f t="shared" si="24"/>
        <v>0.16675807272641224</v>
      </c>
      <c r="Z209">
        <f t="shared" si="25"/>
        <v>0.16331901139569194</v>
      </c>
      <c r="AA209">
        <f t="shared" si="26"/>
        <v>3.4390613307203055E-3</v>
      </c>
      <c r="AB209">
        <f t="shared" si="27"/>
        <v>1.1827142836455719E-5</v>
      </c>
      <c r="AC209" t="str">
        <f>VLOOKUP(A209, 'state-ids'!$A$1:$B$28, 2)</f>
        <v>PB</v>
      </c>
      <c r="AD209">
        <f>VLOOKUP(A209, 'state-ids'!$A$1:$C$28, 3)</f>
        <v>2.6058932999999999E-2</v>
      </c>
      <c r="AE209">
        <f>VLOOKUP(A209, 'state-ids'!$A$1:$D$28, 4)</f>
        <v>0.63557993999999995</v>
      </c>
      <c r="AF209">
        <f t="shared" si="28"/>
        <v>1.3244648583718993E-2</v>
      </c>
      <c r="AG209">
        <f t="shared" si="29"/>
        <v>0.16892570024786524</v>
      </c>
      <c r="AH209">
        <f t="shared" si="30"/>
        <v>0.15789841003546901</v>
      </c>
      <c r="AI209">
        <f t="shared" si="31"/>
        <v>1.1027290212396235E-2</v>
      </c>
      <c r="AJ209" s="12"/>
    </row>
    <row r="210" spans="1:36" x14ac:dyDescent="0.25">
      <c r="A210" s="9">
        <v>25</v>
      </c>
      <c r="B210" s="9">
        <v>2016</v>
      </c>
      <c r="C210" s="9">
        <v>-1.7505820678848021</v>
      </c>
      <c r="D210" s="9">
        <v>0.69524497864209145</v>
      </c>
      <c r="E210" s="9">
        <v>0.61880071843128848</v>
      </c>
      <c r="F210" s="9">
        <v>0.61096050957199821</v>
      </c>
      <c r="G210" s="9">
        <v>0.50301520167401359</v>
      </c>
      <c r="H210" s="9">
        <v>0.3342554957513682</v>
      </c>
      <c r="I210" s="9">
        <v>0.38872578410386638</v>
      </c>
      <c r="J210" s="9">
        <v>-3.9631700391201239</v>
      </c>
      <c r="K210" s="9">
        <v>0.66290777834686254</v>
      </c>
      <c r="L210" s="9">
        <v>-1.4557608068263881</v>
      </c>
      <c r="M210" s="9">
        <v>2.238063056147455</v>
      </c>
      <c r="N210" s="9">
        <v>2.2645533553304689</v>
      </c>
      <c r="O210" s="9">
        <v>-11.51292546497023</v>
      </c>
      <c r="P210" s="9">
        <v>-2.649029903113842E-2</v>
      </c>
      <c r="Q210" s="9">
        <v>1</v>
      </c>
      <c r="R210" s="9">
        <v>0</v>
      </c>
      <c r="S210" s="9">
        <v>0</v>
      </c>
      <c r="T210" s="9">
        <v>0</v>
      </c>
      <c r="U210" s="9">
        <v>0</v>
      </c>
      <c r="V210" s="9">
        <v>1</v>
      </c>
      <c r="W210" s="9">
        <v>0</v>
      </c>
      <c r="X210" s="9">
        <v>-1.7949267625808716</v>
      </c>
      <c r="Y210">
        <f t="shared" si="24"/>
        <v>0.17367282465060513</v>
      </c>
      <c r="Z210">
        <f t="shared" si="25"/>
        <v>0.16613961953823073</v>
      </c>
      <c r="AA210">
        <f t="shared" si="26"/>
        <v>7.5332051123744026E-3</v>
      </c>
      <c r="AB210">
        <f t="shared" si="27"/>
        <v>5.6749179265103834E-5</v>
      </c>
      <c r="AC210" t="str">
        <f>VLOOKUP(A210, 'state-ids'!$A$1:$B$28, 2)</f>
        <v>PB</v>
      </c>
      <c r="AD210">
        <f>VLOOKUP(A210, 'state-ids'!$A$1:$C$28, 3)</f>
        <v>2.6058932999999999E-2</v>
      </c>
      <c r="AE210">
        <f>VLOOKUP(A210, 'state-ids'!$A$1:$D$28, 4)</f>
        <v>0.63557993999999995</v>
      </c>
      <c r="AF210">
        <f t="shared" si="28"/>
        <v>2.8184598394246169E-2</v>
      </c>
      <c r="AG210">
        <f t="shared" si="29"/>
        <v>0.17184313895589651</v>
      </c>
      <c r="AH210">
        <f t="shared" si="30"/>
        <v>0.16062540144469889</v>
      </c>
      <c r="AI210">
        <f t="shared" si="31"/>
        <v>1.1217737511197617E-2</v>
      </c>
      <c r="AJ210" s="12"/>
    </row>
    <row r="211" spans="1:36" x14ac:dyDescent="0.25">
      <c r="A211" s="9">
        <v>25</v>
      </c>
      <c r="B211" s="9">
        <v>2017</v>
      </c>
      <c r="C211" s="9">
        <v>-1.730906748678263</v>
      </c>
      <c r="D211" s="9">
        <v>0.6634093622959889</v>
      </c>
      <c r="E211" s="9">
        <v>0.69524497864209145</v>
      </c>
      <c r="F211" s="9">
        <v>0.61880071843128848</v>
      </c>
      <c r="G211" s="9">
        <v>0.46731251143424452</v>
      </c>
      <c r="H211" s="9">
        <v>0.50301520167401359</v>
      </c>
      <c r="I211" s="9">
        <v>0.3342554957513682</v>
      </c>
      <c r="J211" s="9">
        <v>-3.3236850713637218</v>
      </c>
      <c r="K211" s="9">
        <v>0.66290777834686254</v>
      </c>
      <c r="L211" s="9">
        <v>-1.419417244995647</v>
      </c>
      <c r="M211" s="9">
        <v>2.2496934649603402</v>
      </c>
      <c r="N211" s="9">
        <v>2.231547621769614</v>
      </c>
      <c r="O211" s="9">
        <v>-11.51292546497023</v>
      </c>
      <c r="P211" s="9">
        <v>1.8145842477679253E-2</v>
      </c>
      <c r="Q211" s="9">
        <v>1</v>
      </c>
      <c r="R211" s="9">
        <v>0</v>
      </c>
      <c r="S211" s="9">
        <v>0</v>
      </c>
      <c r="T211" s="9">
        <v>0</v>
      </c>
      <c r="U211" s="9">
        <v>0</v>
      </c>
      <c r="V211" s="9">
        <v>1</v>
      </c>
      <c r="W211" s="9">
        <v>0</v>
      </c>
      <c r="X211" s="9">
        <v>-1.7465355396270752</v>
      </c>
      <c r="Y211">
        <f t="shared" si="24"/>
        <v>0.17712373042445284</v>
      </c>
      <c r="Z211">
        <f t="shared" si="25"/>
        <v>0.17437702045636869</v>
      </c>
      <c r="AA211">
        <f t="shared" si="26"/>
        <v>2.7467099680841545E-3</v>
      </c>
      <c r="AB211">
        <f t="shared" si="27"/>
        <v>7.5444156487728567E-6</v>
      </c>
      <c r="AC211" t="str">
        <f>VLOOKUP(A211, 'state-ids'!$A$1:$B$28, 2)</f>
        <v>PB</v>
      </c>
      <c r="AD211">
        <f>VLOOKUP(A211, 'state-ids'!$A$1:$C$28, 3)</f>
        <v>2.6058932999999999E-2</v>
      </c>
      <c r="AE211">
        <f>VLOOKUP(A211, 'state-ids'!$A$1:$D$28, 4)</f>
        <v>0.63557993999999995</v>
      </c>
      <c r="AF211">
        <f t="shared" si="28"/>
        <v>9.9333460135186003E-3</v>
      </c>
      <c r="AG211">
        <f t="shared" si="29"/>
        <v>0.18036332718399872</v>
      </c>
      <c r="AH211">
        <f t="shared" si="30"/>
        <v>0.16858940083878909</v>
      </c>
      <c r="AI211">
        <f t="shared" si="31"/>
        <v>1.1773926345209629E-2</v>
      </c>
      <c r="AJ211" s="12"/>
    </row>
    <row r="212" spans="1:36" x14ac:dyDescent="0.25">
      <c r="A212" s="9">
        <v>25</v>
      </c>
      <c r="B212" s="9">
        <v>2018</v>
      </c>
      <c r="C212" s="9">
        <v>-1.8351671753535841</v>
      </c>
      <c r="D212" s="9">
        <v>0.77408179805594457</v>
      </c>
      <c r="E212" s="9">
        <v>0.6634093622959889</v>
      </c>
      <c r="F212" s="9">
        <v>0.69524497864209145</v>
      </c>
      <c r="G212" s="9">
        <v>0.4856308851314346</v>
      </c>
      <c r="H212" s="9">
        <v>0.46731251143424452</v>
      </c>
      <c r="I212" s="9">
        <v>0.50301520167401359</v>
      </c>
      <c r="J212" s="9">
        <v>-2.8860014847296882</v>
      </c>
      <c r="K212" s="9">
        <v>0.66290777834686254</v>
      </c>
      <c r="L212" s="9">
        <v>-1.368520546302926</v>
      </c>
      <c r="M212" s="9">
        <v>2.2441739376064671</v>
      </c>
      <c r="N212" s="9">
        <v>2.2569390225548291</v>
      </c>
      <c r="O212" s="9">
        <v>3.2580965380214821</v>
      </c>
      <c r="P212" s="9">
        <v>-1.2765085324645042E-2</v>
      </c>
      <c r="Q212" s="9">
        <v>1</v>
      </c>
      <c r="R212" s="9">
        <v>0</v>
      </c>
      <c r="S212" s="9">
        <v>0</v>
      </c>
      <c r="T212" s="9">
        <v>0</v>
      </c>
      <c r="U212" s="9">
        <v>0</v>
      </c>
      <c r="V212" s="9">
        <v>1</v>
      </c>
      <c r="W212" s="9">
        <v>0</v>
      </c>
      <c r="X212" s="9">
        <v>-1.818757176399231</v>
      </c>
      <c r="Y212">
        <f t="shared" si="24"/>
        <v>0.15958682055480591</v>
      </c>
      <c r="Z212">
        <f t="shared" si="25"/>
        <v>0.16222724554626769</v>
      </c>
      <c r="AA212">
        <f t="shared" si="26"/>
        <v>-2.6404249914617761E-3</v>
      </c>
      <c r="AB212">
        <f t="shared" si="27"/>
        <v>6.9718441355359207E-6</v>
      </c>
      <c r="AC212" t="str">
        <f>VLOOKUP(A212, 'state-ids'!$A$1:$B$28, 2)</f>
        <v>PB</v>
      </c>
      <c r="AD212">
        <f>VLOOKUP(A212, 'state-ids'!$A$1:$C$28, 3)</f>
        <v>2.6058932999999999E-2</v>
      </c>
      <c r="AE212">
        <f>VLOOKUP(A212, 'state-ids'!$A$1:$D$28, 4)</f>
        <v>0.63557993999999995</v>
      </c>
      <c r="AF212">
        <f t="shared" si="28"/>
        <v>-1.0429866150807826E-2</v>
      </c>
      <c r="AG212">
        <f t="shared" si="29"/>
        <v>0.16779645442985164</v>
      </c>
      <c r="AH212">
        <f t="shared" si="30"/>
        <v>0.15684288018452319</v>
      </c>
      <c r="AI212">
        <f t="shared" si="31"/>
        <v>1.0953574245328446E-2</v>
      </c>
      <c r="AJ212" s="12"/>
    </row>
    <row r="213" spans="1:36" x14ac:dyDescent="0.25">
      <c r="A213" s="9">
        <v>25</v>
      </c>
      <c r="B213" s="9">
        <v>2019</v>
      </c>
      <c r="C213" s="9">
        <v>-1.816851935449769</v>
      </c>
      <c r="D213" s="9">
        <v>0.7412704557416735</v>
      </c>
      <c r="E213" s="9">
        <v>0.77408179805594457</v>
      </c>
      <c r="F213" s="9">
        <v>0.6634093622959889</v>
      </c>
      <c r="G213" s="9">
        <v>0.4775376768998158</v>
      </c>
      <c r="H213" s="9">
        <v>0.4856308851314346</v>
      </c>
      <c r="I213" s="9">
        <v>0.46731251143424452</v>
      </c>
      <c r="J213" s="9">
        <v>-2.1437130586240052</v>
      </c>
      <c r="K213" s="9">
        <v>0.66290777834686254</v>
      </c>
      <c r="L213" s="9">
        <v>-1.329750878232308</v>
      </c>
      <c r="M213" s="9">
        <v>2.2520006708502098</v>
      </c>
      <c r="N213" s="9">
        <v>2.2387760411558508</v>
      </c>
      <c r="O213" s="9">
        <v>5.393627546352362</v>
      </c>
      <c r="P213" s="9">
        <v>1.3224629685282707E-2</v>
      </c>
      <c r="Q213" s="9">
        <v>1</v>
      </c>
      <c r="R213" s="9">
        <v>0</v>
      </c>
      <c r="S213" s="9">
        <v>0</v>
      </c>
      <c r="T213" s="9">
        <v>0</v>
      </c>
      <c r="U213" s="9">
        <v>0</v>
      </c>
      <c r="V213" s="9">
        <v>1</v>
      </c>
      <c r="W213" s="9">
        <v>0</v>
      </c>
      <c r="X213" s="9">
        <v>-1.7779452800750732</v>
      </c>
      <c r="Y213">
        <f t="shared" si="24"/>
        <v>0.16253662216251494</v>
      </c>
      <c r="Z213">
        <f t="shared" si="25"/>
        <v>0.1689850076583346</v>
      </c>
      <c r="AA213">
        <f t="shared" si="26"/>
        <v>-6.448385495819664E-3</v>
      </c>
      <c r="AB213">
        <f t="shared" si="27"/>
        <v>4.1581675502697412E-5</v>
      </c>
      <c r="AC213" t="str">
        <f>VLOOKUP(A213, 'state-ids'!$A$1:$B$28, 2)</f>
        <v>PB</v>
      </c>
      <c r="AD213">
        <f>VLOOKUP(A213, 'state-ids'!$A$1:$C$28, 3)</f>
        <v>2.6058932999999999E-2</v>
      </c>
      <c r="AE213">
        <f>VLOOKUP(A213, 'state-ids'!$A$1:$D$28, 4)</f>
        <v>0.63557993999999995</v>
      </c>
      <c r="AF213">
        <f t="shared" si="28"/>
        <v>-2.4728289688649787E-2</v>
      </c>
      <c r="AG213">
        <f t="shared" si="29"/>
        <v>0.17478620833011013</v>
      </c>
      <c r="AH213">
        <f t="shared" si="30"/>
        <v>0.16337635037745779</v>
      </c>
      <c r="AI213">
        <f t="shared" si="31"/>
        <v>1.1409857952652341E-2</v>
      </c>
      <c r="AJ213" s="12"/>
    </row>
    <row r="214" spans="1:36" x14ac:dyDescent="0.25">
      <c r="A214" s="9">
        <v>25</v>
      </c>
      <c r="B214" s="9">
        <v>2020</v>
      </c>
      <c r="C214" s="9">
        <v>-1.8714313104864531</v>
      </c>
      <c r="D214" s="9">
        <v>0.64909079436302541</v>
      </c>
      <c r="E214" s="9">
        <v>0.7412704557416735</v>
      </c>
      <c r="F214" s="9">
        <v>0.77408179805594457</v>
      </c>
      <c r="G214" s="9">
        <v>0.38328766316346141</v>
      </c>
      <c r="H214" s="9">
        <v>0.4775376768998158</v>
      </c>
      <c r="I214" s="9">
        <v>0.4856308851314346</v>
      </c>
      <c r="J214" s="9">
        <v>-1.5376292798834841</v>
      </c>
      <c r="K214" s="9">
        <v>0.66290777834686254</v>
      </c>
      <c r="L214" s="9">
        <v>-1.2965751946622699</v>
      </c>
      <c r="M214" s="9">
        <v>2.2173898707255222</v>
      </c>
      <c r="N214" s="9">
        <v>2.2467508289467988</v>
      </c>
      <c r="O214" s="9">
        <v>5.9914645471079817</v>
      </c>
      <c r="P214" s="9">
        <v>-2.9360957443714142E-2</v>
      </c>
      <c r="Q214" s="9">
        <v>1</v>
      </c>
      <c r="R214" s="9">
        <v>1</v>
      </c>
      <c r="S214" s="9">
        <v>0</v>
      </c>
      <c r="T214" s="9">
        <v>0</v>
      </c>
      <c r="U214" s="9">
        <v>0</v>
      </c>
      <c r="V214" s="9">
        <v>1</v>
      </c>
      <c r="W214" s="9">
        <v>0</v>
      </c>
      <c r="X214" s="9">
        <v>-1.8375890254974365</v>
      </c>
      <c r="Y214">
        <f t="shared" si="24"/>
        <v>0.15390322079916766</v>
      </c>
      <c r="Z214">
        <f t="shared" si="25"/>
        <v>0.1592007928298215</v>
      </c>
      <c r="AA214">
        <f t="shared" si="26"/>
        <v>-5.297572030653841E-3</v>
      </c>
      <c r="AB214">
        <f t="shared" si="27"/>
        <v>2.8064269419965861E-5</v>
      </c>
      <c r="AC214" t="str">
        <f>VLOOKUP(A214, 'state-ids'!$A$1:$B$28, 2)</f>
        <v>PB</v>
      </c>
      <c r="AD214">
        <f>VLOOKUP(A214, 'state-ids'!$A$1:$C$28, 3)</f>
        <v>2.6058932999999999E-2</v>
      </c>
      <c r="AE214">
        <f>VLOOKUP(A214, 'state-ids'!$A$1:$D$28, 4)</f>
        <v>0.63557993999999995</v>
      </c>
      <c r="AF214">
        <f t="shared" si="28"/>
        <v>-2.1509477462782031E-2</v>
      </c>
      <c r="AG214">
        <f t="shared" si="29"/>
        <v>0.16466610457025035</v>
      </c>
      <c r="AH214">
        <f t="shared" si="30"/>
        <v>0.15391687623745923</v>
      </c>
      <c r="AI214">
        <f t="shared" si="31"/>
        <v>1.0749228332791128E-2</v>
      </c>
      <c r="AJ214" s="12"/>
    </row>
    <row r="215" spans="1:36" x14ac:dyDescent="0.25">
      <c r="A215" s="9">
        <v>25</v>
      </c>
      <c r="B215" s="9">
        <v>2021</v>
      </c>
      <c r="C215" s="9">
        <v>-1.8120219515211859</v>
      </c>
      <c r="D215" s="9">
        <v>0.8723806407546667</v>
      </c>
      <c r="E215" s="9">
        <v>0.64909079436302541</v>
      </c>
      <c r="F215" s="9">
        <v>0.7412704557416735</v>
      </c>
      <c r="G215" s="9">
        <v>0.68001128116680476</v>
      </c>
      <c r="H215" s="9">
        <v>0.38328766316346141</v>
      </c>
      <c r="I215" s="9">
        <v>0.4775376768998158</v>
      </c>
      <c r="J215" s="9">
        <v>-1.007767047451207</v>
      </c>
      <c r="K215" s="9">
        <v>0.66290777834686254</v>
      </c>
      <c r="L215" s="9">
        <v>-1.2641710395091319</v>
      </c>
      <c r="M215" s="9">
        <v>2.1868725588788012</v>
      </c>
      <c r="N215" s="9">
        <v>2.2122960119621169</v>
      </c>
      <c r="O215" s="9">
        <v>6.6846117276679271</v>
      </c>
      <c r="P215" s="9">
        <v>-2.5423452258110046E-2</v>
      </c>
      <c r="Q215" s="9">
        <v>1</v>
      </c>
      <c r="R215" s="9">
        <v>0</v>
      </c>
      <c r="S215" s="9">
        <v>0</v>
      </c>
      <c r="T215" s="9">
        <v>0</v>
      </c>
      <c r="U215" s="9">
        <v>0</v>
      </c>
      <c r="V215" s="9">
        <v>1</v>
      </c>
      <c r="W215" s="9">
        <v>0</v>
      </c>
      <c r="X215" s="9">
        <v>-1.7979391813278198</v>
      </c>
      <c r="Y215">
        <f t="shared" si="24"/>
        <v>0.16332357037910988</v>
      </c>
      <c r="Z215">
        <f t="shared" si="25"/>
        <v>0.16563989050817832</v>
      </c>
      <c r="AA215">
        <f t="shared" si="26"/>
        <v>-2.3163201290684332E-3</v>
      </c>
      <c r="AB215">
        <f t="shared" si="27"/>
        <v>5.365338940327603E-6</v>
      </c>
      <c r="AC215" t="str">
        <f>VLOOKUP(A215, 'state-ids'!$A$1:$B$28, 2)</f>
        <v>PB</v>
      </c>
      <c r="AD215">
        <f>VLOOKUP(A215, 'state-ids'!$A$1:$C$28, 3)</f>
        <v>2.6058932999999999E-2</v>
      </c>
      <c r="AE215">
        <f>VLOOKUP(A215, 'state-ids'!$A$1:$D$28, 4)</f>
        <v>0.63557993999999995</v>
      </c>
      <c r="AF215">
        <f t="shared" si="28"/>
        <v>-8.9507262345334283E-3</v>
      </c>
      <c r="AG215">
        <f t="shared" si="29"/>
        <v>0.17132625438982929</v>
      </c>
      <c r="AH215">
        <f t="shared" si="30"/>
        <v>0.16014225855386505</v>
      </c>
      <c r="AI215">
        <f t="shared" si="31"/>
        <v>1.1183995835964244E-2</v>
      </c>
      <c r="AJ215" s="12"/>
    </row>
    <row r="216" spans="1:36" x14ac:dyDescent="0.25">
      <c r="A216" s="9">
        <v>25</v>
      </c>
      <c r="B216" s="9">
        <v>2022</v>
      </c>
      <c r="C216" s="9">
        <v>-1.7595164175781499</v>
      </c>
      <c r="D216" s="9">
        <v>0.88508898073089048</v>
      </c>
      <c r="E216" s="9">
        <v>0.8723806407546667</v>
      </c>
      <c r="F216" s="9">
        <v>0.64909079436302541</v>
      </c>
      <c r="G216" s="9">
        <v>0.63662973772477349</v>
      </c>
      <c r="H216" s="9">
        <v>0.68001128116680476</v>
      </c>
      <c r="I216" s="9">
        <v>0.38328766316346141</v>
      </c>
      <c r="J216" s="9">
        <v>-0.52111797512606772</v>
      </c>
      <c r="K216" s="9">
        <v>0.66290777834686243</v>
      </c>
      <c r="L216" s="9">
        <v>-1.234433158724195</v>
      </c>
      <c r="M216" s="9">
        <v>2.210215857827595</v>
      </c>
      <c r="N216" s="9">
        <v>2.1868725588788012</v>
      </c>
      <c r="O216" s="9">
        <v>8.0551577318196781</v>
      </c>
      <c r="P216" s="9">
        <v>2.3343298584222794E-2</v>
      </c>
      <c r="Q216" s="9">
        <v>1</v>
      </c>
      <c r="R216" s="9">
        <v>0</v>
      </c>
      <c r="S216" s="9">
        <v>0</v>
      </c>
      <c r="T216" s="9">
        <v>0</v>
      </c>
      <c r="U216" s="9">
        <v>0</v>
      </c>
      <c r="V216" s="9">
        <v>1</v>
      </c>
      <c r="W216" s="9">
        <v>0</v>
      </c>
      <c r="X216" s="9">
        <v>-1.7795575857162476</v>
      </c>
      <c r="Y216">
        <f t="shared" si="24"/>
        <v>0.17212808181472219</v>
      </c>
      <c r="Z216">
        <f t="shared" si="25"/>
        <v>0.16871277169997267</v>
      </c>
      <c r="AA216">
        <f t="shared" si="26"/>
        <v>3.4153101147495202E-3</v>
      </c>
      <c r="AB216">
        <f t="shared" si="27"/>
        <v>1.1664343179910381E-5</v>
      </c>
      <c r="AC216" t="str">
        <f>VLOOKUP(A216, 'state-ids'!$A$1:$B$28, 2)</f>
        <v>PB</v>
      </c>
      <c r="AD216">
        <f>VLOOKUP(A216, 'state-ids'!$A$1:$C$28, 3)</f>
        <v>2.6058932999999999E-2</v>
      </c>
      <c r="AE216">
        <f>VLOOKUP(A216, 'state-ids'!$A$1:$D$28, 4)</f>
        <v>0.63557993999999995</v>
      </c>
      <c r="AF216">
        <f t="shared" si="28"/>
        <v>1.273776444274201E-2</v>
      </c>
      <c r="AG216">
        <f t="shared" si="29"/>
        <v>0.17450462659932486</v>
      </c>
      <c r="AH216">
        <f t="shared" si="30"/>
        <v>0.16311315000285054</v>
      </c>
      <c r="AI216">
        <f t="shared" si="31"/>
        <v>1.1391476596474326E-2</v>
      </c>
      <c r="AJ216" s="12"/>
    </row>
    <row r="217" spans="1:36" x14ac:dyDescent="0.25">
      <c r="A217" s="9">
        <v>25</v>
      </c>
      <c r="B217" s="9">
        <v>2023</v>
      </c>
      <c r="C217" s="9">
        <v>-1.675578578080767</v>
      </c>
      <c r="D217" s="9">
        <v>0.72899683345364252</v>
      </c>
      <c r="E217" s="9">
        <v>0.88508898073089048</v>
      </c>
      <c r="F217" s="9">
        <v>0.8723806407546667</v>
      </c>
      <c r="G217" s="9">
        <v>0.44192560511093881</v>
      </c>
      <c r="H217" s="9">
        <v>0.63662973772477349</v>
      </c>
      <c r="I217" s="9">
        <v>0.68001128116680476</v>
      </c>
      <c r="J217" s="9">
        <v>5.5360231684286013E-2</v>
      </c>
      <c r="K217" s="9">
        <v>0.66290777834686243</v>
      </c>
      <c r="L217" s="9">
        <v>-1.196518951281881</v>
      </c>
      <c r="M217" s="9">
        <v>2.2787973141068578</v>
      </c>
      <c r="N217" s="9">
        <v>2.210215857827595</v>
      </c>
      <c r="O217" s="9">
        <v>8.4658998970286863</v>
      </c>
      <c r="P217" s="9">
        <v>6.8581454455852509E-2</v>
      </c>
      <c r="Q217" s="9">
        <v>1</v>
      </c>
      <c r="R217" s="9">
        <v>0</v>
      </c>
      <c r="S217" s="9">
        <v>0</v>
      </c>
      <c r="T217" s="9">
        <v>0</v>
      </c>
      <c r="U217" s="9">
        <v>0</v>
      </c>
      <c r="V217" s="9">
        <v>1</v>
      </c>
      <c r="W217" s="9">
        <v>0</v>
      </c>
      <c r="X217" s="9">
        <v>-1.7236460447311401</v>
      </c>
      <c r="Y217">
        <f t="shared" si="24"/>
        <v>0.18719983841986457</v>
      </c>
      <c r="Z217">
        <f t="shared" si="25"/>
        <v>0.17841445350180854</v>
      </c>
      <c r="AA217">
        <f t="shared" si="26"/>
        <v>8.7853849180560273E-3</v>
      </c>
      <c r="AB217">
        <f t="shared" si="27"/>
        <v>7.7182988158406305E-5</v>
      </c>
      <c r="AC217" t="str">
        <f>VLOOKUP(A217, 'state-ids'!$A$1:$B$28, 2)</f>
        <v>PB</v>
      </c>
      <c r="AD217">
        <f>VLOOKUP(A217, 'state-ids'!$A$1:$C$28, 3)</f>
        <v>2.6058932999999999E-2</v>
      </c>
      <c r="AE217">
        <f>VLOOKUP(A217, 'state-ids'!$A$1:$D$28, 4)</f>
        <v>0.63557993999999995</v>
      </c>
      <c r="AF217">
        <f t="shared" si="28"/>
        <v>3.0550717569596129E-2</v>
      </c>
      <c r="AG217">
        <f t="shared" si="29"/>
        <v>0.18453936400038853</v>
      </c>
      <c r="AH217">
        <f t="shared" si="30"/>
        <v>0.17249283040924526</v>
      </c>
      <c r="AI217">
        <f t="shared" si="31"/>
        <v>1.2046533591143271E-2</v>
      </c>
      <c r="AJ217" s="12"/>
    </row>
    <row r="218" spans="1:36" x14ac:dyDescent="0.25">
      <c r="A218" s="9">
        <v>26</v>
      </c>
      <c r="B218" s="9">
        <v>2006</v>
      </c>
      <c r="C218" s="9">
        <v>-2.5903450348282231</v>
      </c>
      <c r="D218" s="9">
        <v>0.97077891715822484</v>
      </c>
      <c r="E218" s="9">
        <v>0.89379969403862336</v>
      </c>
      <c r="F218" s="9">
        <v>0.82820241155281016</v>
      </c>
      <c r="G218" s="9">
        <v>0.61518563909023349</v>
      </c>
      <c r="H218" s="9">
        <v>0.48833458593045898</v>
      </c>
      <c r="I218" s="9">
        <v>0.37891577287462791</v>
      </c>
      <c r="J218" s="9">
        <v>-11.51292546497023</v>
      </c>
      <c r="K218" s="9">
        <v>0.77993525432492927</v>
      </c>
      <c r="L218" s="9">
        <v>-2.2336802376436262</v>
      </c>
      <c r="M218" s="9">
        <v>2.1737491575544028</v>
      </c>
      <c r="N218" s="9">
        <v>2.1399959864850908</v>
      </c>
      <c r="O218" s="9">
        <v>-11.51292546497023</v>
      </c>
      <c r="P218" s="9">
        <v>3.3753171563148499E-2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1</v>
      </c>
      <c r="W218" s="9">
        <v>0</v>
      </c>
      <c r="X218" s="9">
        <v>-2.5702526569366455</v>
      </c>
      <c r="Y218">
        <f t="shared" si="24"/>
        <v>7.4994160023700893E-2</v>
      </c>
      <c r="Z218">
        <f t="shared" si="25"/>
        <v>7.6516210630097947E-2</v>
      </c>
      <c r="AA218">
        <f t="shared" si="26"/>
        <v>-1.5220506063970546E-3</v>
      </c>
      <c r="AB218">
        <f t="shared" si="27"/>
        <v>2.3166380484336414E-6</v>
      </c>
      <c r="AC218" t="str">
        <f>VLOOKUP(A218, 'state-ids'!$A$1:$B$28, 2)</f>
        <v>PE</v>
      </c>
      <c r="AD218">
        <f>VLOOKUP(A218, 'state-ids'!$A$1:$C$28, 3)</f>
        <v>4.2090777000000003E-2</v>
      </c>
      <c r="AE218">
        <f>VLOOKUP(A218, 'state-ids'!$A$1:$D$28, 4)</f>
        <v>0.83489769999999996</v>
      </c>
      <c r="AF218">
        <f t="shared" si="28"/>
        <v>-1.1058948292608133E-2</v>
      </c>
      <c r="AG218">
        <f t="shared" si="29"/>
        <v>8.2597133373937565E-2</v>
      </c>
      <c r="AH218">
        <f t="shared" si="30"/>
        <v>7.0882974384640043E-2</v>
      </c>
      <c r="AI218">
        <f t="shared" si="31"/>
        <v>1.1714158989297521E-2</v>
      </c>
      <c r="AJ218" s="12"/>
    </row>
    <row r="219" spans="1:36" x14ac:dyDescent="0.25">
      <c r="A219" s="9">
        <v>26</v>
      </c>
      <c r="B219" s="9">
        <v>2007</v>
      </c>
      <c r="C219" s="9">
        <v>-2.6287785958699339</v>
      </c>
      <c r="D219" s="9">
        <v>0.91188102338545496</v>
      </c>
      <c r="E219" s="9">
        <v>0.97077891715822484</v>
      </c>
      <c r="F219" s="9">
        <v>0.89379969403862336</v>
      </c>
      <c r="G219" s="9">
        <v>0.43877092681463697</v>
      </c>
      <c r="H219" s="9">
        <v>0.61518563909023349</v>
      </c>
      <c r="I219" s="9">
        <v>0.48833458593045898</v>
      </c>
      <c r="J219" s="9">
        <v>-11.51292546497023</v>
      </c>
      <c r="K219" s="9">
        <v>0.77993525432492927</v>
      </c>
      <c r="L219" s="9">
        <v>-2.1466279541391269</v>
      </c>
      <c r="M219" s="9">
        <v>2.2162173841391639</v>
      </c>
      <c r="N219" s="9">
        <v>2.160222056866488</v>
      </c>
      <c r="O219" s="9">
        <v>-11.51292546497023</v>
      </c>
      <c r="P219" s="9">
        <v>5.5995326489210129E-2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1</v>
      </c>
      <c r="W219" s="9">
        <v>0</v>
      </c>
      <c r="X219" s="9">
        <v>-2.5279278755187988</v>
      </c>
      <c r="Y219">
        <f t="shared" si="24"/>
        <v>7.2166552956465194E-2</v>
      </c>
      <c r="Z219">
        <f t="shared" si="25"/>
        <v>7.9824254826126623E-2</v>
      </c>
      <c r="AA219">
        <f t="shared" si="26"/>
        <v>-7.6577018696614291E-3</v>
      </c>
      <c r="AB219">
        <f t="shared" si="27"/>
        <v>5.8640397924616144E-5</v>
      </c>
      <c r="AC219" t="str">
        <f>VLOOKUP(A219, 'state-ids'!$A$1:$B$28, 2)</f>
        <v>PE</v>
      </c>
      <c r="AD219">
        <f>VLOOKUP(A219, 'state-ids'!$A$1:$C$28, 3)</f>
        <v>4.2090777000000003E-2</v>
      </c>
      <c r="AE219">
        <f>VLOOKUP(A219, 'state-ids'!$A$1:$D$28, 4)</f>
        <v>0.83489769999999996</v>
      </c>
      <c r="AF219">
        <f t="shared" si="28"/>
        <v>-8.4200034464505857E-2</v>
      </c>
      <c r="AG219">
        <f t="shared" si="29"/>
        <v>8.6168075601946725E-2</v>
      </c>
      <c r="AH219">
        <f t="shared" si="30"/>
        <v>7.3947475489431064E-2</v>
      </c>
      <c r="AI219">
        <f t="shared" si="31"/>
        <v>1.2220600112515662E-2</v>
      </c>
      <c r="AJ219" s="12"/>
    </row>
    <row r="220" spans="1:36" x14ac:dyDescent="0.25">
      <c r="A220" s="9">
        <v>26</v>
      </c>
      <c r="B220" s="9">
        <v>2008</v>
      </c>
      <c r="C220" s="9">
        <v>-2.5574184730470502</v>
      </c>
      <c r="D220" s="9">
        <v>0.8545429795827455</v>
      </c>
      <c r="E220" s="9">
        <v>0.91188102338545496</v>
      </c>
      <c r="F220" s="9">
        <v>0.97077891715822484</v>
      </c>
      <c r="G220" s="9">
        <v>0.4296372600791496</v>
      </c>
      <c r="H220" s="9">
        <v>0.43877092681463697</v>
      </c>
      <c r="I220" s="9">
        <v>0.61518563909023349</v>
      </c>
      <c r="J220" s="9">
        <v>-11.51292546497023</v>
      </c>
      <c r="K220" s="9">
        <v>0.77993525432492927</v>
      </c>
      <c r="L220" s="9">
        <v>-2.0506173040819982</v>
      </c>
      <c r="M220" s="9">
        <v>2.2386026334478739</v>
      </c>
      <c r="N220" s="9">
        <v>2.202870940890401</v>
      </c>
      <c r="O220" s="9">
        <v>-11.51292546497023</v>
      </c>
      <c r="P220" s="9">
        <v>3.5731691867113113E-2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1</v>
      </c>
      <c r="W220" s="9">
        <v>0</v>
      </c>
      <c r="X220" s="9">
        <v>-2.441558837890625</v>
      </c>
      <c r="Y220">
        <f t="shared" si="24"/>
        <v>7.750456252641906E-2</v>
      </c>
      <c r="Z220">
        <f t="shared" si="25"/>
        <v>8.7025087668507833E-2</v>
      </c>
      <c r="AA220">
        <f t="shared" si="26"/>
        <v>-9.5205251420887732E-3</v>
      </c>
      <c r="AB220">
        <f t="shared" si="27"/>
        <v>9.0640398981144455E-5</v>
      </c>
      <c r="AC220" t="str">
        <f>VLOOKUP(A220, 'state-ids'!$A$1:$B$28, 2)</f>
        <v>PE</v>
      </c>
      <c r="AD220">
        <f>VLOOKUP(A220, 'state-ids'!$A$1:$C$28, 3)</f>
        <v>4.2090777000000003E-2</v>
      </c>
      <c r="AE220">
        <f>VLOOKUP(A220, 'state-ids'!$A$1:$D$28, 4)</f>
        <v>0.83489769999999996</v>
      </c>
      <c r="AF220">
        <f t="shared" si="28"/>
        <v>-9.6730942914938514E-2</v>
      </c>
      <c r="AG220">
        <f t="shared" si="29"/>
        <v>9.3941175521398787E-2</v>
      </c>
      <c r="AH220">
        <f t="shared" si="30"/>
        <v>8.0618172400731158E-2</v>
      </c>
      <c r="AI220">
        <f t="shared" si="31"/>
        <v>1.3323003120667629E-2</v>
      </c>
      <c r="AJ220" s="12"/>
    </row>
    <row r="221" spans="1:36" x14ac:dyDescent="0.25">
      <c r="A221" s="9">
        <v>26</v>
      </c>
      <c r="B221" s="9">
        <v>2009</v>
      </c>
      <c r="C221" s="9">
        <v>-2.5307005302531782</v>
      </c>
      <c r="D221" s="9">
        <v>0.80074519115796339</v>
      </c>
      <c r="E221" s="9">
        <v>0.8545429795827455</v>
      </c>
      <c r="F221" s="9">
        <v>0.91188102338545496</v>
      </c>
      <c r="G221" s="9">
        <v>0.37562426609714311</v>
      </c>
      <c r="H221" s="9">
        <v>0.4296372600791496</v>
      </c>
      <c r="I221" s="9">
        <v>0.43877092681463697</v>
      </c>
      <c r="J221" s="9">
        <v>-11.51292546497023</v>
      </c>
      <c r="K221" s="9">
        <v>0.77993525432492927</v>
      </c>
      <c r="L221" s="9">
        <v>-1.94468018103902</v>
      </c>
      <c r="M221" s="9">
        <v>2.2839908173468459</v>
      </c>
      <c r="N221" s="9">
        <v>2.229932031879803</v>
      </c>
      <c r="O221" s="9">
        <v>-11.51292546497023</v>
      </c>
      <c r="P221" s="9">
        <v>5.4058786481618881E-2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1</v>
      </c>
      <c r="W221" s="9">
        <v>0</v>
      </c>
      <c r="X221" s="9">
        <v>-2.3384950160980225</v>
      </c>
      <c r="Y221">
        <f t="shared" si="24"/>
        <v>7.9603236273724606E-2</v>
      </c>
      <c r="Z221">
        <f t="shared" si="25"/>
        <v>9.6472718920012843E-2</v>
      </c>
      <c r="AA221">
        <f t="shared" si="26"/>
        <v>-1.6869482646288236E-2</v>
      </c>
      <c r="AB221">
        <f t="shared" si="27"/>
        <v>2.8457944475341994E-4</v>
      </c>
      <c r="AC221" t="str">
        <f>VLOOKUP(A221, 'state-ids'!$A$1:$B$28, 2)</f>
        <v>PE</v>
      </c>
      <c r="AD221">
        <f>VLOOKUP(A221, 'state-ids'!$A$1:$C$28, 3)</f>
        <v>4.2090777000000003E-2</v>
      </c>
      <c r="AE221">
        <f>VLOOKUP(A221, 'state-ids'!$A$1:$D$28, 4)</f>
        <v>0.83489769999999996</v>
      </c>
      <c r="AF221">
        <f t="shared" si="28"/>
        <v>-0.16047194169545698</v>
      </c>
      <c r="AG221">
        <f t="shared" si="29"/>
        <v>0.10413963218989182</v>
      </c>
      <c r="AH221">
        <f t="shared" si="30"/>
        <v>8.9370255109496866E-2</v>
      </c>
      <c r="AI221">
        <f t="shared" si="31"/>
        <v>1.4769377080394955E-2</v>
      </c>
      <c r="AJ221" s="12"/>
    </row>
    <row r="222" spans="1:36" x14ac:dyDescent="0.25">
      <c r="A222" s="9">
        <v>26</v>
      </c>
      <c r="B222" s="9">
        <v>2010</v>
      </c>
      <c r="C222" s="9">
        <v>-2.285560171446392</v>
      </c>
      <c r="D222" s="9">
        <v>0.76257995527528211</v>
      </c>
      <c r="E222" s="9">
        <v>0.80074519115796339</v>
      </c>
      <c r="F222" s="9">
        <v>0.8545429795827455</v>
      </c>
      <c r="G222" s="9">
        <v>0.42002525943949409</v>
      </c>
      <c r="H222" s="9">
        <v>0.37562426609714311</v>
      </c>
      <c r="I222" s="9">
        <v>0.4296372600791496</v>
      </c>
      <c r="J222" s="9">
        <v>-9.0867684756508957</v>
      </c>
      <c r="K222" s="9">
        <v>0.77993525432492927</v>
      </c>
      <c r="L222" s="9">
        <v>-1.822801359947529</v>
      </c>
      <c r="M222" s="9">
        <v>2.3976521594538101</v>
      </c>
      <c r="N222" s="9">
        <v>2.280894118092859</v>
      </c>
      <c r="O222" s="9">
        <v>-11.51292546497023</v>
      </c>
      <c r="P222" s="9">
        <v>0.11675804108381271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1</v>
      </c>
      <c r="W222" s="9">
        <v>0</v>
      </c>
      <c r="X222" s="9">
        <v>-2.1852269172668457</v>
      </c>
      <c r="Y222">
        <f t="shared" si="24"/>
        <v>0.10171706714767305</v>
      </c>
      <c r="Z222">
        <f t="shared" si="25"/>
        <v>0.1124522134099893</v>
      </c>
      <c r="AA222">
        <f t="shared" si="26"/>
        <v>-1.0735146262316253E-2</v>
      </c>
      <c r="AB222">
        <f t="shared" si="27"/>
        <v>1.1524336527332262E-4</v>
      </c>
      <c r="AC222" t="str">
        <f>VLOOKUP(A222, 'state-ids'!$A$1:$B$28, 2)</f>
        <v>PE</v>
      </c>
      <c r="AD222">
        <f>VLOOKUP(A222, 'state-ids'!$A$1:$C$28, 3)</f>
        <v>4.2090777000000003E-2</v>
      </c>
      <c r="AE222">
        <f>VLOOKUP(A222, 'state-ids'!$A$1:$D$28, 4)</f>
        <v>0.83489769999999996</v>
      </c>
      <c r="AF222">
        <f t="shared" si="28"/>
        <v>-8.3768003148018591E-2</v>
      </c>
      <c r="AG222">
        <f t="shared" si="29"/>
        <v>0.12138905459029378</v>
      </c>
      <c r="AH222">
        <f t="shared" si="30"/>
        <v>0.10417331565425098</v>
      </c>
      <c r="AI222">
        <f t="shared" si="31"/>
        <v>1.7215738936042807E-2</v>
      </c>
      <c r="AJ222" s="12"/>
    </row>
    <row r="223" spans="1:36" x14ac:dyDescent="0.25">
      <c r="A223" s="9">
        <v>26</v>
      </c>
      <c r="B223" s="9">
        <v>2011</v>
      </c>
      <c r="C223" s="9">
        <v>-2.0805677645541389</v>
      </c>
      <c r="D223" s="9">
        <v>0.7185224868911736</v>
      </c>
      <c r="E223" s="9">
        <v>0.76257995527528211</v>
      </c>
      <c r="F223" s="9">
        <v>0.80074519115796339</v>
      </c>
      <c r="G223" s="9">
        <v>0.48316661577201642</v>
      </c>
      <c r="H223" s="9">
        <v>0.42002525943949409</v>
      </c>
      <c r="I223" s="9">
        <v>0.37562426609714311</v>
      </c>
      <c r="J223" s="9">
        <v>-7.2980961457272429</v>
      </c>
      <c r="K223" s="9">
        <v>0.77993525432492927</v>
      </c>
      <c r="L223" s="9">
        <v>-1.70989039242969</v>
      </c>
      <c r="M223" s="9">
        <v>2.4399410439007672</v>
      </c>
      <c r="N223" s="9">
        <v>2.39456502014942</v>
      </c>
      <c r="O223" s="9">
        <v>-11.51292546497023</v>
      </c>
      <c r="P223" s="9">
        <v>4.5376025140285492E-2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1</v>
      </c>
      <c r="W223" s="9">
        <v>0</v>
      </c>
      <c r="X223" s="9">
        <v>-2.0267400741577148</v>
      </c>
      <c r="Y223">
        <f t="shared" si="24"/>
        <v>0.12485930138458325</v>
      </c>
      <c r="Z223">
        <f t="shared" si="25"/>
        <v>0.131764363825778</v>
      </c>
      <c r="AA223">
        <f t="shared" si="26"/>
        <v>-6.9050624411947509E-3</v>
      </c>
      <c r="AB223">
        <f t="shared" si="27"/>
        <v>4.7679887316798415E-5</v>
      </c>
      <c r="AC223" t="str">
        <f>VLOOKUP(A223, 'state-ids'!$A$1:$B$28, 2)</f>
        <v>PE</v>
      </c>
      <c r="AD223">
        <f>VLOOKUP(A223, 'state-ids'!$A$1:$C$28, 3)</f>
        <v>4.2090777000000003E-2</v>
      </c>
      <c r="AE223">
        <f>VLOOKUP(A223, 'state-ids'!$A$1:$D$28, 4)</f>
        <v>0.83489769999999996</v>
      </c>
      <c r="AF223">
        <f t="shared" si="28"/>
        <v>-4.4940614908286568E-2</v>
      </c>
      <c r="AG223">
        <f t="shared" si="29"/>
        <v>0.14223598690038644</v>
      </c>
      <c r="AH223">
        <f t="shared" si="30"/>
        <v>0.12206367708174438</v>
      </c>
      <c r="AI223">
        <f t="shared" si="31"/>
        <v>2.0172309818642056E-2</v>
      </c>
      <c r="AJ223" s="12"/>
    </row>
    <row r="224" spans="1:36" x14ac:dyDescent="0.25">
      <c r="A224" s="9">
        <v>26</v>
      </c>
      <c r="B224" s="9">
        <v>2012</v>
      </c>
      <c r="C224" s="9">
        <v>-1.934713985007412</v>
      </c>
      <c r="D224" s="9">
        <v>0.68031520174456706</v>
      </c>
      <c r="E224" s="9">
        <v>0.7185224868911736</v>
      </c>
      <c r="F224" s="9">
        <v>0.76257995527528211</v>
      </c>
      <c r="G224" s="9">
        <v>0.4405104498509651</v>
      </c>
      <c r="H224" s="9">
        <v>0.48316661577201642</v>
      </c>
      <c r="I224" s="9">
        <v>0.42002525943949409</v>
      </c>
      <c r="J224" s="9">
        <v>-6.90006220749002</v>
      </c>
      <c r="K224" s="9">
        <v>0.77993525432492927</v>
      </c>
      <c r="L224" s="9">
        <v>-1.6203292439081409</v>
      </c>
      <c r="M224" s="9">
        <v>2.5060722262164208</v>
      </c>
      <c r="N224" s="9">
        <v>2.4325098740297491</v>
      </c>
      <c r="O224" s="9">
        <v>-11.51292546497023</v>
      </c>
      <c r="P224" s="9">
        <v>7.3562353849411011E-2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1</v>
      </c>
      <c r="W224" s="9">
        <v>0</v>
      </c>
      <c r="X224" s="9">
        <v>-1.9083118438720703</v>
      </c>
      <c r="Y224">
        <f t="shared" si="24"/>
        <v>0.14446558223756534</v>
      </c>
      <c r="Z224">
        <f t="shared" si="25"/>
        <v>0.1483305805313144</v>
      </c>
      <c r="AA224">
        <f t="shared" si="26"/>
        <v>-3.8649982937490612E-3</v>
      </c>
      <c r="AB224">
        <f t="shared" si="27"/>
        <v>1.4938211810683154E-5</v>
      </c>
      <c r="AC224" t="str">
        <f>VLOOKUP(A224, 'state-ids'!$A$1:$B$28, 2)</f>
        <v>PE</v>
      </c>
      <c r="AD224">
        <f>VLOOKUP(A224, 'state-ids'!$A$1:$C$28, 3)</f>
        <v>4.2090777000000003E-2</v>
      </c>
      <c r="AE224">
        <f>VLOOKUP(A224, 'state-ids'!$A$1:$D$28, 4)</f>
        <v>0.83489769999999996</v>
      </c>
      <c r="AF224">
        <f t="shared" si="28"/>
        <v>-2.2043086908972151E-2</v>
      </c>
      <c r="AG224">
        <f t="shared" si="29"/>
        <v>0.16011875970710079</v>
      </c>
      <c r="AH224">
        <f t="shared" si="30"/>
        <v>0.13741026448745983</v>
      </c>
      <c r="AI224">
        <f t="shared" si="31"/>
        <v>2.2708495219640967E-2</v>
      </c>
      <c r="AJ224" s="12"/>
    </row>
    <row r="225" spans="1:36" x14ac:dyDescent="0.25">
      <c r="A225" s="9">
        <v>26</v>
      </c>
      <c r="B225" s="9">
        <v>2013</v>
      </c>
      <c r="C225" s="9">
        <v>-1.8984148666435801</v>
      </c>
      <c r="D225" s="9">
        <v>0.66253332194210901</v>
      </c>
      <c r="E225" s="9">
        <v>0.68031520174456706</v>
      </c>
      <c r="F225" s="9">
        <v>0.7185224868911736</v>
      </c>
      <c r="G225" s="9">
        <v>0.44205415633877998</v>
      </c>
      <c r="H225" s="9">
        <v>0.4405104498509651</v>
      </c>
      <c r="I225" s="9">
        <v>0.48316661577201642</v>
      </c>
      <c r="J225" s="9">
        <v>-6.0833652415634818</v>
      </c>
      <c r="K225" s="9">
        <v>0.77993525432492927</v>
      </c>
      <c r="L225" s="9">
        <v>-1.569575443327718</v>
      </c>
      <c r="M225" s="9">
        <v>2.5009884916538612</v>
      </c>
      <c r="N225" s="9">
        <v>2.475471331755736</v>
      </c>
      <c r="O225" s="9">
        <v>-11.51292546497023</v>
      </c>
      <c r="P225" s="9">
        <v>2.5517160072922707E-2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1</v>
      </c>
      <c r="W225" s="9">
        <v>0</v>
      </c>
      <c r="X225" s="9">
        <v>-1.8418581485748291</v>
      </c>
      <c r="Y225">
        <f t="shared" si="24"/>
        <v>0.14980589343599143</v>
      </c>
      <c r="Z225">
        <f t="shared" si="25"/>
        <v>0.15852259373894531</v>
      </c>
      <c r="AA225">
        <f t="shared" si="26"/>
        <v>-8.7167003029538781E-3</v>
      </c>
      <c r="AB225">
        <f t="shared" si="27"/>
        <v>7.5980864171516235E-5</v>
      </c>
      <c r="AC225" t="str">
        <f>VLOOKUP(A225, 'state-ids'!$A$1:$B$28, 2)</f>
        <v>PE</v>
      </c>
      <c r="AD225">
        <f>VLOOKUP(A225, 'state-ids'!$A$1:$C$28, 3)</f>
        <v>4.2090777000000003E-2</v>
      </c>
      <c r="AE225">
        <f>VLOOKUP(A225, 'state-ids'!$A$1:$D$28, 4)</f>
        <v>0.83489769999999996</v>
      </c>
      <c r="AF225">
        <f t="shared" si="28"/>
        <v>-4.721907383514861E-2</v>
      </c>
      <c r="AG225">
        <f t="shared" si="29"/>
        <v>0.17112075611187946</v>
      </c>
      <c r="AH225">
        <f t="shared" si="30"/>
        <v>0.14685192665519189</v>
      </c>
      <c r="AI225">
        <f t="shared" si="31"/>
        <v>2.4268829456687568E-2</v>
      </c>
      <c r="AJ225" s="12"/>
    </row>
    <row r="226" spans="1:36" x14ac:dyDescent="0.25">
      <c r="A226" s="9">
        <v>26</v>
      </c>
      <c r="B226" s="9">
        <v>2014</v>
      </c>
      <c r="C226" s="9">
        <v>-1.824005337354704</v>
      </c>
      <c r="D226" s="9">
        <v>0.63514723626195657</v>
      </c>
      <c r="E226" s="9">
        <v>0.66253332194210901</v>
      </c>
      <c r="F226" s="9">
        <v>0.68031520174456706</v>
      </c>
      <c r="G226" s="9">
        <v>0.43145768838241799</v>
      </c>
      <c r="H226" s="9">
        <v>0.44205415633877998</v>
      </c>
      <c r="I226" s="9">
        <v>0.4405104498509651</v>
      </c>
      <c r="J226" s="9">
        <v>-5.3741717447402957</v>
      </c>
      <c r="K226" s="9">
        <v>0.77993525432492927</v>
      </c>
      <c r="L226" s="9">
        <v>-1.510841257086355</v>
      </c>
      <c r="M226" s="9">
        <v>2.5124836951737342</v>
      </c>
      <c r="N226" s="9">
        <v>2.493504310506899</v>
      </c>
      <c r="O226" s="9">
        <v>-11.51292546497023</v>
      </c>
      <c r="P226" s="9">
        <v>1.8979385495185852E-2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1</v>
      </c>
      <c r="W226" s="9">
        <v>0</v>
      </c>
      <c r="X226" s="9">
        <v>-1.7743328809738159</v>
      </c>
      <c r="Y226">
        <f t="shared" si="24"/>
        <v>0.16137808107524615</v>
      </c>
      <c r="Z226">
        <f t="shared" si="25"/>
        <v>0.16959655285576025</v>
      </c>
      <c r="AA226">
        <f t="shared" si="26"/>
        <v>-8.2184717805141028E-3</v>
      </c>
      <c r="AB226">
        <f t="shared" si="27"/>
        <v>6.7543278407106641E-5</v>
      </c>
      <c r="AC226" t="str">
        <f>VLOOKUP(A226, 'state-ids'!$A$1:$B$28, 2)</f>
        <v>PE</v>
      </c>
      <c r="AD226">
        <f>VLOOKUP(A226, 'state-ids'!$A$1:$C$28, 3)</f>
        <v>4.2090777000000003E-2</v>
      </c>
      <c r="AE226">
        <f>VLOOKUP(A226, 'state-ids'!$A$1:$D$28, 4)</f>
        <v>0.83489769999999996</v>
      </c>
      <c r="AF226">
        <f t="shared" si="28"/>
        <v>-4.1471419585753823E-2</v>
      </c>
      <c r="AG226">
        <f t="shared" si="29"/>
        <v>0.18307478873603694</v>
      </c>
      <c r="AH226">
        <f t="shared" si="30"/>
        <v>0.157110604573894</v>
      </c>
      <c r="AI226">
        <f t="shared" si="31"/>
        <v>2.5964184162142939E-2</v>
      </c>
      <c r="AJ226" s="12"/>
    </row>
    <row r="227" spans="1:36" x14ac:dyDescent="0.25">
      <c r="A227" s="9">
        <v>26</v>
      </c>
      <c r="B227" s="9">
        <v>2015</v>
      </c>
      <c r="C227" s="9">
        <v>-1.9144271128298549</v>
      </c>
      <c r="D227" s="9">
        <v>0.67661121191984575</v>
      </c>
      <c r="E227" s="9">
        <v>0.63514723626195657</v>
      </c>
      <c r="F227" s="9">
        <v>0.66253332194210901</v>
      </c>
      <c r="G227" s="9">
        <v>0.37101168003878521</v>
      </c>
      <c r="H227" s="9">
        <v>0.43145768838241799</v>
      </c>
      <c r="I227" s="9">
        <v>0.44205415633877998</v>
      </c>
      <c r="J227" s="9">
        <v>-4.9994805059003449</v>
      </c>
      <c r="K227" s="9">
        <v>0.77993525432492927</v>
      </c>
      <c r="L227" s="9">
        <v>-1.471134558582889</v>
      </c>
      <c r="M227" s="9">
        <v>2.44397363079668</v>
      </c>
      <c r="N227" s="9">
        <v>2.5052403233157161</v>
      </c>
      <c r="O227" s="9">
        <v>-11.51292546497023</v>
      </c>
      <c r="P227" s="9">
        <v>-6.1266694217920303E-2</v>
      </c>
      <c r="Q227" s="9">
        <v>1</v>
      </c>
      <c r="R227" s="9">
        <v>0</v>
      </c>
      <c r="S227" s="9">
        <v>0</v>
      </c>
      <c r="T227" s="9">
        <v>0</v>
      </c>
      <c r="U227" s="9">
        <v>0</v>
      </c>
      <c r="V227" s="9">
        <v>1</v>
      </c>
      <c r="W227" s="9">
        <v>0</v>
      </c>
      <c r="X227" s="9">
        <v>-1.8516548871994019</v>
      </c>
      <c r="Y227">
        <f t="shared" si="24"/>
        <v>0.14742626701506745</v>
      </c>
      <c r="Z227">
        <f t="shared" si="25"/>
        <v>0.15697717173001535</v>
      </c>
      <c r="AA227">
        <f t="shared" si="26"/>
        <v>-9.5509047149479054E-3</v>
      </c>
      <c r="AB227">
        <f t="shared" si="27"/>
        <v>9.1219780874014127E-5</v>
      </c>
      <c r="AC227" t="str">
        <f>VLOOKUP(A227, 'state-ids'!$A$1:$B$28, 2)</f>
        <v>PE</v>
      </c>
      <c r="AD227">
        <f>VLOOKUP(A227, 'state-ids'!$A$1:$C$28, 3)</f>
        <v>4.2090777000000003E-2</v>
      </c>
      <c r="AE227">
        <f>VLOOKUP(A227, 'state-ids'!$A$1:$D$28, 4)</f>
        <v>0.83489769999999996</v>
      </c>
      <c r="AF227">
        <f t="shared" si="28"/>
        <v>-5.2408386802746287E-2</v>
      </c>
      <c r="AG227">
        <f t="shared" si="29"/>
        <v>0.16945251579078344</v>
      </c>
      <c r="AH227">
        <f t="shared" si="30"/>
        <v>0.14542028089319761</v>
      </c>
      <c r="AI227">
        <f t="shared" si="31"/>
        <v>2.4032234897585825E-2</v>
      </c>
      <c r="AJ227" s="12"/>
    </row>
    <row r="228" spans="1:36" x14ac:dyDescent="0.25">
      <c r="A228" s="9">
        <v>26</v>
      </c>
      <c r="B228" s="9">
        <v>2016</v>
      </c>
      <c r="C228" s="9">
        <v>-1.8763673993929531</v>
      </c>
      <c r="D228" s="9">
        <v>0.7061127629499685</v>
      </c>
      <c r="E228" s="9">
        <v>0.67661121191984575</v>
      </c>
      <c r="F228" s="9">
        <v>0.63514723626195657</v>
      </c>
      <c r="G228" s="9">
        <v>0.48291985451228192</v>
      </c>
      <c r="H228" s="9">
        <v>0.37101168003878521</v>
      </c>
      <c r="I228" s="9">
        <v>0.43145768838241799</v>
      </c>
      <c r="J228" s="9">
        <v>-4.6387044321201172</v>
      </c>
      <c r="K228" s="9">
        <v>0.77993525432492927</v>
      </c>
      <c r="L228" s="9">
        <v>-1.447700929104593</v>
      </c>
      <c r="M228" s="9">
        <v>2.4231484139469588</v>
      </c>
      <c r="N228" s="9">
        <v>2.4370249244515949</v>
      </c>
      <c r="O228" s="9">
        <v>-11.51292546497023</v>
      </c>
      <c r="P228" s="9">
        <v>-1.3876510784029961E-2</v>
      </c>
      <c r="Q228" s="9">
        <v>1</v>
      </c>
      <c r="R228" s="9">
        <v>0</v>
      </c>
      <c r="S228" s="9">
        <v>0</v>
      </c>
      <c r="T228" s="9">
        <v>0</v>
      </c>
      <c r="U228" s="9">
        <v>0</v>
      </c>
      <c r="V228" s="9">
        <v>1</v>
      </c>
      <c r="W228" s="9">
        <v>0</v>
      </c>
      <c r="X228" s="9">
        <v>-1.8235706090927124</v>
      </c>
      <c r="Y228">
        <f t="shared" si="24"/>
        <v>0.15314541266114193</v>
      </c>
      <c r="Z228">
        <f t="shared" si="25"/>
        <v>0.16144825193947934</v>
      </c>
      <c r="AA228">
        <f t="shared" si="26"/>
        <v>-8.302839278337415E-3</v>
      </c>
      <c r="AB228">
        <f t="shared" si="27"/>
        <v>6.893714008190256E-5</v>
      </c>
      <c r="AC228" t="str">
        <f>VLOOKUP(A228, 'state-ids'!$A$1:$B$28, 2)</f>
        <v>PE</v>
      </c>
      <c r="AD228">
        <f>VLOOKUP(A228, 'state-ids'!$A$1:$C$28, 3)</f>
        <v>4.2090777000000003E-2</v>
      </c>
      <c r="AE228">
        <f>VLOOKUP(A228, 'state-ids'!$A$1:$D$28, 4)</f>
        <v>0.83489769999999996</v>
      </c>
      <c r="AF228">
        <f t="shared" si="28"/>
        <v>-4.4079918789053221E-2</v>
      </c>
      <c r="AG228">
        <f t="shared" si="29"/>
        <v>0.17427892323236424</v>
      </c>
      <c r="AH228">
        <f t="shared" si="30"/>
        <v>0.14956219358528333</v>
      </c>
      <c r="AI228">
        <f t="shared" si="31"/>
        <v>2.4716729647080909E-2</v>
      </c>
      <c r="AJ228" s="12"/>
    </row>
    <row r="229" spans="1:36" x14ac:dyDescent="0.25">
      <c r="A229" s="9">
        <v>26</v>
      </c>
      <c r="B229" s="9">
        <v>2017</v>
      </c>
      <c r="C229" s="9">
        <v>-1.8463595529795001</v>
      </c>
      <c r="D229" s="9">
        <v>0.66885448799090075</v>
      </c>
      <c r="E229" s="9">
        <v>0.7061127629499685</v>
      </c>
      <c r="F229" s="9">
        <v>0.67661121191984575</v>
      </c>
      <c r="G229" s="9">
        <v>0.45387424731585202</v>
      </c>
      <c r="H229" s="9">
        <v>0.48291985451228192</v>
      </c>
      <c r="I229" s="9">
        <v>0.37101168003878521</v>
      </c>
      <c r="J229" s="9">
        <v>-3.968843199446316</v>
      </c>
      <c r="K229" s="9">
        <v>0.77993525432492927</v>
      </c>
      <c r="L229" s="9">
        <v>-1.4235809967904469</v>
      </c>
      <c r="M229" s="9">
        <v>2.46222844916471</v>
      </c>
      <c r="N229" s="9">
        <v>2.416483347296853</v>
      </c>
      <c r="O229" s="9">
        <v>-11.51292546497023</v>
      </c>
      <c r="P229" s="9">
        <v>4.5745100826025009E-2</v>
      </c>
      <c r="Q229" s="9">
        <v>1</v>
      </c>
      <c r="R229" s="9">
        <v>0</v>
      </c>
      <c r="S229" s="9">
        <v>0</v>
      </c>
      <c r="T229" s="9">
        <v>0</v>
      </c>
      <c r="U229" s="9">
        <v>0</v>
      </c>
      <c r="V229" s="9">
        <v>1</v>
      </c>
      <c r="W229" s="9">
        <v>0</v>
      </c>
      <c r="X229" s="9">
        <v>-1.7864711284637451</v>
      </c>
      <c r="Y229">
        <f t="shared" si="24"/>
        <v>0.15781062307339405</v>
      </c>
      <c r="Z229">
        <f t="shared" si="25"/>
        <v>0.16755039145339867</v>
      </c>
      <c r="AA229">
        <f t="shared" si="26"/>
        <v>-9.7397683800046209E-3</v>
      </c>
      <c r="AB229">
        <f t="shared" si="27"/>
        <v>9.4863088096137837E-5</v>
      </c>
      <c r="AC229" t="str">
        <f>VLOOKUP(A229, 'state-ids'!$A$1:$B$28, 2)</f>
        <v>PE</v>
      </c>
      <c r="AD229">
        <f>VLOOKUP(A229, 'state-ids'!$A$1:$C$28, 3)</f>
        <v>4.2090777000000003E-2</v>
      </c>
      <c r="AE229">
        <f>VLOOKUP(A229, 'state-ids'!$A$1:$D$28, 4)</f>
        <v>0.83489769999999996</v>
      </c>
      <c r="AF229">
        <f t="shared" si="28"/>
        <v>-5.0000707884827404E-2</v>
      </c>
      <c r="AG229">
        <f t="shared" si="29"/>
        <v>0.18086601408732239</v>
      </c>
      <c r="AH229">
        <f t="shared" si="30"/>
        <v>0.15521508459092476</v>
      </c>
      <c r="AI229">
        <f t="shared" si="31"/>
        <v>2.5650929496397634E-2</v>
      </c>
      <c r="AJ229" s="12"/>
    </row>
    <row r="230" spans="1:36" x14ac:dyDescent="0.25">
      <c r="A230" s="9">
        <v>26</v>
      </c>
      <c r="B230" s="9">
        <v>2018</v>
      </c>
      <c r="C230" s="9">
        <v>-1.98000640652259</v>
      </c>
      <c r="D230" s="9">
        <v>0.79050072581585518</v>
      </c>
      <c r="E230" s="9">
        <v>0.66885448799090075</v>
      </c>
      <c r="F230" s="9">
        <v>0.7061127629499685</v>
      </c>
      <c r="G230" s="9">
        <v>0.50126001889628968</v>
      </c>
      <c r="H230" s="9">
        <v>0.45387424731585202</v>
      </c>
      <c r="I230" s="9">
        <v>0.48291985451228192</v>
      </c>
      <c r="J230" s="9">
        <v>-3.5528548299186249</v>
      </c>
      <c r="K230" s="9">
        <v>0.77993525432492927</v>
      </c>
      <c r="L230" s="9">
        <v>-1.3924857911114339</v>
      </c>
      <c r="M230" s="9">
        <v>2.441623988283482</v>
      </c>
      <c r="N230" s="9">
        <v>2.4598005582371569</v>
      </c>
      <c r="O230" s="9">
        <v>3.2580965380214821</v>
      </c>
      <c r="P230" s="9">
        <v>-1.8176570534706116E-2</v>
      </c>
      <c r="Q230" s="9">
        <v>1</v>
      </c>
      <c r="R230" s="9">
        <v>0</v>
      </c>
      <c r="S230" s="9">
        <v>0</v>
      </c>
      <c r="T230" s="9">
        <v>0</v>
      </c>
      <c r="U230" s="9">
        <v>0</v>
      </c>
      <c r="V230" s="9">
        <v>1</v>
      </c>
      <c r="W230" s="9">
        <v>0</v>
      </c>
      <c r="X230" s="9">
        <v>-1.8639422655105591</v>
      </c>
      <c r="Y230">
        <f t="shared" si="24"/>
        <v>0.13806835277003843</v>
      </c>
      <c r="Z230">
        <f t="shared" si="25"/>
        <v>0.15506013562805873</v>
      </c>
      <c r="AA230">
        <f t="shared" si="26"/>
        <v>-1.6991782858020305E-2</v>
      </c>
      <c r="AB230">
        <f t="shared" si="27"/>
        <v>2.8872068469411267E-4</v>
      </c>
      <c r="AC230" t="str">
        <f>VLOOKUP(A230, 'state-ids'!$A$1:$B$28, 2)</f>
        <v>PE</v>
      </c>
      <c r="AD230">
        <f>VLOOKUP(A230, 'state-ids'!$A$1:$C$28, 3)</f>
        <v>4.2090777000000003E-2</v>
      </c>
      <c r="AE230">
        <f>VLOOKUP(A230, 'state-ids'!$A$1:$D$28, 4)</f>
        <v>0.83489769999999996</v>
      </c>
      <c r="AF230">
        <f t="shared" si="28"/>
        <v>-9.6901684383420256E-2</v>
      </c>
      <c r="AG230">
        <f t="shared" si="29"/>
        <v>0.16738312833298791</v>
      </c>
      <c r="AH230">
        <f t="shared" si="30"/>
        <v>0.1436443798156295</v>
      </c>
      <c r="AI230">
        <f t="shared" si="31"/>
        <v>2.373874851735841E-2</v>
      </c>
      <c r="AJ230" s="12"/>
    </row>
    <row r="231" spans="1:36" x14ac:dyDescent="0.25">
      <c r="A231" s="9">
        <v>26</v>
      </c>
      <c r="B231" s="9">
        <v>2019</v>
      </c>
      <c r="C231" s="9">
        <v>-1.9440290434043119</v>
      </c>
      <c r="D231" s="9">
        <v>0.75292438459580613</v>
      </c>
      <c r="E231" s="9">
        <v>0.79050072581585518</v>
      </c>
      <c r="F231" s="9">
        <v>0.66885448799090075</v>
      </c>
      <c r="G231" s="9">
        <v>0.50458619897597168</v>
      </c>
      <c r="H231" s="9">
        <v>0.50126001889628968</v>
      </c>
      <c r="I231" s="9">
        <v>0.45387424731585202</v>
      </c>
      <c r="J231" s="9">
        <v>-2.8089289176522461</v>
      </c>
      <c r="K231" s="9">
        <v>0.77993525432492927</v>
      </c>
      <c r="L231" s="9">
        <v>-1.361739138051314</v>
      </c>
      <c r="M231" s="9">
        <v>2.4537585962841439</v>
      </c>
      <c r="N231" s="9">
        <v>2.4352443061499658</v>
      </c>
      <c r="O231" s="9">
        <v>5.393627546352362</v>
      </c>
      <c r="P231" s="9">
        <v>1.8514290452003479E-2</v>
      </c>
      <c r="Q231" s="9">
        <v>1</v>
      </c>
      <c r="R231" s="9">
        <v>0</v>
      </c>
      <c r="S231" s="9">
        <v>0</v>
      </c>
      <c r="T231" s="9">
        <v>0</v>
      </c>
      <c r="U231" s="9">
        <v>0</v>
      </c>
      <c r="V231" s="9">
        <v>1</v>
      </c>
      <c r="W231" s="9">
        <v>0</v>
      </c>
      <c r="X231" s="9">
        <v>-1.8113584518432617</v>
      </c>
      <c r="Y231">
        <f t="shared" si="24"/>
        <v>0.1431261251485941</v>
      </c>
      <c r="Z231">
        <f t="shared" si="25"/>
        <v>0.16343197147352265</v>
      </c>
      <c r="AA231">
        <f t="shared" si="26"/>
        <v>-2.0305846324928545E-2</v>
      </c>
      <c r="AB231">
        <f t="shared" si="27"/>
        <v>4.123273949716141E-4</v>
      </c>
      <c r="AC231" t="str">
        <f>VLOOKUP(A231, 'state-ids'!$A$1:$B$28, 2)</f>
        <v>PE</v>
      </c>
      <c r="AD231">
        <f>VLOOKUP(A231, 'state-ids'!$A$1:$C$28, 3)</f>
        <v>4.2090777000000003E-2</v>
      </c>
      <c r="AE231">
        <f>VLOOKUP(A231, 'state-ids'!$A$1:$D$28, 4)</f>
        <v>0.83489769999999996</v>
      </c>
      <c r="AF231">
        <f t="shared" si="28"/>
        <v>-0.11076637175196023</v>
      </c>
      <c r="AG231">
        <f t="shared" si="29"/>
        <v>0.17642029361101458</v>
      </c>
      <c r="AH231">
        <f t="shared" si="30"/>
        <v>0.15139986876234696</v>
      </c>
      <c r="AI231">
        <f t="shared" si="31"/>
        <v>2.5020424848667622E-2</v>
      </c>
      <c r="AJ231" s="12"/>
    </row>
    <row r="232" spans="1:36" x14ac:dyDescent="0.25">
      <c r="A232" s="9">
        <v>26</v>
      </c>
      <c r="B232" s="9">
        <v>2020</v>
      </c>
      <c r="C232" s="9">
        <v>-2.0220584994331561</v>
      </c>
      <c r="D232" s="9">
        <v>0.69708939979256901</v>
      </c>
      <c r="E232" s="9">
        <v>0.75292438459580613</v>
      </c>
      <c r="F232" s="9">
        <v>0.79050072581585518</v>
      </c>
      <c r="G232" s="9">
        <v>0.4633565865239419</v>
      </c>
      <c r="H232" s="9">
        <v>0.50458619897597168</v>
      </c>
      <c r="I232" s="9">
        <v>0.50126001889628968</v>
      </c>
      <c r="J232" s="9">
        <v>-2.2604974465947518</v>
      </c>
      <c r="K232" s="9">
        <v>0.77993525432492927</v>
      </c>
      <c r="L232" s="9">
        <v>-1.3408826344356339</v>
      </c>
      <c r="M232" s="9">
        <v>2.3615853912594869</v>
      </c>
      <c r="N232" s="9">
        <v>2.4475469400755929</v>
      </c>
      <c r="O232" s="9">
        <v>5.9914645471079817</v>
      </c>
      <c r="P232" s="9">
        <v>-8.596155047416687E-2</v>
      </c>
      <c r="Q232" s="9">
        <v>1</v>
      </c>
      <c r="R232" s="9">
        <v>1</v>
      </c>
      <c r="S232" s="9">
        <v>0</v>
      </c>
      <c r="T232" s="9">
        <v>0</v>
      </c>
      <c r="U232" s="9">
        <v>0</v>
      </c>
      <c r="V232" s="9">
        <v>1</v>
      </c>
      <c r="W232" s="9">
        <v>0</v>
      </c>
      <c r="X232" s="9">
        <v>-1.8931639194488525</v>
      </c>
      <c r="Y232">
        <f t="shared" si="24"/>
        <v>0.13238267474615042</v>
      </c>
      <c r="Z232">
        <f t="shared" si="25"/>
        <v>0.1505945851489725</v>
      </c>
      <c r="AA232">
        <f t="shared" si="26"/>
        <v>-1.8211910402822079E-2</v>
      </c>
      <c r="AB232">
        <f t="shared" si="27"/>
        <v>3.3167368052041904E-4</v>
      </c>
      <c r="AC232" t="str">
        <f>VLOOKUP(A232, 'state-ids'!$A$1:$B$28, 2)</f>
        <v>PE</v>
      </c>
      <c r="AD232">
        <f>VLOOKUP(A232, 'state-ids'!$A$1:$C$28, 3)</f>
        <v>4.2090777000000003E-2</v>
      </c>
      <c r="AE232">
        <f>VLOOKUP(A232, 'state-ids'!$A$1:$D$28, 4)</f>
        <v>0.83489769999999996</v>
      </c>
      <c r="AF232">
        <f t="shared" si="28"/>
        <v>-0.10761378837136105</v>
      </c>
      <c r="AG232">
        <f t="shared" si="29"/>
        <v>0.16256269008242916</v>
      </c>
      <c r="AH232">
        <f t="shared" si="30"/>
        <v>0.13950758974701785</v>
      </c>
      <c r="AI232">
        <f t="shared" si="31"/>
        <v>2.3055100335411305E-2</v>
      </c>
      <c r="AJ232" s="12"/>
    </row>
    <row r="233" spans="1:36" x14ac:dyDescent="0.25">
      <c r="A233" s="9">
        <v>26</v>
      </c>
      <c r="B233" s="9">
        <v>2021</v>
      </c>
      <c r="C233" s="9">
        <v>-1.993919182597867</v>
      </c>
      <c r="D233" s="9">
        <v>0.89881898596211529</v>
      </c>
      <c r="E233" s="9">
        <v>0.69708939979256901</v>
      </c>
      <c r="F233" s="9">
        <v>0.75292438459580613</v>
      </c>
      <c r="G233" s="9">
        <v>0.7098567941228926</v>
      </c>
      <c r="H233" s="9">
        <v>0.4633565865239419</v>
      </c>
      <c r="I233" s="9">
        <v>0.50458619897597168</v>
      </c>
      <c r="J233" s="9">
        <v>-1.6968508162460541</v>
      </c>
      <c r="K233" s="9">
        <v>0.77993525432492927</v>
      </c>
      <c r="L233" s="9">
        <v>-1.316936669827935</v>
      </c>
      <c r="M233" s="9">
        <v>2.3659318077915592</v>
      </c>
      <c r="N233" s="9">
        <v>2.3555545034959131</v>
      </c>
      <c r="O233" s="9">
        <v>6.6846117276679271</v>
      </c>
      <c r="P233" s="9">
        <v>1.0377304628491402E-2</v>
      </c>
      <c r="Q233" s="9">
        <v>1</v>
      </c>
      <c r="R233" s="9">
        <v>0</v>
      </c>
      <c r="S233" s="9">
        <v>0</v>
      </c>
      <c r="T233" s="9">
        <v>0</v>
      </c>
      <c r="U233" s="9">
        <v>0</v>
      </c>
      <c r="V233" s="9">
        <v>1</v>
      </c>
      <c r="W233" s="9">
        <v>0</v>
      </c>
      <c r="X233" s="9">
        <v>-1.8452234268188477</v>
      </c>
      <c r="Y233">
        <f t="shared" si="24"/>
        <v>0.13616073956310998</v>
      </c>
      <c r="Z233">
        <f t="shared" si="25"/>
        <v>0.15799001773888624</v>
      </c>
      <c r="AA233">
        <f t="shared" si="26"/>
        <v>-2.1829278175776262E-2</v>
      </c>
      <c r="AB233">
        <f t="shared" si="27"/>
        <v>4.7651738567542181E-4</v>
      </c>
      <c r="AC233" t="str">
        <f>VLOOKUP(A233, 'state-ids'!$A$1:$B$28, 2)</f>
        <v>PE</v>
      </c>
      <c r="AD233">
        <f>VLOOKUP(A233, 'state-ids'!$A$1:$C$28, 3)</f>
        <v>4.2090777000000003E-2</v>
      </c>
      <c r="AE233">
        <f>VLOOKUP(A233, 'state-ids'!$A$1:$D$28, 4)</f>
        <v>0.83489769999999996</v>
      </c>
      <c r="AF233">
        <f t="shared" si="28"/>
        <v>-0.12414574449966499</v>
      </c>
      <c r="AG233">
        <f t="shared" si="29"/>
        <v>0.17054585504782527</v>
      </c>
      <c r="AH233">
        <f t="shared" si="30"/>
        <v>0.14635855968551068</v>
      </c>
      <c r="AI233">
        <f t="shared" si="31"/>
        <v>2.4187295362314593E-2</v>
      </c>
      <c r="AJ233" s="12"/>
    </row>
    <row r="234" spans="1:36" x14ac:dyDescent="0.25">
      <c r="A234" s="9">
        <v>26</v>
      </c>
      <c r="B234" s="9">
        <v>2022</v>
      </c>
      <c r="C234" s="9">
        <v>-1.9661456224685481</v>
      </c>
      <c r="D234" s="9">
        <v>0.90490617300751686</v>
      </c>
      <c r="E234" s="9">
        <v>0.89881898596211529</v>
      </c>
      <c r="F234" s="9">
        <v>0.69708939979256901</v>
      </c>
      <c r="G234" s="9">
        <v>0.67849029121631166</v>
      </c>
      <c r="H234" s="9">
        <v>0.7098567941228926</v>
      </c>
      <c r="I234" s="9">
        <v>0.4633565865239419</v>
      </c>
      <c r="J234" s="9">
        <v>-1.2086134218540261</v>
      </c>
      <c r="K234" s="9">
        <v>0.77993525432492927</v>
      </c>
      <c r="L234" s="9">
        <v>-1.290538163663894</v>
      </c>
      <c r="M234" s="9">
        <v>2.391042028589438</v>
      </c>
      <c r="N234" s="9">
        <v>2.3659318077915592</v>
      </c>
      <c r="O234" s="9">
        <v>8.0551577318196781</v>
      </c>
      <c r="P234" s="9">
        <v>2.5110220536589622E-2</v>
      </c>
      <c r="Q234" s="9">
        <v>1</v>
      </c>
      <c r="R234" s="9">
        <v>0</v>
      </c>
      <c r="S234" s="9">
        <v>0</v>
      </c>
      <c r="T234" s="9">
        <v>0</v>
      </c>
      <c r="U234" s="9">
        <v>0</v>
      </c>
      <c r="V234" s="9">
        <v>1</v>
      </c>
      <c r="W234" s="9">
        <v>0</v>
      </c>
      <c r="X234" s="9">
        <v>-1.8295209407806396</v>
      </c>
      <c r="Y234">
        <f t="shared" si="24"/>
        <v>0.13999541282175224</v>
      </c>
      <c r="Z234">
        <f t="shared" si="25"/>
        <v>0.16049043378394098</v>
      </c>
      <c r="AA234">
        <f t="shared" si="26"/>
        <v>-2.0495020962188748E-2</v>
      </c>
      <c r="AB234">
        <f t="shared" si="27"/>
        <v>4.2004588424055618E-4</v>
      </c>
      <c r="AC234" t="str">
        <f>VLOOKUP(A234, 'state-ids'!$A$1:$B$28, 2)</f>
        <v>PE</v>
      </c>
      <c r="AD234">
        <f>VLOOKUP(A234, 'state-ids'!$A$1:$C$28, 3)</f>
        <v>4.2090777000000003E-2</v>
      </c>
      <c r="AE234">
        <f>VLOOKUP(A234, 'state-ids'!$A$1:$D$28, 4)</f>
        <v>0.83489769999999996</v>
      </c>
      <c r="AF234">
        <f t="shared" si="28"/>
        <v>-0.11406763250446686</v>
      </c>
      <c r="AG234">
        <f t="shared" si="29"/>
        <v>0.17324498502123881</v>
      </c>
      <c r="AH234">
        <f t="shared" si="30"/>
        <v>0.14867489141460496</v>
      </c>
      <c r="AI234">
        <f t="shared" si="31"/>
        <v>2.4570093606633842E-2</v>
      </c>
      <c r="AJ234" s="12"/>
    </row>
    <row r="235" spans="1:36" x14ac:dyDescent="0.25">
      <c r="A235" s="9">
        <v>26</v>
      </c>
      <c r="B235" s="9">
        <v>2023</v>
      </c>
      <c r="C235" s="9">
        <v>-1.8882860952337699</v>
      </c>
      <c r="D235" s="9">
        <v>0.74007847524437753</v>
      </c>
      <c r="E235" s="9">
        <v>0.90490617300751686</v>
      </c>
      <c r="F235" s="9">
        <v>0.89881898596211529</v>
      </c>
      <c r="G235" s="9">
        <v>0.47604782623004671</v>
      </c>
      <c r="H235" s="9">
        <v>0.67849029121631166</v>
      </c>
      <c r="I235" s="9">
        <v>0.7098567941228926</v>
      </c>
      <c r="J235" s="9">
        <v>-0.65549647857021687</v>
      </c>
      <c r="K235" s="9">
        <v>0.77993525432492927</v>
      </c>
      <c r="L235" s="9">
        <v>-1.2581451381638631</v>
      </c>
      <c r="M235" s="9">
        <v>2.4362811612601512</v>
      </c>
      <c r="N235" s="9">
        <v>2.391042028589438</v>
      </c>
      <c r="O235" s="9">
        <v>8.4658998970286863</v>
      </c>
      <c r="P235" s="9">
        <v>4.5239131897687912E-2</v>
      </c>
      <c r="Q235" s="9">
        <v>1</v>
      </c>
      <c r="R235" s="9">
        <v>0</v>
      </c>
      <c r="S235" s="9">
        <v>0</v>
      </c>
      <c r="T235" s="9">
        <v>0</v>
      </c>
      <c r="U235" s="9">
        <v>0</v>
      </c>
      <c r="V235" s="9">
        <v>1</v>
      </c>
      <c r="W235" s="9">
        <v>0</v>
      </c>
      <c r="X235" s="9">
        <v>-1.7715681791305542</v>
      </c>
      <c r="Y235">
        <f t="shared" si="24"/>
        <v>0.15133095354081474</v>
      </c>
      <c r="Z235">
        <f t="shared" si="25"/>
        <v>0.17006608551788394</v>
      </c>
      <c r="AA235">
        <f t="shared" si="26"/>
        <v>-1.8735131977069192E-2</v>
      </c>
      <c r="AB235">
        <f t="shared" si="27"/>
        <v>3.5100517019820058E-4</v>
      </c>
      <c r="AC235" t="str">
        <f>VLOOKUP(A235, 'state-ids'!$A$1:$B$28, 2)</f>
        <v>PE</v>
      </c>
      <c r="AD235">
        <f>VLOOKUP(A235, 'state-ids'!$A$1:$C$28, 3)</f>
        <v>4.2090777000000003E-2</v>
      </c>
      <c r="AE235">
        <f>VLOOKUP(A235, 'state-ids'!$A$1:$D$28, 4)</f>
        <v>0.83489769999999996</v>
      </c>
      <c r="AF235">
        <f t="shared" si="28"/>
        <v>-9.7447519703367735E-2</v>
      </c>
      <c r="AG235">
        <f t="shared" si="29"/>
        <v>0.18358163626020843</v>
      </c>
      <c r="AH235">
        <f t="shared" si="30"/>
        <v>0.15754556954913251</v>
      </c>
      <c r="AI235">
        <f t="shared" si="31"/>
        <v>2.6036066711075917E-2</v>
      </c>
      <c r="AJ235" s="12"/>
    </row>
    <row r="236" spans="1:36" x14ac:dyDescent="0.25">
      <c r="A236" s="9">
        <v>27</v>
      </c>
      <c r="B236" s="9">
        <v>2006</v>
      </c>
      <c r="C236" s="9">
        <v>-2.893807405044873</v>
      </c>
      <c r="D236" s="9">
        <v>1.0296194171811579</v>
      </c>
      <c r="E236" s="9">
        <v>0.97093042083247871</v>
      </c>
      <c r="F236" s="9">
        <v>0.87016302023036873</v>
      </c>
      <c r="G236" s="9">
        <v>0.66782937257565544</v>
      </c>
      <c r="H236" s="9">
        <v>0.54371866706801619</v>
      </c>
      <c r="I236" s="9">
        <v>0.37891577287462791</v>
      </c>
      <c r="J236" s="9">
        <v>-11.51292546497023</v>
      </c>
      <c r="K236" s="9">
        <v>0.83755816851655263</v>
      </c>
      <c r="L236" s="9">
        <v>-2.6698411578857231</v>
      </c>
      <c r="M236" s="9">
        <v>2.0388695587168271</v>
      </c>
      <c r="N236" s="9">
        <v>1.9880358888256391</v>
      </c>
      <c r="O236" s="9">
        <v>-11.51292546497023</v>
      </c>
      <c r="P236" s="9">
        <v>5.0833668559789658E-2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1</v>
      </c>
      <c r="W236" s="9">
        <v>0</v>
      </c>
      <c r="X236" s="9">
        <v>-2.9155046939849854</v>
      </c>
      <c r="Y236">
        <f t="shared" si="24"/>
        <v>5.5365013774104625E-2</v>
      </c>
      <c r="Z236">
        <f t="shared" si="25"/>
        <v>5.4176681486705437E-2</v>
      </c>
      <c r="AA236">
        <f t="shared" si="26"/>
        <v>1.1883322873991881E-3</v>
      </c>
      <c r="AB236">
        <f t="shared" si="27"/>
        <v>1.4121336252753864E-6</v>
      </c>
      <c r="AC236" t="str">
        <f>VLOOKUP(A236, 'state-ids'!$A$1:$B$28, 2)</f>
        <v>AL</v>
      </c>
      <c r="AD236">
        <f>VLOOKUP(A236, 'state-ids'!$A$1:$C$28, 3)</f>
        <v>5.0784107000000002E-2</v>
      </c>
      <c r="AE236">
        <f>VLOOKUP(A236, 'state-ids'!$A$1:$D$28, 4)</f>
        <v>0.42666452999999999</v>
      </c>
      <c r="AF236">
        <f t="shared" si="28"/>
        <v>1.962324425953297E-2</v>
      </c>
      <c r="AG236">
        <f t="shared" si="29"/>
        <v>5.7305822328814454E-2</v>
      </c>
      <c r="AH236">
        <f t="shared" si="30"/>
        <v>5.1218405000290894E-2</v>
      </c>
      <c r="AI236">
        <f t="shared" si="31"/>
        <v>6.0874173285235603E-3</v>
      </c>
      <c r="AJ236" s="12"/>
    </row>
    <row r="237" spans="1:36" x14ac:dyDescent="0.25">
      <c r="A237" s="9">
        <v>27</v>
      </c>
      <c r="B237" s="9">
        <v>2007</v>
      </c>
      <c r="C237" s="9">
        <v>-2.9388830404534758</v>
      </c>
      <c r="D237" s="9">
        <v>0.98600334428545533</v>
      </c>
      <c r="E237" s="9">
        <v>1.0296194171811579</v>
      </c>
      <c r="F237" s="9">
        <v>0.97093042083247871</v>
      </c>
      <c r="G237" s="9">
        <v>0.52732869586500486</v>
      </c>
      <c r="H237" s="9">
        <v>0.66782937257565544</v>
      </c>
      <c r="I237" s="9">
        <v>0.54371866706801619</v>
      </c>
      <c r="J237" s="9">
        <v>-11.51292546497023</v>
      </c>
      <c r="K237" s="9">
        <v>0.83755816851655263</v>
      </c>
      <c r="L237" s="9">
        <v>-2.576804968778645</v>
      </c>
      <c r="M237" s="9">
        <v>2.0969943318717892</v>
      </c>
      <c r="N237" s="9">
        <v>2.026343168322208</v>
      </c>
      <c r="O237" s="9">
        <v>-11.51292546497023</v>
      </c>
      <c r="P237" s="9">
        <v>7.0651166141033173E-2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1</v>
      </c>
      <c r="W237" s="9">
        <v>0</v>
      </c>
      <c r="X237" s="9">
        <v>-2.8680763244628906</v>
      </c>
      <c r="Y237">
        <f t="shared" si="24"/>
        <v>5.2924810608635603E-2</v>
      </c>
      <c r="Z237">
        <f t="shared" si="25"/>
        <v>5.6808101893161475E-2</v>
      </c>
      <c r="AA237">
        <f t="shared" si="26"/>
        <v>-3.8832912845258721E-3</v>
      </c>
      <c r="AB237">
        <f t="shared" si="27"/>
        <v>1.5079951200474598E-5</v>
      </c>
      <c r="AC237" t="str">
        <f>VLOOKUP(A237, 'state-ids'!$A$1:$B$28, 2)</f>
        <v>AL</v>
      </c>
      <c r="AD237">
        <f>VLOOKUP(A237, 'state-ids'!$A$1:$C$28, 3)</f>
        <v>5.0784107000000002E-2</v>
      </c>
      <c r="AE237">
        <f>VLOOKUP(A237, 'state-ids'!$A$1:$D$28, 4)</f>
        <v>0.42666452999999999</v>
      </c>
      <c r="AF237">
        <f t="shared" si="28"/>
        <v>-3.0210714198966513E-2</v>
      </c>
      <c r="AG237">
        <f t="shared" si="29"/>
        <v>6.0089228512926911E-2</v>
      </c>
      <c r="AH237">
        <f t="shared" si="30"/>
        <v>5.3706138696880797E-2</v>
      </c>
      <c r="AI237">
        <f t="shared" si="31"/>
        <v>6.3830898160461141E-3</v>
      </c>
      <c r="AJ237" s="12"/>
    </row>
    <row r="238" spans="1:36" x14ac:dyDescent="0.25">
      <c r="A238" s="9">
        <v>27</v>
      </c>
      <c r="B238" s="9">
        <v>2008</v>
      </c>
      <c r="C238" s="9">
        <v>-2.898338237181119</v>
      </c>
      <c r="D238" s="9">
        <v>0.91428872920348203</v>
      </c>
      <c r="E238" s="9">
        <v>0.98600334428545533</v>
      </c>
      <c r="F238" s="9">
        <v>1.0296194171811579</v>
      </c>
      <c r="G238" s="9">
        <v>0.48679928916313631</v>
      </c>
      <c r="H238" s="9">
        <v>0.52732869586500486</v>
      </c>
      <c r="I238" s="9">
        <v>0.66782937257565544</v>
      </c>
      <c r="J238" s="9">
        <v>-11.51292546497023</v>
      </c>
      <c r="K238" s="9">
        <v>0.83755816851655263</v>
      </c>
      <c r="L238" s="9">
        <v>-2.4762575176998389</v>
      </c>
      <c r="M238" s="9">
        <v>2.1140985810061821</v>
      </c>
      <c r="N238" s="9">
        <v>2.0846229127046909</v>
      </c>
      <c r="O238" s="9">
        <v>-11.51292546497023</v>
      </c>
      <c r="P238" s="9">
        <v>2.947566844522953E-2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1</v>
      </c>
      <c r="W238" s="9">
        <v>0</v>
      </c>
      <c r="X238" s="9">
        <v>-2.7717149257659912</v>
      </c>
      <c r="Y238">
        <f t="shared" si="24"/>
        <v>5.5114731611863491E-2</v>
      </c>
      <c r="Z238">
        <f t="shared" si="25"/>
        <v>6.2554636146571668E-2</v>
      </c>
      <c r="AA238">
        <f t="shared" si="26"/>
        <v>-7.4399045347081777E-3</v>
      </c>
      <c r="AB238">
        <f t="shared" si="27"/>
        <v>5.5352179485571304E-5</v>
      </c>
      <c r="AC238" t="str">
        <f>VLOOKUP(A238, 'state-ids'!$A$1:$B$28, 2)</f>
        <v>AL</v>
      </c>
      <c r="AD238">
        <f>VLOOKUP(A238, 'state-ids'!$A$1:$C$28, 3)</f>
        <v>5.0784107000000002E-2</v>
      </c>
      <c r="AE238">
        <f>VLOOKUP(A238, 'state-ids'!$A$1:$D$28, 4)</f>
        <v>0.42666452999999999</v>
      </c>
      <c r="AF238">
        <f t="shared" si="28"/>
        <v>-5.4025675651979153E-2</v>
      </c>
      <c r="AG238">
        <f t="shared" si="29"/>
        <v>6.6167671523748472E-2</v>
      </c>
      <c r="AH238">
        <f t="shared" si="30"/>
        <v>5.9138887818132035E-2</v>
      </c>
      <c r="AI238">
        <f t="shared" si="31"/>
        <v>7.0287837056164371E-3</v>
      </c>
      <c r="AJ238" s="12"/>
    </row>
    <row r="239" spans="1:36" x14ac:dyDescent="0.25">
      <c r="A239" s="9">
        <v>27</v>
      </c>
      <c r="B239" s="9">
        <v>2009</v>
      </c>
      <c r="C239" s="9">
        <v>-2.8674743324473879</v>
      </c>
      <c r="D239" s="9">
        <v>0.84638315645880335</v>
      </c>
      <c r="E239" s="9">
        <v>0.91428872920348203</v>
      </c>
      <c r="F239" s="9">
        <v>0.98600334428545533</v>
      </c>
      <c r="G239" s="9">
        <v>0.42781351177192622</v>
      </c>
      <c r="H239" s="9">
        <v>0.48679928916313631</v>
      </c>
      <c r="I239" s="9">
        <v>0.52732869586500486</v>
      </c>
      <c r="J239" s="9">
        <v>-11.51292546497023</v>
      </c>
      <c r="K239" s="9">
        <v>0.83755816851655263</v>
      </c>
      <c r="L239" s="9">
        <v>-2.3629823640902869</v>
      </c>
      <c r="M239" s="9">
        <v>2.117158154833088</v>
      </c>
      <c r="N239" s="9">
        <v>2.1050121059029281</v>
      </c>
      <c r="O239" s="9">
        <v>-11.51292546497023</v>
      </c>
      <c r="P239" s="9">
        <v>1.2146049179136753E-2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1</v>
      </c>
      <c r="W239" s="9">
        <v>0</v>
      </c>
      <c r="X239" s="9">
        <v>-2.6584494113922119</v>
      </c>
      <c r="Y239">
        <f t="shared" si="24"/>
        <v>5.6842310212451487E-2</v>
      </c>
      <c r="Z239">
        <f t="shared" si="25"/>
        <v>7.0056766793037253E-2</v>
      </c>
      <c r="AA239">
        <f t="shared" si="26"/>
        <v>-1.3214456580585766E-2</v>
      </c>
      <c r="AB239">
        <f t="shared" si="27"/>
        <v>1.7462186272018646E-4</v>
      </c>
      <c r="AC239" t="str">
        <f>VLOOKUP(A239, 'state-ids'!$A$1:$B$28, 2)</f>
        <v>AL</v>
      </c>
      <c r="AD239">
        <f>VLOOKUP(A239, 'state-ids'!$A$1:$C$28, 3)</f>
        <v>5.0784107000000002E-2</v>
      </c>
      <c r="AE239">
        <f>VLOOKUP(A239, 'state-ids'!$A$1:$D$28, 4)</f>
        <v>0.42666452999999999</v>
      </c>
      <c r="AF239">
        <f t="shared" si="28"/>
        <v>-8.918351970029377E-2</v>
      </c>
      <c r="AG239">
        <f t="shared" si="29"/>
        <v>7.4103110796074692E-2</v>
      </c>
      <c r="AH239">
        <f t="shared" si="30"/>
        <v>6.6231370326682512E-2</v>
      </c>
      <c r="AI239">
        <f t="shared" si="31"/>
        <v>7.87174046939218E-3</v>
      </c>
      <c r="AJ239" s="12"/>
    </row>
    <row r="240" spans="1:36" x14ac:dyDescent="0.25">
      <c r="A240" s="9">
        <v>27</v>
      </c>
      <c r="B240" s="9">
        <v>2010</v>
      </c>
      <c r="C240" s="9">
        <v>-2.552481695903928</v>
      </c>
      <c r="D240" s="9">
        <v>0.80370417112458914</v>
      </c>
      <c r="E240" s="9">
        <v>0.84638315645880335</v>
      </c>
      <c r="F240" s="9">
        <v>0.91428872920348203</v>
      </c>
      <c r="G240" s="9">
        <v>0.47237581339079121</v>
      </c>
      <c r="H240" s="9">
        <v>0.42781351177192622</v>
      </c>
      <c r="I240" s="9">
        <v>0.48679928916313631</v>
      </c>
      <c r="J240" s="9">
        <v>-8.0550770936479079</v>
      </c>
      <c r="K240" s="9">
        <v>0.83755816851655263</v>
      </c>
      <c r="L240" s="9">
        <v>-2.233167938684173</v>
      </c>
      <c r="M240" s="9">
        <v>2.1534302850945268</v>
      </c>
      <c r="N240" s="9">
        <v>2.119175963097788</v>
      </c>
      <c r="O240" s="9">
        <v>-11.51292546497023</v>
      </c>
      <c r="P240" s="9">
        <v>3.4254323691129684E-2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1</v>
      </c>
      <c r="W240" s="9">
        <v>0</v>
      </c>
      <c r="X240" s="9">
        <v>-2.5015242099761963</v>
      </c>
      <c r="Y240">
        <f t="shared" si="24"/>
        <v>7.7888131296936267E-2</v>
      </c>
      <c r="Z240">
        <f t="shared" si="25"/>
        <v>8.1959979152267062E-2</v>
      </c>
      <c r="AA240">
        <f t="shared" si="26"/>
        <v>-4.0718478553307957E-3</v>
      </c>
      <c r="AB240">
        <f t="shared" si="27"/>
        <v>1.6579944956962002E-5</v>
      </c>
      <c r="AC240" t="str">
        <f>VLOOKUP(A240, 'state-ids'!$A$1:$B$28, 2)</f>
        <v>AL</v>
      </c>
      <c r="AD240">
        <f>VLOOKUP(A240, 'state-ids'!$A$1:$C$28, 3)</f>
        <v>5.0784107000000002E-2</v>
      </c>
      <c r="AE240">
        <f>VLOOKUP(A240, 'state-ids'!$A$1:$D$28, 4)</f>
        <v>0.42666452999999999</v>
      </c>
      <c r="AF240">
        <f t="shared" si="28"/>
        <v>-2.1741751783337281E-2</v>
      </c>
      <c r="AG240">
        <f t="shared" si="29"/>
        <v>8.6693829789587784E-2</v>
      </c>
      <c r="AH240">
        <f t="shared" si="30"/>
        <v>7.7484616828484357E-2</v>
      </c>
      <c r="AI240">
        <f t="shared" si="31"/>
        <v>9.2092129611034274E-3</v>
      </c>
      <c r="AJ240" s="12"/>
    </row>
    <row r="241" spans="1:36" x14ac:dyDescent="0.25">
      <c r="A241" s="9">
        <v>27</v>
      </c>
      <c r="B241" s="9">
        <v>2011</v>
      </c>
      <c r="C241" s="9">
        <v>-2.3390053546446499</v>
      </c>
      <c r="D241" s="9">
        <v>0.77320527273052442</v>
      </c>
      <c r="E241" s="9">
        <v>0.80370417112458914</v>
      </c>
      <c r="F241" s="9">
        <v>0.84638315645880335</v>
      </c>
      <c r="G241" s="9">
        <v>0.55181400444330142</v>
      </c>
      <c r="H241" s="9">
        <v>0.47237581339079121</v>
      </c>
      <c r="I241" s="9">
        <v>0.42781351177192622</v>
      </c>
      <c r="J241" s="9">
        <v>-6.6667608444795556</v>
      </c>
      <c r="K241" s="9">
        <v>0.83755816851655263</v>
      </c>
      <c r="L241" s="9">
        <v>-2.1089469761102739</v>
      </c>
      <c r="M241" s="9">
        <v>2.2297628798534999</v>
      </c>
      <c r="N241" s="9">
        <v>2.1554521731430301</v>
      </c>
      <c r="O241" s="9">
        <v>-11.51292546497023</v>
      </c>
      <c r="P241" s="9">
        <v>7.4310705065727234E-2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1</v>
      </c>
      <c r="W241" s="9">
        <v>0</v>
      </c>
      <c r="X241" s="9">
        <v>-2.3240859508514404</v>
      </c>
      <c r="Y241">
        <f t="shared" si="24"/>
        <v>9.6423497733652649E-2</v>
      </c>
      <c r="Z241">
        <f t="shared" si="25"/>
        <v>9.7872863785918807E-2</v>
      </c>
      <c r="AA241">
        <f t="shared" si="26"/>
        <v>-1.4493660522661572E-3</v>
      </c>
      <c r="AB241">
        <f t="shared" si="27"/>
        <v>2.1006619534615851E-6</v>
      </c>
      <c r="AC241" t="str">
        <f>VLOOKUP(A241, 'state-ids'!$A$1:$B$28, 2)</f>
        <v>AL</v>
      </c>
      <c r="AD241">
        <f>VLOOKUP(A241, 'state-ids'!$A$1:$C$28, 3)</f>
        <v>5.0784107000000002E-2</v>
      </c>
      <c r="AE241">
        <f>VLOOKUP(A241, 'state-ids'!$A$1:$D$28, 4)</f>
        <v>0.42666452999999999</v>
      </c>
      <c r="AF241">
        <f t="shared" si="28"/>
        <v>-6.3655804073099228E-3</v>
      </c>
      <c r="AG241">
        <f t="shared" si="29"/>
        <v>0.10352581201018102</v>
      </c>
      <c r="AH241">
        <f t="shared" si="30"/>
        <v>9.2528590499874386E-2</v>
      </c>
      <c r="AI241">
        <f t="shared" si="31"/>
        <v>1.0997221510306632E-2</v>
      </c>
      <c r="AJ241" s="12"/>
    </row>
    <row r="242" spans="1:36" x14ac:dyDescent="0.25">
      <c r="A242" s="9">
        <v>27</v>
      </c>
      <c r="B242" s="9">
        <v>2012</v>
      </c>
      <c r="C242" s="9">
        <v>-2.16336344541019</v>
      </c>
      <c r="D242" s="9">
        <v>0.69494556250132467</v>
      </c>
      <c r="E242" s="9">
        <v>0.77320527273052442</v>
      </c>
      <c r="F242" s="9">
        <v>0.80370417112458914</v>
      </c>
      <c r="G242" s="9">
        <v>0.49944106489935253</v>
      </c>
      <c r="H242" s="9">
        <v>0.55181400444330142</v>
      </c>
      <c r="I242" s="9">
        <v>0.47237581339079121</v>
      </c>
      <c r="J242" s="9">
        <v>-6.1141473055257016</v>
      </c>
      <c r="K242" s="9">
        <v>0.83755816851655263</v>
      </c>
      <c r="L242" s="9">
        <v>-1.997829271382167</v>
      </c>
      <c r="M242" s="9">
        <v>2.236666080771669</v>
      </c>
      <c r="N242" s="9">
        <v>2.2227606308718921</v>
      </c>
      <c r="O242" s="9">
        <v>-11.51292546497023</v>
      </c>
      <c r="P242" s="9">
        <v>1.3905449770390987E-2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1</v>
      </c>
      <c r="W242" s="9">
        <v>0</v>
      </c>
      <c r="X242" s="9">
        <v>-2.1638550758361816</v>
      </c>
      <c r="Y242">
        <f t="shared" si="24"/>
        <v>0.11493788288128909</v>
      </c>
      <c r="Z242">
        <f t="shared" si="25"/>
        <v>0.11488138980896007</v>
      </c>
      <c r="AA242">
        <f t="shared" si="26"/>
        <v>5.6493072329022453E-5</v>
      </c>
      <c r="AB242">
        <f t="shared" si="27"/>
        <v>3.1914672211721625E-9</v>
      </c>
      <c r="AC242" t="str">
        <f>VLOOKUP(A242, 'state-ids'!$A$1:$B$28, 2)</f>
        <v>AL</v>
      </c>
      <c r="AD242">
        <f>VLOOKUP(A242, 'state-ids'!$A$1:$C$28, 3)</f>
        <v>5.0784107000000002E-2</v>
      </c>
      <c r="AE242">
        <f>VLOOKUP(A242, 'state-ids'!$A$1:$D$28, 4)</f>
        <v>0.42666452999999999</v>
      </c>
      <c r="AF242">
        <f t="shared" si="28"/>
        <v>2.0976126463942776E-4</v>
      </c>
      <c r="AG242">
        <f t="shared" si="29"/>
        <v>0.12151671775789834</v>
      </c>
      <c r="AH242">
        <f t="shared" si="30"/>
        <v>0.10860837889591868</v>
      </c>
      <c r="AI242">
        <f t="shared" si="31"/>
        <v>1.290833886197966E-2</v>
      </c>
      <c r="AJ242" s="12"/>
    </row>
    <row r="243" spans="1:36" x14ac:dyDescent="0.25">
      <c r="A243" s="9">
        <v>27</v>
      </c>
      <c r="B243" s="9">
        <v>2013</v>
      </c>
      <c r="C243" s="9">
        <v>-2.1092024062409052</v>
      </c>
      <c r="D243" s="9">
        <v>0.68355128688649835</v>
      </c>
      <c r="E243" s="9">
        <v>0.69494556250132467</v>
      </c>
      <c r="F243" s="9">
        <v>0.77320527273052442</v>
      </c>
      <c r="G243" s="9">
        <v>0.51018541887856739</v>
      </c>
      <c r="H243" s="9">
        <v>0.49944106489935253</v>
      </c>
      <c r="I243" s="9">
        <v>0.55181400444330142</v>
      </c>
      <c r="J243" s="9">
        <v>-5.3293723184168256</v>
      </c>
      <c r="K243" s="9">
        <v>0.83755816851655263</v>
      </c>
      <c r="L243" s="9">
        <v>-1.9389473345789749</v>
      </c>
      <c r="M243" s="9">
        <v>2.1956150157495049</v>
      </c>
      <c r="N243" s="9">
        <v>2.194762494696052</v>
      </c>
      <c r="O243" s="9">
        <v>-11.51292546497023</v>
      </c>
      <c r="P243" s="9">
        <v>8.5252104327082634E-4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1</v>
      </c>
      <c r="W243" s="9">
        <v>0</v>
      </c>
      <c r="X243" s="9">
        <v>-2.0862669944763184</v>
      </c>
      <c r="Y243">
        <f t="shared" si="24"/>
        <v>0.12133470365214694</v>
      </c>
      <c r="Z243">
        <f t="shared" si="25"/>
        <v>0.12414972346259448</v>
      </c>
      <c r="AA243">
        <f t="shared" si="26"/>
        <v>-2.8150198104475443E-3</v>
      </c>
      <c r="AB243">
        <f t="shared" si="27"/>
        <v>7.9243365332121292E-6</v>
      </c>
      <c r="AC243" t="str">
        <f>VLOOKUP(A243, 'state-ids'!$A$1:$B$28, 2)</f>
        <v>AL</v>
      </c>
      <c r="AD243">
        <f>VLOOKUP(A243, 'state-ids'!$A$1:$C$28, 3)</f>
        <v>5.0784107000000002E-2</v>
      </c>
      <c r="AE243">
        <f>VLOOKUP(A243, 'state-ids'!$A$1:$D$28, 4)</f>
        <v>0.42666452999999999</v>
      </c>
      <c r="AF243">
        <f t="shared" si="28"/>
        <v>-9.7857266808938966E-3</v>
      </c>
      <c r="AG243">
        <f t="shared" si="29"/>
        <v>0.13132037252345796</v>
      </c>
      <c r="AH243">
        <f t="shared" si="30"/>
        <v>0.11737062223978542</v>
      </c>
      <c r="AI243">
        <f t="shared" si="31"/>
        <v>1.3949750283672541E-2</v>
      </c>
      <c r="AJ243" s="12"/>
    </row>
    <row r="244" spans="1:36" x14ac:dyDescent="0.25">
      <c r="A244" s="9">
        <v>27</v>
      </c>
      <c r="B244" s="9">
        <v>2014</v>
      </c>
      <c r="C244" s="9">
        <v>-2.0178092740909261</v>
      </c>
      <c r="D244" s="9">
        <v>0.65876275369811454</v>
      </c>
      <c r="E244" s="9">
        <v>0.68355128688649835</v>
      </c>
      <c r="F244" s="9">
        <v>0.69494556250132467</v>
      </c>
      <c r="G244" s="9">
        <v>0.48833458593045898</v>
      </c>
      <c r="H244" s="9">
        <v>0.51018541887856739</v>
      </c>
      <c r="I244" s="9">
        <v>0.49944106489935253</v>
      </c>
      <c r="J244" s="9">
        <v>-4.6425051077308606</v>
      </c>
      <c r="K244" s="9">
        <v>0.83755816851655263</v>
      </c>
      <c r="L244" s="9">
        <v>-1.856258132411662</v>
      </c>
      <c r="M244" s="9">
        <v>2.2082315199032889</v>
      </c>
      <c r="N244" s="9">
        <v>2.189335045875517</v>
      </c>
      <c r="O244" s="9">
        <v>-11.51292546497023</v>
      </c>
      <c r="P244" s="9">
        <v>1.8896473571658134E-2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1</v>
      </c>
      <c r="W244" s="9">
        <v>0</v>
      </c>
      <c r="X244" s="9">
        <v>-1.9963494539260864</v>
      </c>
      <c r="Y244">
        <f t="shared" si="24"/>
        <v>0.1329463954023957</v>
      </c>
      <c r="Z244">
        <f t="shared" si="25"/>
        <v>0.1358302337937381</v>
      </c>
      <c r="AA244">
        <f t="shared" si="26"/>
        <v>-2.8838383913424026E-3</v>
      </c>
      <c r="AB244">
        <f t="shared" si="27"/>
        <v>8.3165238673803358E-6</v>
      </c>
      <c r="AC244" t="str">
        <f>VLOOKUP(A244, 'state-ids'!$A$1:$B$28, 2)</f>
        <v>AL</v>
      </c>
      <c r="AD244">
        <f>VLOOKUP(A244, 'state-ids'!$A$1:$C$28, 3)</f>
        <v>5.0784107000000002E-2</v>
      </c>
      <c r="AE244">
        <f>VLOOKUP(A244, 'state-ids'!$A$1:$D$28, 4)</f>
        <v>0.42666452999999999</v>
      </c>
      <c r="AF244">
        <f t="shared" si="28"/>
        <v>-9.1561440845158593E-3</v>
      </c>
      <c r="AG244">
        <f t="shared" si="29"/>
        <v>0.14367552664840474</v>
      </c>
      <c r="AH244">
        <f t="shared" si="30"/>
        <v>0.1284133271883601</v>
      </c>
      <c r="AI244">
        <f t="shared" si="31"/>
        <v>1.5262199460044645E-2</v>
      </c>
      <c r="AJ244" s="12"/>
    </row>
    <row r="245" spans="1:36" x14ac:dyDescent="0.25">
      <c r="A245" s="9">
        <v>27</v>
      </c>
      <c r="B245" s="9">
        <v>2015</v>
      </c>
      <c r="C245" s="9">
        <v>-2.0598646371223368</v>
      </c>
      <c r="D245" s="9">
        <v>0.67661121191984575</v>
      </c>
      <c r="E245" s="9">
        <v>0.65876275369811454</v>
      </c>
      <c r="F245" s="9">
        <v>0.68355128688649835</v>
      </c>
      <c r="G245" s="9">
        <v>0.4295071025884023</v>
      </c>
      <c r="H245" s="9">
        <v>0.48833458593045898</v>
      </c>
      <c r="I245" s="9">
        <v>0.51018541887856739</v>
      </c>
      <c r="J245" s="9">
        <v>-4.1627613703805331</v>
      </c>
      <c r="K245" s="9">
        <v>0.83755816851655263</v>
      </c>
      <c r="L245" s="9">
        <v>-1.794602835233692</v>
      </c>
      <c r="M245" s="9">
        <v>2.2531619595182182</v>
      </c>
      <c r="N245" s="9">
        <v>2.202467441471915</v>
      </c>
      <c r="O245" s="9">
        <v>-11.51292546497023</v>
      </c>
      <c r="P245" s="9">
        <v>5.069451779127121E-2</v>
      </c>
      <c r="Q245" s="9">
        <v>1</v>
      </c>
      <c r="R245" s="9">
        <v>0</v>
      </c>
      <c r="S245" s="9">
        <v>0</v>
      </c>
      <c r="T245" s="9">
        <v>0</v>
      </c>
      <c r="U245" s="9">
        <v>0</v>
      </c>
      <c r="V245" s="9">
        <v>1</v>
      </c>
      <c r="W245" s="9">
        <v>0</v>
      </c>
      <c r="X245" s="9">
        <v>-2.0272789001464844</v>
      </c>
      <c r="Y245">
        <f t="shared" si="24"/>
        <v>0.12747122359868446</v>
      </c>
      <c r="Z245">
        <f t="shared" si="25"/>
        <v>0.13169338488652085</v>
      </c>
      <c r="AA245">
        <f t="shared" si="26"/>
        <v>-4.2221612878363957E-3</v>
      </c>
      <c r="AB245">
        <f t="shared" si="27"/>
        <v>1.7826645940504289E-5</v>
      </c>
      <c r="AC245" t="str">
        <f>VLOOKUP(A245, 'state-ids'!$A$1:$B$28, 2)</f>
        <v>AL</v>
      </c>
      <c r="AD245">
        <f>VLOOKUP(A245, 'state-ids'!$A$1:$C$28, 3)</f>
        <v>5.0784107000000002E-2</v>
      </c>
      <c r="AE245">
        <f>VLOOKUP(A245, 'state-ids'!$A$1:$D$28, 4)</f>
        <v>0.42666452999999999</v>
      </c>
      <c r="AF245">
        <f t="shared" si="28"/>
        <v>-1.3903178151505699E-2</v>
      </c>
      <c r="AG245">
        <f t="shared" si="29"/>
        <v>0.13929974131101164</v>
      </c>
      <c r="AH245">
        <f t="shared" si="30"/>
        <v>0.12450236776928127</v>
      </c>
      <c r="AI245">
        <f t="shared" si="31"/>
        <v>1.4797373541730371E-2</v>
      </c>
      <c r="AJ245" s="12"/>
    </row>
    <row r="246" spans="1:36" x14ac:dyDescent="0.25">
      <c r="A246" s="9">
        <v>27</v>
      </c>
      <c r="B246" s="9">
        <v>2016</v>
      </c>
      <c r="C246" s="9">
        <v>-2.001373485507532</v>
      </c>
      <c r="D246" s="9">
        <v>0.72750029693160778</v>
      </c>
      <c r="E246" s="9">
        <v>0.67661121191984575</v>
      </c>
      <c r="F246" s="9">
        <v>0.65876275369811454</v>
      </c>
      <c r="G246" s="9">
        <v>0.56713033997645834</v>
      </c>
      <c r="H246" s="9">
        <v>0.4295071025884023</v>
      </c>
      <c r="I246" s="9">
        <v>0.48833458593045898</v>
      </c>
      <c r="J246" s="9">
        <v>-3.8018994608322281</v>
      </c>
      <c r="K246" s="9">
        <v>0.8375581685165524</v>
      </c>
      <c r="L246" s="9">
        <v>-1.7494814545672011</v>
      </c>
      <c r="M246" s="9">
        <v>2.2346080184088182</v>
      </c>
      <c r="N246" s="9">
        <v>2.2477794741116419</v>
      </c>
      <c r="O246" s="9">
        <v>-11.51292546497023</v>
      </c>
      <c r="P246" s="9">
        <v>-1.3171455822885036E-2</v>
      </c>
      <c r="Q246" s="9">
        <v>1</v>
      </c>
      <c r="R246" s="9">
        <v>0</v>
      </c>
      <c r="S246" s="9">
        <v>0</v>
      </c>
      <c r="T246" s="9">
        <v>0</v>
      </c>
      <c r="U246" s="9">
        <v>0</v>
      </c>
      <c r="V246" s="9">
        <v>1</v>
      </c>
      <c r="W246" s="9">
        <v>0</v>
      </c>
      <c r="X246" s="9">
        <v>-2.0031101703643799</v>
      </c>
      <c r="Y246">
        <f t="shared" si="24"/>
        <v>0.13514952978047087</v>
      </c>
      <c r="Z246">
        <f t="shared" si="25"/>
        <v>0.13491502133126851</v>
      </c>
      <c r="AA246">
        <f t="shared" si="26"/>
        <v>2.3450844920236413E-4</v>
      </c>
      <c r="AB246">
        <f t="shared" si="27"/>
        <v>5.49942127472978E-8</v>
      </c>
      <c r="AC246" t="str">
        <f>VLOOKUP(A246, 'state-ids'!$A$1:$B$28, 2)</f>
        <v>AL</v>
      </c>
      <c r="AD246">
        <f>VLOOKUP(A246, 'state-ids'!$A$1:$C$28, 3)</f>
        <v>5.0784107000000002E-2</v>
      </c>
      <c r="AE246">
        <f>VLOOKUP(A246, 'state-ids'!$A$1:$D$28, 4)</f>
        <v>0.42666452999999999</v>
      </c>
      <c r="AF246">
        <f t="shared" si="28"/>
        <v>7.4098182820510892E-4</v>
      </c>
      <c r="AG246">
        <f t="shared" si="29"/>
        <v>0.14270745327572559</v>
      </c>
      <c r="AH246">
        <f t="shared" si="30"/>
        <v>0.12754808920630348</v>
      </c>
      <c r="AI246">
        <f t="shared" si="31"/>
        <v>1.5159364069422115E-2</v>
      </c>
      <c r="AJ246" s="12"/>
    </row>
    <row r="247" spans="1:36" x14ac:dyDescent="0.25">
      <c r="A247" s="9">
        <v>27</v>
      </c>
      <c r="B247" s="9">
        <v>2017</v>
      </c>
      <c r="C247" s="9">
        <v>-2.0026459718285721</v>
      </c>
      <c r="D247" s="9">
        <v>0.724500488217941</v>
      </c>
      <c r="E247" s="9">
        <v>0.72750029693160778</v>
      </c>
      <c r="F247" s="9">
        <v>0.67661121191984575</v>
      </c>
      <c r="G247" s="9">
        <v>0.53807107265618603</v>
      </c>
      <c r="H247" s="9">
        <v>0.56713033997645834</v>
      </c>
      <c r="I247" s="9">
        <v>0.4295071025884023</v>
      </c>
      <c r="J247" s="9">
        <v>-3.1407878037231169</v>
      </c>
      <c r="K247" s="9">
        <v>0.8375581685165524</v>
      </c>
      <c r="L247" s="9">
        <v>-1.7048882160364009</v>
      </c>
      <c r="M247" s="9">
        <v>2.2596821472676689</v>
      </c>
      <c r="N247" s="9">
        <v>2.2296011673459009</v>
      </c>
      <c r="O247" s="9">
        <v>-11.51292546497023</v>
      </c>
      <c r="P247" s="9">
        <v>3.0080979689955711E-2</v>
      </c>
      <c r="Q247" s="9">
        <v>1</v>
      </c>
      <c r="R247" s="9">
        <v>0</v>
      </c>
      <c r="S247" s="9">
        <v>0</v>
      </c>
      <c r="T247" s="9">
        <v>0</v>
      </c>
      <c r="U247" s="9">
        <v>0</v>
      </c>
      <c r="V247" s="9">
        <v>1</v>
      </c>
      <c r="W247" s="9">
        <v>0</v>
      </c>
      <c r="X247" s="9">
        <v>-1.9796953201293945</v>
      </c>
      <c r="Y247">
        <f t="shared" si="24"/>
        <v>0.13497766322464172</v>
      </c>
      <c r="Z247">
        <f t="shared" si="25"/>
        <v>0.13811131063737364</v>
      </c>
      <c r="AA247">
        <f t="shared" si="26"/>
        <v>-3.1336474127319214E-3</v>
      </c>
      <c r="AB247">
        <f t="shared" si="27"/>
        <v>9.8197461073214641E-6</v>
      </c>
      <c r="AC247" t="str">
        <f>VLOOKUP(A247, 'state-ids'!$A$1:$B$28, 2)</f>
        <v>AL</v>
      </c>
      <c r="AD247">
        <f>VLOOKUP(A247, 'state-ids'!$A$1:$C$28, 3)</f>
        <v>5.0784107000000002E-2</v>
      </c>
      <c r="AE247">
        <f>VLOOKUP(A247, 'state-ids'!$A$1:$D$28, 4)</f>
        <v>0.42666452999999999</v>
      </c>
      <c r="AF247">
        <f t="shared" si="28"/>
        <v>-9.7922290204232858E-3</v>
      </c>
      <c r="AG247">
        <f t="shared" si="29"/>
        <v>0.14608835409985779</v>
      </c>
      <c r="AH247">
        <f t="shared" si="30"/>
        <v>0.13056984756591</v>
      </c>
      <c r="AI247">
        <f t="shared" si="31"/>
        <v>1.551850653394779E-2</v>
      </c>
      <c r="AJ247" s="12"/>
    </row>
    <row r="248" spans="1:36" x14ac:dyDescent="0.25">
      <c r="A248" s="9">
        <v>27</v>
      </c>
      <c r="B248" s="9">
        <v>2018</v>
      </c>
      <c r="C248" s="9">
        <v>-2.073760835553375</v>
      </c>
      <c r="D248" s="9">
        <v>0.84479473016908513</v>
      </c>
      <c r="E248" s="9">
        <v>0.724500488217941</v>
      </c>
      <c r="F248" s="9">
        <v>0.72750029693160778</v>
      </c>
      <c r="G248" s="9">
        <v>0.57605140868369809</v>
      </c>
      <c r="H248" s="9">
        <v>0.53807107265618603</v>
      </c>
      <c r="I248" s="9">
        <v>0.56713033997645834</v>
      </c>
      <c r="J248" s="9">
        <v>-2.6836190814855039</v>
      </c>
      <c r="K248" s="9">
        <v>0.83755816851655263</v>
      </c>
      <c r="L248" s="9">
        <v>-1.640373601863762</v>
      </c>
      <c r="M248" s="9">
        <v>2.2606785209916982</v>
      </c>
      <c r="N248" s="9">
        <v>2.275507473732215</v>
      </c>
      <c r="O248" s="9">
        <v>3.2580965380214821</v>
      </c>
      <c r="P248" s="9">
        <v>-1.4828952960669994E-2</v>
      </c>
      <c r="Q248" s="9">
        <v>1</v>
      </c>
      <c r="R248" s="9">
        <v>0</v>
      </c>
      <c r="S248" s="9">
        <v>0</v>
      </c>
      <c r="T248" s="9">
        <v>0</v>
      </c>
      <c r="U248" s="9">
        <v>0</v>
      </c>
      <c r="V248" s="9">
        <v>1</v>
      </c>
      <c r="W248" s="9">
        <v>0</v>
      </c>
      <c r="X248" s="9">
        <v>-2.0459256172180176</v>
      </c>
      <c r="Y248">
        <f t="shared" si="24"/>
        <v>0.12571210899175994</v>
      </c>
      <c r="Z248">
        <f t="shared" si="25"/>
        <v>0.12926048885311478</v>
      </c>
      <c r="AA248">
        <f t="shared" si="26"/>
        <v>-3.548379861354839E-3</v>
      </c>
      <c r="AB248">
        <f t="shared" si="27"/>
        <v>1.2590999640468587E-5</v>
      </c>
      <c r="AC248" t="str">
        <f>VLOOKUP(A248, 'state-ids'!$A$1:$B$28, 2)</f>
        <v>AL</v>
      </c>
      <c r="AD248">
        <f>VLOOKUP(A248, 'state-ids'!$A$1:$C$28, 3)</f>
        <v>5.0784107000000002E-2</v>
      </c>
      <c r="AE248">
        <f>VLOOKUP(A248, 'state-ids'!$A$1:$D$28, 4)</f>
        <v>0.42666452999999999</v>
      </c>
      <c r="AF248">
        <f t="shared" si="28"/>
        <v>-1.1876300348502648E-2</v>
      </c>
      <c r="AG248">
        <f t="shared" si="29"/>
        <v>0.13672632588561209</v>
      </c>
      <c r="AH248">
        <f t="shared" si="30"/>
        <v>0.12220231817334633</v>
      </c>
      <c r="AI248">
        <f t="shared" si="31"/>
        <v>1.4524007712265766E-2</v>
      </c>
      <c r="AJ248" s="12"/>
    </row>
    <row r="249" spans="1:36" x14ac:dyDescent="0.25">
      <c r="A249" s="9">
        <v>27</v>
      </c>
      <c r="B249" s="9">
        <v>2019</v>
      </c>
      <c r="C249" s="9">
        <v>-2.032838298703612</v>
      </c>
      <c r="D249" s="9">
        <v>0.79818264339382605</v>
      </c>
      <c r="E249" s="9">
        <v>0.84479473016908513</v>
      </c>
      <c r="F249" s="9">
        <v>0.724500488217941</v>
      </c>
      <c r="G249" s="9">
        <v>0.55382764031053344</v>
      </c>
      <c r="H249" s="9">
        <v>0.57605140868369809</v>
      </c>
      <c r="I249" s="9">
        <v>0.53807107265618603</v>
      </c>
      <c r="J249" s="9">
        <v>-1.9144557388563139</v>
      </c>
      <c r="K249" s="9">
        <v>0.83755816851655263</v>
      </c>
      <c r="L249" s="9">
        <v>-1.5886572799625751</v>
      </c>
      <c r="M249" s="9">
        <v>2.295256970206228</v>
      </c>
      <c r="N249" s="9">
        <v>2.2563131646099812</v>
      </c>
      <c r="O249" s="9">
        <v>5.393627546352362</v>
      </c>
      <c r="P249" s="9">
        <v>3.8943804800510406E-2</v>
      </c>
      <c r="Q249" s="9">
        <v>1</v>
      </c>
      <c r="R249" s="9">
        <v>0</v>
      </c>
      <c r="S249" s="9">
        <v>0</v>
      </c>
      <c r="T249" s="9">
        <v>0</v>
      </c>
      <c r="U249" s="9">
        <v>0</v>
      </c>
      <c r="V249" s="9">
        <v>1</v>
      </c>
      <c r="W249" s="9">
        <v>0</v>
      </c>
      <c r="X249" s="9">
        <v>-1.9927734136581421</v>
      </c>
      <c r="Y249">
        <f t="shared" si="24"/>
        <v>0.13096328022444101</v>
      </c>
      <c r="Z249">
        <f t="shared" si="25"/>
        <v>0.13631683771844338</v>
      </c>
      <c r="AA249">
        <f t="shared" si="26"/>
        <v>-5.3535574940023756E-3</v>
      </c>
      <c r="AB249">
        <f t="shared" si="27"/>
        <v>2.8660577841588997E-5</v>
      </c>
      <c r="AC249" t="str">
        <f>VLOOKUP(A249, 'state-ids'!$A$1:$B$28, 2)</f>
        <v>AL</v>
      </c>
      <c r="AD249">
        <f>VLOOKUP(A249, 'state-ids'!$A$1:$C$28, 3)</f>
        <v>5.0784107000000002E-2</v>
      </c>
      <c r="AE249">
        <f>VLOOKUP(A249, 'state-ids'!$A$1:$D$28, 4)</f>
        <v>0.42666452999999999</v>
      </c>
      <c r="AF249">
        <f t="shared" si="28"/>
        <v>-1.7094265347429444E-2</v>
      </c>
      <c r="AG249">
        <f t="shared" si="29"/>
        <v>0.14419023587917421</v>
      </c>
      <c r="AH249">
        <f t="shared" si="30"/>
        <v>0.12887336047586223</v>
      </c>
      <c r="AI249">
        <f t="shared" si="31"/>
        <v>1.5316875403311975E-2</v>
      </c>
      <c r="AJ249" s="12"/>
    </row>
    <row r="250" spans="1:36" x14ac:dyDescent="0.25">
      <c r="A250" s="9">
        <v>27</v>
      </c>
      <c r="B250" s="9">
        <v>2020</v>
      </c>
      <c r="C250" s="9">
        <v>-2.0677555160978001</v>
      </c>
      <c r="D250" s="9">
        <v>0.72933445132165775</v>
      </c>
      <c r="E250" s="9">
        <v>0.79818264339382605</v>
      </c>
      <c r="F250" s="9">
        <v>0.84479473016908513</v>
      </c>
      <c r="G250" s="9">
        <v>0.4924987070731065</v>
      </c>
      <c r="H250" s="9">
        <v>0.55382764031053344</v>
      </c>
      <c r="I250" s="9">
        <v>0.57605140868369809</v>
      </c>
      <c r="J250" s="9">
        <v>-1.270232976206414</v>
      </c>
      <c r="K250" s="9">
        <v>0.83755816851655263</v>
      </c>
      <c r="L250" s="9">
        <v>-1.5508103434110101</v>
      </c>
      <c r="M250" s="9">
        <v>2.297717739630567</v>
      </c>
      <c r="N250" s="9">
        <v>2.2910153097630568</v>
      </c>
      <c r="O250" s="9">
        <v>5.9914645471079817</v>
      </c>
      <c r="P250" s="9">
        <v>6.7024300806224346E-3</v>
      </c>
      <c r="Q250" s="9">
        <v>1</v>
      </c>
      <c r="R250" s="9">
        <v>1</v>
      </c>
      <c r="S250" s="9">
        <v>0</v>
      </c>
      <c r="T250" s="9">
        <v>0</v>
      </c>
      <c r="U250" s="9">
        <v>0</v>
      </c>
      <c r="V250" s="9">
        <v>1</v>
      </c>
      <c r="W250" s="9">
        <v>0</v>
      </c>
      <c r="X250" s="9">
        <v>-2.056633472442627</v>
      </c>
      <c r="Y250">
        <f t="shared" si="24"/>
        <v>0.12646932174225414</v>
      </c>
      <c r="Z250">
        <f t="shared" si="25"/>
        <v>0.12788377025822331</v>
      </c>
      <c r="AA250">
        <f t="shared" si="26"/>
        <v>-1.4144485159691689E-3</v>
      </c>
      <c r="AB250">
        <f t="shared" si="27"/>
        <v>2.0006646043273843E-6</v>
      </c>
      <c r="AC250" t="str">
        <f>VLOOKUP(A250, 'state-ids'!$A$1:$B$28, 2)</f>
        <v>AL</v>
      </c>
      <c r="AD250">
        <f>VLOOKUP(A250, 'state-ids'!$A$1:$C$28, 3)</f>
        <v>5.0784107000000002E-2</v>
      </c>
      <c r="AE250">
        <f>VLOOKUP(A250, 'state-ids'!$A$1:$D$28, 4)</f>
        <v>0.42666452999999999</v>
      </c>
      <c r="AF250">
        <f t="shared" si="28"/>
        <v>-4.7453815287739161E-3</v>
      </c>
      <c r="AG250">
        <f t="shared" si="29"/>
        <v>0.13527009067462034</v>
      </c>
      <c r="AH250">
        <f t="shared" si="30"/>
        <v>0.12090077425021241</v>
      </c>
      <c r="AI250">
        <f t="shared" si="31"/>
        <v>1.4369316424407932E-2</v>
      </c>
      <c r="AJ250" s="12"/>
    </row>
    <row r="251" spans="1:36" x14ac:dyDescent="0.25">
      <c r="A251" s="9">
        <v>27</v>
      </c>
      <c r="B251" s="9">
        <v>2021</v>
      </c>
      <c r="C251" s="9">
        <v>-2.0350303845228228</v>
      </c>
      <c r="D251" s="9">
        <v>0.91776963775355425</v>
      </c>
      <c r="E251" s="9">
        <v>0.72933445132165775</v>
      </c>
      <c r="F251" s="9">
        <v>0.79818264339382605</v>
      </c>
      <c r="G251" s="9">
        <v>0.72445203038835781</v>
      </c>
      <c r="H251" s="9">
        <v>0.4924987070731065</v>
      </c>
      <c r="I251" s="9">
        <v>0.55382764031053344</v>
      </c>
      <c r="J251" s="9">
        <v>-0.64821845767071162</v>
      </c>
      <c r="K251" s="9">
        <v>0.83755816851655263</v>
      </c>
      <c r="L251" s="9">
        <v>-1.505719137222969</v>
      </c>
      <c r="M251" s="9">
        <v>2.358827079517972</v>
      </c>
      <c r="N251" s="9">
        <v>2.2936063097194519</v>
      </c>
      <c r="O251" s="9">
        <v>6.6846117276679271</v>
      </c>
      <c r="P251" s="9">
        <v>6.5220773220062256E-2</v>
      </c>
      <c r="Q251" s="9">
        <v>1</v>
      </c>
      <c r="R251" s="9">
        <v>0</v>
      </c>
      <c r="S251" s="9">
        <v>0</v>
      </c>
      <c r="T251" s="9">
        <v>0</v>
      </c>
      <c r="U251" s="9">
        <v>0</v>
      </c>
      <c r="V251" s="9">
        <v>1</v>
      </c>
      <c r="W251" s="9">
        <v>0</v>
      </c>
      <c r="X251" s="9">
        <v>-1.9943921566009521</v>
      </c>
      <c r="Y251">
        <f t="shared" si="24"/>
        <v>0.13067651190024468</v>
      </c>
      <c r="Z251">
        <f t="shared" si="25"/>
        <v>0.13609635430053374</v>
      </c>
      <c r="AA251">
        <f t="shared" si="26"/>
        <v>-5.4198424002890599E-3</v>
      </c>
      <c r="AB251">
        <f t="shared" si="27"/>
        <v>2.937469164397108E-5</v>
      </c>
      <c r="AC251" t="str">
        <f>VLOOKUP(A251, 'state-ids'!$A$1:$B$28, 2)</f>
        <v>AL</v>
      </c>
      <c r="AD251">
        <f>VLOOKUP(A251, 'state-ids'!$A$1:$C$28, 3)</f>
        <v>5.0784107000000002E-2</v>
      </c>
      <c r="AE251">
        <f>VLOOKUP(A251, 'state-ids'!$A$1:$D$28, 4)</f>
        <v>0.42666452999999999</v>
      </c>
      <c r="AF251">
        <f t="shared" si="28"/>
        <v>-1.7338890416317823E-2</v>
      </c>
      <c r="AG251">
        <f t="shared" si="29"/>
        <v>0.14395701776343783</v>
      </c>
      <c r="AH251">
        <f t="shared" si="30"/>
        <v>0.12866491638729038</v>
      </c>
      <c r="AI251">
        <f t="shared" si="31"/>
        <v>1.5292101376147449E-2</v>
      </c>
      <c r="AJ251" s="12"/>
    </row>
    <row r="252" spans="1:36" x14ac:dyDescent="0.25">
      <c r="A252" s="9">
        <v>27</v>
      </c>
      <c r="B252" s="9">
        <v>2022</v>
      </c>
      <c r="C252" s="9">
        <v>-1.975073198276198</v>
      </c>
      <c r="D252" s="9">
        <v>0.9065231843151027</v>
      </c>
      <c r="E252" s="9">
        <v>0.91776963775355425</v>
      </c>
      <c r="F252" s="9">
        <v>0.72933445132165775</v>
      </c>
      <c r="G252" s="9">
        <v>0.67023672897683917</v>
      </c>
      <c r="H252" s="9">
        <v>0.72445203038835781</v>
      </c>
      <c r="I252" s="9">
        <v>0.4924987070731065</v>
      </c>
      <c r="J252" s="9">
        <v>-0.26962636781364357</v>
      </c>
      <c r="K252" s="9">
        <v>0.83755816851655263</v>
      </c>
      <c r="L252" s="9">
        <v>-1.4599073422849631</v>
      </c>
      <c r="M252" s="9">
        <v>2.274000264712583</v>
      </c>
      <c r="N252" s="9">
        <v>2.358827079517972</v>
      </c>
      <c r="O252" s="9">
        <v>8.0551577318196781</v>
      </c>
      <c r="P252" s="9">
        <v>-8.4826812148094177E-2</v>
      </c>
      <c r="Q252" s="9">
        <v>1</v>
      </c>
      <c r="R252" s="9">
        <v>0</v>
      </c>
      <c r="S252" s="9">
        <v>0</v>
      </c>
      <c r="T252" s="9">
        <v>0</v>
      </c>
      <c r="U252" s="9">
        <v>0</v>
      </c>
      <c r="V252" s="9">
        <v>1</v>
      </c>
      <c r="W252" s="9">
        <v>0</v>
      </c>
      <c r="X252" s="9">
        <v>-1.9745020866394043</v>
      </c>
      <c r="Y252">
        <f t="shared" si="24"/>
        <v>0.13875115552582773</v>
      </c>
      <c r="Z252">
        <f t="shared" si="25"/>
        <v>0.1388304205578037</v>
      </c>
      <c r="AA252">
        <f t="shared" si="26"/>
        <v>-7.9265031975972455E-5</v>
      </c>
      <c r="AB252">
        <f t="shared" si="27"/>
        <v>6.2829452941519355E-9</v>
      </c>
      <c r="AC252" t="str">
        <f>VLOOKUP(A252, 'state-ids'!$A$1:$B$28, 2)</f>
        <v>AL</v>
      </c>
      <c r="AD252">
        <f>VLOOKUP(A252, 'state-ids'!$A$1:$C$28, 3)</f>
        <v>5.0784107000000002E-2</v>
      </c>
      <c r="AE252">
        <f>VLOOKUP(A252, 'state-ids'!$A$1:$D$28, 4)</f>
        <v>0.42666452999999999</v>
      </c>
      <c r="AF252">
        <f t="shared" si="28"/>
        <v>-2.4367307809010889E-4</v>
      </c>
      <c r="AG252">
        <f t="shared" si="29"/>
        <v>0.14684899842513202</v>
      </c>
      <c r="AH252">
        <f t="shared" si="30"/>
        <v>0.13124969103608178</v>
      </c>
      <c r="AI252">
        <f t="shared" si="31"/>
        <v>1.5599307389050243E-2</v>
      </c>
      <c r="AJ252" s="12"/>
    </row>
    <row r="253" spans="1:36" x14ac:dyDescent="0.25">
      <c r="A253" s="9">
        <v>27</v>
      </c>
      <c r="B253" s="9">
        <v>2023</v>
      </c>
      <c r="C253" s="9">
        <v>-1.896478949702052</v>
      </c>
      <c r="D253" s="9">
        <v>0.76197337148979782</v>
      </c>
      <c r="E253" s="9">
        <v>0.9065231843151027</v>
      </c>
      <c r="F253" s="9">
        <v>0.91776963775355425</v>
      </c>
      <c r="G253" s="9">
        <v>0.4879663296199081</v>
      </c>
      <c r="H253" s="9">
        <v>0.67023672897683917</v>
      </c>
      <c r="I253" s="9">
        <v>0.72445203038835781</v>
      </c>
      <c r="J253" s="9">
        <v>0.35258052097495479</v>
      </c>
      <c r="K253" s="9">
        <v>0.83755816851655263</v>
      </c>
      <c r="L253" s="9">
        <v>-1.4096688125484551</v>
      </c>
      <c r="M253" s="9">
        <v>2.3884407371539851</v>
      </c>
      <c r="N253" s="9">
        <v>2.274000264712583</v>
      </c>
      <c r="O253" s="9">
        <v>8.4658998970286863</v>
      </c>
      <c r="P253" s="9">
        <v>0.11444047093391418</v>
      </c>
      <c r="Q253" s="9">
        <v>1</v>
      </c>
      <c r="R253" s="9">
        <v>0</v>
      </c>
      <c r="S253" s="9">
        <v>0</v>
      </c>
      <c r="T253" s="9">
        <v>0</v>
      </c>
      <c r="U253" s="9">
        <v>0</v>
      </c>
      <c r="V253" s="9">
        <v>1</v>
      </c>
      <c r="W253" s="9">
        <v>0</v>
      </c>
      <c r="X253" s="9">
        <v>-1.8964900970458984</v>
      </c>
      <c r="Y253">
        <f t="shared" si="24"/>
        <v>0.15009618610361891</v>
      </c>
      <c r="Z253">
        <f t="shared" si="25"/>
        <v>0.15009451293914808</v>
      </c>
      <c r="AA253">
        <f t="shared" si="26"/>
        <v>1.6731644708334326E-6</v>
      </c>
      <c r="AB253">
        <f t="shared" si="27"/>
        <v>2.7994793464593206E-12</v>
      </c>
      <c r="AC253" t="str">
        <f>VLOOKUP(A253, 'state-ids'!$A$1:$B$28, 2)</f>
        <v>AL</v>
      </c>
      <c r="AD253">
        <f>VLOOKUP(A253, 'state-ids'!$A$1:$C$28, 3)</f>
        <v>5.0784107000000002E-2</v>
      </c>
      <c r="AE253">
        <f>VLOOKUP(A253, 'state-ids'!$A$1:$D$28, 4)</f>
        <v>0.42666452999999999</v>
      </c>
      <c r="AF253">
        <f t="shared" si="28"/>
        <v>4.756176222989906E-6</v>
      </c>
      <c r="AG253">
        <f t="shared" si="29"/>
        <v>0.15876368310103034</v>
      </c>
      <c r="AH253">
        <f t="shared" si="30"/>
        <v>0.14189871622028327</v>
      </c>
      <c r="AI253">
        <f t="shared" si="31"/>
        <v>1.6864966880747068E-2</v>
      </c>
      <c r="AJ253" s="12"/>
    </row>
    <row r="254" spans="1:36" x14ac:dyDescent="0.25">
      <c r="A254" s="9">
        <v>28</v>
      </c>
      <c r="B254" s="9">
        <v>2006</v>
      </c>
      <c r="C254" s="9">
        <v>-2.4606930434845151</v>
      </c>
      <c r="D254" s="9">
        <v>0.93609335917033476</v>
      </c>
      <c r="E254" s="9">
        <v>0.87246422833360116</v>
      </c>
      <c r="F254" s="9">
        <v>0.80897274606553571</v>
      </c>
      <c r="G254" s="9">
        <v>0.71783979315031676</v>
      </c>
      <c r="H254" s="9">
        <v>0.58478215588182025</v>
      </c>
      <c r="I254" s="9">
        <v>0.4439162944824171</v>
      </c>
      <c r="J254" s="9">
        <v>-11.51292546497023</v>
      </c>
      <c r="K254" s="9">
        <v>0.72379967174414939</v>
      </c>
      <c r="L254" s="9">
        <v>-2.2437468778448921</v>
      </c>
      <c r="M254" s="9">
        <v>2.40297520420207</v>
      </c>
      <c r="N254" s="9">
        <v>2.339351784970658</v>
      </c>
      <c r="O254" s="9">
        <v>-11.51292546497023</v>
      </c>
      <c r="P254" s="9">
        <v>6.3623420894145966E-2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1</v>
      </c>
      <c r="W254" s="9">
        <v>0</v>
      </c>
      <c r="X254" s="9">
        <v>-2.448681116104126</v>
      </c>
      <c r="Y254">
        <f t="shared" si="24"/>
        <v>8.5375761344063938E-2</v>
      </c>
      <c r="Z254">
        <f t="shared" si="25"/>
        <v>8.6407472805821173E-2</v>
      </c>
      <c r="AA254">
        <f t="shared" si="26"/>
        <v>-1.0317114617572343E-3</v>
      </c>
      <c r="AB254">
        <f t="shared" si="27"/>
        <v>1.064428540321249E-6</v>
      </c>
      <c r="AC254" t="str">
        <f>VLOOKUP(A254, 'state-ids'!$A$1:$B$28, 2)</f>
        <v>SE</v>
      </c>
      <c r="AD254">
        <f>VLOOKUP(A254, 'state-ids'!$A$1:$C$28, 3)</f>
        <v>2.7699662E-2</v>
      </c>
      <c r="AE254">
        <f>VLOOKUP(A254, 'state-ids'!$A$1:$D$28, 4)</f>
        <v>0.51734590999999996</v>
      </c>
      <c r="AF254">
        <f t="shared" si="28"/>
        <v>-1.027952370823754E-2</v>
      </c>
      <c r="AG254">
        <f t="shared" si="29"/>
        <v>8.9250054999555267E-2</v>
      </c>
      <c r="AH254">
        <f t="shared" si="30"/>
        <v>8.3655425833921673E-2</v>
      </c>
      <c r="AI254">
        <f t="shared" si="31"/>
        <v>5.5946291656335939E-3</v>
      </c>
      <c r="AJ254" s="12"/>
    </row>
    <row r="255" spans="1:36" x14ac:dyDescent="0.25">
      <c r="A255" s="9">
        <v>28</v>
      </c>
      <c r="B255" s="9">
        <v>2007</v>
      </c>
      <c r="C255" s="9">
        <v>-2.4282767174428939</v>
      </c>
      <c r="D255" s="9">
        <v>0.88062210259469464</v>
      </c>
      <c r="E255" s="9">
        <v>0.93609335917033476</v>
      </c>
      <c r="F255" s="9">
        <v>0.87246422833360116</v>
      </c>
      <c r="G255" s="9">
        <v>0.59823192276365766</v>
      </c>
      <c r="H255" s="9">
        <v>0.71783979315031676</v>
      </c>
      <c r="I255" s="9">
        <v>0.58478215588182025</v>
      </c>
      <c r="J255" s="9">
        <v>-11.51292546497023</v>
      </c>
      <c r="K255" s="9">
        <v>0.72379967174414939</v>
      </c>
      <c r="L255" s="9">
        <v>-2.141127947275046</v>
      </c>
      <c r="M255" s="9">
        <v>2.4448609285518201</v>
      </c>
      <c r="N255" s="9">
        <v>2.403316136530306</v>
      </c>
      <c r="O255" s="9">
        <v>-11.51292546497023</v>
      </c>
      <c r="P255" s="9">
        <v>4.154479131102562E-2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1</v>
      </c>
      <c r="W255" s="9">
        <v>0</v>
      </c>
      <c r="X255" s="9">
        <v>-2.3689761161804199</v>
      </c>
      <c r="Y255">
        <f t="shared" si="24"/>
        <v>8.8188675717079945E-2</v>
      </c>
      <c r="Z255">
        <f t="shared" si="25"/>
        <v>9.3576488697567156E-2</v>
      </c>
      <c r="AA255">
        <f t="shared" si="26"/>
        <v>-5.387812980487211E-3</v>
      </c>
      <c r="AB255">
        <f t="shared" si="27"/>
        <v>2.9028528712706483E-5</v>
      </c>
      <c r="AC255" t="str">
        <f>VLOOKUP(A255, 'state-ids'!$A$1:$B$28, 2)</f>
        <v>SE</v>
      </c>
      <c r="AD255">
        <f>VLOOKUP(A255, 'state-ids'!$A$1:$C$28, 3)</f>
        <v>2.7699662E-2</v>
      </c>
      <c r="AE255">
        <f>VLOOKUP(A255, 'state-ids'!$A$1:$D$28, 4)</f>
        <v>0.51734590999999996</v>
      </c>
      <c r="AF255">
        <f t="shared" si="28"/>
        <v>-3.0678923523681727E-2</v>
      </c>
      <c r="AG255">
        <f t="shared" si="29"/>
        <v>9.6654912957487682E-2</v>
      </c>
      <c r="AH255">
        <f t="shared" si="30"/>
        <v>9.0596111144576413E-2</v>
      </c>
      <c r="AI255">
        <f t="shared" si="31"/>
        <v>6.0588018129112686E-3</v>
      </c>
      <c r="AJ255" s="12"/>
    </row>
    <row r="256" spans="1:36" x14ac:dyDescent="0.25">
      <c r="A256" s="9">
        <v>28</v>
      </c>
      <c r="B256" s="9">
        <v>2008</v>
      </c>
      <c r="C256" s="9">
        <v>-2.31569538527746</v>
      </c>
      <c r="D256" s="9">
        <v>0.82329786502499036</v>
      </c>
      <c r="E256" s="9">
        <v>0.88062210259469464</v>
      </c>
      <c r="F256" s="9">
        <v>0.93609335917033476</v>
      </c>
      <c r="G256" s="9">
        <v>0.50337795863083334</v>
      </c>
      <c r="H256" s="9">
        <v>0.59823192276365766</v>
      </c>
      <c r="I256" s="9">
        <v>0.71783979315031676</v>
      </c>
      <c r="J256" s="9">
        <v>-11.51292546497023</v>
      </c>
      <c r="K256" s="9">
        <v>0.72379967174414939</v>
      </c>
      <c r="L256" s="9">
        <v>-2.0325922953629618</v>
      </c>
      <c r="M256" s="9">
        <v>2.5228724955326638</v>
      </c>
      <c r="N256" s="9">
        <v>2.445201977154551</v>
      </c>
      <c r="O256" s="9">
        <v>-11.51292546497023</v>
      </c>
      <c r="P256" s="9">
        <v>7.7670522034168243E-2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1</v>
      </c>
      <c r="W256" s="9">
        <v>0</v>
      </c>
      <c r="X256" s="9">
        <v>-2.2923519611358643</v>
      </c>
      <c r="Y256">
        <f t="shared" si="24"/>
        <v>9.8697527326053053E-2</v>
      </c>
      <c r="Z256">
        <f t="shared" si="25"/>
        <v>0.10102856694069573</v>
      </c>
      <c r="AA256">
        <f t="shared" si="26"/>
        <v>-2.3310396146426771E-3</v>
      </c>
      <c r="AB256">
        <f t="shared" si="27"/>
        <v>5.4337456850334804E-6</v>
      </c>
      <c r="AC256" t="str">
        <f>VLOOKUP(A256, 'state-ids'!$A$1:$B$28, 2)</f>
        <v>SE</v>
      </c>
      <c r="AD256">
        <f>VLOOKUP(A256, 'state-ids'!$A$1:$C$28, 3)</f>
        <v>2.7699662E-2</v>
      </c>
      <c r="AE256">
        <f>VLOOKUP(A256, 'state-ids'!$A$1:$D$28, 4)</f>
        <v>0.51734590999999996</v>
      </c>
      <c r="AF256">
        <f t="shared" si="28"/>
        <v>-1.2076625005049814E-2</v>
      </c>
      <c r="AG256">
        <f t="shared" si="29"/>
        <v>0.10435214528546995</v>
      </c>
      <c r="AH256">
        <f t="shared" si="30"/>
        <v>9.7810843372396247E-2</v>
      </c>
      <c r="AI256">
        <f t="shared" si="31"/>
        <v>6.5413019130736993E-3</v>
      </c>
      <c r="AJ256" s="12"/>
    </row>
    <row r="257" spans="1:36" x14ac:dyDescent="0.25">
      <c r="A257" s="9">
        <v>28</v>
      </c>
      <c r="B257" s="9">
        <v>2009</v>
      </c>
      <c r="C257" s="9">
        <v>-2.2632473460036282</v>
      </c>
      <c r="D257" s="9">
        <v>0.79294726563712226</v>
      </c>
      <c r="E257" s="9">
        <v>0.82329786502499036</v>
      </c>
      <c r="F257" s="9">
        <v>0.88062210259469464</v>
      </c>
      <c r="G257" s="9">
        <v>0.42781351177192622</v>
      </c>
      <c r="H257" s="9">
        <v>0.50337795863083334</v>
      </c>
      <c r="I257" s="9">
        <v>0.59823192276365766</v>
      </c>
      <c r="J257" s="9">
        <v>-11.51292546497023</v>
      </c>
      <c r="K257" s="9">
        <v>0.72379967174414939</v>
      </c>
      <c r="L257" s="9">
        <v>-1.9110700273691461</v>
      </c>
      <c r="M257" s="9">
        <v>2.4555805739085121</v>
      </c>
      <c r="N257" s="9">
        <v>2.512768039203535</v>
      </c>
      <c r="O257" s="9">
        <v>-11.51292546497023</v>
      </c>
      <c r="P257" s="9">
        <v>-5.7187464088201523E-2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1</v>
      </c>
      <c r="W257" s="9">
        <v>0</v>
      </c>
      <c r="X257" s="9">
        <v>-2.2368922233581543</v>
      </c>
      <c r="Y257">
        <f t="shared" si="24"/>
        <v>0.10401217223132973</v>
      </c>
      <c r="Z257">
        <f t="shared" si="25"/>
        <v>0.10678986826826534</v>
      </c>
      <c r="AA257">
        <f t="shared" si="26"/>
        <v>-2.7776960369356035E-3</v>
      </c>
      <c r="AB257">
        <f t="shared" si="27"/>
        <v>7.7155952736077584E-6</v>
      </c>
      <c r="AC257" t="str">
        <f>VLOOKUP(A257, 'state-ids'!$A$1:$B$28, 2)</f>
        <v>SE</v>
      </c>
      <c r="AD257">
        <f>VLOOKUP(A257, 'state-ids'!$A$1:$C$28, 3)</f>
        <v>2.7699662E-2</v>
      </c>
      <c r="AE257">
        <f>VLOOKUP(A257, 'state-ids'!$A$1:$D$28, 4)</f>
        <v>0.51734590999999996</v>
      </c>
      <c r="AF257">
        <f t="shared" si="28"/>
        <v>-1.3634714908184305E-2</v>
      </c>
      <c r="AG257">
        <f t="shared" si="29"/>
        <v>0.11030297851386588</v>
      </c>
      <c r="AH257">
        <f t="shared" si="30"/>
        <v>0.1033886493221023</v>
      </c>
      <c r="AI257">
        <f t="shared" si="31"/>
        <v>6.9143291917635741E-3</v>
      </c>
      <c r="AJ257" s="12"/>
    </row>
    <row r="258" spans="1:36" x14ac:dyDescent="0.25">
      <c r="A258" s="9">
        <v>28</v>
      </c>
      <c r="B258" s="9">
        <v>2010</v>
      </c>
      <c r="C258" s="9">
        <v>-2.0708365835691378</v>
      </c>
      <c r="D258" s="9">
        <v>0.75879446179580023</v>
      </c>
      <c r="E258" s="9">
        <v>0.79294726563712226</v>
      </c>
      <c r="F258" s="9">
        <v>0.82329786502499036</v>
      </c>
      <c r="G258" s="9">
        <v>0.45691838969707999</v>
      </c>
      <c r="H258" s="9">
        <v>0.42781351177192622</v>
      </c>
      <c r="I258" s="9">
        <v>0.50337795863083334</v>
      </c>
      <c r="J258" s="9">
        <v>-7.6279089783512841</v>
      </c>
      <c r="K258" s="9">
        <v>0.72379967174414939</v>
      </c>
      <c r="L258" s="9">
        <v>-1.8006353459649711</v>
      </c>
      <c r="M258" s="9">
        <v>2.553395634518715</v>
      </c>
      <c r="N258" s="9">
        <v>2.4383654624337199</v>
      </c>
      <c r="O258" s="9">
        <v>-11.51292546497023</v>
      </c>
      <c r="P258" s="9">
        <v>0.11503016948699951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1</v>
      </c>
      <c r="W258" s="9">
        <v>0</v>
      </c>
      <c r="X258" s="9">
        <v>-2.1175906658172607</v>
      </c>
      <c r="Y258">
        <f t="shared" si="24"/>
        <v>0.12608026089804641</v>
      </c>
      <c r="Z258">
        <f t="shared" si="25"/>
        <v>0.12032117348227232</v>
      </c>
      <c r="AA258">
        <f t="shared" si="26"/>
        <v>5.7590874157740918E-3</v>
      </c>
      <c r="AB258">
        <f t="shared" si="27"/>
        <v>3.3167087862527505E-5</v>
      </c>
      <c r="AC258" t="str">
        <f>VLOOKUP(A258, 'state-ids'!$A$1:$B$28, 2)</f>
        <v>SE</v>
      </c>
      <c r="AD258">
        <f>VLOOKUP(A258, 'state-ids'!$A$1:$C$28, 3)</f>
        <v>2.7699662E-2</v>
      </c>
      <c r="AE258">
        <f>VLOOKUP(A258, 'state-ids'!$A$1:$D$28, 4)</f>
        <v>0.51734590999999996</v>
      </c>
      <c r="AF258">
        <f t="shared" si="28"/>
        <v>2.4188033226870007E-2</v>
      </c>
      <c r="AG258">
        <f t="shared" si="29"/>
        <v>0.12427942864428253</v>
      </c>
      <c r="AH258">
        <f t="shared" si="30"/>
        <v>0.1164889873253943</v>
      </c>
      <c r="AI258">
        <f t="shared" si="31"/>
        <v>7.7904413188882304E-3</v>
      </c>
      <c r="AJ258" s="12"/>
    </row>
    <row r="259" spans="1:36" x14ac:dyDescent="0.25">
      <c r="A259" s="9">
        <v>28</v>
      </c>
      <c r="B259" s="9">
        <v>2011</v>
      </c>
      <c r="C259" s="9">
        <v>-1.9463940161282189</v>
      </c>
      <c r="D259" s="9">
        <v>0.74074615935922428</v>
      </c>
      <c r="E259" s="9">
        <v>0.75879446179580023</v>
      </c>
      <c r="F259" s="9">
        <v>0.79294726563712226</v>
      </c>
      <c r="G259" s="9">
        <v>0.53397558366469022</v>
      </c>
      <c r="H259" s="9">
        <v>0.45691838969707999</v>
      </c>
      <c r="I259" s="9">
        <v>0.42781351177192622</v>
      </c>
      <c r="J259" s="9">
        <v>-5.8530732691097702</v>
      </c>
      <c r="K259" s="9">
        <v>0.72379967174414939</v>
      </c>
      <c r="L259" s="9">
        <v>-1.702760661749307</v>
      </c>
      <c r="M259" s="9">
        <v>2.5540383090066419</v>
      </c>
      <c r="N259" s="9">
        <v>2.5364718745321961</v>
      </c>
      <c r="O259" s="9">
        <v>-11.51292546497023</v>
      </c>
      <c r="P259" s="9">
        <v>1.7566435039043427E-2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1</v>
      </c>
      <c r="W259" s="9">
        <v>0</v>
      </c>
      <c r="X259" s="9">
        <v>-2.0053169727325439</v>
      </c>
      <c r="Y259">
        <f t="shared" ref="Y259:Y322" si="32">EXP(C259)</f>
        <v>0.14278803571026966</v>
      </c>
      <c r="Z259">
        <f t="shared" ref="Z259:Z322" si="33">EXP(X259)</f>
        <v>0.13461761881767467</v>
      </c>
      <c r="AA259">
        <f t="shared" ref="AA259:AA322" si="34">Y259-Z259</f>
        <v>8.1704168925949838E-3</v>
      </c>
      <c r="AB259">
        <f t="shared" ref="AB259:AB322" si="35">AA259*AA259</f>
        <v>6.6755712198801473E-5</v>
      </c>
      <c r="AC259" t="str">
        <f>VLOOKUP(A259, 'state-ids'!$A$1:$B$28, 2)</f>
        <v>SE</v>
      </c>
      <c r="AD259">
        <f>VLOOKUP(A259, 'state-ids'!$A$1:$C$28, 3)</f>
        <v>2.7699662E-2</v>
      </c>
      <c r="AE259">
        <f>VLOOKUP(A259, 'state-ids'!$A$1:$D$28, 4)</f>
        <v>0.51734590999999996</v>
      </c>
      <c r="AF259">
        <f t="shared" ref="AF259:AF322" si="36">IF(B259=2006, (C259-X259)*SQRT(1 - AE259*AE259), AE259*(C259-X259) )</f>
        <v>3.0483550604355026E-2</v>
      </c>
      <c r="AG259">
        <f t="shared" ref="AG259:AG322" si="37">EXP(X259+SQRT((AD259*AD259)/(1-(AE259*AE259))))</f>
        <v>0.13904619002556018</v>
      </c>
      <c r="AH259">
        <f t="shared" ref="AH259:AH322" si="38">EXP(X259-SQRT((AD259*AD259)/(1-(AE259*AE259))))</f>
        <v>0.13033009601204826</v>
      </c>
      <c r="AI259">
        <f t="shared" ref="AI259:AI322" si="39">AG259-AH259</f>
        <v>8.7160940135119214E-3</v>
      </c>
      <c r="AJ259" s="12"/>
    </row>
    <row r="260" spans="1:36" x14ac:dyDescent="0.25">
      <c r="A260" s="9">
        <v>28</v>
      </c>
      <c r="B260" s="9">
        <v>2012</v>
      </c>
      <c r="C260" s="9">
        <v>-1.8256375204588191</v>
      </c>
      <c r="D260" s="9">
        <v>0.69129546719647095</v>
      </c>
      <c r="E260" s="9">
        <v>0.74074615935922428</v>
      </c>
      <c r="F260" s="9">
        <v>0.75879446179580023</v>
      </c>
      <c r="G260" s="9">
        <v>0.508262341362826</v>
      </c>
      <c r="H260" s="9">
        <v>0.53397558366469022</v>
      </c>
      <c r="I260" s="9">
        <v>0.45691838969707999</v>
      </c>
      <c r="J260" s="9">
        <v>-5.3522689495535296</v>
      </c>
      <c r="K260" s="9">
        <v>0.72379967174414939</v>
      </c>
      <c r="L260" s="9">
        <v>-1.617474890301374</v>
      </c>
      <c r="M260" s="9">
        <v>2.5886088841378729</v>
      </c>
      <c r="N260" s="9">
        <v>2.544017004796876</v>
      </c>
      <c r="O260" s="9">
        <v>-11.51292546497023</v>
      </c>
      <c r="P260" s="9">
        <v>4.4591877609491348E-2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1</v>
      </c>
      <c r="W260" s="9">
        <v>0</v>
      </c>
      <c r="X260" s="9">
        <v>-1.8773186206817627</v>
      </c>
      <c r="Y260">
        <f t="shared" si="32"/>
        <v>0.16111489733839218</v>
      </c>
      <c r="Z260">
        <f t="shared" si="33"/>
        <v>0.1529998067470367</v>
      </c>
      <c r="AA260">
        <f t="shared" si="34"/>
        <v>8.1150905913554838E-3</v>
      </c>
      <c r="AB260">
        <f t="shared" si="35"/>
        <v>6.5854695305906299E-5</v>
      </c>
      <c r="AC260" t="str">
        <f>VLOOKUP(A260, 'state-ids'!$A$1:$B$28, 2)</f>
        <v>SE</v>
      </c>
      <c r="AD260">
        <f>VLOOKUP(A260, 'state-ids'!$A$1:$C$28, 3)</f>
        <v>2.7699662E-2</v>
      </c>
      <c r="AE260">
        <f>VLOOKUP(A260, 'state-ids'!$A$1:$D$28, 4)</f>
        <v>0.51734590999999996</v>
      </c>
      <c r="AF260">
        <f t="shared" si="36"/>
        <v>2.6737005824639951E-2</v>
      </c>
      <c r="AG260">
        <f t="shared" si="37"/>
        <v>0.15803310435639101</v>
      </c>
      <c r="AH260">
        <f t="shared" si="38"/>
        <v>0.14812681785861467</v>
      </c>
      <c r="AI260">
        <f t="shared" si="39"/>
        <v>9.9062864977763343E-3</v>
      </c>
      <c r="AJ260" s="12"/>
    </row>
    <row r="261" spans="1:36" x14ac:dyDescent="0.25">
      <c r="A261" s="9">
        <v>28</v>
      </c>
      <c r="B261" s="9">
        <v>2013</v>
      </c>
      <c r="C261" s="9">
        <v>-1.789157529069664</v>
      </c>
      <c r="D261" s="9">
        <v>0.68006194101128981</v>
      </c>
      <c r="E261" s="9">
        <v>0.69129546719647095</v>
      </c>
      <c r="F261" s="9">
        <v>0.74074615935922428</v>
      </c>
      <c r="G261" s="9">
        <v>0.53051059708238879</v>
      </c>
      <c r="H261" s="9">
        <v>0.508262341362826</v>
      </c>
      <c r="I261" s="9">
        <v>0.53397558366469022</v>
      </c>
      <c r="J261" s="9">
        <v>-4.6031964212135046</v>
      </c>
      <c r="K261" s="9">
        <v>0.72379967174414939</v>
      </c>
      <c r="L261" s="9">
        <v>-1.578786139204712</v>
      </c>
      <c r="M261" s="9">
        <v>2.5497142344349002</v>
      </c>
      <c r="N261" s="9">
        <v>2.5492240521136251</v>
      </c>
      <c r="O261" s="9">
        <v>-11.51292546497023</v>
      </c>
      <c r="P261" s="9">
        <v>4.9018231220543385E-4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1</v>
      </c>
      <c r="W261" s="9">
        <v>0</v>
      </c>
      <c r="X261" s="9">
        <v>-1.8159003257751465</v>
      </c>
      <c r="Y261">
        <f t="shared" si="32"/>
        <v>0.16710088802374862</v>
      </c>
      <c r="Z261">
        <f t="shared" si="33"/>
        <v>0.1626913672014057</v>
      </c>
      <c r="AA261">
        <f t="shared" si="34"/>
        <v>4.4095208223429161E-3</v>
      </c>
      <c r="AB261">
        <f t="shared" si="35"/>
        <v>1.9443873882675746E-5</v>
      </c>
      <c r="AC261" t="str">
        <f>VLOOKUP(A261, 'state-ids'!$A$1:$B$28, 2)</f>
        <v>SE</v>
      </c>
      <c r="AD261">
        <f>VLOOKUP(A261, 'state-ids'!$A$1:$C$28, 3)</f>
        <v>2.7699662E-2</v>
      </c>
      <c r="AE261">
        <f>VLOOKUP(A261, 'state-ids'!$A$1:$D$28, 4)</f>
        <v>0.51734590999999996</v>
      </c>
      <c r="AF261">
        <f t="shared" si="36"/>
        <v>1.3835276497542855E-2</v>
      </c>
      <c r="AG261">
        <f t="shared" si="37"/>
        <v>0.16804349206357178</v>
      </c>
      <c r="AH261">
        <f t="shared" si="38"/>
        <v>0.15750970559365346</v>
      </c>
      <c r="AI261">
        <f t="shared" si="39"/>
        <v>1.0533786469918316E-2</v>
      </c>
      <c r="AJ261" s="12"/>
    </row>
    <row r="262" spans="1:36" x14ac:dyDescent="0.25">
      <c r="A262" s="9">
        <v>28</v>
      </c>
      <c r="B262" s="9">
        <v>2014</v>
      </c>
      <c r="C262" s="9">
        <v>-1.705889690029134</v>
      </c>
      <c r="D262" s="9">
        <v>0.63853258728672235</v>
      </c>
      <c r="E262" s="9">
        <v>0.68006194101128981</v>
      </c>
      <c r="F262" s="9">
        <v>0.69129546719647095</v>
      </c>
      <c r="G262" s="9">
        <v>0.47642049704181327</v>
      </c>
      <c r="H262" s="9">
        <v>0.53051059708238879</v>
      </c>
      <c r="I262" s="9">
        <v>0.508262341362826</v>
      </c>
      <c r="J262" s="9">
        <v>-3.94387044886727</v>
      </c>
      <c r="K262" s="9">
        <v>0.72379967174414939</v>
      </c>
      <c r="L262" s="9">
        <v>-1.5149088590435631</v>
      </c>
      <c r="M262" s="9">
        <v>2.522045503632826</v>
      </c>
      <c r="N262" s="9">
        <v>2.538882544445884</v>
      </c>
      <c r="O262" s="9">
        <v>-11.51292546497023</v>
      </c>
      <c r="P262" s="9">
        <v>-1.6837039962410927E-2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1</v>
      </c>
      <c r="W262" s="9">
        <v>0</v>
      </c>
      <c r="X262" s="9">
        <v>-1.743040919303894</v>
      </c>
      <c r="Y262">
        <f t="shared" si="32"/>
        <v>0.18161073701530112</v>
      </c>
      <c r="Z262">
        <f t="shared" si="33"/>
        <v>0.17498746795581938</v>
      </c>
      <c r="AA262">
        <f t="shared" si="34"/>
        <v>6.6232690594817401E-3</v>
      </c>
      <c r="AB262">
        <f t="shared" si="35"/>
        <v>4.3867693034288132E-5</v>
      </c>
      <c r="AC262" t="str">
        <f>VLOOKUP(A262, 'state-ids'!$A$1:$B$28, 2)</f>
        <v>SE</v>
      </c>
      <c r="AD262">
        <f>VLOOKUP(A262, 'state-ids'!$A$1:$C$28, 3)</f>
        <v>2.7699662E-2</v>
      </c>
      <c r="AE262">
        <f>VLOOKUP(A262, 'state-ids'!$A$1:$D$28, 4)</f>
        <v>0.51734590999999996</v>
      </c>
      <c r="AF262">
        <f t="shared" si="36"/>
        <v>1.9220036516769352E-2</v>
      </c>
      <c r="AG262">
        <f t="shared" si="37"/>
        <v>0.18074410270494168</v>
      </c>
      <c r="AH262">
        <f t="shared" si="38"/>
        <v>0.16941417995571328</v>
      </c>
      <c r="AI262">
        <f t="shared" si="39"/>
        <v>1.1329922749228394E-2</v>
      </c>
      <c r="AJ262" s="12"/>
    </row>
    <row r="263" spans="1:36" x14ac:dyDescent="0.25">
      <c r="A263" s="9">
        <v>28</v>
      </c>
      <c r="B263" s="9">
        <v>2015</v>
      </c>
      <c r="C263" s="9">
        <v>-1.7474812573818881</v>
      </c>
      <c r="D263" s="9">
        <v>0.67365850397608285</v>
      </c>
      <c r="E263" s="9">
        <v>0.63853258728672235</v>
      </c>
      <c r="F263" s="9">
        <v>0.68006194101128981</v>
      </c>
      <c r="G263" s="9">
        <v>0.43333964487414411</v>
      </c>
      <c r="H263" s="9">
        <v>0.47642049704181327</v>
      </c>
      <c r="I263" s="9">
        <v>0.53051059708238879</v>
      </c>
      <c r="J263" s="9">
        <v>-3.556658363383113</v>
      </c>
      <c r="K263" s="9">
        <v>0.72379967174414939</v>
      </c>
      <c r="L263" s="9">
        <v>-1.4676281744427999</v>
      </c>
      <c r="M263" s="9">
        <v>2.46715852785516</v>
      </c>
      <c r="N263" s="9">
        <v>2.511574621450873</v>
      </c>
      <c r="O263" s="9">
        <v>-11.51292546497023</v>
      </c>
      <c r="P263" s="9">
        <v>-4.4416092336177826E-2</v>
      </c>
      <c r="Q263" s="9">
        <v>1</v>
      </c>
      <c r="R263" s="9">
        <v>0</v>
      </c>
      <c r="S263" s="9">
        <v>0</v>
      </c>
      <c r="T263" s="9">
        <v>0</v>
      </c>
      <c r="U263" s="9">
        <v>0</v>
      </c>
      <c r="V263" s="9">
        <v>1</v>
      </c>
      <c r="W263" s="9">
        <v>0</v>
      </c>
      <c r="X263" s="9">
        <v>-1.8003939390182495</v>
      </c>
      <c r="Y263">
        <f t="shared" si="32"/>
        <v>0.17421218696735563</v>
      </c>
      <c r="Z263">
        <f t="shared" si="33"/>
        <v>0.16523378336435651</v>
      </c>
      <c r="AA263">
        <f t="shared" si="34"/>
        <v>8.9784036029991188E-3</v>
      </c>
      <c r="AB263">
        <f t="shared" si="35"/>
        <v>8.0611731258347554E-5</v>
      </c>
      <c r="AC263" t="str">
        <f>VLOOKUP(A263, 'state-ids'!$A$1:$B$28, 2)</f>
        <v>SE</v>
      </c>
      <c r="AD263">
        <f>VLOOKUP(A263, 'state-ids'!$A$1:$C$28, 3)</f>
        <v>2.7699662E-2</v>
      </c>
      <c r="AE263">
        <f>VLOOKUP(A263, 'state-ids'!$A$1:$D$28, 4)</f>
        <v>0.51734590999999996</v>
      </c>
      <c r="AF263">
        <f t="shared" si="36"/>
        <v>2.7374159431703689E-2</v>
      </c>
      <c r="AG263">
        <f t="shared" si="37"/>
        <v>0.17066954713736202</v>
      </c>
      <c r="AH263">
        <f t="shared" si="38"/>
        <v>0.15997114671503254</v>
      </c>
      <c r="AI263">
        <f t="shared" si="39"/>
        <v>1.0698400422329474E-2</v>
      </c>
      <c r="AJ263" s="12"/>
    </row>
    <row r="264" spans="1:36" x14ac:dyDescent="0.25">
      <c r="A264" s="9">
        <v>28</v>
      </c>
      <c r="B264" s="9">
        <v>2016</v>
      </c>
      <c r="C264" s="9">
        <v>-1.7385889625078721</v>
      </c>
      <c r="D264" s="9">
        <v>0.70066882195879143</v>
      </c>
      <c r="E264" s="9">
        <v>0.67365850397608285</v>
      </c>
      <c r="F264" s="9">
        <v>0.63853258728672235</v>
      </c>
      <c r="G264" s="9">
        <v>0.54197539275820672</v>
      </c>
      <c r="H264" s="9">
        <v>0.43333964487414411</v>
      </c>
      <c r="I264" s="9">
        <v>0.47642049704181327</v>
      </c>
      <c r="J264" s="9">
        <v>-3.248337093668606</v>
      </c>
      <c r="K264" s="9">
        <v>0.72379967174414939</v>
      </c>
      <c r="L264" s="9">
        <v>-1.43682327519625</v>
      </c>
      <c r="M264" s="9">
        <v>2.3873947918417349</v>
      </c>
      <c r="N264" s="9">
        <v>2.457026066451129</v>
      </c>
      <c r="O264" s="9">
        <v>-11.51292546497023</v>
      </c>
      <c r="P264" s="9">
        <v>-6.9631271064281464E-2</v>
      </c>
      <c r="Q264" s="9">
        <v>1</v>
      </c>
      <c r="R264" s="9">
        <v>0</v>
      </c>
      <c r="S264" s="9">
        <v>0</v>
      </c>
      <c r="T264" s="9">
        <v>0</v>
      </c>
      <c r="U264" s="9">
        <v>0</v>
      </c>
      <c r="V264" s="9">
        <v>1</v>
      </c>
      <c r="W264" s="9">
        <v>0</v>
      </c>
      <c r="X264" s="9">
        <v>-1.7709906101226807</v>
      </c>
      <c r="Y264">
        <f t="shared" si="32"/>
        <v>0.17576824129802582</v>
      </c>
      <c r="Z264">
        <f t="shared" si="33"/>
        <v>0.17016433878946041</v>
      </c>
      <c r="AA264">
        <f t="shared" si="34"/>
        <v>5.6039025085654059E-3</v>
      </c>
      <c r="AB264">
        <f t="shared" si="35"/>
        <v>3.1403723325505649E-5</v>
      </c>
      <c r="AC264" t="str">
        <f>VLOOKUP(A264, 'state-ids'!$A$1:$B$28, 2)</f>
        <v>SE</v>
      </c>
      <c r="AD264">
        <f>VLOOKUP(A264, 'state-ids'!$A$1:$C$28, 3)</f>
        <v>2.7699662E-2</v>
      </c>
      <c r="AE264">
        <f>VLOOKUP(A264, 'state-ids'!$A$1:$D$28, 4)</f>
        <v>0.51734590999999996</v>
      </c>
      <c r="AF264">
        <f t="shared" si="36"/>
        <v>1.6762859870782468E-2</v>
      </c>
      <c r="AG264">
        <f t="shared" si="37"/>
        <v>0.17576230507344681</v>
      </c>
      <c r="AH264">
        <f t="shared" si="38"/>
        <v>0.16474466572086824</v>
      </c>
      <c r="AI264">
        <f t="shared" si="39"/>
        <v>1.1017639352578573E-2</v>
      </c>
      <c r="AJ264" s="12"/>
    </row>
    <row r="265" spans="1:36" x14ac:dyDescent="0.25">
      <c r="A265" s="9">
        <v>28</v>
      </c>
      <c r="B265" s="9">
        <v>2017</v>
      </c>
      <c r="C265" s="9">
        <v>-1.740456109842007</v>
      </c>
      <c r="D265" s="9">
        <v>0.67970726819324312</v>
      </c>
      <c r="E265" s="9">
        <v>0.70066882195879143</v>
      </c>
      <c r="F265" s="9">
        <v>0.67365850397608285</v>
      </c>
      <c r="G265" s="9">
        <v>0.5192698705486537</v>
      </c>
      <c r="H265" s="9">
        <v>0.54197539275820672</v>
      </c>
      <c r="I265" s="9">
        <v>0.43333964487414411</v>
      </c>
      <c r="J265" s="9">
        <v>-2.623496262158679</v>
      </c>
      <c r="K265" s="9">
        <v>0.72379967174414939</v>
      </c>
      <c r="L265" s="9">
        <v>-1.4074115617086631</v>
      </c>
      <c r="M265" s="9">
        <v>2.3876248847915611</v>
      </c>
      <c r="N265" s="9">
        <v>2.3775846494733259</v>
      </c>
      <c r="O265" s="9">
        <v>-11.51292546497023</v>
      </c>
      <c r="P265" s="9">
        <v>1.0040235705673695E-2</v>
      </c>
      <c r="Q265" s="9">
        <v>1</v>
      </c>
      <c r="R265" s="9">
        <v>0</v>
      </c>
      <c r="S265" s="9">
        <v>0</v>
      </c>
      <c r="T265" s="9">
        <v>0</v>
      </c>
      <c r="U265" s="9">
        <v>0</v>
      </c>
      <c r="V265" s="9">
        <v>1</v>
      </c>
      <c r="W265" s="9">
        <v>0</v>
      </c>
      <c r="X265" s="9">
        <v>-1.7370442152023315</v>
      </c>
      <c r="Y265">
        <f t="shared" si="32"/>
        <v>0.1754403622893245</v>
      </c>
      <c r="Z265">
        <f t="shared" si="33"/>
        <v>0.17603996863617327</v>
      </c>
      <c r="AA265">
        <f t="shared" si="34"/>
        <v>-5.9960634684877445E-4</v>
      </c>
      <c r="AB265">
        <f t="shared" si="35"/>
        <v>3.5952777118133282E-7</v>
      </c>
      <c r="AC265" t="str">
        <f>VLOOKUP(A265, 'state-ids'!$A$1:$B$28, 2)</f>
        <v>SE</v>
      </c>
      <c r="AD265">
        <f>VLOOKUP(A265, 'state-ids'!$A$1:$C$28, 3)</f>
        <v>2.7699662E-2</v>
      </c>
      <c r="AE265">
        <f>VLOOKUP(A265, 'state-ids'!$A$1:$D$28, 4)</f>
        <v>0.51734590999999996</v>
      </c>
      <c r="AF265">
        <f t="shared" si="36"/>
        <v>-1.7651297371870465E-3</v>
      </c>
      <c r="AG265">
        <f t="shared" si="37"/>
        <v>0.18183122793333195</v>
      </c>
      <c r="AH265">
        <f t="shared" si="38"/>
        <v>0.17043315886744886</v>
      </c>
      <c r="AI265">
        <f t="shared" si="39"/>
        <v>1.1398069065883087E-2</v>
      </c>
      <c r="AJ265" s="12"/>
    </row>
    <row r="266" spans="1:36" x14ac:dyDescent="0.25">
      <c r="A266" s="9">
        <v>28</v>
      </c>
      <c r="B266" s="9">
        <v>2018</v>
      </c>
      <c r="C266" s="9">
        <v>-1.8173717630980011</v>
      </c>
      <c r="D266" s="9">
        <v>0.81801616260581456</v>
      </c>
      <c r="E266" s="9">
        <v>0.67970726819324312</v>
      </c>
      <c r="F266" s="9">
        <v>0.70066882195879143</v>
      </c>
      <c r="G266" s="9">
        <v>0.5875088485369484</v>
      </c>
      <c r="H266" s="9">
        <v>0.5192698705486537</v>
      </c>
      <c r="I266" s="9">
        <v>0.54197539275820672</v>
      </c>
      <c r="J266" s="9">
        <v>-2.186010896709349</v>
      </c>
      <c r="K266" s="9">
        <v>0.72379967174414939</v>
      </c>
      <c r="L266" s="9">
        <v>-1.365776873222653</v>
      </c>
      <c r="M266" s="9">
        <v>2.3795529648176008</v>
      </c>
      <c r="N266" s="9">
        <v>2.3919205941178721</v>
      </c>
      <c r="O266" s="9">
        <v>3.2580965380214821</v>
      </c>
      <c r="P266" s="9">
        <v>-1.2367629446089268E-2</v>
      </c>
      <c r="Q266" s="9">
        <v>1</v>
      </c>
      <c r="R266" s="9">
        <v>0</v>
      </c>
      <c r="S266" s="9">
        <v>0</v>
      </c>
      <c r="T266" s="9">
        <v>0</v>
      </c>
      <c r="U266" s="9">
        <v>0</v>
      </c>
      <c r="V266" s="9">
        <v>1</v>
      </c>
      <c r="W266" s="9">
        <v>0</v>
      </c>
      <c r="X266" s="9">
        <v>-1.8120787143707275</v>
      </c>
      <c r="Y266">
        <f t="shared" si="32"/>
        <v>0.16245215308904662</v>
      </c>
      <c r="Z266">
        <f t="shared" si="33"/>
        <v>0.16331429993096885</v>
      </c>
      <c r="AA266">
        <f t="shared" si="34"/>
        <v>-8.6214684192223445E-4</v>
      </c>
      <c r="AB266">
        <f t="shared" si="35"/>
        <v>7.4329717703648231E-7</v>
      </c>
      <c r="AC266" t="str">
        <f>VLOOKUP(A266, 'state-ids'!$A$1:$B$28, 2)</f>
        <v>SE</v>
      </c>
      <c r="AD266">
        <f>VLOOKUP(A266, 'state-ids'!$A$1:$C$28, 3)</f>
        <v>2.7699662E-2</v>
      </c>
      <c r="AE266">
        <f>VLOOKUP(A266, 'state-ids'!$A$1:$D$28, 4)</f>
        <v>0.51734590999999996</v>
      </c>
      <c r="AF266">
        <f t="shared" si="36"/>
        <v>-2.7383371104856718E-3</v>
      </c>
      <c r="AG266">
        <f t="shared" si="37"/>
        <v>0.16868691766750621</v>
      </c>
      <c r="AH266">
        <f t="shared" si="38"/>
        <v>0.15811279813953313</v>
      </c>
      <c r="AI266">
        <f t="shared" si="39"/>
        <v>1.0574119527973075E-2</v>
      </c>
      <c r="AJ266" s="12"/>
    </row>
    <row r="267" spans="1:36" x14ac:dyDescent="0.25">
      <c r="A267" s="9">
        <v>28</v>
      </c>
      <c r="B267" s="9">
        <v>2019</v>
      </c>
      <c r="C267" s="9">
        <v>-1.7997144227063051</v>
      </c>
      <c r="D267" s="9">
        <v>0.76899649284338312</v>
      </c>
      <c r="E267" s="9">
        <v>0.81801616260581456</v>
      </c>
      <c r="F267" s="9">
        <v>0.67970726819324312</v>
      </c>
      <c r="G267" s="9">
        <v>0.53672726128864368</v>
      </c>
      <c r="H267" s="9">
        <v>0.5875088485369484</v>
      </c>
      <c r="I267" s="9">
        <v>0.5192698705486537</v>
      </c>
      <c r="J267" s="9">
        <v>-1.4466780057683979</v>
      </c>
      <c r="K267" s="9">
        <v>0.72379967174414939</v>
      </c>
      <c r="L267" s="9">
        <v>-1.3360778215868709</v>
      </c>
      <c r="M267" s="9">
        <v>2.390909843085292</v>
      </c>
      <c r="N267" s="9">
        <v>2.370644021391632</v>
      </c>
      <c r="O267" s="9">
        <v>5.393627546352362</v>
      </c>
      <c r="P267" s="9">
        <v>2.0265821367502213E-2</v>
      </c>
      <c r="Q267" s="9">
        <v>1</v>
      </c>
      <c r="R267" s="9">
        <v>0</v>
      </c>
      <c r="S267" s="9">
        <v>0</v>
      </c>
      <c r="T267" s="9">
        <v>0</v>
      </c>
      <c r="U267" s="9">
        <v>0</v>
      </c>
      <c r="V267" s="9">
        <v>1</v>
      </c>
      <c r="W267" s="9">
        <v>0</v>
      </c>
      <c r="X267" s="9">
        <v>-1.7774075269699097</v>
      </c>
      <c r="Y267">
        <f t="shared" si="32"/>
        <v>0.16534610057180238</v>
      </c>
      <c r="Z267">
        <f t="shared" si="33"/>
        <v>0.16907590430871652</v>
      </c>
      <c r="AA267">
        <f t="shared" si="34"/>
        <v>-3.7298037369141446E-3</v>
      </c>
      <c r="AB267">
        <f t="shared" si="35"/>
        <v>1.3911435915898717E-5</v>
      </c>
      <c r="AC267" t="str">
        <f>VLOOKUP(A267, 'state-ids'!$A$1:$B$28, 2)</f>
        <v>SE</v>
      </c>
      <c r="AD267">
        <f>VLOOKUP(A267, 'state-ids'!$A$1:$C$28, 3)</f>
        <v>2.7699662E-2</v>
      </c>
      <c r="AE267">
        <f>VLOOKUP(A267, 'state-ids'!$A$1:$D$28, 4)</f>
        <v>0.51734590999999996</v>
      </c>
      <c r="AF267">
        <f t="shared" si="36"/>
        <v>-1.1540381274020618E-2</v>
      </c>
      <c r="AG267">
        <f t="shared" si="37"/>
        <v>0.17463806391564662</v>
      </c>
      <c r="AH267">
        <f t="shared" si="38"/>
        <v>0.16369089748737792</v>
      </c>
      <c r="AI267">
        <f t="shared" si="39"/>
        <v>1.0947166428268706E-2</v>
      </c>
      <c r="AJ267" s="12"/>
    </row>
    <row r="268" spans="1:36" x14ac:dyDescent="0.25">
      <c r="A268" s="9">
        <v>28</v>
      </c>
      <c r="B268" s="9">
        <v>2020</v>
      </c>
      <c r="C268" s="9">
        <v>-1.869611748696973</v>
      </c>
      <c r="D268" s="9">
        <v>0.731598366934198</v>
      </c>
      <c r="E268" s="9">
        <v>0.76899649284338312</v>
      </c>
      <c r="F268" s="9">
        <v>0.81801616260581456</v>
      </c>
      <c r="G268" s="9">
        <v>0.50675735959003665</v>
      </c>
      <c r="H268" s="9">
        <v>0.53672726128864368</v>
      </c>
      <c r="I268" s="9">
        <v>0.5875088485369484</v>
      </c>
      <c r="J268" s="9">
        <v>-0.86432792504382172</v>
      </c>
      <c r="K268" s="9">
        <v>0.72379967174414939</v>
      </c>
      <c r="L268" s="9">
        <v>-1.3133711893383231</v>
      </c>
      <c r="M268" s="9">
        <v>2.3354626018328828</v>
      </c>
      <c r="N268" s="9">
        <v>2.3821925506135671</v>
      </c>
      <c r="O268" s="9">
        <v>5.9914645471079817</v>
      </c>
      <c r="P268" s="9">
        <v>-4.6729948371648788E-2</v>
      </c>
      <c r="Q268" s="9">
        <v>1</v>
      </c>
      <c r="R268" s="9">
        <v>1</v>
      </c>
      <c r="S268" s="9">
        <v>0</v>
      </c>
      <c r="T268" s="9">
        <v>0</v>
      </c>
      <c r="U268" s="9">
        <v>0</v>
      </c>
      <c r="V268" s="9">
        <v>1</v>
      </c>
      <c r="W268" s="9">
        <v>0</v>
      </c>
      <c r="X268" s="9">
        <v>-1.8777117729187012</v>
      </c>
      <c r="Y268">
        <f t="shared" si="32"/>
        <v>0.15418351214539097</v>
      </c>
      <c r="Z268">
        <f t="shared" si="33"/>
        <v>0.15293966635370268</v>
      </c>
      <c r="AA268">
        <f t="shared" si="34"/>
        <v>1.2438457916882917E-3</v>
      </c>
      <c r="AB268">
        <f t="shared" si="35"/>
        <v>1.5471523535006732E-6</v>
      </c>
      <c r="AC268" t="str">
        <f>VLOOKUP(A268, 'state-ids'!$A$1:$B$28, 2)</f>
        <v>SE</v>
      </c>
      <c r="AD268">
        <f>VLOOKUP(A268, 'state-ids'!$A$1:$C$28, 3)</f>
        <v>2.7699662E-2</v>
      </c>
      <c r="AE268">
        <f>VLOOKUP(A268, 'state-ids'!$A$1:$D$28, 4)</f>
        <v>0.51734590999999996</v>
      </c>
      <c r="AF268">
        <f t="shared" si="36"/>
        <v>4.1905144020120038E-3</v>
      </c>
      <c r="AG268">
        <f t="shared" si="37"/>
        <v>0.1579709854997868</v>
      </c>
      <c r="AH268">
        <f t="shared" si="38"/>
        <v>0.14806859291520635</v>
      </c>
      <c r="AI268">
        <f t="shared" si="39"/>
        <v>9.9023925845804495E-3</v>
      </c>
      <c r="AJ268" s="12"/>
    </row>
    <row r="269" spans="1:36" x14ac:dyDescent="0.25">
      <c r="A269" s="9">
        <v>28</v>
      </c>
      <c r="B269" s="9">
        <v>2021</v>
      </c>
      <c r="C269" s="9">
        <v>-1.8545011063658161</v>
      </c>
      <c r="D269" s="9">
        <v>0.91091631553670016</v>
      </c>
      <c r="E269" s="9">
        <v>0.731598366934198</v>
      </c>
      <c r="F269" s="9">
        <v>0.76899649284338312</v>
      </c>
      <c r="G269" s="9">
        <v>0.73063562497093693</v>
      </c>
      <c r="H269" s="9">
        <v>0.50675735959003665</v>
      </c>
      <c r="I269" s="9">
        <v>0.53672726128864368</v>
      </c>
      <c r="J269" s="9">
        <v>-0.30543162233801641</v>
      </c>
      <c r="K269" s="9">
        <v>0.72379967174414939</v>
      </c>
      <c r="L269" s="9">
        <v>-1.2881167267698941</v>
      </c>
      <c r="M269" s="9">
        <v>2.3372132310973339</v>
      </c>
      <c r="N269" s="9">
        <v>2.3270233200535411</v>
      </c>
      <c r="O269" s="9">
        <v>6.6846117276679271</v>
      </c>
      <c r="P269" s="9">
        <v>1.0189911350607872E-2</v>
      </c>
      <c r="Q269" s="9">
        <v>1</v>
      </c>
      <c r="R269" s="9">
        <v>0</v>
      </c>
      <c r="S269" s="9">
        <v>0</v>
      </c>
      <c r="T269" s="9">
        <v>0</v>
      </c>
      <c r="U269" s="9">
        <v>0</v>
      </c>
      <c r="V269" s="9">
        <v>1</v>
      </c>
      <c r="W269" s="9">
        <v>0</v>
      </c>
      <c r="X269" s="9">
        <v>-1.8268163204193115</v>
      </c>
      <c r="Y269">
        <f t="shared" si="32"/>
        <v>0.15653101552550935</v>
      </c>
      <c r="Z269">
        <f t="shared" si="33"/>
        <v>0.16092508699996422</v>
      </c>
      <c r="AA269">
        <f t="shared" si="34"/>
        <v>-4.3940714744548637E-3</v>
      </c>
      <c r="AB269">
        <f t="shared" si="35"/>
        <v>1.930786412261794E-5</v>
      </c>
      <c r="AC269" t="str">
        <f>VLOOKUP(A269, 'state-ids'!$A$1:$B$28, 2)</f>
        <v>SE</v>
      </c>
      <c r="AD269">
        <f>VLOOKUP(A269, 'state-ids'!$A$1:$C$28, 3)</f>
        <v>2.7699662E-2</v>
      </c>
      <c r="AE269">
        <f>VLOOKUP(A269, 'state-ids'!$A$1:$D$28, 4)</f>
        <v>0.51734590999999996</v>
      </c>
      <c r="AF269">
        <f t="shared" si="36"/>
        <v>-1.4322610778649625E-2</v>
      </c>
      <c r="AG269">
        <f t="shared" si="37"/>
        <v>0.166219105815434</v>
      </c>
      <c r="AH269">
        <f t="shared" si="38"/>
        <v>0.15579968078219225</v>
      </c>
      <c r="AI269">
        <f t="shared" si="39"/>
        <v>1.0419425033241753E-2</v>
      </c>
      <c r="AJ269" s="12"/>
    </row>
    <row r="270" spans="1:36" x14ac:dyDescent="0.25">
      <c r="A270" s="9">
        <v>28</v>
      </c>
      <c r="B270" s="9">
        <v>2022</v>
      </c>
      <c r="C270" s="9">
        <v>-1.812582902906464</v>
      </c>
      <c r="D270" s="9">
        <v>0.89833040649716212</v>
      </c>
      <c r="E270" s="9">
        <v>0.91091631553670016</v>
      </c>
      <c r="F270" s="9">
        <v>0.731598366934198</v>
      </c>
      <c r="G270" s="9">
        <v>0.68868724983785201</v>
      </c>
      <c r="H270" s="9">
        <v>0.73063562497093693</v>
      </c>
      <c r="I270" s="9">
        <v>0.50675735959003665</v>
      </c>
      <c r="J270" s="9">
        <v>0.17654301594946539</v>
      </c>
      <c r="K270" s="9">
        <v>0.72379967174414939</v>
      </c>
      <c r="L270" s="9">
        <v>-1.255833566226364</v>
      </c>
      <c r="M270" s="9">
        <v>2.3559957060864791</v>
      </c>
      <c r="N270" s="9">
        <v>2.3372132310973339</v>
      </c>
      <c r="O270" s="9">
        <v>8.0551577318196781</v>
      </c>
      <c r="P270" s="9">
        <v>1.8782474100589752E-2</v>
      </c>
      <c r="Q270" s="9">
        <v>1</v>
      </c>
      <c r="R270" s="9">
        <v>0</v>
      </c>
      <c r="S270" s="9">
        <v>0</v>
      </c>
      <c r="T270" s="9">
        <v>0</v>
      </c>
      <c r="U270" s="9">
        <v>0</v>
      </c>
      <c r="V270" s="9">
        <v>1</v>
      </c>
      <c r="W270" s="9">
        <v>0</v>
      </c>
      <c r="X270" s="9">
        <v>-1.7981840372085571</v>
      </c>
      <c r="Y270">
        <f t="shared" si="32"/>
        <v>0.16323197948747764</v>
      </c>
      <c r="Z270">
        <f t="shared" si="33"/>
        <v>0.16559933757191778</v>
      </c>
      <c r="AA270">
        <f t="shared" si="34"/>
        <v>-2.3673580844401354E-3</v>
      </c>
      <c r="AB270">
        <f t="shared" si="35"/>
        <v>5.6043842999640675E-6</v>
      </c>
      <c r="AC270" t="str">
        <f>VLOOKUP(A270, 'state-ids'!$A$1:$B$28, 2)</f>
        <v>SE</v>
      </c>
      <c r="AD270">
        <f>VLOOKUP(A270, 'state-ids'!$A$1:$C$28, 3)</f>
        <v>2.7699662E-2</v>
      </c>
      <c r="AE270">
        <f>VLOOKUP(A270, 'state-ids'!$A$1:$D$28, 4)</f>
        <v>0.51734590999999996</v>
      </c>
      <c r="AF270">
        <f t="shared" si="36"/>
        <v>-7.4491942774513919E-3</v>
      </c>
      <c r="AG270">
        <f t="shared" si="37"/>
        <v>0.17104712713213258</v>
      </c>
      <c r="AH270">
        <f t="shared" si="38"/>
        <v>0.16032505815238751</v>
      </c>
      <c r="AI270">
        <f t="shared" si="39"/>
        <v>1.0722068979745064E-2</v>
      </c>
      <c r="AJ270" s="12"/>
    </row>
    <row r="271" spans="1:36" x14ac:dyDescent="0.25">
      <c r="A271" s="9">
        <v>28</v>
      </c>
      <c r="B271" s="9">
        <v>2023</v>
      </c>
      <c r="C271" s="9">
        <v>-1.719655696902602</v>
      </c>
      <c r="D271" s="9">
        <v>0.77094120799996546</v>
      </c>
      <c r="E271" s="9">
        <v>0.89833040649716212</v>
      </c>
      <c r="F271" s="9">
        <v>0.91091631553670016</v>
      </c>
      <c r="G271" s="9">
        <v>0.53203902016518811</v>
      </c>
      <c r="H271" s="9">
        <v>0.68868724983785201</v>
      </c>
      <c r="I271" s="9">
        <v>0.73063562497093693</v>
      </c>
      <c r="J271" s="9">
        <v>0.69230268383448001</v>
      </c>
      <c r="K271" s="9">
        <v>0.72379967174414939</v>
      </c>
      <c r="L271" s="9">
        <v>-1.2171116995767179</v>
      </c>
      <c r="M271" s="9">
        <v>2.3639908490931592</v>
      </c>
      <c r="N271" s="9">
        <v>2.3559957060864791</v>
      </c>
      <c r="O271" s="9">
        <v>8.4658998970286863</v>
      </c>
      <c r="P271" s="9">
        <v>7.9951426014304161E-3</v>
      </c>
      <c r="Q271" s="9">
        <v>1</v>
      </c>
      <c r="R271" s="9">
        <v>0</v>
      </c>
      <c r="S271" s="9">
        <v>0</v>
      </c>
      <c r="T271" s="9">
        <v>0</v>
      </c>
      <c r="U271" s="9">
        <v>0</v>
      </c>
      <c r="V271" s="9">
        <v>1</v>
      </c>
      <c r="W271" s="9">
        <v>0</v>
      </c>
      <c r="X271" s="9">
        <v>-1.7498687505722046</v>
      </c>
      <c r="Y271">
        <f t="shared" si="32"/>
        <v>0.17912781155574098</v>
      </c>
      <c r="Z271">
        <f t="shared" si="33"/>
        <v>0.17379675267790504</v>
      </c>
      <c r="AA271">
        <f t="shared" si="34"/>
        <v>5.3310588778359425E-3</v>
      </c>
      <c r="AB271">
        <f t="shared" si="35"/>
        <v>2.8420188758953416E-5</v>
      </c>
      <c r="AC271" t="str">
        <f>VLOOKUP(A271, 'state-ids'!$A$1:$B$28, 2)</f>
        <v>SE</v>
      </c>
      <c r="AD271">
        <f>VLOOKUP(A271, 'state-ids'!$A$1:$C$28, 3)</f>
        <v>2.7699662E-2</v>
      </c>
      <c r="AE271">
        <f>VLOOKUP(A271, 'state-ids'!$A$1:$D$28, 4)</f>
        <v>0.51734590999999996</v>
      </c>
      <c r="AF271">
        <f t="shared" si="36"/>
        <v>1.5630599744579386E-2</v>
      </c>
      <c r="AG271">
        <f t="shared" si="37"/>
        <v>0.17951421597649303</v>
      </c>
      <c r="AH271">
        <f t="shared" si="38"/>
        <v>0.16826138853170383</v>
      </c>
      <c r="AI271">
        <f t="shared" si="39"/>
        <v>1.1252827444789198E-2</v>
      </c>
      <c r="AJ271" s="12"/>
    </row>
    <row r="272" spans="1:36" x14ac:dyDescent="0.25">
      <c r="A272" s="9">
        <v>29</v>
      </c>
      <c r="B272" s="9">
        <v>2006</v>
      </c>
      <c r="C272" s="9">
        <v>-2.629085297957777</v>
      </c>
      <c r="D272" s="9">
        <v>0.97077891715822484</v>
      </c>
      <c r="E272" s="9">
        <v>0.89379969403862336</v>
      </c>
      <c r="F272" s="9">
        <v>0.85637086166195941</v>
      </c>
      <c r="G272" s="9">
        <v>0.62057648772510998</v>
      </c>
      <c r="H272" s="9">
        <v>0.56741387509418195</v>
      </c>
      <c r="I272" s="9">
        <v>0.49834810225487802</v>
      </c>
      <c r="J272" s="9">
        <v>-11.51292546497023</v>
      </c>
      <c r="K272" s="9">
        <v>1.382848308078898</v>
      </c>
      <c r="L272" s="9">
        <v>-2.5561013264933559</v>
      </c>
      <c r="M272" s="9">
        <v>2.220044820524175</v>
      </c>
      <c r="N272" s="9">
        <v>2.2087085512740452</v>
      </c>
      <c r="O272" s="9">
        <v>-11.51292546497023</v>
      </c>
      <c r="P272" s="9">
        <v>1.1336268857121468E-2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1</v>
      </c>
      <c r="W272" s="9">
        <v>0</v>
      </c>
      <c r="X272" s="9">
        <v>-2.8220891952514648</v>
      </c>
      <c r="Y272">
        <f t="shared" si="32"/>
        <v>7.214442271786968E-2</v>
      </c>
      <c r="Z272">
        <f t="shared" si="33"/>
        <v>5.9481544248056843E-2</v>
      </c>
      <c r="AA272">
        <f t="shared" si="34"/>
        <v>1.2662878469812837E-2</v>
      </c>
      <c r="AB272">
        <f t="shared" si="35"/>
        <v>1.6034849114124949E-4</v>
      </c>
      <c r="AC272" t="str">
        <f>VLOOKUP(A272, 'state-ids'!$A$1:$B$28, 2)</f>
        <v>BA</v>
      </c>
      <c r="AD272">
        <f>VLOOKUP(A272, 'state-ids'!$A$1:$C$28, 3)</f>
        <v>4.8521090000000003E-2</v>
      </c>
      <c r="AE272">
        <f>VLOOKUP(A272, 'state-ids'!$A$1:$D$28, 4)</f>
        <v>0.869367</v>
      </c>
      <c r="AF272">
        <f t="shared" si="36"/>
        <v>9.5376156019928576E-2</v>
      </c>
      <c r="AG272">
        <f t="shared" si="37"/>
        <v>6.5618241019826884E-2</v>
      </c>
      <c r="AH272">
        <f t="shared" si="38"/>
        <v>5.3918758734549183E-2</v>
      </c>
      <c r="AI272">
        <f t="shared" si="39"/>
        <v>1.1699482285277701E-2</v>
      </c>
      <c r="AJ272" s="12"/>
    </row>
    <row r="273" spans="1:36" x14ac:dyDescent="0.25">
      <c r="A273" s="9">
        <v>29</v>
      </c>
      <c r="B273" s="9">
        <v>2007</v>
      </c>
      <c r="C273" s="9">
        <v>-2.6662463024562171</v>
      </c>
      <c r="D273" s="9">
        <v>0.91573057501559185</v>
      </c>
      <c r="E273" s="9">
        <v>0.97077891715822484</v>
      </c>
      <c r="F273" s="9">
        <v>0.89379969403862336</v>
      </c>
      <c r="G273" s="9">
        <v>0.48106720160171512</v>
      </c>
      <c r="H273" s="9">
        <v>0.62057648772510998</v>
      </c>
      <c r="I273" s="9">
        <v>0.56741387509418195</v>
      </c>
      <c r="J273" s="9">
        <v>-11.51292546497023</v>
      </c>
      <c r="K273" s="9">
        <v>1.382848308078898</v>
      </c>
      <c r="L273" s="9">
        <v>-2.4598937520601778</v>
      </c>
      <c r="M273" s="9">
        <v>2.274871646071611</v>
      </c>
      <c r="N273" s="9">
        <v>2.2004386346696978</v>
      </c>
      <c r="O273" s="9">
        <v>-11.51292546497023</v>
      </c>
      <c r="P273" s="9">
        <v>7.4433013796806335E-2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1</v>
      </c>
      <c r="W273" s="9">
        <v>0</v>
      </c>
      <c r="X273" s="9">
        <v>-2.7677023410797119</v>
      </c>
      <c r="Y273">
        <f t="shared" si="32"/>
        <v>6.9512665718848204E-2</v>
      </c>
      <c r="Z273">
        <f t="shared" si="33"/>
        <v>6.2806146186837122E-2</v>
      </c>
      <c r="AA273">
        <f t="shared" si="34"/>
        <v>6.7065195320110821E-3</v>
      </c>
      <c r="AB273">
        <f t="shared" si="35"/>
        <v>4.4977404233246146E-5</v>
      </c>
      <c r="AC273" t="str">
        <f>VLOOKUP(A273, 'state-ids'!$A$1:$B$28, 2)</f>
        <v>BA</v>
      </c>
      <c r="AD273">
        <f>VLOOKUP(A273, 'state-ids'!$A$1:$C$28, 3)</f>
        <v>4.8521090000000003E-2</v>
      </c>
      <c r="AE273">
        <f>VLOOKUP(A273, 'state-ids'!$A$1:$D$28, 4)</f>
        <v>0.869367</v>
      </c>
      <c r="AF273">
        <f t="shared" si="36"/>
        <v>8.8202531929991834E-2</v>
      </c>
      <c r="AG273">
        <f t="shared" si="37"/>
        <v>6.9285841349840074E-2</v>
      </c>
      <c r="AH273">
        <f t="shared" si="38"/>
        <v>5.693243990392071E-2</v>
      </c>
      <c r="AI273">
        <f t="shared" si="39"/>
        <v>1.2353401445919364E-2</v>
      </c>
      <c r="AJ273" s="12"/>
    </row>
    <row r="274" spans="1:36" x14ac:dyDescent="0.25">
      <c r="A274" s="9">
        <v>29</v>
      </c>
      <c r="B274" s="9">
        <v>2008</v>
      </c>
      <c r="C274" s="9">
        <v>-2.625445327537109</v>
      </c>
      <c r="D274" s="9">
        <v>0.86221462167548391</v>
      </c>
      <c r="E274" s="9">
        <v>0.91573057501559185</v>
      </c>
      <c r="F274" s="9">
        <v>0.97077891715822484</v>
      </c>
      <c r="G274" s="9">
        <v>0.4296372600791496</v>
      </c>
      <c r="H274" s="9">
        <v>0.48106720160171512</v>
      </c>
      <c r="I274" s="9">
        <v>0.62057648772510998</v>
      </c>
      <c r="J274" s="9">
        <v>-11.51292546497023</v>
      </c>
      <c r="K274" s="9">
        <v>1.382848308078898</v>
      </c>
      <c r="L274" s="9">
        <v>-2.3518702232055779</v>
      </c>
      <c r="M274" s="9">
        <v>2.2784234404880701</v>
      </c>
      <c r="N274" s="9">
        <v>2.2556424136612621</v>
      </c>
      <c r="O274" s="9">
        <v>-11.51292546497023</v>
      </c>
      <c r="P274" s="9">
        <v>2.2781027480959892E-2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1</v>
      </c>
      <c r="W274" s="9">
        <v>0</v>
      </c>
      <c r="X274" s="9">
        <v>-2.7040789127349854</v>
      </c>
      <c r="Y274">
        <f t="shared" si="32"/>
        <v>7.2407504797600192E-2</v>
      </c>
      <c r="Z274">
        <f t="shared" si="33"/>
        <v>6.6931945625457526E-2</v>
      </c>
      <c r="AA274">
        <f t="shared" si="34"/>
        <v>5.4755591721426661E-3</v>
      </c>
      <c r="AB274">
        <f t="shared" si="35"/>
        <v>2.9981748247635679E-5</v>
      </c>
      <c r="AC274" t="str">
        <f>VLOOKUP(A274, 'state-ids'!$A$1:$B$28, 2)</f>
        <v>BA</v>
      </c>
      <c r="AD274">
        <f>VLOOKUP(A274, 'state-ids'!$A$1:$C$28, 3)</f>
        <v>4.8521090000000003E-2</v>
      </c>
      <c r="AE274">
        <f>VLOOKUP(A274, 'state-ids'!$A$1:$D$28, 4)</f>
        <v>0.869367</v>
      </c>
      <c r="AF274">
        <f t="shared" si="36"/>
        <v>6.8361444062722154E-2</v>
      </c>
      <c r="AG274">
        <f t="shared" si="37"/>
        <v>7.3837298535178772E-2</v>
      </c>
      <c r="AH274">
        <f t="shared" si="38"/>
        <v>6.0672389619926603E-2</v>
      </c>
      <c r="AI274">
        <f t="shared" si="39"/>
        <v>1.3164908915252169E-2</v>
      </c>
      <c r="AJ274" s="12"/>
    </row>
    <row r="275" spans="1:36" x14ac:dyDescent="0.25">
      <c r="A275" s="9">
        <v>29</v>
      </c>
      <c r="B275" s="9">
        <v>2009</v>
      </c>
      <c r="C275" s="9">
        <v>-2.6286510813579991</v>
      </c>
      <c r="D275" s="9">
        <v>0.82763436626869735</v>
      </c>
      <c r="E275" s="9">
        <v>0.86221462167548391</v>
      </c>
      <c r="F275" s="9">
        <v>0.91573057501559185</v>
      </c>
      <c r="G275" s="9">
        <v>0.40499833251872053</v>
      </c>
      <c r="H275" s="9">
        <v>0.4296372600791496</v>
      </c>
      <c r="I275" s="9">
        <v>0.48106720160171512</v>
      </c>
      <c r="J275" s="9">
        <v>-11.51292546497023</v>
      </c>
      <c r="K275" s="9">
        <v>1.382848308078898</v>
      </c>
      <c r="L275" s="9">
        <v>-2.232301838313691</v>
      </c>
      <c r="M275" s="9">
        <v>2.3241325343923962</v>
      </c>
      <c r="N275" s="9">
        <v>2.2691713952387511</v>
      </c>
      <c r="O275" s="9">
        <v>-11.51292546497023</v>
      </c>
      <c r="P275" s="9">
        <v>5.4961137473583221E-2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1</v>
      </c>
      <c r="W275" s="9">
        <v>0</v>
      </c>
      <c r="X275" s="9">
        <v>-2.6009092330932617</v>
      </c>
      <c r="Y275">
        <f t="shared" si="32"/>
        <v>7.2175755825980695E-2</v>
      </c>
      <c r="Z275">
        <f t="shared" si="33"/>
        <v>7.4206076910926191E-2</v>
      </c>
      <c r="AA275">
        <f t="shared" si="34"/>
        <v>-2.0303210849454967E-3</v>
      </c>
      <c r="AB275">
        <f t="shared" si="35"/>
        <v>4.1222037079742591E-6</v>
      </c>
      <c r="AC275" t="str">
        <f>VLOOKUP(A275, 'state-ids'!$A$1:$B$28, 2)</f>
        <v>BA</v>
      </c>
      <c r="AD275">
        <f>VLOOKUP(A275, 'state-ids'!$A$1:$C$28, 3)</f>
        <v>4.8521090000000003E-2</v>
      </c>
      <c r="AE275">
        <f>VLOOKUP(A275, 'state-ids'!$A$1:$D$28, 4)</f>
        <v>0.869367</v>
      </c>
      <c r="AF275">
        <f t="shared" si="36"/>
        <v>-2.4117847400369923E-2</v>
      </c>
      <c r="AG275">
        <f t="shared" si="37"/>
        <v>8.1861900215141711E-2</v>
      </c>
      <c r="AH275">
        <f t="shared" si="38"/>
        <v>6.7266235404242036E-2</v>
      </c>
      <c r="AI275">
        <f t="shared" si="39"/>
        <v>1.4595664810899675E-2</v>
      </c>
      <c r="AJ275" s="12"/>
    </row>
    <row r="276" spans="1:36" x14ac:dyDescent="0.25">
      <c r="A276" s="9">
        <v>29</v>
      </c>
      <c r="B276" s="9">
        <v>2010</v>
      </c>
      <c r="C276" s="9">
        <v>-2.4232699220657108</v>
      </c>
      <c r="D276" s="9">
        <v>0.7963804352015974</v>
      </c>
      <c r="E276" s="9">
        <v>0.82763436626869735</v>
      </c>
      <c r="F276" s="9">
        <v>0.86221462167548391</v>
      </c>
      <c r="G276" s="9">
        <v>0.43067791057956828</v>
      </c>
      <c r="H276" s="9">
        <v>0.40499833251872053</v>
      </c>
      <c r="I276" s="9">
        <v>0.4296372600791496</v>
      </c>
      <c r="J276" s="9">
        <v>-9.5727204406975037</v>
      </c>
      <c r="K276" s="9">
        <v>1.382848308078898</v>
      </c>
      <c r="L276" s="9">
        <v>-2.089347798874174</v>
      </c>
      <c r="M276" s="9">
        <v>2.3747080676031711</v>
      </c>
      <c r="N276" s="9">
        <v>2.342744810353603</v>
      </c>
      <c r="O276" s="9">
        <v>-11.51292546497023</v>
      </c>
      <c r="P276" s="9">
        <v>3.1963258981704712E-2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1</v>
      </c>
      <c r="W276" s="9">
        <v>0</v>
      </c>
      <c r="X276" s="9">
        <v>-2.4615674018859863</v>
      </c>
      <c r="Y276">
        <f t="shared" si="32"/>
        <v>8.8631325574915917E-2</v>
      </c>
      <c r="Z276">
        <f t="shared" si="33"/>
        <v>8.5301144955337652E-2</v>
      </c>
      <c r="AA276">
        <f t="shared" si="34"/>
        <v>3.3301806195782657E-3</v>
      </c>
      <c r="AB276">
        <f t="shared" si="35"/>
        <v>1.1090102959014682E-5</v>
      </c>
      <c r="AC276" t="str">
        <f>VLOOKUP(A276, 'state-ids'!$A$1:$B$28, 2)</f>
        <v>BA</v>
      </c>
      <c r="AD276">
        <f>VLOOKUP(A276, 'state-ids'!$A$1:$C$28, 3)</f>
        <v>4.8521090000000003E-2</v>
      </c>
      <c r="AE276">
        <f>VLOOKUP(A276, 'state-ids'!$A$1:$D$28, 4)</f>
        <v>0.869367</v>
      </c>
      <c r="AF276">
        <f t="shared" si="36"/>
        <v>3.3294565138913483E-2</v>
      </c>
      <c r="AG276">
        <f t="shared" si="37"/>
        <v>9.4101643790618125E-2</v>
      </c>
      <c r="AH276">
        <f t="shared" si="38"/>
        <v>7.7323679349127011E-2</v>
      </c>
      <c r="AI276">
        <f t="shared" si="39"/>
        <v>1.6777964441491114E-2</v>
      </c>
      <c r="AJ276" s="12"/>
    </row>
    <row r="277" spans="1:36" x14ac:dyDescent="0.25">
      <c r="A277" s="9">
        <v>29</v>
      </c>
      <c r="B277" s="9">
        <v>2011</v>
      </c>
      <c r="C277" s="9">
        <v>-2.1830046985633729</v>
      </c>
      <c r="D277" s="9">
        <v>0.74806141143733718</v>
      </c>
      <c r="E277" s="9">
        <v>0.7963804352015974</v>
      </c>
      <c r="F277" s="9">
        <v>0.82763436626869735</v>
      </c>
      <c r="G277" s="9">
        <v>0.47840573250987939</v>
      </c>
      <c r="H277" s="9">
        <v>0.43067791057956828</v>
      </c>
      <c r="I277" s="9">
        <v>0.40499833251872053</v>
      </c>
      <c r="J277" s="9">
        <v>-7.9443172550196612</v>
      </c>
      <c r="K277" s="9">
        <v>1.382848308078898</v>
      </c>
      <c r="L277" s="9">
        <v>-1.958855689807649</v>
      </c>
      <c r="M277" s="9">
        <v>2.389706123292918</v>
      </c>
      <c r="N277" s="9">
        <v>2.393673340847108</v>
      </c>
      <c r="O277" s="9">
        <v>-11.51292546497023</v>
      </c>
      <c r="P277" s="9">
        <v>-3.9672176353633404E-3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1</v>
      </c>
      <c r="W277" s="9">
        <v>0</v>
      </c>
      <c r="X277" s="9">
        <v>-2.2967362403869629</v>
      </c>
      <c r="Y277">
        <f t="shared" si="32"/>
        <v>0.11270238468657003</v>
      </c>
      <c r="Z277">
        <f t="shared" si="33"/>
        <v>0.10058659905416184</v>
      </c>
      <c r="AA277">
        <f t="shared" si="34"/>
        <v>1.2115785632408185E-2</v>
      </c>
      <c r="AB277">
        <f t="shared" si="35"/>
        <v>1.467922614904686E-4</v>
      </c>
      <c r="AC277" t="str">
        <f>VLOOKUP(A277, 'state-ids'!$A$1:$B$28, 2)</f>
        <v>BA</v>
      </c>
      <c r="AD277">
        <f>VLOOKUP(A277, 'state-ids'!$A$1:$C$28, 3)</f>
        <v>4.8521090000000003E-2</v>
      </c>
      <c r="AE277">
        <f>VLOOKUP(A277, 'state-ids'!$A$1:$D$28, 4)</f>
        <v>0.869367</v>
      </c>
      <c r="AF277">
        <f t="shared" si="36"/>
        <v>9.8874449320548979E-2</v>
      </c>
      <c r="AG277">
        <f t="shared" si="37"/>
        <v>0.11096409455301429</v>
      </c>
      <c r="AH277">
        <f t="shared" si="38"/>
        <v>9.1179619407869728E-2</v>
      </c>
      <c r="AI277">
        <f t="shared" si="39"/>
        <v>1.9784475145144559E-2</v>
      </c>
      <c r="AJ277" s="12"/>
    </row>
    <row r="278" spans="1:36" x14ac:dyDescent="0.25">
      <c r="A278" s="9">
        <v>29</v>
      </c>
      <c r="B278" s="9">
        <v>2012</v>
      </c>
      <c r="C278" s="9">
        <v>-2.0402557814915272</v>
      </c>
      <c r="D278" s="9">
        <v>0.6840055226426619</v>
      </c>
      <c r="E278" s="9">
        <v>0.74806141143733718</v>
      </c>
      <c r="F278" s="9">
        <v>0.7963804352015974</v>
      </c>
      <c r="G278" s="9">
        <v>0.4263782296883713</v>
      </c>
      <c r="H278" s="9">
        <v>0.47840573250987939</v>
      </c>
      <c r="I278" s="9">
        <v>0.43067791057956828</v>
      </c>
      <c r="J278" s="9">
        <v>-7.4798176430643304</v>
      </c>
      <c r="K278" s="9">
        <v>1.382848308078898</v>
      </c>
      <c r="L278" s="9">
        <v>-1.85830010033828</v>
      </c>
      <c r="M278" s="9">
        <v>2.3993026863329461</v>
      </c>
      <c r="N278" s="9">
        <v>2.384202106002494</v>
      </c>
      <c r="O278" s="9">
        <v>-11.51292546497023</v>
      </c>
      <c r="P278" s="9">
        <v>1.5100580640137196E-2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1</v>
      </c>
      <c r="W278" s="9">
        <v>0</v>
      </c>
      <c r="X278" s="9">
        <v>-2.1578717231750488</v>
      </c>
      <c r="Y278">
        <f t="shared" si="32"/>
        <v>0.12999545619396377</v>
      </c>
      <c r="Z278">
        <f t="shared" si="33"/>
        <v>0.11557082619205029</v>
      </c>
      <c r="AA278">
        <f t="shared" si="34"/>
        <v>1.4424630001913477E-2</v>
      </c>
      <c r="AB278">
        <f t="shared" si="35"/>
        <v>2.080699506921024E-4</v>
      </c>
      <c r="AC278" t="str">
        <f>VLOOKUP(A278, 'state-ids'!$A$1:$B$28, 2)</f>
        <v>BA</v>
      </c>
      <c r="AD278">
        <f>VLOOKUP(A278, 'state-ids'!$A$1:$C$28, 3)</f>
        <v>4.8521090000000003E-2</v>
      </c>
      <c r="AE278">
        <f>VLOOKUP(A278, 'state-ids'!$A$1:$D$28, 4)</f>
        <v>0.869367</v>
      </c>
      <c r="AF278">
        <f t="shared" si="36"/>
        <v>0.10225141837357815</v>
      </c>
      <c r="AG278">
        <f t="shared" si="37"/>
        <v>0.1274942408405649</v>
      </c>
      <c r="AH278">
        <f t="shared" si="38"/>
        <v>0.10476250361313119</v>
      </c>
      <c r="AI278">
        <f t="shared" si="39"/>
        <v>2.2731737227433713E-2</v>
      </c>
      <c r="AJ278" s="12"/>
    </row>
    <row r="279" spans="1:36" x14ac:dyDescent="0.25">
      <c r="A279" s="9">
        <v>29</v>
      </c>
      <c r="B279" s="9">
        <v>2013</v>
      </c>
      <c r="C279" s="9">
        <v>-2.0463788297089032</v>
      </c>
      <c r="D279" s="9">
        <v>0.68697819141441629</v>
      </c>
      <c r="E279" s="9">
        <v>0.6840055226426619</v>
      </c>
      <c r="F279" s="9">
        <v>0.74806141143733718</v>
      </c>
      <c r="G279" s="9">
        <v>0.4287258016827164</v>
      </c>
      <c r="H279" s="9">
        <v>0.4263782296883713</v>
      </c>
      <c r="I279" s="9">
        <v>0.47840573250987939</v>
      </c>
      <c r="J279" s="9">
        <v>-6.674304647002967</v>
      </c>
      <c r="K279" s="9">
        <v>1.382848308078898</v>
      </c>
      <c r="L279" s="9">
        <v>-1.828241575759683</v>
      </c>
      <c r="M279" s="9">
        <v>2.382557656180655</v>
      </c>
      <c r="N279" s="9">
        <v>2.3398182449075948</v>
      </c>
      <c r="O279" s="9">
        <v>-11.51292546497023</v>
      </c>
      <c r="P279" s="9">
        <v>4.2739409953355789E-2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1</v>
      </c>
      <c r="W279" s="9">
        <v>0</v>
      </c>
      <c r="X279" s="9">
        <v>-2.1151494979858398</v>
      </c>
      <c r="Y279">
        <f t="shared" si="32"/>
        <v>0.12920191965813646</v>
      </c>
      <c r="Z279">
        <f t="shared" si="33"/>
        <v>0.12061525646733345</v>
      </c>
      <c r="AA279">
        <f t="shared" si="34"/>
        <v>8.5866631908030067E-3</v>
      </c>
      <c r="AB279">
        <f t="shared" si="35"/>
        <v>7.3730784752291267E-5</v>
      </c>
      <c r="AC279" t="str">
        <f>VLOOKUP(A279, 'state-ids'!$A$1:$B$28, 2)</f>
        <v>BA</v>
      </c>
      <c r="AD279">
        <f>VLOOKUP(A279, 'state-ids'!$A$1:$C$28, 3)</f>
        <v>4.8521090000000003E-2</v>
      </c>
      <c r="AE279">
        <f>VLOOKUP(A279, 'state-ids'!$A$1:$D$28, 4)</f>
        <v>0.869367</v>
      </c>
      <c r="AF279">
        <f t="shared" si="36"/>
        <v>5.9786949567915609E-2</v>
      </c>
      <c r="AG279">
        <f t="shared" si="37"/>
        <v>0.13305910378747898</v>
      </c>
      <c r="AH279">
        <f t="shared" si="38"/>
        <v>0.10933517270578227</v>
      </c>
      <c r="AI279">
        <f t="shared" si="39"/>
        <v>2.3723931081696709E-2</v>
      </c>
      <c r="AJ279" s="12"/>
    </row>
    <row r="280" spans="1:36" x14ac:dyDescent="0.25">
      <c r="A280" s="9">
        <v>29</v>
      </c>
      <c r="B280" s="9">
        <v>2014</v>
      </c>
      <c r="C280" s="9">
        <v>-1.953292082765113</v>
      </c>
      <c r="D280" s="9">
        <v>0.66541620682163427</v>
      </c>
      <c r="E280" s="9">
        <v>0.68697819141441629</v>
      </c>
      <c r="F280" s="9">
        <v>0.6840055226426619</v>
      </c>
      <c r="G280" s="9">
        <v>0.42304304038223289</v>
      </c>
      <c r="H280" s="9">
        <v>0.4287258016827164</v>
      </c>
      <c r="I280" s="9">
        <v>0.4263782296883713</v>
      </c>
      <c r="J280" s="9">
        <v>-5.9866087636928187</v>
      </c>
      <c r="K280" s="9">
        <v>1.382848308078898</v>
      </c>
      <c r="L280" s="9">
        <v>-1.7551732524677071</v>
      </c>
      <c r="M280" s="9">
        <v>2.3906489800003539</v>
      </c>
      <c r="N280" s="9">
        <v>2.3771063589308312</v>
      </c>
      <c r="O280" s="9">
        <v>-11.51292546497023</v>
      </c>
      <c r="P280" s="9">
        <v>1.3542621396481991E-2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1</v>
      </c>
      <c r="W280" s="9">
        <v>0</v>
      </c>
      <c r="X280" s="9">
        <v>-2.0411107540130615</v>
      </c>
      <c r="Y280">
        <f t="shared" si="32"/>
        <v>0.14180646369178704</v>
      </c>
      <c r="Z280">
        <f t="shared" si="33"/>
        <v>0.12988436114936616</v>
      </c>
      <c r="AA280">
        <f t="shared" si="34"/>
        <v>1.1922102542420876E-2</v>
      </c>
      <c r="AB280">
        <f t="shared" si="35"/>
        <v>1.4213652903199831E-4</v>
      </c>
      <c r="AC280" t="str">
        <f>VLOOKUP(A280, 'state-ids'!$A$1:$B$28, 2)</f>
        <v>BA</v>
      </c>
      <c r="AD280">
        <f>VLOOKUP(A280, 'state-ids'!$A$1:$C$28, 3)</f>
        <v>4.8521090000000003E-2</v>
      </c>
      <c r="AE280">
        <f>VLOOKUP(A280, 'state-ids'!$A$1:$D$28, 4)</f>
        <v>0.869367</v>
      </c>
      <c r="AF280">
        <f t="shared" si="36"/>
        <v>7.634665476681525E-2</v>
      </c>
      <c r="AG280">
        <f t="shared" si="37"/>
        <v>0.14328449979480434</v>
      </c>
      <c r="AH280">
        <f t="shared" si="38"/>
        <v>0.11773741957670357</v>
      </c>
      <c r="AI280">
        <f t="shared" si="39"/>
        <v>2.5547080218100773E-2</v>
      </c>
      <c r="AJ280" s="12"/>
    </row>
    <row r="281" spans="1:36" x14ac:dyDescent="0.25">
      <c r="A281" s="9">
        <v>29</v>
      </c>
      <c r="B281" s="9">
        <v>2015</v>
      </c>
      <c r="C281" s="9">
        <v>-2.0032879398494932</v>
      </c>
      <c r="D281" s="9">
        <v>0.71720544565301625</v>
      </c>
      <c r="E281" s="9">
        <v>0.66541620682163427</v>
      </c>
      <c r="F281" s="9">
        <v>0.68697819141441629</v>
      </c>
      <c r="G281" s="9">
        <v>0.40653120629016198</v>
      </c>
      <c r="H281" s="9">
        <v>0.42304304038223289</v>
      </c>
      <c r="I281" s="9">
        <v>0.4287258016827164</v>
      </c>
      <c r="J281" s="9">
        <v>-5.5349254626655782</v>
      </c>
      <c r="K281" s="9">
        <v>1.382848308078898</v>
      </c>
      <c r="L281" s="9">
        <v>-1.701241367198965</v>
      </c>
      <c r="M281" s="9">
        <v>2.4027409948229188</v>
      </c>
      <c r="N281" s="9">
        <v>2.3855738785318512</v>
      </c>
      <c r="O281" s="9">
        <v>-11.51292546497023</v>
      </c>
      <c r="P281" s="9">
        <v>1.7167115584015846E-2</v>
      </c>
      <c r="Q281" s="9">
        <v>1</v>
      </c>
      <c r="R281" s="9">
        <v>0</v>
      </c>
      <c r="S281" s="9">
        <v>0</v>
      </c>
      <c r="T281" s="9">
        <v>0</v>
      </c>
      <c r="U281" s="9">
        <v>0</v>
      </c>
      <c r="V281" s="9">
        <v>1</v>
      </c>
      <c r="W281" s="9">
        <v>0</v>
      </c>
      <c r="X281" s="9">
        <v>-2.0975210666656494</v>
      </c>
      <c r="Y281">
        <f t="shared" si="32"/>
        <v>0.13489103968905766</v>
      </c>
      <c r="Z281">
        <f t="shared" si="33"/>
        <v>0.12276036614021955</v>
      </c>
      <c r="AA281">
        <f t="shared" si="34"/>
        <v>1.2130673548838108E-2</v>
      </c>
      <c r="AB281">
        <f t="shared" si="35"/>
        <v>1.4715324074848055E-4</v>
      </c>
      <c r="AC281" t="str">
        <f>VLOOKUP(A281, 'state-ids'!$A$1:$B$28, 2)</f>
        <v>BA</v>
      </c>
      <c r="AD281">
        <f>VLOOKUP(A281, 'state-ids'!$A$1:$C$28, 3)</f>
        <v>4.8521090000000003E-2</v>
      </c>
      <c r="AE281">
        <f>VLOOKUP(A281, 'state-ids'!$A$1:$D$28, 4)</f>
        <v>0.869367</v>
      </c>
      <c r="AF281">
        <f t="shared" si="36"/>
        <v>8.1923170760781316E-2</v>
      </c>
      <c r="AG281">
        <f t="shared" si="37"/>
        <v>0.13542552391508017</v>
      </c>
      <c r="AH281">
        <f t="shared" si="38"/>
        <v>0.11127966914368825</v>
      </c>
      <c r="AI281">
        <f t="shared" si="39"/>
        <v>2.4145854771391917E-2</v>
      </c>
      <c r="AJ281" s="12"/>
    </row>
    <row r="282" spans="1:36" x14ac:dyDescent="0.25">
      <c r="A282" s="9">
        <v>29</v>
      </c>
      <c r="B282" s="9">
        <v>2016</v>
      </c>
      <c r="C282" s="9">
        <v>-1.933059323500631</v>
      </c>
      <c r="D282" s="9">
        <v>0.72750029693160778</v>
      </c>
      <c r="E282" s="9">
        <v>0.71720544565301625</v>
      </c>
      <c r="F282" s="9">
        <v>0.66541620682163427</v>
      </c>
      <c r="G282" s="9">
        <v>0.49968378334714619</v>
      </c>
      <c r="H282" s="9">
        <v>0.40653120629016198</v>
      </c>
      <c r="I282" s="9">
        <v>0.42304304038223289</v>
      </c>
      <c r="J282" s="9">
        <v>-5.1681671805886298</v>
      </c>
      <c r="K282" s="9">
        <v>1.382848308078898</v>
      </c>
      <c r="L282" s="9">
        <v>-1.6646193261471509</v>
      </c>
      <c r="M282" s="9">
        <v>2.374399034037272</v>
      </c>
      <c r="N282" s="9">
        <v>2.3979357204673888</v>
      </c>
      <c r="O282" s="9">
        <v>-11.51292546497023</v>
      </c>
      <c r="P282" s="9">
        <v>-2.3536685854196548E-2</v>
      </c>
      <c r="Q282" s="9">
        <v>1</v>
      </c>
      <c r="R282" s="9">
        <v>0</v>
      </c>
      <c r="S282" s="9">
        <v>0</v>
      </c>
      <c r="T282" s="9">
        <v>0</v>
      </c>
      <c r="U282" s="9">
        <v>0</v>
      </c>
      <c r="V282" s="9">
        <v>1</v>
      </c>
      <c r="W282" s="9">
        <v>0</v>
      </c>
      <c r="X282" s="9">
        <v>-2.0539631843566895</v>
      </c>
      <c r="Y282">
        <f t="shared" si="32"/>
        <v>0.144704821751171</v>
      </c>
      <c r="Z282">
        <f t="shared" si="33"/>
        <v>0.12822571310610148</v>
      </c>
      <c r="AA282">
        <f t="shared" si="34"/>
        <v>1.6479108645069518E-2</v>
      </c>
      <c r="AB282">
        <f t="shared" si="35"/>
        <v>2.7156102173600495E-4</v>
      </c>
      <c r="AC282" t="str">
        <f>VLOOKUP(A282, 'state-ids'!$A$1:$B$28, 2)</f>
        <v>BA</v>
      </c>
      <c r="AD282">
        <f>VLOOKUP(A282, 'state-ids'!$A$1:$C$28, 3)</f>
        <v>4.8521090000000003E-2</v>
      </c>
      <c r="AE282">
        <f>VLOOKUP(A282, 'state-ids'!$A$1:$D$28, 4)</f>
        <v>0.869367</v>
      </c>
      <c r="AF282">
        <f t="shared" si="36"/>
        <v>0.10510982680084895</v>
      </c>
      <c r="AG282">
        <f t="shared" si="37"/>
        <v>0.14145472942744269</v>
      </c>
      <c r="AH282">
        <f t="shared" si="38"/>
        <v>0.11623389029210127</v>
      </c>
      <c r="AI282">
        <f t="shared" si="39"/>
        <v>2.5220839135341427E-2</v>
      </c>
      <c r="AJ282" s="12"/>
    </row>
    <row r="283" spans="1:36" x14ac:dyDescent="0.25">
      <c r="A283" s="9">
        <v>29</v>
      </c>
      <c r="B283" s="9">
        <v>2017</v>
      </c>
      <c r="C283" s="9">
        <v>-1.9193188007571429</v>
      </c>
      <c r="D283" s="9">
        <v>0.7089220996753075</v>
      </c>
      <c r="E283" s="9">
        <v>0.72750029693160778</v>
      </c>
      <c r="F283" s="9">
        <v>0.71720544565301625</v>
      </c>
      <c r="G283" s="9">
        <v>0.47393339758158343</v>
      </c>
      <c r="H283" s="9">
        <v>0.49968378334714619</v>
      </c>
      <c r="I283" s="9">
        <v>0.40653120629016198</v>
      </c>
      <c r="J283" s="9">
        <v>-4.5386425007829434</v>
      </c>
      <c r="K283" s="9">
        <v>1.382848308078898</v>
      </c>
      <c r="L283" s="9">
        <v>-1.631185817633853</v>
      </c>
      <c r="M283" s="9">
        <v>2.371774908255234</v>
      </c>
      <c r="N283" s="9">
        <v>2.369965404673338</v>
      </c>
      <c r="O283" s="9">
        <v>-11.51292546497023</v>
      </c>
      <c r="P283" s="9">
        <v>1.8095035338774323E-3</v>
      </c>
      <c r="Q283" s="9">
        <v>1</v>
      </c>
      <c r="R283" s="9">
        <v>0</v>
      </c>
      <c r="S283" s="9">
        <v>0</v>
      </c>
      <c r="T283" s="9">
        <v>0</v>
      </c>
      <c r="U283" s="9">
        <v>0</v>
      </c>
      <c r="V283" s="9">
        <v>1</v>
      </c>
      <c r="W283" s="9">
        <v>0</v>
      </c>
      <c r="X283" s="9">
        <v>-2.0276730060577393</v>
      </c>
      <c r="Y283">
        <f t="shared" si="32"/>
        <v>0.1467068647048668</v>
      </c>
      <c r="Z283">
        <f t="shared" si="33"/>
        <v>0.13164149397099381</v>
      </c>
      <c r="AA283">
        <f t="shared" si="34"/>
        <v>1.5065370733872985E-2</v>
      </c>
      <c r="AB283">
        <f t="shared" si="35"/>
        <v>2.2696539534903664E-4</v>
      </c>
      <c r="AC283" t="str">
        <f>VLOOKUP(A283, 'state-ids'!$A$1:$B$28, 2)</f>
        <v>BA</v>
      </c>
      <c r="AD283">
        <f>VLOOKUP(A283, 'state-ids'!$A$1:$C$28, 3)</f>
        <v>4.8521090000000003E-2</v>
      </c>
      <c r="AE283">
        <f>VLOOKUP(A283, 'state-ids'!$A$1:$D$28, 4)</f>
        <v>0.869367</v>
      </c>
      <c r="AF283">
        <f t="shared" si="36"/>
        <v>9.4199570399563559E-2</v>
      </c>
      <c r="AG283">
        <f t="shared" si="37"/>
        <v>0.14522291559168707</v>
      </c>
      <c r="AH283">
        <f t="shared" si="38"/>
        <v>0.11933022322481993</v>
      </c>
      <c r="AI283">
        <f t="shared" si="39"/>
        <v>2.5892692366867143E-2</v>
      </c>
      <c r="AJ283" s="12"/>
    </row>
    <row r="284" spans="1:36" x14ac:dyDescent="0.25">
      <c r="A284" s="9">
        <v>29</v>
      </c>
      <c r="B284" s="9">
        <v>2018</v>
      </c>
      <c r="C284" s="9">
        <v>-1.996961763344304</v>
      </c>
      <c r="D284" s="9">
        <v>0.83815620246992029</v>
      </c>
      <c r="E284" s="9">
        <v>0.7089220996753075</v>
      </c>
      <c r="F284" s="9">
        <v>0.72750029693160778</v>
      </c>
      <c r="G284" s="9">
        <v>0.55267748778855108</v>
      </c>
      <c r="H284" s="9">
        <v>0.47393339758158343</v>
      </c>
      <c r="I284" s="9">
        <v>0.49968378334714619</v>
      </c>
      <c r="J284" s="9">
        <v>-4.0122476160696179</v>
      </c>
      <c r="K284" s="9">
        <v>1.382848308078898</v>
      </c>
      <c r="L284" s="9">
        <v>-1.556783547043304</v>
      </c>
      <c r="M284" s="9">
        <v>2.426238079922038</v>
      </c>
      <c r="N284" s="9">
        <v>2.407049240281895</v>
      </c>
      <c r="O284" s="9">
        <v>3.2580965380214821</v>
      </c>
      <c r="P284" s="9">
        <v>1.9188839942216873E-2</v>
      </c>
      <c r="Q284" s="9">
        <v>1</v>
      </c>
      <c r="R284" s="9">
        <v>0</v>
      </c>
      <c r="S284" s="9">
        <v>0</v>
      </c>
      <c r="T284" s="9">
        <v>0</v>
      </c>
      <c r="U284" s="9">
        <v>0</v>
      </c>
      <c r="V284" s="9">
        <v>1</v>
      </c>
      <c r="W284" s="9">
        <v>0</v>
      </c>
      <c r="X284" s="9">
        <v>-2.0615553855895996</v>
      </c>
      <c r="Y284">
        <f t="shared" si="32"/>
        <v>0.13574708912003863</v>
      </c>
      <c r="Z284">
        <f t="shared" si="33"/>
        <v>0.12725588391668155</v>
      </c>
      <c r="AA284">
        <f t="shared" si="34"/>
        <v>8.4912052033570828E-3</v>
      </c>
      <c r="AB284">
        <f t="shared" si="35"/>
        <v>7.2100565805518395E-5</v>
      </c>
      <c r="AC284" t="str">
        <f>VLOOKUP(A284, 'state-ids'!$A$1:$B$28, 2)</f>
        <v>BA</v>
      </c>
      <c r="AD284">
        <f>VLOOKUP(A284, 'state-ids'!$A$1:$C$28, 3)</f>
        <v>4.8521090000000003E-2</v>
      </c>
      <c r="AE284">
        <f>VLOOKUP(A284, 'state-ids'!$A$1:$D$28, 4)</f>
        <v>0.869367</v>
      </c>
      <c r="AF284">
        <f t="shared" si="36"/>
        <v>5.6155563590525932E-2</v>
      </c>
      <c r="AG284">
        <f t="shared" si="37"/>
        <v>0.14038484319123426</v>
      </c>
      <c r="AH284">
        <f t="shared" si="38"/>
        <v>0.11535476069418799</v>
      </c>
      <c r="AI284">
        <f t="shared" si="39"/>
        <v>2.5030082497046274E-2</v>
      </c>
      <c r="AJ284" s="12"/>
    </row>
    <row r="285" spans="1:36" x14ac:dyDescent="0.25">
      <c r="A285" s="9">
        <v>29</v>
      </c>
      <c r="B285" s="9">
        <v>2019</v>
      </c>
      <c r="C285" s="9">
        <v>-1.984798248808102</v>
      </c>
      <c r="D285" s="9">
        <v>0.80482271445053444</v>
      </c>
      <c r="E285" s="9">
        <v>0.83815620246992029</v>
      </c>
      <c r="F285" s="9">
        <v>0.7089220996753075</v>
      </c>
      <c r="G285" s="9">
        <v>0.52514264436078373</v>
      </c>
      <c r="H285" s="9">
        <v>0.55267748778855108</v>
      </c>
      <c r="I285" s="9">
        <v>0.47393339758158343</v>
      </c>
      <c r="J285" s="9">
        <v>-3.2992086291733882</v>
      </c>
      <c r="K285" s="9">
        <v>1.382848308078898</v>
      </c>
      <c r="L285" s="9">
        <v>-1.51963451544666</v>
      </c>
      <c r="M285" s="9">
        <v>2.404954967805796</v>
      </c>
      <c r="N285" s="9">
        <v>2.4221656058195919</v>
      </c>
      <c r="O285" s="9">
        <v>5.393627546352362</v>
      </c>
      <c r="P285" s="9">
        <v>-1.7210638150572777E-2</v>
      </c>
      <c r="Q285" s="9">
        <v>1</v>
      </c>
      <c r="R285" s="9">
        <v>0</v>
      </c>
      <c r="S285" s="9">
        <v>0</v>
      </c>
      <c r="T285" s="9">
        <v>0</v>
      </c>
      <c r="U285" s="9">
        <v>0</v>
      </c>
      <c r="V285" s="9">
        <v>1</v>
      </c>
      <c r="W285" s="9">
        <v>0</v>
      </c>
      <c r="X285" s="9">
        <v>-2.0312151908874512</v>
      </c>
      <c r="Y285">
        <f t="shared" si="32"/>
        <v>0.13740833361572297</v>
      </c>
      <c r="Z285">
        <f t="shared" si="33"/>
        <v>0.13117602035158002</v>
      </c>
      <c r="AA285">
        <f t="shared" si="34"/>
        <v>6.2323132641429468E-3</v>
      </c>
      <c r="AB285">
        <f t="shared" si="35"/>
        <v>3.884172862241211E-5</v>
      </c>
      <c r="AC285" t="str">
        <f>VLOOKUP(A285, 'state-ids'!$A$1:$B$28, 2)</f>
        <v>BA</v>
      </c>
      <c r="AD285">
        <f>VLOOKUP(A285, 'state-ids'!$A$1:$C$28, 3)</f>
        <v>4.8521090000000003E-2</v>
      </c>
      <c r="AE285">
        <f>VLOOKUP(A285, 'state-ids'!$A$1:$D$28, 4)</f>
        <v>0.869367</v>
      </c>
      <c r="AF285">
        <f t="shared" si="36"/>
        <v>4.0353357684697583E-2</v>
      </c>
      <c r="AG285">
        <f t="shared" si="37"/>
        <v>0.14470941916967608</v>
      </c>
      <c r="AH285">
        <f t="shared" si="38"/>
        <v>0.11890828125778213</v>
      </c>
      <c r="AI285">
        <f t="shared" si="39"/>
        <v>2.5801137911893951E-2</v>
      </c>
      <c r="AJ285" s="12"/>
    </row>
    <row r="286" spans="1:36" x14ac:dyDescent="0.25">
      <c r="A286" s="9">
        <v>29</v>
      </c>
      <c r="B286" s="9">
        <v>2020</v>
      </c>
      <c r="C286" s="9">
        <v>-2.009730139541797</v>
      </c>
      <c r="D286" s="9">
        <v>0.71564225838731621</v>
      </c>
      <c r="E286" s="9">
        <v>0.80482271445053444</v>
      </c>
      <c r="F286" s="9">
        <v>0.83815620246992029</v>
      </c>
      <c r="G286" s="9">
        <v>0.44846073856926022</v>
      </c>
      <c r="H286" s="9">
        <v>0.52514264436078373</v>
      </c>
      <c r="I286" s="9">
        <v>0.55267748778855108</v>
      </c>
      <c r="J286" s="9">
        <v>-2.6836124481892152</v>
      </c>
      <c r="K286" s="9">
        <v>1.382848308078898</v>
      </c>
      <c r="L286" s="9">
        <v>-1.488372962634988</v>
      </c>
      <c r="M286" s="9">
        <v>2.3787451024793471</v>
      </c>
      <c r="N286" s="9">
        <v>2.4010916840211798</v>
      </c>
      <c r="O286" s="9">
        <v>5.9914645471079817</v>
      </c>
      <c r="P286" s="9">
        <v>-2.2346582263708115E-2</v>
      </c>
      <c r="Q286" s="9">
        <v>1</v>
      </c>
      <c r="R286" s="9">
        <v>1</v>
      </c>
      <c r="S286" s="9">
        <v>0</v>
      </c>
      <c r="T286" s="9">
        <v>0</v>
      </c>
      <c r="U286" s="9">
        <v>0</v>
      </c>
      <c r="V286" s="9">
        <v>1</v>
      </c>
      <c r="W286" s="9">
        <v>0</v>
      </c>
      <c r="X286" s="9">
        <v>-2.0839333534240723</v>
      </c>
      <c r="Y286">
        <f t="shared" si="32"/>
        <v>0.1340248377932243</v>
      </c>
      <c r="Z286">
        <f t="shared" si="33"/>
        <v>0.12443978266929231</v>
      </c>
      <c r="AA286">
        <f t="shared" si="34"/>
        <v>9.5850551239319848E-3</v>
      </c>
      <c r="AB286">
        <f t="shared" si="35"/>
        <v>9.187328172881479E-5</v>
      </c>
      <c r="AC286" t="str">
        <f>VLOOKUP(A286, 'state-ids'!$A$1:$B$28, 2)</f>
        <v>BA</v>
      </c>
      <c r="AD286">
        <f>VLOOKUP(A286, 'state-ids'!$A$1:$C$28, 3)</f>
        <v>4.8521090000000003E-2</v>
      </c>
      <c r="AE286">
        <f>VLOOKUP(A286, 'state-ids'!$A$1:$D$28, 4)</f>
        <v>0.869367</v>
      </c>
      <c r="AF286">
        <f t="shared" si="36"/>
        <v>6.4509825443191976E-2</v>
      </c>
      <c r="AG286">
        <f t="shared" si="37"/>
        <v>0.13727820544799074</v>
      </c>
      <c r="AH286">
        <f t="shared" si="38"/>
        <v>0.11280202462034263</v>
      </c>
      <c r="AI286">
        <f t="shared" si="39"/>
        <v>2.4476180827648117E-2</v>
      </c>
      <c r="AJ286" s="12"/>
    </row>
    <row r="287" spans="1:36" x14ac:dyDescent="0.25">
      <c r="A287" s="9">
        <v>29</v>
      </c>
      <c r="B287" s="9">
        <v>2021</v>
      </c>
      <c r="C287" s="9">
        <v>-1.982345753960298</v>
      </c>
      <c r="D287" s="9">
        <v>0.92115886327101559</v>
      </c>
      <c r="E287" s="9">
        <v>0.71564225838731621</v>
      </c>
      <c r="F287" s="9">
        <v>0.80482271445053444</v>
      </c>
      <c r="G287" s="9">
        <v>0.71402765813930047</v>
      </c>
      <c r="H287" s="9">
        <v>0.44846073856926022</v>
      </c>
      <c r="I287" s="9">
        <v>0.52514264436078373</v>
      </c>
      <c r="J287" s="9">
        <v>-2.1038461798426962</v>
      </c>
      <c r="K287" s="9">
        <v>1.382848308078898</v>
      </c>
      <c r="L287" s="9">
        <v>-1.4567183066990961</v>
      </c>
      <c r="M287" s="9">
        <v>2.396453340283081</v>
      </c>
      <c r="N287" s="9">
        <v>2.3750915250900881</v>
      </c>
      <c r="O287" s="9">
        <v>6.6846117276679271</v>
      </c>
      <c r="P287" s="9">
        <v>2.1361814811825752E-2</v>
      </c>
      <c r="Q287" s="9">
        <v>1</v>
      </c>
      <c r="R287" s="9">
        <v>0</v>
      </c>
      <c r="S287" s="9">
        <v>0</v>
      </c>
      <c r="T287" s="9">
        <v>0</v>
      </c>
      <c r="U287" s="9">
        <v>0</v>
      </c>
      <c r="V287" s="9">
        <v>1</v>
      </c>
      <c r="W287" s="9">
        <v>0</v>
      </c>
      <c r="X287" s="9">
        <v>-2.0373992919921875</v>
      </c>
      <c r="Y287">
        <f t="shared" si="32"/>
        <v>0.13774574042106913</v>
      </c>
      <c r="Z287">
        <f t="shared" si="33"/>
        <v>0.13036731770594451</v>
      </c>
      <c r="AA287">
        <f t="shared" si="34"/>
        <v>7.3784227151246218E-3</v>
      </c>
      <c r="AB287">
        <f t="shared" si="35"/>
        <v>5.4441121763066998E-5</v>
      </c>
      <c r="AC287" t="str">
        <f>VLOOKUP(A287, 'state-ids'!$A$1:$B$28, 2)</f>
        <v>BA</v>
      </c>
      <c r="AD287">
        <f>VLOOKUP(A287, 'state-ids'!$A$1:$C$28, 3)</f>
        <v>4.8521090000000003E-2</v>
      </c>
      <c r="AE287">
        <f>VLOOKUP(A287, 'state-ids'!$A$1:$D$28, 4)</f>
        <v>0.869367</v>
      </c>
      <c r="AF287">
        <f t="shared" si="36"/>
        <v>4.7861729198169681E-2</v>
      </c>
      <c r="AG287">
        <f t="shared" si="37"/>
        <v>0.14381728286444867</v>
      </c>
      <c r="AH287">
        <f t="shared" si="38"/>
        <v>0.11817520945560818</v>
      </c>
      <c r="AI287">
        <f t="shared" si="39"/>
        <v>2.5642073408840491E-2</v>
      </c>
      <c r="AJ287" s="12"/>
    </row>
    <row r="288" spans="1:36" x14ac:dyDescent="0.25">
      <c r="A288" s="9">
        <v>29</v>
      </c>
      <c r="B288" s="9">
        <v>2022</v>
      </c>
      <c r="C288" s="9">
        <v>-1.9422258804690751</v>
      </c>
      <c r="D288" s="9">
        <v>0.96202862354800878</v>
      </c>
      <c r="E288" s="9">
        <v>0.92115886327101559</v>
      </c>
      <c r="F288" s="9">
        <v>0.71564225838731621</v>
      </c>
      <c r="G288" s="9">
        <v>0.7067541839661623</v>
      </c>
      <c r="H288" s="9">
        <v>0.71402765813930047</v>
      </c>
      <c r="I288" s="9">
        <v>0.44846073856926022</v>
      </c>
      <c r="J288" s="9">
        <v>-1.589961781570379</v>
      </c>
      <c r="K288" s="9">
        <v>1.382848308078898</v>
      </c>
      <c r="L288" s="9">
        <v>-1.422763275197988</v>
      </c>
      <c r="M288" s="9">
        <v>2.44692431473355</v>
      </c>
      <c r="N288" s="9">
        <v>2.396453340283081</v>
      </c>
      <c r="O288" s="9">
        <v>8.0551577318196781</v>
      </c>
      <c r="P288" s="9">
        <v>5.0470974296331406E-2</v>
      </c>
      <c r="Q288" s="9">
        <v>1</v>
      </c>
      <c r="R288" s="9">
        <v>0</v>
      </c>
      <c r="S288" s="9">
        <v>0</v>
      </c>
      <c r="T288" s="9">
        <v>0</v>
      </c>
      <c r="U288" s="9">
        <v>0</v>
      </c>
      <c r="V288" s="9">
        <v>1</v>
      </c>
      <c r="W288" s="9">
        <v>0</v>
      </c>
      <c r="X288" s="9">
        <v>-2.0305976867675781</v>
      </c>
      <c r="Y288">
        <f t="shared" si="32"/>
        <v>0.14338443769233872</v>
      </c>
      <c r="Z288">
        <f t="shared" si="33"/>
        <v>0.13125704709917618</v>
      </c>
      <c r="AA288">
        <f t="shared" si="34"/>
        <v>1.2127390593162535E-2</v>
      </c>
      <c r="AB288">
        <f t="shared" si="35"/>
        <v>1.4707360259912712E-4</v>
      </c>
      <c r="AC288" t="str">
        <f>VLOOKUP(A288, 'state-ids'!$A$1:$B$28, 2)</f>
        <v>BA</v>
      </c>
      <c r="AD288">
        <f>VLOOKUP(A288, 'state-ids'!$A$1:$C$28, 3)</f>
        <v>4.8521090000000003E-2</v>
      </c>
      <c r="AE288">
        <f>VLOOKUP(A288, 'state-ids'!$A$1:$D$28, 4)</f>
        <v>0.869367</v>
      </c>
      <c r="AF288">
        <f t="shared" si="36"/>
        <v>7.6827532126310702E-2</v>
      </c>
      <c r="AG288">
        <f t="shared" si="37"/>
        <v>0.14479880542754869</v>
      </c>
      <c r="AH288">
        <f t="shared" si="38"/>
        <v>0.11898173028655086</v>
      </c>
      <c r="AI288">
        <f t="shared" si="39"/>
        <v>2.5817075140997833E-2</v>
      </c>
      <c r="AJ288" s="12"/>
    </row>
    <row r="289" spans="1:36" x14ac:dyDescent="0.25">
      <c r="A289" s="9">
        <v>29</v>
      </c>
      <c r="B289" s="9">
        <v>2023</v>
      </c>
      <c r="C289" s="9">
        <v>-1.8582235971545269</v>
      </c>
      <c r="D289" s="9">
        <v>0.80083498597686265</v>
      </c>
      <c r="E289" s="9">
        <v>0.96202862354800878</v>
      </c>
      <c r="F289" s="9">
        <v>0.92115886327101559</v>
      </c>
      <c r="G289" s="9">
        <v>0.52063733114998356</v>
      </c>
      <c r="H289" s="9">
        <v>0.7067541839661623</v>
      </c>
      <c r="I289" s="9">
        <v>0.71402765813930047</v>
      </c>
      <c r="J289" s="9">
        <v>-1.0645828863943529</v>
      </c>
      <c r="K289" s="9">
        <v>1.382848308078898</v>
      </c>
      <c r="L289" s="9">
        <v>-1.3833903952551321</v>
      </c>
      <c r="M289" s="9">
        <v>2.4646368850346452</v>
      </c>
      <c r="N289" s="9">
        <v>2.44692431473355</v>
      </c>
      <c r="O289" s="9">
        <v>8.4658998970286863</v>
      </c>
      <c r="P289" s="9">
        <v>1.771257072687149E-2</v>
      </c>
      <c r="Q289" s="9">
        <v>1</v>
      </c>
      <c r="R289" s="9">
        <v>0</v>
      </c>
      <c r="S289" s="9">
        <v>0</v>
      </c>
      <c r="T289" s="9">
        <v>0</v>
      </c>
      <c r="U289" s="9">
        <v>0</v>
      </c>
      <c r="V289" s="9">
        <v>1</v>
      </c>
      <c r="W289" s="9">
        <v>0</v>
      </c>
      <c r="X289" s="9">
        <v>-1.9701449871063232</v>
      </c>
      <c r="Y289">
        <f t="shared" si="32"/>
        <v>0.15594941343787688</v>
      </c>
      <c r="Z289">
        <f t="shared" si="33"/>
        <v>0.13943663823472002</v>
      </c>
      <c r="AA289">
        <f t="shared" si="34"/>
        <v>1.651277520315686E-2</v>
      </c>
      <c r="AB289">
        <f t="shared" si="35"/>
        <v>2.7267174490999208E-4</v>
      </c>
      <c r="AC289" t="str">
        <f>VLOOKUP(A289, 'state-ids'!$A$1:$B$28, 2)</f>
        <v>BA</v>
      </c>
      <c r="AD289">
        <f>VLOOKUP(A289, 'state-ids'!$A$1:$C$28, 3)</f>
        <v>4.8521090000000003E-2</v>
      </c>
      <c r="AE289">
        <f>VLOOKUP(A289, 'state-ids'!$A$1:$D$28, 4)</f>
        <v>0.869367</v>
      </c>
      <c r="AF289">
        <f t="shared" si="36"/>
        <v>9.7300763018223338E-2</v>
      </c>
      <c r="AG289">
        <f t="shared" si="37"/>
        <v>0.15382228303494605</v>
      </c>
      <c r="AH289">
        <f t="shared" si="38"/>
        <v>0.12639635622742079</v>
      </c>
      <c r="AI289">
        <f t="shared" si="39"/>
        <v>2.7425926807525258E-2</v>
      </c>
      <c r="AJ289" s="12"/>
    </row>
    <row r="290" spans="1:36" x14ac:dyDescent="0.25">
      <c r="A290" s="9">
        <v>31</v>
      </c>
      <c r="B290" s="9">
        <v>2006</v>
      </c>
      <c r="C290" s="9">
        <v>-1.976825740702415</v>
      </c>
      <c r="D290" s="9">
        <v>0.91228271047661635</v>
      </c>
      <c r="E290" s="9">
        <v>0.84629736005362011</v>
      </c>
      <c r="F290" s="9">
        <v>0.80897274606553571</v>
      </c>
      <c r="G290" s="9">
        <v>0.64710324205853842</v>
      </c>
      <c r="H290" s="9">
        <v>0.48199395709728798</v>
      </c>
      <c r="I290" s="9">
        <v>0.38635024424848219</v>
      </c>
      <c r="J290" s="9">
        <v>-11.51292546497023</v>
      </c>
      <c r="K290" s="9">
        <v>1.665048632597683</v>
      </c>
      <c r="L290" s="9">
        <v>-1.6316084705918179</v>
      </c>
      <c r="M290" s="9">
        <v>2.688340792759726</v>
      </c>
      <c r="N290" s="9">
        <v>2.632573684932809</v>
      </c>
      <c r="O290" s="9">
        <v>-11.51292546497023</v>
      </c>
      <c r="P290" s="9">
        <v>5.5767107754945755E-2</v>
      </c>
      <c r="Q290" s="9">
        <v>0</v>
      </c>
      <c r="R290" s="9">
        <v>0</v>
      </c>
      <c r="S290" s="9">
        <v>0</v>
      </c>
      <c r="T290" s="9">
        <v>0</v>
      </c>
      <c r="U290" s="9">
        <v>1</v>
      </c>
      <c r="V290" s="9">
        <v>0</v>
      </c>
      <c r="W290" s="9">
        <v>0</v>
      </c>
      <c r="X290" s="9">
        <v>-2.1133871078491211</v>
      </c>
      <c r="Y290">
        <f t="shared" si="32"/>
        <v>0.13850820119515242</v>
      </c>
      <c r="Z290">
        <f t="shared" si="33"/>
        <v>0.12082801503239822</v>
      </c>
      <c r="AA290">
        <f t="shared" si="34"/>
        <v>1.76801861627542E-2</v>
      </c>
      <c r="AB290">
        <f t="shared" si="35"/>
        <v>3.1258898274964505E-4</v>
      </c>
      <c r="AC290" t="str">
        <f>VLOOKUP(A290, 'state-ids'!$A$1:$B$28, 2)</f>
        <v>MG</v>
      </c>
      <c r="AD290">
        <f>VLOOKUP(A290, 'state-ids'!$A$1:$C$28, 3)</f>
        <v>5.9558894000000001E-2</v>
      </c>
      <c r="AE290">
        <f>VLOOKUP(A290, 'state-ids'!$A$1:$D$28, 4)</f>
        <v>0.8888064</v>
      </c>
      <c r="AF290">
        <f t="shared" si="36"/>
        <v>6.2583734430315494E-2</v>
      </c>
      <c r="AG290">
        <f t="shared" si="37"/>
        <v>0.13759700504896236</v>
      </c>
      <c r="AH290">
        <f t="shared" si="38"/>
        <v>0.10610266707094688</v>
      </c>
      <c r="AI290">
        <f t="shared" si="39"/>
        <v>3.1494337978015471E-2</v>
      </c>
      <c r="AJ290" s="12"/>
    </row>
    <row r="291" spans="1:36" x14ac:dyDescent="0.25">
      <c r="A291" s="9">
        <v>31</v>
      </c>
      <c r="B291" s="9">
        <v>2007</v>
      </c>
      <c r="C291" s="9">
        <v>-1.939408501019503</v>
      </c>
      <c r="D291" s="9">
        <v>0.85654072746838106</v>
      </c>
      <c r="E291" s="9">
        <v>0.91228271047661635</v>
      </c>
      <c r="F291" s="9">
        <v>0.84629736005362011</v>
      </c>
      <c r="G291" s="9">
        <v>0.48106720160171512</v>
      </c>
      <c r="H291" s="9">
        <v>0.64710324205853842</v>
      </c>
      <c r="I291" s="9">
        <v>0.48199395709728798</v>
      </c>
      <c r="J291" s="9">
        <v>-11.51292546497023</v>
      </c>
      <c r="K291" s="9">
        <v>1.665048632597683</v>
      </c>
      <c r="L291" s="9">
        <v>-1.543054838681122</v>
      </c>
      <c r="M291" s="9">
        <v>2.7388937262800388</v>
      </c>
      <c r="N291" s="9">
        <v>2.6788704738218438</v>
      </c>
      <c r="O291" s="9">
        <v>-11.51292546497023</v>
      </c>
      <c r="P291" s="9">
        <v>6.0023251920938492E-2</v>
      </c>
      <c r="Q291" s="9">
        <v>0</v>
      </c>
      <c r="R291" s="9">
        <v>0</v>
      </c>
      <c r="S291" s="9">
        <v>0</v>
      </c>
      <c r="T291" s="9">
        <v>0</v>
      </c>
      <c r="U291" s="9">
        <v>1</v>
      </c>
      <c r="V291" s="9">
        <v>0</v>
      </c>
      <c r="W291" s="9">
        <v>0</v>
      </c>
      <c r="X291" s="9">
        <v>-2.0539278984069824</v>
      </c>
      <c r="Y291">
        <f t="shared" si="32"/>
        <v>0.14378897566137255</v>
      </c>
      <c r="Z291">
        <f t="shared" si="33"/>
        <v>0.12823023775199302</v>
      </c>
      <c r="AA291">
        <f t="shared" si="34"/>
        <v>1.5558737909379533E-2</v>
      </c>
      <c r="AB291">
        <f t="shared" si="35"/>
        <v>2.4207432533276379E-4</v>
      </c>
      <c r="AC291" t="str">
        <f>VLOOKUP(A291, 'state-ids'!$A$1:$B$28, 2)</f>
        <v>MG</v>
      </c>
      <c r="AD291">
        <f>VLOOKUP(A291, 'state-ids'!$A$1:$C$28, 3)</f>
        <v>5.9558894000000001E-2</v>
      </c>
      <c r="AE291">
        <f>VLOOKUP(A291, 'state-ids'!$A$1:$D$28, 4)</f>
        <v>0.8888064</v>
      </c>
      <c r="AF291">
        <f t="shared" si="36"/>
        <v>0.10178557332213498</v>
      </c>
      <c r="AG291">
        <f t="shared" si="37"/>
        <v>0.14602653752657965</v>
      </c>
      <c r="AH291">
        <f t="shared" si="38"/>
        <v>0.11260277859385466</v>
      </c>
      <c r="AI291">
        <f t="shared" si="39"/>
        <v>3.3423758932724992E-2</v>
      </c>
      <c r="AJ291" s="12"/>
    </row>
    <row r="292" spans="1:36" x14ac:dyDescent="0.25">
      <c r="A292" s="9">
        <v>31</v>
      </c>
      <c r="B292" s="9">
        <v>2008</v>
      </c>
      <c r="C292" s="9">
        <v>-1.914953380717666</v>
      </c>
      <c r="D292" s="9">
        <v>0.79511695414366257</v>
      </c>
      <c r="E292" s="9">
        <v>0.85654072746838106</v>
      </c>
      <c r="F292" s="9">
        <v>0.91228271047661635</v>
      </c>
      <c r="G292" s="9">
        <v>0.38764052319561237</v>
      </c>
      <c r="H292" s="9">
        <v>0.48106720160171512</v>
      </c>
      <c r="I292" s="9">
        <v>0.64710324205853842</v>
      </c>
      <c r="J292" s="9">
        <v>-11.51292546497023</v>
      </c>
      <c r="K292" s="9">
        <v>1.665048632597683</v>
      </c>
      <c r="L292" s="9">
        <v>-1.447732346433706</v>
      </c>
      <c r="M292" s="9">
        <v>2.7930546671945402</v>
      </c>
      <c r="N292" s="9">
        <v>2.7295122535389189</v>
      </c>
      <c r="O292" s="9">
        <v>-11.51292546497023</v>
      </c>
      <c r="P292" s="9">
        <v>6.3542410731315613E-2</v>
      </c>
      <c r="Q292" s="9">
        <v>0</v>
      </c>
      <c r="R292" s="9">
        <v>0</v>
      </c>
      <c r="S292" s="9">
        <v>0</v>
      </c>
      <c r="T292" s="9">
        <v>0</v>
      </c>
      <c r="U292" s="9">
        <v>1</v>
      </c>
      <c r="V292" s="9">
        <v>0</v>
      </c>
      <c r="W292" s="9">
        <v>0</v>
      </c>
      <c r="X292" s="9">
        <v>-1.9895919561386108</v>
      </c>
      <c r="Y292">
        <f t="shared" si="32"/>
        <v>0.14734870171677061</v>
      </c>
      <c r="Z292">
        <f t="shared" si="33"/>
        <v>0.13675121455618489</v>
      </c>
      <c r="AA292">
        <f t="shared" si="34"/>
        <v>1.0597487160585728E-2</v>
      </c>
      <c r="AB292">
        <f t="shared" si="35"/>
        <v>1.1230673411877935E-4</v>
      </c>
      <c r="AC292" t="str">
        <f>VLOOKUP(A292, 'state-ids'!$A$1:$B$28, 2)</f>
        <v>MG</v>
      </c>
      <c r="AD292">
        <f>VLOOKUP(A292, 'state-ids'!$A$1:$C$28, 3)</f>
        <v>5.9558894000000001E-2</v>
      </c>
      <c r="AE292">
        <f>VLOOKUP(A292, 'state-ids'!$A$1:$D$28, 4)</f>
        <v>0.8888064</v>
      </c>
      <c r="AF292">
        <f t="shared" si="36"/>
        <v>6.6339243521018498E-2</v>
      </c>
      <c r="AG292">
        <f t="shared" si="37"/>
        <v>0.15573008920732273</v>
      </c>
      <c r="AH292">
        <f t="shared" si="38"/>
        <v>0.12008530129135994</v>
      </c>
      <c r="AI292">
        <f t="shared" si="39"/>
        <v>3.5644787915962789E-2</v>
      </c>
      <c r="AJ292" s="12"/>
    </row>
    <row r="293" spans="1:36" x14ac:dyDescent="0.25">
      <c r="A293" s="9">
        <v>31</v>
      </c>
      <c r="B293" s="9">
        <v>2009</v>
      </c>
      <c r="C293" s="9">
        <v>-1.896107555932413</v>
      </c>
      <c r="D293" s="9">
        <v>0.74881837793040629</v>
      </c>
      <c r="E293" s="9">
        <v>0.79511695414366257</v>
      </c>
      <c r="F293" s="9">
        <v>0.85654072746838106</v>
      </c>
      <c r="G293" s="9">
        <v>0.35760451175666452</v>
      </c>
      <c r="H293" s="9">
        <v>0.38764052319561237</v>
      </c>
      <c r="I293" s="9">
        <v>0.48106720160171512</v>
      </c>
      <c r="J293" s="9">
        <v>-9.905169387458578</v>
      </c>
      <c r="K293" s="9">
        <v>1.665048632597683</v>
      </c>
      <c r="L293" s="9">
        <v>-1.365071522325926</v>
      </c>
      <c r="M293" s="9">
        <v>2.7444865995273799</v>
      </c>
      <c r="N293" s="9">
        <v>2.783847588516756</v>
      </c>
      <c r="O293" s="9">
        <v>-11.51292546497023</v>
      </c>
      <c r="P293" s="9">
        <v>-3.9360988885164261E-2</v>
      </c>
      <c r="Q293" s="9">
        <v>0</v>
      </c>
      <c r="R293" s="9">
        <v>0</v>
      </c>
      <c r="S293" s="9">
        <v>0</v>
      </c>
      <c r="T293" s="9">
        <v>0</v>
      </c>
      <c r="U293" s="9">
        <v>1</v>
      </c>
      <c r="V293" s="9">
        <v>0</v>
      </c>
      <c r="W293" s="9">
        <v>0</v>
      </c>
      <c r="X293" s="9">
        <v>-1.9315309524536133</v>
      </c>
      <c r="Y293">
        <f t="shared" si="32"/>
        <v>0.15015194124489956</v>
      </c>
      <c r="Z293">
        <f t="shared" si="33"/>
        <v>0.14492615350653829</v>
      </c>
      <c r="AA293">
        <f t="shared" si="34"/>
        <v>5.2257877383612705E-3</v>
      </c>
      <c r="AB293">
        <f t="shared" si="35"/>
        <v>2.7308857486407004E-5</v>
      </c>
      <c r="AC293" t="str">
        <f>VLOOKUP(A293, 'state-ids'!$A$1:$B$28, 2)</f>
        <v>MG</v>
      </c>
      <c r="AD293">
        <f>VLOOKUP(A293, 'state-ids'!$A$1:$C$28, 3)</f>
        <v>5.9558894000000001E-2</v>
      </c>
      <c r="AE293">
        <f>VLOOKUP(A293, 'state-ids'!$A$1:$D$28, 4)</f>
        <v>0.8888064</v>
      </c>
      <c r="AF293">
        <f t="shared" si="36"/>
        <v>3.1484541537780561E-2</v>
      </c>
      <c r="AG293">
        <f t="shared" si="37"/>
        <v>0.16503957853167459</v>
      </c>
      <c r="AH293">
        <f t="shared" si="38"/>
        <v>0.12726395787644154</v>
      </c>
      <c r="AI293">
        <f t="shared" si="39"/>
        <v>3.7775620655233044E-2</v>
      </c>
      <c r="AJ293" s="12"/>
    </row>
    <row r="294" spans="1:36" x14ac:dyDescent="0.25">
      <c r="A294" s="9">
        <v>31</v>
      </c>
      <c r="B294" s="9">
        <v>2010</v>
      </c>
      <c r="C294" s="9">
        <v>-1.6874307470552039</v>
      </c>
      <c r="D294" s="9">
        <v>0.7236763855947681</v>
      </c>
      <c r="E294" s="9">
        <v>0.74881837793040629</v>
      </c>
      <c r="F294" s="9">
        <v>0.79511695414366257</v>
      </c>
      <c r="G294" s="9">
        <v>0.41462304589292998</v>
      </c>
      <c r="H294" s="9">
        <v>0.35760451175666452</v>
      </c>
      <c r="I294" s="9">
        <v>0.38764052319561237</v>
      </c>
      <c r="J294" s="9">
        <v>-9.2043818049227788</v>
      </c>
      <c r="K294" s="9">
        <v>1.665048632597683</v>
      </c>
      <c r="L294" s="9">
        <v>-1.2660821794952271</v>
      </c>
      <c r="M294" s="9">
        <v>2.8713640733960721</v>
      </c>
      <c r="N294" s="9">
        <v>2.7521270015036121</v>
      </c>
      <c r="O294" s="9">
        <v>-11.51292546497023</v>
      </c>
      <c r="P294" s="9">
        <v>0.11923707276582718</v>
      </c>
      <c r="Q294" s="9">
        <v>0</v>
      </c>
      <c r="R294" s="9">
        <v>0</v>
      </c>
      <c r="S294" s="9">
        <v>0</v>
      </c>
      <c r="T294" s="9">
        <v>0</v>
      </c>
      <c r="U294" s="9">
        <v>1</v>
      </c>
      <c r="V294" s="9">
        <v>0</v>
      </c>
      <c r="W294" s="9">
        <v>0</v>
      </c>
      <c r="X294" s="9">
        <v>-1.792374849319458</v>
      </c>
      <c r="Y294">
        <f t="shared" si="32"/>
        <v>0.18499421085757325</v>
      </c>
      <c r="Z294">
        <f t="shared" si="33"/>
        <v>0.16656413486934857</v>
      </c>
      <c r="AA294">
        <f t="shared" si="34"/>
        <v>1.8430075988224687E-2</v>
      </c>
      <c r="AB294">
        <f t="shared" si="35"/>
        <v>3.3966770093173614E-4</v>
      </c>
      <c r="AC294" t="str">
        <f>VLOOKUP(A294, 'state-ids'!$A$1:$B$28, 2)</f>
        <v>MG</v>
      </c>
      <c r="AD294">
        <f>VLOOKUP(A294, 'state-ids'!$A$1:$C$28, 3)</f>
        <v>5.9558894000000001E-2</v>
      </c>
      <c r="AE294">
        <f>VLOOKUP(A294, 'state-ids'!$A$1:$D$28, 4)</f>
        <v>0.8888064</v>
      </c>
      <c r="AF294">
        <f t="shared" si="36"/>
        <v>9.3274989734723535E-2</v>
      </c>
      <c r="AG294">
        <f t="shared" si="37"/>
        <v>0.18968056456483615</v>
      </c>
      <c r="AH294">
        <f t="shared" si="38"/>
        <v>0.1462649116867811</v>
      </c>
      <c r="AI294">
        <f t="shared" si="39"/>
        <v>4.3415652878055044E-2</v>
      </c>
      <c r="AJ294" s="12"/>
    </row>
    <row r="295" spans="1:36" x14ac:dyDescent="0.25">
      <c r="A295" s="9">
        <v>31</v>
      </c>
      <c r="B295" s="9">
        <v>2011</v>
      </c>
      <c r="C295" s="9">
        <v>-1.571107417726038</v>
      </c>
      <c r="D295" s="9">
        <v>0.76248665863855825</v>
      </c>
      <c r="E295" s="9">
        <v>0.7236763855947681</v>
      </c>
      <c r="F295" s="9">
        <v>0.74881837793040629</v>
      </c>
      <c r="G295" s="9">
        <v>0.5019261405789579</v>
      </c>
      <c r="H295" s="9">
        <v>0.41462304589292998</v>
      </c>
      <c r="I295" s="9">
        <v>0.35760451175666452</v>
      </c>
      <c r="J295" s="9">
        <v>-7.6926051806889442</v>
      </c>
      <c r="K295" s="9">
        <v>1.665048632597683</v>
      </c>
      <c r="L295" s="9">
        <v>-1.1720532749662791</v>
      </c>
      <c r="M295" s="9">
        <v>2.9297951104025599</v>
      </c>
      <c r="N295" s="9">
        <v>2.8790633008533519</v>
      </c>
      <c r="O295" s="9">
        <v>-11.51292546497023</v>
      </c>
      <c r="P295" s="9">
        <v>5.0731807947158813E-2</v>
      </c>
      <c r="Q295" s="9">
        <v>0</v>
      </c>
      <c r="R295" s="9">
        <v>0</v>
      </c>
      <c r="S295" s="9">
        <v>0</v>
      </c>
      <c r="T295" s="9">
        <v>0</v>
      </c>
      <c r="U295" s="9">
        <v>1</v>
      </c>
      <c r="V295" s="9">
        <v>0</v>
      </c>
      <c r="W295" s="9">
        <v>0</v>
      </c>
      <c r="X295" s="9">
        <v>-1.7151821851730347</v>
      </c>
      <c r="Y295">
        <f t="shared" si="32"/>
        <v>0.20781491695778653</v>
      </c>
      <c r="Z295">
        <f t="shared" si="33"/>
        <v>0.17993093697796</v>
      </c>
      <c r="AA295">
        <f t="shared" si="34"/>
        <v>2.7883979979826529E-2</v>
      </c>
      <c r="AB295">
        <f t="shared" si="35"/>
        <v>7.7751633951536668E-4</v>
      </c>
      <c r="AC295" t="str">
        <f>VLOOKUP(A295, 'state-ids'!$A$1:$B$28, 2)</f>
        <v>MG</v>
      </c>
      <c r="AD295">
        <f>VLOOKUP(A295, 'state-ids'!$A$1:$C$28, 3)</f>
        <v>5.9558894000000001E-2</v>
      </c>
      <c r="AE295">
        <f>VLOOKUP(A295, 'state-ids'!$A$1:$D$28, 4)</f>
        <v>0.8888064</v>
      </c>
      <c r="AF295">
        <f t="shared" si="36"/>
        <v>0.1280545753854023</v>
      </c>
      <c r="AG295">
        <f t="shared" si="37"/>
        <v>0.20490246435963064</v>
      </c>
      <c r="AH295">
        <f t="shared" si="38"/>
        <v>0.15800269744410689</v>
      </c>
      <c r="AI295">
        <f t="shared" si="39"/>
        <v>4.689976691552375E-2</v>
      </c>
      <c r="AJ295" s="12"/>
    </row>
    <row r="296" spans="1:36" x14ac:dyDescent="0.25">
      <c r="A296" s="9">
        <v>31</v>
      </c>
      <c r="B296" s="9">
        <v>2012</v>
      </c>
      <c r="C296" s="9">
        <v>-1.4934795514968711</v>
      </c>
      <c r="D296" s="9">
        <v>0.71285176383428073</v>
      </c>
      <c r="E296" s="9">
        <v>0.76248665863855825</v>
      </c>
      <c r="F296" s="9">
        <v>0.7236763855947681</v>
      </c>
      <c r="G296" s="9">
        <v>0.43580030790423729</v>
      </c>
      <c r="H296" s="9">
        <v>0.5019261405789579</v>
      </c>
      <c r="I296" s="9">
        <v>0.41462304589292998</v>
      </c>
      <c r="J296" s="9">
        <v>-7.2571705350392399</v>
      </c>
      <c r="K296" s="9">
        <v>1.665048632597683</v>
      </c>
      <c r="L296" s="9">
        <v>-1.1022677043832061</v>
      </c>
      <c r="M296" s="9">
        <v>2.9471360520100429</v>
      </c>
      <c r="N296" s="9">
        <v>2.9233970037731618</v>
      </c>
      <c r="O296" s="9">
        <v>-11.51292546497023</v>
      </c>
      <c r="P296" s="9">
        <v>2.3739047348499298E-2</v>
      </c>
      <c r="Q296" s="9">
        <v>0</v>
      </c>
      <c r="R296" s="9">
        <v>0</v>
      </c>
      <c r="S296" s="9">
        <v>0</v>
      </c>
      <c r="T296" s="9">
        <v>0</v>
      </c>
      <c r="U296" s="9">
        <v>1</v>
      </c>
      <c r="V296" s="9">
        <v>0</v>
      </c>
      <c r="W296" s="9">
        <v>0</v>
      </c>
      <c r="X296" s="9">
        <v>-1.6290228366851807</v>
      </c>
      <c r="Y296">
        <f t="shared" si="32"/>
        <v>0.22458982252223236</v>
      </c>
      <c r="Z296">
        <f t="shared" si="33"/>
        <v>0.19612112289100531</v>
      </c>
      <c r="AA296">
        <f t="shared" si="34"/>
        <v>2.8468699631227057E-2</v>
      </c>
      <c r="AB296">
        <f t="shared" si="35"/>
        <v>8.1046685869302752E-4</v>
      </c>
      <c r="AC296" t="str">
        <f>VLOOKUP(A296, 'state-ids'!$A$1:$B$28, 2)</f>
        <v>MG</v>
      </c>
      <c r="AD296">
        <f>VLOOKUP(A296, 'state-ids'!$A$1:$C$28, 3)</f>
        <v>5.9558894000000001E-2</v>
      </c>
      <c r="AE296">
        <f>VLOOKUP(A296, 'state-ids'!$A$1:$D$28, 4)</f>
        <v>0.8888064</v>
      </c>
      <c r="AF296">
        <f t="shared" si="36"/>
        <v>0.12047173935239477</v>
      </c>
      <c r="AG296">
        <f t="shared" si="37"/>
        <v>0.22333958833475848</v>
      </c>
      <c r="AH296">
        <f t="shared" si="38"/>
        <v>0.17221978033906277</v>
      </c>
      <c r="AI296">
        <f t="shared" si="39"/>
        <v>5.111980799569571E-2</v>
      </c>
      <c r="AJ296" s="12"/>
    </row>
    <row r="297" spans="1:36" x14ac:dyDescent="0.25">
      <c r="A297" s="9">
        <v>31</v>
      </c>
      <c r="B297" s="9">
        <v>2013</v>
      </c>
      <c r="C297" s="9">
        <v>-1.4869349667615681</v>
      </c>
      <c r="D297" s="9">
        <v>0.68355128688649835</v>
      </c>
      <c r="E297" s="9">
        <v>0.71285176383428073</v>
      </c>
      <c r="F297" s="9">
        <v>0.76248665863855825</v>
      </c>
      <c r="G297" s="9">
        <v>0.35942116960675757</v>
      </c>
      <c r="H297" s="9">
        <v>0.43580030790423729</v>
      </c>
      <c r="I297" s="9">
        <v>0.5019261405789579</v>
      </c>
      <c r="J297" s="9">
        <v>-6.4362162170172619</v>
      </c>
      <c r="K297" s="9">
        <v>1.665048632597683</v>
      </c>
      <c r="L297" s="9">
        <v>-1.0743911160916</v>
      </c>
      <c r="M297" s="9">
        <v>2.9366529053581152</v>
      </c>
      <c r="N297" s="9">
        <v>2.9106401381808178</v>
      </c>
      <c r="O297" s="9">
        <v>-11.51292546497023</v>
      </c>
      <c r="P297" s="9">
        <v>2.6012767106294632E-2</v>
      </c>
      <c r="Q297" s="9">
        <v>0</v>
      </c>
      <c r="R297" s="9">
        <v>0</v>
      </c>
      <c r="S297" s="9">
        <v>0</v>
      </c>
      <c r="T297" s="9">
        <v>0</v>
      </c>
      <c r="U297" s="9">
        <v>1</v>
      </c>
      <c r="V297" s="9">
        <v>0</v>
      </c>
      <c r="W297" s="9">
        <v>0</v>
      </c>
      <c r="X297" s="9">
        <v>-1.6214196681976318</v>
      </c>
      <c r="Y297">
        <f t="shared" si="32"/>
        <v>0.22606448992577993</v>
      </c>
      <c r="Z297">
        <f t="shared" si="33"/>
        <v>0.19761794792806994</v>
      </c>
      <c r="AA297">
        <f t="shared" si="34"/>
        <v>2.844654199770999E-2</v>
      </c>
      <c r="AB297">
        <f t="shared" si="35"/>
        <v>8.0920575162747826E-4</v>
      </c>
      <c r="AC297" t="str">
        <f>VLOOKUP(A297, 'state-ids'!$A$1:$B$28, 2)</f>
        <v>MG</v>
      </c>
      <c r="AD297">
        <f>VLOOKUP(A297, 'state-ids'!$A$1:$C$28, 3)</f>
        <v>5.9558894000000001E-2</v>
      </c>
      <c r="AE297">
        <f>VLOOKUP(A297, 'state-ids'!$A$1:$D$28, 4)</f>
        <v>0.8888064</v>
      </c>
      <c r="AF297">
        <f t="shared" si="36"/>
        <v>0.11953086333846263</v>
      </c>
      <c r="AG297">
        <f t="shared" si="37"/>
        <v>0.22504414867308042</v>
      </c>
      <c r="AH297">
        <f t="shared" si="38"/>
        <v>0.17353418684097</v>
      </c>
      <c r="AI297">
        <f t="shared" si="39"/>
        <v>5.1509961832110429E-2</v>
      </c>
      <c r="AJ297" s="12"/>
    </row>
    <row r="298" spans="1:36" x14ac:dyDescent="0.25">
      <c r="A298" s="9">
        <v>31</v>
      </c>
      <c r="B298" s="9">
        <v>2014</v>
      </c>
      <c r="C298" s="9">
        <v>-1.425130660492147</v>
      </c>
      <c r="D298" s="9">
        <v>0.65206473545871535</v>
      </c>
      <c r="E298" s="9">
        <v>0.68355128688649835</v>
      </c>
      <c r="F298" s="9">
        <v>0.71285176383428073</v>
      </c>
      <c r="G298" s="9">
        <v>0.34861252984868768</v>
      </c>
      <c r="H298" s="9">
        <v>0.35942116960675757</v>
      </c>
      <c r="I298" s="9">
        <v>0.43580030790423729</v>
      </c>
      <c r="J298" s="9">
        <v>-5.7806517388186291</v>
      </c>
      <c r="K298" s="9">
        <v>1.665048632597683</v>
      </c>
      <c r="L298" s="9">
        <v>-1.0264351275750001</v>
      </c>
      <c r="M298" s="9">
        <v>2.911310392527914</v>
      </c>
      <c r="N298" s="9">
        <v>2.929841861663526</v>
      </c>
      <c r="O298" s="9">
        <v>-11.51292546497023</v>
      </c>
      <c r="P298" s="9">
        <v>-1.8531469628214836E-2</v>
      </c>
      <c r="Q298" s="9">
        <v>0</v>
      </c>
      <c r="R298" s="9">
        <v>0</v>
      </c>
      <c r="S298" s="9">
        <v>0</v>
      </c>
      <c r="T298" s="9">
        <v>0</v>
      </c>
      <c r="U298" s="9">
        <v>1</v>
      </c>
      <c r="V298" s="9">
        <v>0</v>
      </c>
      <c r="W298" s="9">
        <v>0</v>
      </c>
      <c r="X298" s="9">
        <v>-1.5732595920562744</v>
      </c>
      <c r="Y298">
        <f t="shared" si="32"/>
        <v>0.24047704030708439</v>
      </c>
      <c r="Z298">
        <f t="shared" si="33"/>
        <v>0.2073681439671996</v>
      </c>
      <c r="AA298">
        <f t="shared" si="34"/>
        <v>3.3108896339884786E-2</v>
      </c>
      <c r="AB298">
        <f t="shared" si="35"/>
        <v>1.0961990168452361E-3</v>
      </c>
      <c r="AC298" t="str">
        <f>VLOOKUP(A298, 'state-ids'!$A$1:$B$28, 2)</f>
        <v>MG</v>
      </c>
      <c r="AD298">
        <f>VLOOKUP(A298, 'state-ids'!$A$1:$C$28, 3)</f>
        <v>5.9558894000000001E-2</v>
      </c>
      <c r="AE298">
        <f>VLOOKUP(A298, 'state-ids'!$A$1:$D$28, 4)</f>
        <v>0.8888064</v>
      </c>
      <c r="AF298">
        <f t="shared" si="36"/>
        <v>0.13165794239935846</v>
      </c>
      <c r="AG298">
        <f t="shared" si="37"/>
        <v>0.23614751549794108</v>
      </c>
      <c r="AH298">
        <f t="shared" si="38"/>
        <v>0.18209612344101134</v>
      </c>
      <c r="AI298">
        <f t="shared" si="39"/>
        <v>5.4051392056929742E-2</v>
      </c>
      <c r="AJ298" s="12"/>
    </row>
    <row r="299" spans="1:36" x14ac:dyDescent="0.25">
      <c r="A299" s="9">
        <v>31</v>
      </c>
      <c r="B299" s="9">
        <v>2015</v>
      </c>
      <c r="C299" s="9">
        <v>-1.580485424436801</v>
      </c>
      <c r="D299" s="9">
        <v>0.67365850397608285</v>
      </c>
      <c r="E299" s="9">
        <v>0.65206473545871535</v>
      </c>
      <c r="F299" s="9">
        <v>0.68355128688649835</v>
      </c>
      <c r="G299" s="9">
        <v>0.30032678998485968</v>
      </c>
      <c r="H299" s="9">
        <v>0.34861252984868768</v>
      </c>
      <c r="I299" s="9">
        <v>0.35942116960675757</v>
      </c>
      <c r="J299" s="9">
        <v>-5.4134254298042874</v>
      </c>
      <c r="K299" s="9">
        <v>1.665048632597683</v>
      </c>
      <c r="L299" s="9">
        <v>-0.99061680141015673</v>
      </c>
      <c r="M299" s="9">
        <v>2.8370914305315349</v>
      </c>
      <c r="N299" s="9">
        <v>2.9048202917486639</v>
      </c>
      <c r="O299" s="9">
        <v>-11.51292546497023</v>
      </c>
      <c r="P299" s="9">
        <v>-6.7728862166404724E-2</v>
      </c>
      <c r="Q299" s="9">
        <v>1</v>
      </c>
      <c r="R299" s="9">
        <v>0</v>
      </c>
      <c r="S299" s="9">
        <v>0</v>
      </c>
      <c r="T299" s="9">
        <v>0</v>
      </c>
      <c r="U299" s="9">
        <v>1</v>
      </c>
      <c r="V299" s="9">
        <v>0</v>
      </c>
      <c r="W299" s="9">
        <v>0</v>
      </c>
      <c r="X299" s="9">
        <v>-1.6317098140716553</v>
      </c>
      <c r="Y299">
        <f t="shared" si="32"/>
        <v>0.20587513712258126</v>
      </c>
      <c r="Z299">
        <f t="shared" si="33"/>
        <v>0.19559485721739908</v>
      </c>
      <c r="AA299">
        <f t="shared" si="34"/>
        <v>1.0280279905182182E-2</v>
      </c>
      <c r="AB299">
        <f t="shared" si="35"/>
        <v>1.0568415492889258E-4</v>
      </c>
      <c r="AC299" t="str">
        <f>VLOOKUP(A299, 'state-ids'!$A$1:$B$28, 2)</f>
        <v>MG</v>
      </c>
      <c r="AD299">
        <f>VLOOKUP(A299, 'state-ids'!$A$1:$C$28, 3)</f>
        <v>5.9558894000000001E-2</v>
      </c>
      <c r="AE299">
        <f>VLOOKUP(A299, 'state-ids'!$A$1:$D$28, 4)</f>
        <v>0.8888064</v>
      </c>
      <c r="AF299">
        <f t="shared" si="36"/>
        <v>4.552856534355218E-2</v>
      </c>
      <c r="AG299">
        <f t="shared" si="37"/>
        <v>0.22274028542864951</v>
      </c>
      <c r="AH299">
        <f t="shared" si="38"/>
        <v>0.17175765082760355</v>
      </c>
      <c r="AI299">
        <f t="shared" si="39"/>
        <v>5.0982634601045962E-2</v>
      </c>
      <c r="AJ299" s="12"/>
    </row>
    <row r="300" spans="1:36" x14ac:dyDescent="0.25">
      <c r="A300" s="9">
        <v>31</v>
      </c>
      <c r="B300" s="9">
        <v>2016</v>
      </c>
      <c r="C300" s="9">
        <v>-1.537501426855469</v>
      </c>
      <c r="D300" s="9">
        <v>0.70877443644564431</v>
      </c>
      <c r="E300" s="9">
        <v>0.67365850397608285</v>
      </c>
      <c r="F300" s="9">
        <v>0.65206473545871535</v>
      </c>
      <c r="G300" s="9">
        <v>0.39467375702994367</v>
      </c>
      <c r="H300" s="9">
        <v>0.30032678998485968</v>
      </c>
      <c r="I300" s="9">
        <v>0.34861252984868768</v>
      </c>
      <c r="J300" s="9">
        <v>-5.0618123912569919</v>
      </c>
      <c r="K300" s="9">
        <v>1.665048632597683</v>
      </c>
      <c r="L300" s="9">
        <v>-0.9609825132529638</v>
      </c>
      <c r="M300" s="9">
        <v>2.800931067191438</v>
      </c>
      <c r="N300" s="9">
        <v>2.8309548340103299</v>
      </c>
      <c r="O300" s="9">
        <v>-11.51292546497023</v>
      </c>
      <c r="P300" s="9">
        <v>-3.0023766681551933E-2</v>
      </c>
      <c r="Q300" s="9">
        <v>1</v>
      </c>
      <c r="R300" s="9">
        <v>0</v>
      </c>
      <c r="S300" s="9">
        <v>0</v>
      </c>
      <c r="T300" s="9">
        <v>0</v>
      </c>
      <c r="U300" s="9">
        <v>1</v>
      </c>
      <c r="V300" s="9">
        <v>0</v>
      </c>
      <c r="W300" s="9">
        <v>0</v>
      </c>
      <c r="X300" s="9">
        <v>-1.6065216064453125</v>
      </c>
      <c r="Y300">
        <f t="shared" si="32"/>
        <v>0.21491741802380851</v>
      </c>
      <c r="Z300">
        <f t="shared" si="33"/>
        <v>0.20058411250917998</v>
      </c>
      <c r="AA300">
        <f t="shared" si="34"/>
        <v>1.4333305514628525E-2</v>
      </c>
      <c r="AB300">
        <f t="shared" si="35"/>
        <v>2.0544364697568047E-4</v>
      </c>
      <c r="AC300" t="str">
        <f>VLOOKUP(A300, 'state-ids'!$A$1:$B$28, 2)</f>
        <v>MG</v>
      </c>
      <c r="AD300">
        <f>VLOOKUP(A300, 'state-ids'!$A$1:$C$28, 3)</f>
        <v>5.9558894000000001E-2</v>
      </c>
      <c r="AE300">
        <f>VLOOKUP(A300, 'state-ids'!$A$1:$D$28, 4)</f>
        <v>0.8888064</v>
      </c>
      <c r="AF300">
        <f t="shared" si="36"/>
        <v>6.1345577348602298E-2</v>
      </c>
      <c r="AG300">
        <f t="shared" si="37"/>
        <v>0.22842196931122974</v>
      </c>
      <c r="AH300">
        <f t="shared" si="38"/>
        <v>0.17613886401739107</v>
      </c>
      <c r="AI300">
        <f t="shared" si="39"/>
        <v>5.2283105293838672E-2</v>
      </c>
      <c r="AJ300" s="12"/>
    </row>
    <row r="301" spans="1:36" x14ac:dyDescent="0.25">
      <c r="A301" s="9">
        <v>31</v>
      </c>
      <c r="B301" s="9">
        <v>2017</v>
      </c>
      <c r="C301" s="9">
        <v>-1.5306391406381299</v>
      </c>
      <c r="D301" s="9">
        <v>0.71676604615857931</v>
      </c>
      <c r="E301" s="9">
        <v>0.70877443644564431</v>
      </c>
      <c r="F301" s="9">
        <v>0.67365850397608285</v>
      </c>
      <c r="G301" s="9">
        <v>0.38028404291090551</v>
      </c>
      <c r="H301" s="9">
        <v>0.39467375702994367</v>
      </c>
      <c r="I301" s="9">
        <v>0.30032678998485968</v>
      </c>
      <c r="J301" s="9">
        <v>-4.4166902227234708</v>
      </c>
      <c r="K301" s="9">
        <v>1.665048632597683</v>
      </c>
      <c r="L301" s="9">
        <v>-0.92806234712043212</v>
      </c>
      <c r="M301" s="9">
        <v>2.8154043395803452</v>
      </c>
      <c r="N301" s="9">
        <v>2.79513881878828</v>
      </c>
      <c r="O301" s="9">
        <v>-11.51292546497023</v>
      </c>
      <c r="P301" s="9">
        <v>2.0265521481633186E-2</v>
      </c>
      <c r="Q301" s="9">
        <v>1</v>
      </c>
      <c r="R301" s="9">
        <v>0</v>
      </c>
      <c r="S301" s="9">
        <v>0</v>
      </c>
      <c r="T301" s="9">
        <v>0</v>
      </c>
      <c r="U301" s="9">
        <v>1</v>
      </c>
      <c r="V301" s="9">
        <v>0</v>
      </c>
      <c r="W301" s="9">
        <v>0</v>
      </c>
      <c r="X301" s="9">
        <v>-1.5990782976150513</v>
      </c>
      <c r="Y301">
        <f t="shared" si="32"/>
        <v>0.21639731478949162</v>
      </c>
      <c r="Z301">
        <f t="shared" si="33"/>
        <v>0.20208269228226625</v>
      </c>
      <c r="AA301">
        <f t="shared" si="34"/>
        <v>1.4314622507225372E-2</v>
      </c>
      <c r="AB301">
        <f t="shared" si="35"/>
        <v>2.0490841752436318E-4</v>
      </c>
      <c r="AC301" t="str">
        <f>VLOOKUP(A301, 'state-ids'!$A$1:$B$28, 2)</f>
        <v>MG</v>
      </c>
      <c r="AD301">
        <f>VLOOKUP(A301, 'state-ids'!$A$1:$C$28, 3)</f>
        <v>5.9558894000000001E-2</v>
      </c>
      <c r="AE301">
        <f>VLOOKUP(A301, 'state-ids'!$A$1:$D$28, 4)</f>
        <v>0.8888064</v>
      </c>
      <c r="AF301">
        <f t="shared" si="36"/>
        <v>6.0829160731692374E-2</v>
      </c>
      <c r="AG301">
        <f t="shared" si="37"/>
        <v>0.23012852791478153</v>
      </c>
      <c r="AH301">
        <f t="shared" si="38"/>
        <v>0.17745481140509245</v>
      </c>
      <c r="AI301">
        <f t="shared" si="39"/>
        <v>5.2673716509689078E-2</v>
      </c>
      <c r="AJ301" s="12"/>
    </row>
    <row r="302" spans="1:36" x14ac:dyDescent="0.25">
      <c r="A302" s="9">
        <v>31</v>
      </c>
      <c r="B302" s="9">
        <v>2018</v>
      </c>
      <c r="C302" s="9">
        <v>-1.773131054291377</v>
      </c>
      <c r="D302" s="9">
        <v>0.87304914583513249</v>
      </c>
      <c r="E302" s="9">
        <v>0.71676604615857931</v>
      </c>
      <c r="F302" s="9">
        <v>0.70877443644564431</v>
      </c>
      <c r="G302" s="9">
        <v>0.45031099589999951</v>
      </c>
      <c r="H302" s="9">
        <v>0.38028404291090551</v>
      </c>
      <c r="I302" s="9">
        <v>0.39467375702994367</v>
      </c>
      <c r="J302" s="9">
        <v>-3.950325063128457</v>
      </c>
      <c r="K302" s="9">
        <v>1.665048632597683</v>
      </c>
      <c r="L302" s="9">
        <v>-0.88429864165826255</v>
      </c>
      <c r="M302" s="9">
        <v>2.839851858776707</v>
      </c>
      <c r="N302" s="9">
        <v>2.8191459772272398</v>
      </c>
      <c r="O302" s="9">
        <v>3.2580965380214821</v>
      </c>
      <c r="P302" s="9">
        <v>2.0705882459878922E-2</v>
      </c>
      <c r="Q302" s="9">
        <v>1</v>
      </c>
      <c r="R302" s="9">
        <v>0</v>
      </c>
      <c r="S302" s="9">
        <v>0</v>
      </c>
      <c r="T302" s="9">
        <v>0</v>
      </c>
      <c r="U302" s="9">
        <v>1</v>
      </c>
      <c r="V302" s="9">
        <v>0</v>
      </c>
      <c r="W302" s="9">
        <v>0</v>
      </c>
      <c r="X302" s="9">
        <v>-1.6962287425994873</v>
      </c>
      <c r="Y302">
        <f t="shared" si="32"/>
        <v>0.16980050104887379</v>
      </c>
      <c r="Z302">
        <f t="shared" si="33"/>
        <v>0.18337377137685498</v>
      </c>
      <c r="AA302">
        <f t="shared" si="34"/>
        <v>-1.3573270327981196E-2</v>
      </c>
      <c r="AB302">
        <f t="shared" si="35"/>
        <v>1.8423366739645476E-4</v>
      </c>
      <c r="AC302" t="str">
        <f>VLOOKUP(A302, 'state-ids'!$A$1:$B$28, 2)</f>
        <v>MG</v>
      </c>
      <c r="AD302">
        <f>VLOOKUP(A302, 'state-ids'!$A$1:$C$28, 3)</f>
        <v>5.9558894000000001E-2</v>
      </c>
      <c r="AE302">
        <f>VLOOKUP(A302, 'state-ids'!$A$1:$D$28, 4)</f>
        <v>0.8888064</v>
      </c>
      <c r="AF302">
        <f t="shared" si="36"/>
        <v>-6.8351266806546351E-2</v>
      </c>
      <c r="AG302">
        <f t="shared" si="37"/>
        <v>0.20882310893895664</v>
      </c>
      <c r="AH302">
        <f t="shared" si="38"/>
        <v>0.16102595253861796</v>
      </c>
      <c r="AI302">
        <f t="shared" si="39"/>
        <v>4.7797156400338686E-2</v>
      </c>
      <c r="AJ302" s="12"/>
    </row>
    <row r="303" spans="1:36" x14ac:dyDescent="0.25">
      <c r="A303" s="9">
        <v>31</v>
      </c>
      <c r="B303" s="9">
        <v>2019</v>
      </c>
      <c r="C303" s="9">
        <v>-1.858401975125525</v>
      </c>
      <c r="D303" s="9">
        <v>0.82868281335263771</v>
      </c>
      <c r="E303" s="9">
        <v>0.87304914583513249</v>
      </c>
      <c r="F303" s="9">
        <v>0.71676604615857931</v>
      </c>
      <c r="G303" s="9">
        <v>0.38831894927319383</v>
      </c>
      <c r="H303" s="9">
        <v>0.45031099589999951</v>
      </c>
      <c r="I303" s="9">
        <v>0.38028404291090551</v>
      </c>
      <c r="J303" s="9">
        <v>-3.206845334783671</v>
      </c>
      <c r="K303" s="9">
        <v>1.665048632597683</v>
      </c>
      <c r="L303" s="9">
        <v>-0.84793328981547011</v>
      </c>
      <c r="M303" s="9">
        <v>2.8508349529448558</v>
      </c>
      <c r="N303" s="9">
        <v>2.833780735630254</v>
      </c>
      <c r="O303" s="9">
        <v>5.393627546352362</v>
      </c>
      <c r="P303" s="9">
        <v>1.7054216936230659E-2</v>
      </c>
      <c r="Q303" s="9">
        <v>1</v>
      </c>
      <c r="R303" s="9">
        <v>0</v>
      </c>
      <c r="S303" s="9">
        <v>0</v>
      </c>
      <c r="T303" s="9">
        <v>0</v>
      </c>
      <c r="U303" s="9">
        <v>1</v>
      </c>
      <c r="V303" s="9">
        <v>0</v>
      </c>
      <c r="W303" s="9">
        <v>0</v>
      </c>
      <c r="X303" s="9">
        <v>-1.6816600561141968</v>
      </c>
      <c r="Y303">
        <f t="shared" si="32"/>
        <v>0.15592159797883581</v>
      </c>
      <c r="Z303">
        <f t="shared" si="33"/>
        <v>0.18606484144233998</v>
      </c>
      <c r="AA303">
        <f t="shared" si="34"/>
        <v>-3.0143243463504166E-2</v>
      </c>
      <c r="AB303">
        <f t="shared" si="35"/>
        <v>9.0861512650008665E-4</v>
      </c>
      <c r="AC303" t="str">
        <f>VLOOKUP(A303, 'state-ids'!$A$1:$B$28, 2)</f>
        <v>MG</v>
      </c>
      <c r="AD303">
        <f>VLOOKUP(A303, 'state-ids'!$A$1:$C$28, 3)</f>
        <v>5.9558894000000001E-2</v>
      </c>
      <c r="AE303">
        <f>VLOOKUP(A303, 'state-ids'!$A$1:$D$28, 4)</f>
        <v>0.8888064</v>
      </c>
      <c r="AF303">
        <f t="shared" si="36"/>
        <v>-0.15708934876555017</v>
      </c>
      <c r="AG303">
        <f t="shared" si="37"/>
        <v>0.21188765635611287</v>
      </c>
      <c r="AH303">
        <f t="shared" si="38"/>
        <v>0.16338906105402462</v>
      </c>
      <c r="AI303">
        <f t="shared" si="39"/>
        <v>4.8498595302088249E-2</v>
      </c>
      <c r="AJ303" s="12"/>
    </row>
    <row r="304" spans="1:36" x14ac:dyDescent="0.25">
      <c r="A304" s="9">
        <v>31</v>
      </c>
      <c r="B304" s="9">
        <v>2020</v>
      </c>
      <c r="C304" s="9">
        <v>-1.8829612093822541</v>
      </c>
      <c r="D304" s="9">
        <v>0.73835952338149324</v>
      </c>
      <c r="E304" s="9">
        <v>0.82868281335263771</v>
      </c>
      <c r="F304" s="9">
        <v>0.87304914583513249</v>
      </c>
      <c r="G304" s="9">
        <v>0.34074879338847308</v>
      </c>
      <c r="H304" s="9">
        <v>0.38831894927319383</v>
      </c>
      <c r="I304" s="9">
        <v>0.45031099589999951</v>
      </c>
      <c r="J304" s="9">
        <v>-2.5883590649293349</v>
      </c>
      <c r="K304" s="9">
        <v>1.665048632597683</v>
      </c>
      <c r="L304" s="9">
        <v>-0.83191594082884701</v>
      </c>
      <c r="M304" s="9">
        <v>2.828616070877128</v>
      </c>
      <c r="N304" s="9">
        <v>2.845000233169098</v>
      </c>
      <c r="O304" s="9">
        <v>5.9914645471079817</v>
      </c>
      <c r="P304" s="9">
        <v>-1.638416200876236E-2</v>
      </c>
      <c r="Q304" s="9">
        <v>1</v>
      </c>
      <c r="R304" s="9">
        <v>1</v>
      </c>
      <c r="S304" s="9">
        <v>0</v>
      </c>
      <c r="T304" s="9">
        <v>0</v>
      </c>
      <c r="U304" s="9">
        <v>1</v>
      </c>
      <c r="V304" s="9">
        <v>0</v>
      </c>
      <c r="W304" s="9">
        <v>0</v>
      </c>
      <c r="X304" s="9">
        <v>-1.7471423149108887</v>
      </c>
      <c r="Y304">
        <f t="shared" si="32"/>
        <v>0.152138922857288</v>
      </c>
      <c r="Z304">
        <f t="shared" si="33"/>
        <v>0.17427124488453738</v>
      </c>
      <c r="AA304">
        <f t="shared" si="34"/>
        <v>-2.2132322027249379E-2</v>
      </c>
      <c r="AB304">
        <f t="shared" si="35"/>
        <v>4.8983967831786807E-4</v>
      </c>
      <c r="AC304" t="str">
        <f>VLOOKUP(A304, 'state-ids'!$A$1:$B$28, 2)</f>
        <v>MG</v>
      </c>
      <c r="AD304">
        <f>VLOOKUP(A304, 'state-ids'!$A$1:$C$28, 3)</f>
        <v>5.9558894000000001E-2</v>
      </c>
      <c r="AE304">
        <f>VLOOKUP(A304, 'state-ids'!$A$1:$D$28, 4)</f>
        <v>0.8888064</v>
      </c>
      <c r="AF304">
        <f t="shared" si="36"/>
        <v>-0.12071670264707419</v>
      </c>
      <c r="AG304">
        <f t="shared" si="37"/>
        <v>0.19845729780330318</v>
      </c>
      <c r="AH304">
        <f t="shared" si="38"/>
        <v>0.15303275379526457</v>
      </c>
      <c r="AI304">
        <f t="shared" si="39"/>
        <v>4.5424544008038609E-2</v>
      </c>
      <c r="AJ304" s="12"/>
    </row>
    <row r="305" spans="1:36" x14ac:dyDescent="0.25">
      <c r="A305" s="9">
        <v>31</v>
      </c>
      <c r="B305" s="9">
        <v>2021</v>
      </c>
      <c r="C305" s="9">
        <v>-1.7583049679789671</v>
      </c>
      <c r="D305" s="9">
        <v>0.94137351224161814</v>
      </c>
      <c r="E305" s="9">
        <v>0.73835952338149324</v>
      </c>
      <c r="F305" s="9">
        <v>0.82868281335263771</v>
      </c>
      <c r="G305" s="9">
        <v>0.63350332763243034</v>
      </c>
      <c r="H305" s="9">
        <v>0.34074879338847308</v>
      </c>
      <c r="I305" s="9">
        <v>0.38831894927319383</v>
      </c>
      <c r="J305" s="9">
        <v>-1.9290036984948411</v>
      </c>
      <c r="K305" s="9">
        <v>1.665048632597683</v>
      </c>
      <c r="L305" s="9">
        <v>-0.80830727196723884</v>
      </c>
      <c r="M305" s="9">
        <v>2.9283190562134078</v>
      </c>
      <c r="N305" s="9">
        <v>2.8230308486418569</v>
      </c>
      <c r="O305" s="9">
        <v>6.6846117276679271</v>
      </c>
      <c r="P305" s="9">
        <v>0.10528820753097534</v>
      </c>
      <c r="Q305" s="9">
        <v>1</v>
      </c>
      <c r="R305" s="9">
        <v>0</v>
      </c>
      <c r="S305" s="9">
        <v>0</v>
      </c>
      <c r="T305" s="9">
        <v>0</v>
      </c>
      <c r="U305" s="9">
        <v>1</v>
      </c>
      <c r="V305" s="9">
        <v>0</v>
      </c>
      <c r="W305" s="9">
        <v>0</v>
      </c>
      <c r="X305" s="9">
        <v>-1.6791495084762573</v>
      </c>
      <c r="Y305">
        <f t="shared" si="32"/>
        <v>0.17233673266992403</v>
      </c>
      <c r="Z305">
        <f t="shared" si="33"/>
        <v>0.18653255295087853</v>
      </c>
      <c r="AA305">
        <f t="shared" si="34"/>
        <v>-1.4195820280954508E-2</v>
      </c>
      <c r="AB305">
        <f t="shared" si="35"/>
        <v>2.0152131344915931E-4</v>
      </c>
      <c r="AC305" t="str">
        <f>VLOOKUP(A305, 'state-ids'!$A$1:$B$28, 2)</f>
        <v>MG</v>
      </c>
      <c r="AD305">
        <f>VLOOKUP(A305, 'state-ids'!$A$1:$C$28, 3)</f>
        <v>5.9558894000000001E-2</v>
      </c>
      <c r="AE305">
        <f>VLOOKUP(A305, 'state-ids'!$A$1:$D$28, 4)</f>
        <v>0.8888064</v>
      </c>
      <c r="AF305">
        <f t="shared" si="36"/>
        <v>-7.0353879000949235E-2</v>
      </c>
      <c r="AG305">
        <f t="shared" si="37"/>
        <v>0.21242027871843988</v>
      </c>
      <c r="AH305">
        <f t="shared" si="38"/>
        <v>0.16379977241481633</v>
      </c>
      <c r="AI305">
        <f t="shared" si="39"/>
        <v>4.8620506303623551E-2</v>
      </c>
      <c r="AJ305" s="12"/>
    </row>
    <row r="306" spans="1:36" x14ac:dyDescent="0.25">
      <c r="A306" s="9">
        <v>31</v>
      </c>
      <c r="B306" s="9">
        <v>2022</v>
      </c>
      <c r="C306" s="9">
        <v>-1.6094302601847861</v>
      </c>
      <c r="D306" s="9">
        <v>0.92107924860595225</v>
      </c>
      <c r="E306" s="9">
        <v>0.94137351224161814</v>
      </c>
      <c r="F306" s="9">
        <v>0.73835952338149324</v>
      </c>
      <c r="G306" s="9">
        <v>0.59960543615158113</v>
      </c>
      <c r="H306" s="9">
        <v>0.63350332763243034</v>
      </c>
      <c r="I306" s="9">
        <v>0.34074879338847308</v>
      </c>
      <c r="J306" s="9">
        <v>-1.492004208403821</v>
      </c>
      <c r="K306" s="9">
        <v>1.665048632597683</v>
      </c>
      <c r="L306" s="9">
        <v>-0.77348469736340553</v>
      </c>
      <c r="M306" s="9">
        <v>2.9018312435238851</v>
      </c>
      <c r="N306" s="9">
        <v>2.9283190562134078</v>
      </c>
      <c r="O306" s="9">
        <v>8.0551577318196781</v>
      </c>
      <c r="P306" s="9">
        <v>-2.6487812399864197E-2</v>
      </c>
      <c r="Q306" s="9">
        <v>1</v>
      </c>
      <c r="R306" s="9">
        <v>0</v>
      </c>
      <c r="S306" s="9">
        <v>0</v>
      </c>
      <c r="T306" s="9">
        <v>0</v>
      </c>
      <c r="U306" s="9">
        <v>1</v>
      </c>
      <c r="V306" s="9">
        <v>0</v>
      </c>
      <c r="W306" s="9">
        <v>0</v>
      </c>
      <c r="X306" s="9">
        <v>-1.629146933555603</v>
      </c>
      <c r="Y306">
        <f t="shared" si="32"/>
        <v>0.20000153045571856</v>
      </c>
      <c r="Z306">
        <f t="shared" si="33"/>
        <v>0.19609678638350425</v>
      </c>
      <c r="AA306">
        <f t="shared" si="34"/>
        <v>3.9047440722143056E-3</v>
      </c>
      <c r="AB306">
        <f t="shared" si="35"/>
        <v>1.5247026269492759E-5</v>
      </c>
      <c r="AC306" t="str">
        <f>VLOOKUP(A306, 'state-ids'!$A$1:$B$28, 2)</f>
        <v>MG</v>
      </c>
      <c r="AD306">
        <f>VLOOKUP(A306, 'state-ids'!$A$1:$C$28, 3)</f>
        <v>5.9558894000000001E-2</v>
      </c>
      <c r="AE306">
        <f>VLOOKUP(A306, 'state-ids'!$A$1:$D$28, 4)</f>
        <v>0.8888064</v>
      </c>
      <c r="AF306">
        <f t="shared" si="36"/>
        <v>1.752430547869168E-2</v>
      </c>
      <c r="AG306">
        <f t="shared" si="37"/>
        <v>0.2233118743104521</v>
      </c>
      <c r="AH306">
        <f t="shared" si="38"/>
        <v>0.17219840972933817</v>
      </c>
      <c r="AI306">
        <f t="shared" si="39"/>
        <v>5.1113464581113932E-2</v>
      </c>
      <c r="AJ306" s="12"/>
    </row>
    <row r="307" spans="1:36" x14ac:dyDescent="0.25">
      <c r="A307" s="9">
        <v>31</v>
      </c>
      <c r="B307" s="9">
        <v>2023</v>
      </c>
      <c r="C307" s="9">
        <v>-1.4965861262527229</v>
      </c>
      <c r="D307" s="9">
        <v>0.72149165356908784</v>
      </c>
      <c r="E307" s="9">
        <v>0.92107924860595225</v>
      </c>
      <c r="F307" s="9">
        <v>0.94137351224161814</v>
      </c>
      <c r="G307" s="9">
        <v>0.35107931758157263</v>
      </c>
      <c r="H307" s="9">
        <v>0.59960543615158113</v>
      </c>
      <c r="I307" s="9">
        <v>0.63350332763243034</v>
      </c>
      <c r="J307" s="9">
        <v>-0.96519406369813177</v>
      </c>
      <c r="K307" s="9">
        <v>1.665048632597683</v>
      </c>
      <c r="L307" s="9">
        <v>-0.7452298622928164</v>
      </c>
      <c r="M307" s="9">
        <v>2.9210104236017731</v>
      </c>
      <c r="N307" s="9">
        <v>2.9018312435238851</v>
      </c>
      <c r="O307" s="9">
        <v>8.4658998970286863</v>
      </c>
      <c r="P307" s="9">
        <v>1.9179180264472961E-2</v>
      </c>
      <c r="Q307" s="9">
        <v>1</v>
      </c>
      <c r="R307" s="9">
        <v>0</v>
      </c>
      <c r="S307" s="9">
        <v>0</v>
      </c>
      <c r="T307" s="9">
        <v>0</v>
      </c>
      <c r="U307" s="9">
        <v>1</v>
      </c>
      <c r="V307" s="9">
        <v>0</v>
      </c>
      <c r="W307" s="9">
        <v>0</v>
      </c>
      <c r="X307" s="9">
        <v>-1.5467343330383301</v>
      </c>
      <c r="Y307">
        <f t="shared" si="32"/>
        <v>0.22389320006428198</v>
      </c>
      <c r="Z307">
        <f t="shared" si="33"/>
        <v>0.21294223802337231</v>
      </c>
      <c r="AA307">
        <f t="shared" si="34"/>
        <v>1.0950962040909673E-2</v>
      </c>
      <c r="AB307">
        <f t="shared" si="35"/>
        <v>1.1992356962144455E-4</v>
      </c>
      <c r="AC307" t="str">
        <f>VLOOKUP(A307, 'state-ids'!$A$1:$B$28, 2)</f>
        <v>MG</v>
      </c>
      <c r="AD307">
        <f>VLOOKUP(A307, 'state-ids'!$A$1:$C$28, 3)</f>
        <v>5.9558894000000001E-2</v>
      </c>
      <c r="AE307">
        <f>VLOOKUP(A307, 'state-ids'!$A$1:$D$28, 4)</f>
        <v>0.8888064</v>
      </c>
      <c r="AF307">
        <f t="shared" si="36"/>
        <v>4.4572047139571074E-2</v>
      </c>
      <c r="AG307">
        <f t="shared" si="37"/>
        <v>0.24249520438271613</v>
      </c>
      <c r="AH307">
        <f t="shared" si="38"/>
        <v>0.18699090091216033</v>
      </c>
      <c r="AI307">
        <f t="shared" si="39"/>
        <v>5.5504303470555794E-2</v>
      </c>
      <c r="AJ307" s="12"/>
    </row>
    <row r="308" spans="1:36" x14ac:dyDescent="0.25">
      <c r="A308" s="9">
        <v>32</v>
      </c>
      <c r="B308" s="9">
        <v>2006</v>
      </c>
      <c r="C308" s="9">
        <v>-2.0154650404173702</v>
      </c>
      <c r="D308" s="9">
        <v>0.96317431777300555</v>
      </c>
      <c r="E308" s="9">
        <v>0.88957707835573163</v>
      </c>
      <c r="F308" s="9">
        <v>0.8423858160261829</v>
      </c>
      <c r="G308" s="9">
        <v>0.67803354274989713</v>
      </c>
      <c r="H308" s="9">
        <v>0.46919079898870919</v>
      </c>
      <c r="I308" s="9">
        <v>0.31736222655319152</v>
      </c>
      <c r="J308" s="9">
        <v>-11.51292546497023</v>
      </c>
      <c r="K308" s="9">
        <v>0.1210771896579252</v>
      </c>
      <c r="L308" s="9">
        <v>-1.72030015686339</v>
      </c>
      <c r="M308" s="9">
        <v>3.0345033139311699</v>
      </c>
      <c r="N308" s="9">
        <v>2.9716296335152319</v>
      </c>
      <c r="O308" s="9">
        <v>-11.51292546497023</v>
      </c>
      <c r="P308" s="9">
        <v>6.2873683869838715E-2</v>
      </c>
      <c r="Q308" s="9">
        <v>0</v>
      </c>
      <c r="R308" s="9">
        <v>0</v>
      </c>
      <c r="S308" s="9">
        <v>0</v>
      </c>
      <c r="T308" s="9">
        <v>0</v>
      </c>
      <c r="U308" s="9">
        <v>1</v>
      </c>
      <c r="V308" s="9">
        <v>0</v>
      </c>
      <c r="W308" s="9">
        <v>0</v>
      </c>
      <c r="X308" s="9">
        <v>-2.080146312713623</v>
      </c>
      <c r="Y308">
        <f t="shared" si="32"/>
        <v>0.13325841840379754</v>
      </c>
      <c r="Z308">
        <f t="shared" si="33"/>
        <v>0.12491193465737307</v>
      </c>
      <c r="AA308">
        <f t="shared" si="34"/>
        <v>8.3464837464244657E-3</v>
      </c>
      <c r="AB308">
        <f t="shared" si="35"/>
        <v>6.9663790929327783E-5</v>
      </c>
      <c r="AC308" t="str">
        <f>VLOOKUP(A308, 'state-ids'!$A$1:$B$28, 2)</f>
        <v>ES</v>
      </c>
      <c r="AD308">
        <f>VLOOKUP(A308, 'state-ids'!$A$1:$C$28, 3)</f>
        <v>4.3489425999999998E-2</v>
      </c>
      <c r="AE308">
        <f>VLOOKUP(A308, 'state-ids'!$A$1:$D$28, 4)</f>
        <v>0.78261179000000003</v>
      </c>
      <c r="AF308">
        <f t="shared" si="36"/>
        <v>4.0264743287764894E-2</v>
      </c>
      <c r="AG308">
        <f t="shared" si="37"/>
        <v>0.13395050525719193</v>
      </c>
      <c r="AH308">
        <f t="shared" si="38"/>
        <v>0.11648325917016354</v>
      </c>
      <c r="AI308">
        <f t="shared" si="39"/>
        <v>1.746724608702839E-2</v>
      </c>
      <c r="AJ308" s="12"/>
    </row>
    <row r="309" spans="1:36" x14ac:dyDescent="0.25">
      <c r="A309" s="9">
        <v>32</v>
      </c>
      <c r="B309" s="9">
        <v>2007</v>
      </c>
      <c r="C309" s="9">
        <v>-1.9854443444285541</v>
      </c>
      <c r="D309" s="9">
        <v>0.91952549438408449</v>
      </c>
      <c r="E309" s="9">
        <v>0.96317431777300555</v>
      </c>
      <c r="F309" s="9">
        <v>0.88957707835573163</v>
      </c>
      <c r="G309" s="9">
        <v>0.54412499416691684</v>
      </c>
      <c r="H309" s="9">
        <v>0.67803354274989713</v>
      </c>
      <c r="I309" s="9">
        <v>0.46919079898870919</v>
      </c>
      <c r="J309" s="9">
        <v>-11.51292546497023</v>
      </c>
      <c r="K309" s="9">
        <v>0.1210771896579252</v>
      </c>
      <c r="L309" s="9">
        <v>-1.601206695277904</v>
      </c>
      <c r="M309" s="9">
        <v>3.0998896343384841</v>
      </c>
      <c r="N309" s="9">
        <v>3.0360398755975089</v>
      </c>
      <c r="O309" s="9">
        <v>-11.51292546497023</v>
      </c>
      <c r="P309" s="9">
        <v>6.3849762082099915E-2</v>
      </c>
      <c r="Q309" s="9">
        <v>0</v>
      </c>
      <c r="R309" s="9">
        <v>0</v>
      </c>
      <c r="S309" s="9">
        <v>0</v>
      </c>
      <c r="T309" s="9">
        <v>0</v>
      </c>
      <c r="U309" s="9">
        <v>1</v>
      </c>
      <c r="V309" s="9">
        <v>0</v>
      </c>
      <c r="W309" s="9">
        <v>0</v>
      </c>
      <c r="X309" s="9">
        <v>-1.9861364364624023</v>
      </c>
      <c r="Y309">
        <f t="shared" si="32"/>
        <v>0.1373195833668211</v>
      </c>
      <c r="Z309">
        <f t="shared" si="33"/>
        <v>0.13722457845694444</v>
      </c>
      <c r="AA309">
        <f t="shared" si="34"/>
        <v>9.5004909876655885E-5</v>
      </c>
      <c r="AB309">
        <f t="shared" si="35"/>
        <v>9.0259329006715062E-9</v>
      </c>
      <c r="AC309" t="str">
        <f>VLOOKUP(A309, 'state-ids'!$A$1:$B$28, 2)</f>
        <v>ES</v>
      </c>
      <c r="AD309">
        <f>VLOOKUP(A309, 'state-ids'!$A$1:$C$28, 3)</f>
        <v>4.3489425999999998E-2</v>
      </c>
      <c r="AE309">
        <f>VLOOKUP(A309, 'state-ids'!$A$1:$D$28, 4)</f>
        <v>0.78261179000000003</v>
      </c>
      <c r="AF309">
        <f t="shared" si="36"/>
        <v>5.4163938545470787E-4</v>
      </c>
      <c r="AG309">
        <f t="shared" si="37"/>
        <v>0.14715408634436597</v>
      </c>
      <c r="AH309">
        <f t="shared" si="38"/>
        <v>0.1279650834066495</v>
      </c>
      <c r="AI309">
        <f t="shared" si="39"/>
        <v>1.9189002937716471E-2</v>
      </c>
      <c r="AJ309" s="12"/>
    </row>
    <row r="310" spans="1:36" x14ac:dyDescent="0.25">
      <c r="A310" s="9">
        <v>32</v>
      </c>
      <c r="B310" s="9">
        <v>2008</v>
      </c>
      <c r="C310" s="9">
        <v>-1.962435383477668</v>
      </c>
      <c r="D310" s="9">
        <v>0.86600745356438702</v>
      </c>
      <c r="E310" s="9">
        <v>0.91952549438408449</v>
      </c>
      <c r="F310" s="9">
        <v>0.96317431777300555</v>
      </c>
      <c r="G310" s="9">
        <v>0.47000362924573558</v>
      </c>
      <c r="H310" s="9">
        <v>0.54412499416691684</v>
      </c>
      <c r="I310" s="9">
        <v>0.67803354274989713</v>
      </c>
      <c r="J310" s="9">
        <v>-11.51292546497023</v>
      </c>
      <c r="K310" s="9">
        <v>0.1210771896579252</v>
      </c>
      <c r="L310" s="9">
        <v>-1.4792777697496631</v>
      </c>
      <c r="M310" s="9">
        <v>3.1899582055058429</v>
      </c>
      <c r="N310" s="9">
        <v>3.1014288502095142</v>
      </c>
      <c r="O310" s="9">
        <v>-11.51292546497023</v>
      </c>
      <c r="P310" s="9">
        <v>8.8529355823993683E-2</v>
      </c>
      <c r="Q310" s="9">
        <v>0</v>
      </c>
      <c r="R310" s="9">
        <v>0</v>
      </c>
      <c r="S310" s="9">
        <v>0</v>
      </c>
      <c r="T310" s="9">
        <v>0</v>
      </c>
      <c r="U310" s="9">
        <v>1</v>
      </c>
      <c r="V310" s="9">
        <v>0</v>
      </c>
      <c r="W310" s="9">
        <v>0</v>
      </c>
      <c r="X310" s="9">
        <v>-1.8932827711105347</v>
      </c>
      <c r="Y310">
        <f t="shared" si="32"/>
        <v>0.14051579403332012</v>
      </c>
      <c r="Z310">
        <f t="shared" si="33"/>
        <v>0.15057668779587338</v>
      </c>
      <c r="AA310">
        <f t="shared" si="34"/>
        <v>-1.0060893762553258E-2</v>
      </c>
      <c r="AB310">
        <f t="shared" si="35"/>
        <v>1.0122158330138305E-4</v>
      </c>
      <c r="AC310" t="str">
        <f>VLOOKUP(A310, 'state-ids'!$A$1:$B$28, 2)</f>
        <v>ES</v>
      </c>
      <c r="AD310">
        <f>VLOOKUP(A310, 'state-ids'!$A$1:$C$28, 3)</f>
        <v>4.3489425999999998E-2</v>
      </c>
      <c r="AE310">
        <f>VLOOKUP(A310, 'state-ids'!$A$1:$D$28, 4)</f>
        <v>0.78261179000000003</v>
      </c>
      <c r="AF310">
        <f t="shared" si="36"/>
        <v>-5.4119649747818355E-2</v>
      </c>
      <c r="AG310">
        <f t="shared" si="37"/>
        <v>0.16147234822306172</v>
      </c>
      <c r="AH310">
        <f t="shared" si="38"/>
        <v>0.14041623322560734</v>
      </c>
      <c r="AI310">
        <f t="shared" si="39"/>
        <v>2.1056114997454384E-2</v>
      </c>
      <c r="AJ310" s="12"/>
    </row>
    <row r="311" spans="1:36" x14ac:dyDescent="0.25">
      <c r="A311" s="9">
        <v>32</v>
      </c>
      <c r="B311" s="9">
        <v>2009</v>
      </c>
      <c r="C311" s="9">
        <v>-1.920097925506407</v>
      </c>
      <c r="D311" s="9">
        <v>0.82382450420156139</v>
      </c>
      <c r="E311" s="9">
        <v>0.86600745356438702</v>
      </c>
      <c r="F311" s="9">
        <v>0.91952549438408449</v>
      </c>
      <c r="G311" s="9">
        <v>0.46662292108625802</v>
      </c>
      <c r="H311" s="9">
        <v>0.47000362924573558</v>
      </c>
      <c r="I311" s="9">
        <v>0.54412499416691684</v>
      </c>
      <c r="J311" s="9">
        <v>-8.1568541141611828</v>
      </c>
      <c r="K311" s="9">
        <v>0.1210771896579252</v>
      </c>
      <c r="L311" s="9">
        <v>-1.3854822910721349</v>
      </c>
      <c r="M311" s="9">
        <v>3.0689971607260609</v>
      </c>
      <c r="N311" s="9">
        <v>3.1802898549320782</v>
      </c>
      <c r="O311" s="9">
        <v>-11.51292546497023</v>
      </c>
      <c r="P311" s="9">
        <v>-0.11129269748926163</v>
      </c>
      <c r="Q311" s="9">
        <v>0</v>
      </c>
      <c r="R311" s="9">
        <v>0</v>
      </c>
      <c r="S311" s="9">
        <v>0</v>
      </c>
      <c r="T311" s="9">
        <v>0</v>
      </c>
      <c r="U311" s="9">
        <v>1</v>
      </c>
      <c r="V311" s="9">
        <v>0</v>
      </c>
      <c r="W311" s="9">
        <v>0</v>
      </c>
      <c r="X311" s="9">
        <v>-1.8330172300338745</v>
      </c>
      <c r="Y311">
        <f t="shared" si="32"/>
        <v>0.14659260627225454</v>
      </c>
      <c r="Z311">
        <f t="shared" si="33"/>
        <v>0.15993029258348376</v>
      </c>
      <c r="AA311">
        <f t="shared" si="34"/>
        <v>-1.3337686311229224E-2</v>
      </c>
      <c r="AB311">
        <f t="shared" si="35"/>
        <v>1.7789387613675143E-4</v>
      </c>
      <c r="AC311" t="str">
        <f>VLOOKUP(A311, 'state-ids'!$A$1:$B$28, 2)</f>
        <v>ES</v>
      </c>
      <c r="AD311">
        <f>VLOOKUP(A311, 'state-ids'!$A$1:$C$28, 3)</f>
        <v>4.3489425999999998E-2</v>
      </c>
      <c r="AE311">
        <f>VLOOKUP(A311, 'state-ids'!$A$1:$D$28, 4)</f>
        <v>0.78261179000000003</v>
      </c>
      <c r="AF311">
        <f t="shared" si="36"/>
        <v>-6.8150378958203556E-2</v>
      </c>
      <c r="AG311">
        <f t="shared" si="37"/>
        <v>0.17150277558545265</v>
      </c>
      <c r="AH311">
        <f t="shared" si="38"/>
        <v>0.14913868535669514</v>
      </c>
      <c r="AI311">
        <f t="shared" si="39"/>
        <v>2.2364090228757516E-2</v>
      </c>
      <c r="AJ311" s="12"/>
    </row>
    <row r="312" spans="1:36" x14ac:dyDescent="0.25">
      <c r="A312" s="9">
        <v>32</v>
      </c>
      <c r="B312" s="9">
        <v>2010</v>
      </c>
      <c r="C312" s="9">
        <v>-1.706711018642455</v>
      </c>
      <c r="D312" s="9">
        <v>0.78895723540592111</v>
      </c>
      <c r="E312" s="9">
        <v>0.82382450420156139</v>
      </c>
      <c r="F312" s="9">
        <v>0.86600745356438702</v>
      </c>
      <c r="G312" s="9">
        <v>0.50748003351489412</v>
      </c>
      <c r="H312" s="9">
        <v>0.46662292108625802</v>
      </c>
      <c r="I312" s="9">
        <v>0.47000362924573558</v>
      </c>
      <c r="J312" s="9">
        <v>-7.4722525615834847</v>
      </c>
      <c r="K312" s="9">
        <v>0.1210771896579252</v>
      </c>
      <c r="L312" s="9">
        <v>-1.3149918360292321</v>
      </c>
      <c r="M312" s="9">
        <v>3.1886505585110809</v>
      </c>
      <c r="N312" s="9">
        <v>3.0604515327438668</v>
      </c>
      <c r="O312" s="9">
        <v>-11.51292546497023</v>
      </c>
      <c r="P312" s="9">
        <v>0.1281990259885788</v>
      </c>
      <c r="Q312" s="9">
        <v>0</v>
      </c>
      <c r="R312" s="9">
        <v>0</v>
      </c>
      <c r="S312" s="9">
        <v>0</v>
      </c>
      <c r="T312" s="9">
        <v>0</v>
      </c>
      <c r="U312" s="9">
        <v>1</v>
      </c>
      <c r="V312" s="9">
        <v>0</v>
      </c>
      <c r="W312" s="9">
        <v>0</v>
      </c>
      <c r="X312" s="9">
        <v>-1.6975280046463013</v>
      </c>
      <c r="Y312">
        <f t="shared" si="32"/>
        <v>0.18146163615928551</v>
      </c>
      <c r="Z312">
        <f t="shared" si="33"/>
        <v>0.18313567550328369</v>
      </c>
      <c r="AA312">
        <f t="shared" si="34"/>
        <v>-1.6740393439981793E-3</v>
      </c>
      <c r="AB312">
        <f t="shared" si="35"/>
        <v>2.8024077252538545E-6</v>
      </c>
      <c r="AC312" t="str">
        <f>VLOOKUP(A312, 'state-ids'!$A$1:$B$28, 2)</f>
        <v>ES</v>
      </c>
      <c r="AD312">
        <f>VLOOKUP(A312, 'state-ids'!$A$1:$C$28, 3)</f>
        <v>4.3489425999999998E-2</v>
      </c>
      <c r="AE312">
        <f>VLOOKUP(A312, 'state-ids'!$A$1:$D$28, 4)</f>
        <v>0.78261179000000003</v>
      </c>
      <c r="AF312">
        <f t="shared" si="36"/>
        <v>-7.1867350211249261E-3</v>
      </c>
      <c r="AG312">
        <f t="shared" si="37"/>
        <v>0.19638728942570269</v>
      </c>
      <c r="AH312">
        <f t="shared" si="38"/>
        <v>0.17077823997735037</v>
      </c>
      <c r="AI312">
        <f t="shared" si="39"/>
        <v>2.5609049448352322E-2</v>
      </c>
      <c r="AJ312" s="12"/>
    </row>
    <row r="313" spans="1:36" x14ac:dyDescent="0.25">
      <c r="A313" s="9">
        <v>32</v>
      </c>
      <c r="B313" s="9">
        <v>2011</v>
      </c>
      <c r="C313" s="9">
        <v>-1.60053839816128</v>
      </c>
      <c r="D313" s="9">
        <v>0.79077285934438513</v>
      </c>
      <c r="E313" s="9">
        <v>0.78895723540592111</v>
      </c>
      <c r="F313" s="9">
        <v>0.82382450420156139</v>
      </c>
      <c r="G313" s="9">
        <v>0.60355064674818915</v>
      </c>
      <c r="H313" s="9">
        <v>0.50748003351489412</v>
      </c>
      <c r="I313" s="9">
        <v>0.46662292108625802</v>
      </c>
      <c r="J313" s="9">
        <v>-5.5348156310996162</v>
      </c>
      <c r="K313" s="9">
        <v>0.1210771896579252</v>
      </c>
      <c r="L313" s="9">
        <v>-1.2476551676735821</v>
      </c>
      <c r="M313" s="9">
        <v>3.317190439872213</v>
      </c>
      <c r="N313" s="9">
        <v>3.1801773399395339</v>
      </c>
      <c r="O313" s="9">
        <v>-11.51292546497023</v>
      </c>
      <c r="P313" s="9">
        <v>0.13701309263706207</v>
      </c>
      <c r="Q313" s="9">
        <v>0</v>
      </c>
      <c r="R313" s="9">
        <v>0</v>
      </c>
      <c r="S313" s="9">
        <v>0</v>
      </c>
      <c r="T313" s="9">
        <v>0</v>
      </c>
      <c r="U313" s="9">
        <v>1</v>
      </c>
      <c r="V313" s="9">
        <v>0</v>
      </c>
      <c r="W313" s="9">
        <v>0</v>
      </c>
      <c r="X313" s="9">
        <v>-1.5896147489547729</v>
      </c>
      <c r="Y313">
        <f t="shared" si="32"/>
        <v>0.20178784653747969</v>
      </c>
      <c r="Z313">
        <f t="shared" si="33"/>
        <v>0.20400418942437937</v>
      </c>
      <c r="AA313">
        <f t="shared" si="34"/>
        <v>-2.2163428868996748E-3</v>
      </c>
      <c r="AB313">
        <f t="shared" si="35"/>
        <v>4.9121757923107853E-6</v>
      </c>
      <c r="AC313" t="str">
        <f>VLOOKUP(A313, 'state-ids'!$A$1:$B$28, 2)</f>
        <v>ES</v>
      </c>
      <c r="AD313">
        <f>VLOOKUP(A313, 'state-ids'!$A$1:$C$28, 3)</f>
        <v>4.3489425999999998E-2</v>
      </c>
      <c r="AE313">
        <f>VLOOKUP(A313, 'state-ids'!$A$1:$D$28, 4)</f>
        <v>0.78261179000000003</v>
      </c>
      <c r="AF313">
        <f t="shared" si="36"/>
        <v>-8.5489766588365337E-3</v>
      </c>
      <c r="AG313">
        <f t="shared" si="37"/>
        <v>0.21876583949271594</v>
      </c>
      <c r="AH313">
        <f t="shared" si="38"/>
        <v>0.19023861037538162</v>
      </c>
      <c r="AI313">
        <f t="shared" si="39"/>
        <v>2.8527229117334324E-2</v>
      </c>
      <c r="AJ313" s="12"/>
    </row>
    <row r="314" spans="1:36" x14ac:dyDescent="0.25">
      <c r="A314" s="9">
        <v>32</v>
      </c>
      <c r="B314" s="9">
        <v>2012</v>
      </c>
      <c r="C314" s="9">
        <v>-1.471108373131875</v>
      </c>
      <c r="D314" s="9">
        <v>0.71998383451350489</v>
      </c>
      <c r="E314" s="9">
        <v>0.79077285934438513</v>
      </c>
      <c r="F314" s="9">
        <v>0.78895723540592111</v>
      </c>
      <c r="G314" s="9">
        <v>0.57986649410097901</v>
      </c>
      <c r="H314" s="9">
        <v>0.60355064674818915</v>
      </c>
      <c r="I314" s="9">
        <v>0.50748003351489412</v>
      </c>
      <c r="J314" s="9">
        <v>-5.1380555517149187</v>
      </c>
      <c r="K314" s="9">
        <v>0.1210771896579252</v>
      </c>
      <c r="L314" s="9">
        <v>-1.179704367233158</v>
      </c>
      <c r="M314" s="9">
        <v>3.329732396070292</v>
      </c>
      <c r="N314" s="9">
        <v>3.3084854111487361</v>
      </c>
      <c r="O314" s="9">
        <v>-11.51292546497023</v>
      </c>
      <c r="P314" s="9">
        <v>2.1246984601020813E-2</v>
      </c>
      <c r="Q314" s="9">
        <v>0</v>
      </c>
      <c r="R314" s="9">
        <v>0</v>
      </c>
      <c r="S314" s="9">
        <v>0</v>
      </c>
      <c r="T314" s="9">
        <v>0</v>
      </c>
      <c r="U314" s="9">
        <v>1</v>
      </c>
      <c r="V314" s="9">
        <v>0</v>
      </c>
      <c r="W314" s="9">
        <v>0</v>
      </c>
      <c r="X314" s="9">
        <v>-1.4635783433914185</v>
      </c>
      <c r="Y314">
        <f t="shared" si="32"/>
        <v>0.22967078313513978</v>
      </c>
      <c r="Z314">
        <f t="shared" si="33"/>
        <v>0.23140673865844355</v>
      </c>
      <c r="AA314">
        <f t="shared" si="34"/>
        <v>-1.7359555233037727E-3</v>
      </c>
      <c r="AB314">
        <f t="shared" si="35"/>
        <v>3.0135415788888754E-6</v>
      </c>
      <c r="AC314" t="str">
        <f>VLOOKUP(A314, 'state-ids'!$A$1:$B$28, 2)</f>
        <v>ES</v>
      </c>
      <c r="AD314">
        <f>VLOOKUP(A314, 'state-ids'!$A$1:$C$28, 3)</f>
        <v>4.3489425999999998E-2</v>
      </c>
      <c r="AE314">
        <f>VLOOKUP(A314, 'state-ids'!$A$1:$D$28, 4)</f>
        <v>0.78261179000000003</v>
      </c>
      <c r="AF314">
        <f t="shared" si="36"/>
        <v>-5.8930900539319589E-3</v>
      </c>
      <c r="AG314">
        <f t="shared" si="37"/>
        <v>0.24815122468674242</v>
      </c>
      <c r="AH314">
        <f t="shared" si="38"/>
        <v>0.21579211935841022</v>
      </c>
      <c r="AI314">
        <f t="shared" si="39"/>
        <v>3.2359105328332194E-2</v>
      </c>
      <c r="AJ314" s="12"/>
    </row>
    <row r="315" spans="1:36" x14ac:dyDescent="0.25">
      <c r="A315" s="9">
        <v>32</v>
      </c>
      <c r="B315" s="9">
        <v>2013</v>
      </c>
      <c r="C315" s="9">
        <v>-1.494133934603429</v>
      </c>
      <c r="D315" s="9">
        <v>0.68355128688649835</v>
      </c>
      <c r="E315" s="9">
        <v>0.71998383451350489</v>
      </c>
      <c r="F315" s="9">
        <v>0.79077285934438513</v>
      </c>
      <c r="G315" s="9">
        <v>0.53456168144257443</v>
      </c>
      <c r="H315" s="9">
        <v>0.57986649410097901</v>
      </c>
      <c r="I315" s="9">
        <v>0.60355064674818915</v>
      </c>
      <c r="J315" s="9">
        <v>-4.491862412090355</v>
      </c>
      <c r="K315" s="9">
        <v>0.1210771896579252</v>
      </c>
      <c r="L315" s="9">
        <v>-1.1875772680358909</v>
      </c>
      <c r="M315" s="9">
        <v>3.190504739213627</v>
      </c>
      <c r="N315" s="9">
        <v>3.2592478577247208</v>
      </c>
      <c r="O315" s="9">
        <v>-11.51292546497023</v>
      </c>
      <c r="P315" s="9">
        <v>-6.8743117153644562E-2</v>
      </c>
      <c r="Q315" s="9">
        <v>0</v>
      </c>
      <c r="R315" s="9">
        <v>0</v>
      </c>
      <c r="S315" s="9">
        <v>0</v>
      </c>
      <c r="T315" s="9">
        <v>0</v>
      </c>
      <c r="U315" s="9">
        <v>1</v>
      </c>
      <c r="V315" s="9">
        <v>0</v>
      </c>
      <c r="W315" s="9">
        <v>0</v>
      </c>
      <c r="X315" s="9">
        <v>-1.4419981241226196</v>
      </c>
      <c r="Y315">
        <f t="shared" si="32"/>
        <v>0.22444290281259976</v>
      </c>
      <c r="Z315">
        <f t="shared" si="33"/>
        <v>0.23645482026436188</v>
      </c>
      <c r="AA315">
        <f t="shared" si="34"/>
        <v>-1.2011917451762111E-2</v>
      </c>
      <c r="AB315">
        <f t="shared" si="35"/>
        <v>1.4428616086794717E-4</v>
      </c>
      <c r="AC315" t="str">
        <f>VLOOKUP(A315, 'state-ids'!$A$1:$B$28, 2)</f>
        <v>ES</v>
      </c>
      <c r="AD315">
        <f>VLOOKUP(A315, 'state-ids'!$A$1:$C$28, 3)</f>
        <v>4.3489425999999998E-2</v>
      </c>
      <c r="AE315">
        <f>VLOOKUP(A315, 'state-ids'!$A$1:$D$28, 4)</f>
        <v>0.78261179000000003</v>
      </c>
      <c r="AF315">
        <f t="shared" si="36"/>
        <v>-4.0802099963487007E-2</v>
      </c>
      <c r="AG315">
        <f t="shared" si="37"/>
        <v>0.25356458317444064</v>
      </c>
      <c r="AH315">
        <f t="shared" si="38"/>
        <v>0.22049957184985725</v>
      </c>
      <c r="AI315">
        <f t="shared" si="39"/>
        <v>3.3065011324583393E-2</v>
      </c>
      <c r="AJ315" s="12"/>
    </row>
    <row r="316" spans="1:36" x14ac:dyDescent="0.25">
      <c r="A316" s="9">
        <v>32</v>
      </c>
      <c r="B316" s="9">
        <v>2014</v>
      </c>
      <c r="C316" s="9">
        <v>-1.4244153753066211</v>
      </c>
      <c r="D316" s="9">
        <v>0.65876275369811454</v>
      </c>
      <c r="E316" s="9">
        <v>0.68355128688649835</v>
      </c>
      <c r="F316" s="9">
        <v>0.71998383451350489</v>
      </c>
      <c r="G316" s="9">
        <v>0.51950782414882457</v>
      </c>
      <c r="H316" s="9">
        <v>0.53456168144257443</v>
      </c>
      <c r="I316" s="9">
        <v>0.57986649410097901</v>
      </c>
      <c r="J316" s="9">
        <v>-3.810543579081318</v>
      </c>
      <c r="K316" s="9">
        <v>0.1210771896579252</v>
      </c>
      <c r="L316" s="9">
        <v>-1.1445370486744579</v>
      </c>
      <c r="M316" s="9">
        <v>3.1967545587293689</v>
      </c>
      <c r="N316" s="9">
        <v>3.1786763916627172</v>
      </c>
      <c r="O316" s="9">
        <v>-11.51292546497023</v>
      </c>
      <c r="P316" s="9">
        <v>1.8078166991472244E-2</v>
      </c>
      <c r="Q316" s="9">
        <v>0</v>
      </c>
      <c r="R316" s="9">
        <v>0</v>
      </c>
      <c r="S316" s="9">
        <v>0</v>
      </c>
      <c r="T316" s="9">
        <v>0</v>
      </c>
      <c r="U316" s="9">
        <v>1</v>
      </c>
      <c r="V316" s="9">
        <v>0</v>
      </c>
      <c r="W316" s="9">
        <v>0</v>
      </c>
      <c r="X316" s="9">
        <v>-1.3721628189086914</v>
      </c>
      <c r="Y316">
        <f t="shared" si="32"/>
        <v>0.24064911150412777</v>
      </c>
      <c r="Z316">
        <f t="shared" si="33"/>
        <v>0.25355796611654791</v>
      </c>
      <c r="AA316">
        <f t="shared" si="34"/>
        <v>-1.290885461242014E-2</v>
      </c>
      <c r="AB316">
        <f t="shared" si="35"/>
        <v>1.6663852740460072E-4</v>
      </c>
      <c r="AC316" t="str">
        <f>VLOOKUP(A316, 'state-ids'!$A$1:$B$28, 2)</f>
        <v>ES</v>
      </c>
      <c r="AD316">
        <f>VLOOKUP(A316, 'state-ids'!$A$1:$C$28, 3)</f>
        <v>4.3489425999999998E-2</v>
      </c>
      <c r="AE316">
        <f>VLOOKUP(A316, 'state-ids'!$A$1:$D$28, 4)</f>
        <v>0.78261179000000003</v>
      </c>
      <c r="AF316">
        <f t="shared" si="36"/>
        <v>-4.0893466694659715E-2</v>
      </c>
      <c r="AG316">
        <f t="shared" si="37"/>
        <v>0.27190530485705477</v>
      </c>
      <c r="AH316">
        <f t="shared" si="38"/>
        <v>0.23644864970530696</v>
      </c>
      <c r="AI316">
        <f t="shared" si="39"/>
        <v>3.5456655151747812E-2</v>
      </c>
      <c r="AJ316" s="12"/>
    </row>
    <row r="317" spans="1:36" x14ac:dyDescent="0.25">
      <c r="A317" s="9">
        <v>32</v>
      </c>
      <c r="B317" s="9">
        <v>2015</v>
      </c>
      <c r="C317" s="9">
        <v>-1.455241445631601</v>
      </c>
      <c r="D317" s="9">
        <v>0.67661121191984575</v>
      </c>
      <c r="E317" s="9">
        <v>0.65876275369811454</v>
      </c>
      <c r="F317" s="9">
        <v>0.68355128688649835</v>
      </c>
      <c r="G317" s="9">
        <v>0.48839594879980602</v>
      </c>
      <c r="H317" s="9">
        <v>0.51950782414882457</v>
      </c>
      <c r="I317" s="9">
        <v>0.53456168144257443</v>
      </c>
      <c r="J317" s="9">
        <v>-3.5314399299331951</v>
      </c>
      <c r="K317" s="9">
        <v>0.1210771896579252</v>
      </c>
      <c r="L317" s="9">
        <v>-1.1171376979228</v>
      </c>
      <c r="M317" s="9">
        <v>3.0447393750450531</v>
      </c>
      <c r="N317" s="9">
        <v>3.185273375767748</v>
      </c>
      <c r="O317" s="9">
        <v>-11.51292546497023</v>
      </c>
      <c r="P317" s="9">
        <v>-0.14053399860858917</v>
      </c>
      <c r="Q317" s="9">
        <v>1</v>
      </c>
      <c r="R317" s="9">
        <v>0</v>
      </c>
      <c r="S317" s="9">
        <v>0</v>
      </c>
      <c r="T317" s="9">
        <v>0</v>
      </c>
      <c r="U317" s="9">
        <v>1</v>
      </c>
      <c r="V317" s="9">
        <v>0</v>
      </c>
      <c r="W317" s="9">
        <v>0</v>
      </c>
      <c r="X317" s="9">
        <v>-1.4308685064315796</v>
      </c>
      <c r="Y317">
        <f t="shared" si="32"/>
        <v>0.23334401720547882</v>
      </c>
      <c r="Z317">
        <f t="shared" si="33"/>
        <v>0.23910117113529733</v>
      </c>
      <c r="AA317">
        <f t="shared" si="34"/>
        <v>-5.7571539298185148E-3</v>
      </c>
      <c r="AB317">
        <f t="shared" si="35"/>
        <v>3.3144821371624768E-5</v>
      </c>
      <c r="AC317" t="str">
        <f>VLOOKUP(A317, 'state-ids'!$A$1:$B$28, 2)</f>
        <v>ES</v>
      </c>
      <c r="AD317">
        <f>VLOOKUP(A317, 'state-ids'!$A$1:$C$28, 3)</f>
        <v>4.3489425999999998E-2</v>
      </c>
      <c r="AE317">
        <f>VLOOKUP(A317, 'state-ids'!$A$1:$D$28, 4)</f>
        <v>0.78261179000000003</v>
      </c>
      <c r="AF317">
        <f t="shared" si="36"/>
        <v>-1.9074549574889892E-2</v>
      </c>
      <c r="AG317">
        <f t="shared" si="37"/>
        <v>0.25640242278697994</v>
      </c>
      <c r="AH317">
        <f t="shared" si="38"/>
        <v>0.22296735505407941</v>
      </c>
      <c r="AI317">
        <f t="shared" si="39"/>
        <v>3.3435067732900531E-2</v>
      </c>
      <c r="AJ317" s="12"/>
    </row>
    <row r="318" spans="1:36" x14ac:dyDescent="0.25">
      <c r="A318" s="9">
        <v>32</v>
      </c>
      <c r="B318" s="9">
        <v>2016</v>
      </c>
      <c r="C318" s="9">
        <v>-1.4339957442757869</v>
      </c>
      <c r="D318" s="9">
        <v>0.70066882195879143</v>
      </c>
      <c r="E318" s="9">
        <v>0.67661121191984575</v>
      </c>
      <c r="F318" s="9">
        <v>0.65876275369811454</v>
      </c>
      <c r="G318" s="9">
        <v>0.56092921073223634</v>
      </c>
      <c r="H318" s="9">
        <v>0.48839594879980602</v>
      </c>
      <c r="I318" s="9">
        <v>0.51950782414882457</v>
      </c>
      <c r="J318" s="9">
        <v>-3.3386922842303748</v>
      </c>
      <c r="K318" s="9">
        <v>0.1210771896579252</v>
      </c>
      <c r="L318" s="9">
        <v>-1.100672190265807</v>
      </c>
      <c r="M318" s="9">
        <v>2.858973286589729</v>
      </c>
      <c r="N318" s="9">
        <v>3.0336592587329538</v>
      </c>
      <c r="O318" s="9">
        <v>-11.51292546497023</v>
      </c>
      <c r="P318" s="9">
        <v>-0.17468596994876862</v>
      </c>
      <c r="Q318" s="9">
        <v>1</v>
      </c>
      <c r="R318" s="9">
        <v>0</v>
      </c>
      <c r="S318" s="9">
        <v>0</v>
      </c>
      <c r="T318" s="9">
        <v>0</v>
      </c>
      <c r="U318" s="9">
        <v>1</v>
      </c>
      <c r="V318" s="9">
        <v>0</v>
      </c>
      <c r="W318" s="9">
        <v>0</v>
      </c>
      <c r="X318" s="9">
        <v>-1.4188328981399536</v>
      </c>
      <c r="Y318">
        <f t="shared" si="32"/>
        <v>0.23835461284541828</v>
      </c>
      <c r="Z318">
        <f t="shared" si="33"/>
        <v>0.24199628646238305</v>
      </c>
      <c r="AA318">
        <f t="shared" si="34"/>
        <v>-3.641673616964769E-3</v>
      </c>
      <c r="AB318">
        <f t="shared" si="35"/>
        <v>1.3261786732497263E-5</v>
      </c>
      <c r="AC318" t="str">
        <f>VLOOKUP(A318, 'state-ids'!$A$1:$B$28, 2)</f>
        <v>ES</v>
      </c>
      <c r="AD318">
        <f>VLOOKUP(A318, 'state-ids'!$A$1:$C$28, 3)</f>
        <v>4.3489425999999998E-2</v>
      </c>
      <c r="AE318">
        <f>VLOOKUP(A318, 'state-ids'!$A$1:$D$28, 4)</f>
        <v>0.78261179000000003</v>
      </c>
      <c r="AF318">
        <f t="shared" si="36"/>
        <v>-1.1866622155859079E-2</v>
      </c>
      <c r="AG318">
        <f t="shared" si="37"/>
        <v>0.25950702733821596</v>
      </c>
      <c r="AH318">
        <f t="shared" si="38"/>
        <v>0.2256671168494391</v>
      </c>
      <c r="AI318">
        <f t="shared" si="39"/>
        <v>3.3839910488776853E-2</v>
      </c>
      <c r="AJ318" s="12"/>
    </row>
    <row r="319" spans="1:36" x14ac:dyDescent="0.25">
      <c r="A319" s="9">
        <v>32</v>
      </c>
      <c r="B319" s="9">
        <v>2017</v>
      </c>
      <c r="C319" s="9">
        <v>-1.4548490777612779</v>
      </c>
      <c r="D319" s="9">
        <v>0.69574380640721123</v>
      </c>
      <c r="E319" s="9">
        <v>0.70066882195879143</v>
      </c>
      <c r="F319" s="9">
        <v>0.67661121191984575</v>
      </c>
      <c r="G319" s="9">
        <v>0.57464513647894466</v>
      </c>
      <c r="H319" s="9">
        <v>0.56092921073223634</v>
      </c>
      <c r="I319" s="9">
        <v>0.48839594879980602</v>
      </c>
      <c r="J319" s="9">
        <v>-2.7221811997148042</v>
      </c>
      <c r="K319" s="9">
        <v>0.1210771896579252</v>
      </c>
      <c r="L319" s="9">
        <v>-1.0829756218864179</v>
      </c>
      <c r="M319" s="9">
        <v>2.8493892042478808</v>
      </c>
      <c r="N319" s="9">
        <v>2.848295158337153</v>
      </c>
      <c r="O319" s="9">
        <v>-11.51292546497023</v>
      </c>
      <c r="P319" s="9">
        <v>1.0940459324046969E-3</v>
      </c>
      <c r="Q319" s="9">
        <v>1</v>
      </c>
      <c r="R319" s="9">
        <v>0</v>
      </c>
      <c r="S319" s="9">
        <v>0</v>
      </c>
      <c r="T319" s="9">
        <v>0</v>
      </c>
      <c r="U319" s="9">
        <v>1</v>
      </c>
      <c r="V319" s="9">
        <v>0</v>
      </c>
      <c r="W319" s="9">
        <v>0</v>
      </c>
      <c r="X319" s="9">
        <v>-1.3812669515609741</v>
      </c>
      <c r="Y319">
        <f t="shared" si="32"/>
        <v>0.23343559186486454</v>
      </c>
      <c r="Z319">
        <f t="shared" si="33"/>
        <v>0.25126001704670792</v>
      </c>
      <c r="AA319">
        <f t="shared" si="34"/>
        <v>-1.7824425181843379E-2</v>
      </c>
      <c r="AB319">
        <f t="shared" si="35"/>
        <v>3.1771013306313236E-4</v>
      </c>
      <c r="AC319" t="str">
        <f>VLOOKUP(A319, 'state-ids'!$A$1:$B$28, 2)</f>
        <v>ES</v>
      </c>
      <c r="AD319">
        <f>VLOOKUP(A319, 'state-ids'!$A$1:$C$28, 3)</f>
        <v>4.3489425999999998E-2</v>
      </c>
      <c r="AE319">
        <f>VLOOKUP(A319, 'state-ids'!$A$1:$D$28, 4)</f>
        <v>0.78261179000000003</v>
      </c>
      <c r="AF319">
        <f t="shared" si="36"/>
        <v>-5.758623949762566E-2</v>
      </c>
      <c r="AG319">
        <f t="shared" si="37"/>
        <v>0.26944107724097738</v>
      </c>
      <c r="AH319">
        <f t="shared" si="38"/>
        <v>0.23430575921372812</v>
      </c>
      <c r="AI319">
        <f t="shared" si="39"/>
        <v>3.5135318027249257E-2</v>
      </c>
      <c r="AJ319" s="12"/>
    </row>
    <row r="320" spans="1:36" x14ac:dyDescent="0.25">
      <c r="A320" s="9">
        <v>32</v>
      </c>
      <c r="B320" s="9">
        <v>2018</v>
      </c>
      <c r="C320" s="9">
        <v>-1.474068202726299</v>
      </c>
      <c r="D320" s="9">
        <v>0.80892821354565558</v>
      </c>
      <c r="E320" s="9">
        <v>0.69574380640721123</v>
      </c>
      <c r="F320" s="9">
        <v>0.70066882195879143</v>
      </c>
      <c r="G320" s="9">
        <v>0.60163478005383786</v>
      </c>
      <c r="H320" s="9">
        <v>0.57464513647894466</v>
      </c>
      <c r="I320" s="9">
        <v>0.56092921073223634</v>
      </c>
      <c r="J320" s="9">
        <v>-2.1175119716893631</v>
      </c>
      <c r="K320" s="9">
        <v>0.1210771896579252</v>
      </c>
      <c r="L320" s="9">
        <v>-1.0407638899801599</v>
      </c>
      <c r="M320" s="9">
        <v>3.0056482580876702</v>
      </c>
      <c r="N320" s="9">
        <v>2.860396802928181</v>
      </c>
      <c r="O320" s="9">
        <v>3.2580965380214821</v>
      </c>
      <c r="P320" s="9">
        <v>0.14525145292282104</v>
      </c>
      <c r="Q320" s="9">
        <v>1</v>
      </c>
      <c r="R320" s="9">
        <v>0</v>
      </c>
      <c r="S320" s="9">
        <v>0</v>
      </c>
      <c r="T320" s="9">
        <v>0</v>
      </c>
      <c r="U320" s="9">
        <v>1</v>
      </c>
      <c r="V320" s="9">
        <v>0</v>
      </c>
      <c r="W320" s="9">
        <v>0</v>
      </c>
      <c r="X320" s="9">
        <v>-1.4339783191680908</v>
      </c>
      <c r="Y320">
        <f t="shared" si="32"/>
        <v>0.22899200178834481</v>
      </c>
      <c r="Z320">
        <f t="shared" si="33"/>
        <v>0.23835876623640354</v>
      </c>
      <c r="AA320">
        <f t="shared" si="34"/>
        <v>-9.3667644480587287E-3</v>
      </c>
      <c r="AB320">
        <f t="shared" si="35"/>
        <v>8.7736276225416945E-5</v>
      </c>
      <c r="AC320" t="str">
        <f>VLOOKUP(A320, 'state-ids'!$A$1:$B$28, 2)</f>
        <v>ES</v>
      </c>
      <c r="AD320">
        <f>VLOOKUP(A320, 'state-ids'!$A$1:$C$28, 3)</f>
        <v>4.3489425999999998E-2</v>
      </c>
      <c r="AE320">
        <f>VLOOKUP(A320, 'state-ids'!$A$1:$D$28, 4)</f>
        <v>0.78261179000000003</v>
      </c>
      <c r="AF320">
        <f t="shared" si="36"/>
        <v>-3.1374815532380883E-2</v>
      </c>
      <c r="AG320">
        <f t="shared" si="37"/>
        <v>0.25560629780832989</v>
      </c>
      <c r="AH320">
        <f t="shared" si="38"/>
        <v>0.22227504536818551</v>
      </c>
      <c r="AI320">
        <f t="shared" si="39"/>
        <v>3.3331252440144371E-2</v>
      </c>
      <c r="AJ320" s="12"/>
    </row>
    <row r="321" spans="1:36" x14ac:dyDescent="0.25">
      <c r="A321" s="9">
        <v>32</v>
      </c>
      <c r="B321" s="9">
        <v>2019</v>
      </c>
      <c r="C321" s="9">
        <v>-1.4606561361193731</v>
      </c>
      <c r="D321" s="9">
        <v>0.78481436908576918</v>
      </c>
      <c r="E321" s="9">
        <v>0.80892821354565558</v>
      </c>
      <c r="F321" s="9">
        <v>0.69574380640721123</v>
      </c>
      <c r="G321" s="9">
        <v>0.56781068924864764</v>
      </c>
      <c r="H321" s="9">
        <v>0.60163478005383786</v>
      </c>
      <c r="I321" s="9">
        <v>0.57464513647894466</v>
      </c>
      <c r="J321" s="9">
        <v>-1.4401362695257149</v>
      </c>
      <c r="K321" s="9">
        <v>0.1210771896579252</v>
      </c>
      <c r="L321" s="9">
        <v>-1.019930205089437</v>
      </c>
      <c r="M321" s="9">
        <v>2.9550679697659179</v>
      </c>
      <c r="N321" s="9">
        <v>2.994069657951409</v>
      </c>
      <c r="O321" s="9">
        <v>5.393627546352362</v>
      </c>
      <c r="P321" s="9">
        <v>-3.9001688361167908E-2</v>
      </c>
      <c r="Q321" s="9">
        <v>1</v>
      </c>
      <c r="R321" s="9">
        <v>0</v>
      </c>
      <c r="S321" s="9">
        <v>0</v>
      </c>
      <c r="T321" s="9">
        <v>0</v>
      </c>
      <c r="U321" s="9">
        <v>1</v>
      </c>
      <c r="V321" s="9">
        <v>0</v>
      </c>
      <c r="W321" s="9">
        <v>0</v>
      </c>
      <c r="X321" s="9">
        <v>-1.4466843605041504</v>
      </c>
      <c r="Y321">
        <f t="shared" si="32"/>
        <v>0.23208394610130254</v>
      </c>
      <c r="Z321">
        <f t="shared" si="33"/>
        <v>0.23534932940192249</v>
      </c>
      <c r="AA321">
        <f t="shared" si="34"/>
        <v>-3.2653833006199562E-3</v>
      </c>
      <c r="AB321">
        <f t="shared" si="35"/>
        <v>1.0662728099967679E-5</v>
      </c>
      <c r="AC321" t="str">
        <f>VLOOKUP(A321, 'state-ids'!$A$1:$B$28, 2)</f>
        <v>ES</v>
      </c>
      <c r="AD321">
        <f>VLOOKUP(A321, 'state-ids'!$A$1:$C$28, 3)</f>
        <v>4.3489425999999998E-2</v>
      </c>
      <c r="AE321">
        <f>VLOOKUP(A321, 'state-ids'!$A$1:$D$28, 4)</f>
        <v>0.78261179000000003</v>
      </c>
      <c r="AF321">
        <f t="shared" si="36"/>
        <v>-1.0934476323707766E-2</v>
      </c>
      <c r="AG321">
        <f t="shared" si="37"/>
        <v>0.25237909949758347</v>
      </c>
      <c r="AH321">
        <f t="shared" si="38"/>
        <v>0.2194686761312617</v>
      </c>
      <c r="AI321">
        <f t="shared" si="39"/>
        <v>3.2910423366321773E-2</v>
      </c>
      <c r="AJ321" s="12"/>
    </row>
    <row r="322" spans="1:36" x14ac:dyDescent="0.25">
      <c r="A322" s="9">
        <v>32</v>
      </c>
      <c r="B322" s="9">
        <v>2020</v>
      </c>
      <c r="C322" s="9">
        <v>-1.5028086365445701</v>
      </c>
      <c r="D322" s="9">
        <v>0.68056839835308525</v>
      </c>
      <c r="E322" s="9">
        <v>0.78481436908576918</v>
      </c>
      <c r="F322" s="9">
        <v>0.80892821354565558</v>
      </c>
      <c r="G322" s="9">
        <v>0.52360363612520588</v>
      </c>
      <c r="H322" s="9">
        <v>0.56781068924864764</v>
      </c>
      <c r="I322" s="9">
        <v>0.60163478005383786</v>
      </c>
      <c r="J322" s="9">
        <v>-0.87155225440774209</v>
      </c>
      <c r="K322" s="9">
        <v>0.1210771896579252</v>
      </c>
      <c r="L322" s="9">
        <v>-1.002540329386377</v>
      </c>
      <c r="M322" s="9">
        <v>2.8890963972944359</v>
      </c>
      <c r="N322" s="9">
        <v>2.9438334896309488</v>
      </c>
      <c r="O322" s="9">
        <v>5.9914645471079817</v>
      </c>
      <c r="P322" s="9">
        <v>-5.4737091064453125E-2</v>
      </c>
      <c r="Q322" s="9">
        <v>1</v>
      </c>
      <c r="R322" s="9">
        <v>1</v>
      </c>
      <c r="S322" s="9">
        <v>0</v>
      </c>
      <c r="T322" s="9">
        <v>0</v>
      </c>
      <c r="U322" s="9">
        <v>1</v>
      </c>
      <c r="V322" s="9">
        <v>0</v>
      </c>
      <c r="W322" s="9">
        <v>0</v>
      </c>
      <c r="X322" s="9">
        <v>-1.4853149652481079</v>
      </c>
      <c r="Y322">
        <f t="shared" si="32"/>
        <v>0.22250434787743847</v>
      </c>
      <c r="Z322">
        <f t="shared" si="33"/>
        <v>0.22643101154422918</v>
      </c>
      <c r="AA322">
        <f t="shared" si="34"/>
        <v>-3.9266636667907029E-3</v>
      </c>
      <c r="AB322">
        <f t="shared" si="35"/>
        <v>1.5418687552094208E-5</v>
      </c>
      <c r="AC322" t="str">
        <f>VLOOKUP(A322, 'state-ids'!$A$1:$B$28, 2)</f>
        <v>ES</v>
      </c>
      <c r="AD322">
        <f>VLOOKUP(A322, 'state-ids'!$A$1:$C$28, 3)</f>
        <v>4.3489425999999998E-2</v>
      </c>
      <c r="AE322">
        <f>VLOOKUP(A322, 'state-ids'!$A$1:$D$28, 4)</f>
        <v>0.78261179000000003</v>
      </c>
      <c r="AF322">
        <f t="shared" si="36"/>
        <v>-1.3690753406995885E-2</v>
      </c>
      <c r="AG322">
        <f t="shared" si="37"/>
        <v>0.24281545622875558</v>
      </c>
      <c r="AH322">
        <f t="shared" si="38"/>
        <v>0.2111521390987591</v>
      </c>
      <c r="AI322">
        <f t="shared" si="39"/>
        <v>3.1663317129996482E-2</v>
      </c>
      <c r="AJ322" s="12"/>
    </row>
    <row r="323" spans="1:36" x14ac:dyDescent="0.25">
      <c r="A323" s="9">
        <v>32</v>
      </c>
      <c r="B323" s="9">
        <v>2021</v>
      </c>
      <c r="C323" s="9">
        <v>-1.3732322435946691</v>
      </c>
      <c r="D323" s="9">
        <v>0.91605070306954628</v>
      </c>
      <c r="E323" s="9">
        <v>0.68056839835308525</v>
      </c>
      <c r="F323" s="9">
        <v>0.78481436908576918</v>
      </c>
      <c r="G323" s="9">
        <v>0.7530185775973357</v>
      </c>
      <c r="H323" s="9">
        <v>0.52360363612520588</v>
      </c>
      <c r="I323" s="9">
        <v>0.56781068924864764</v>
      </c>
      <c r="J323" s="9">
        <v>-0.1537470462107792</v>
      </c>
      <c r="K323" s="9">
        <v>0.1210771896579252</v>
      </c>
      <c r="L323" s="9">
        <v>-0.98375136577726552</v>
      </c>
      <c r="M323" s="9">
        <v>3.0526313545272359</v>
      </c>
      <c r="N323" s="9">
        <v>2.8782169571944691</v>
      </c>
      <c r="O323" s="9">
        <v>6.6846117276679271</v>
      </c>
      <c r="P323" s="9">
        <v>0.17441439628601074</v>
      </c>
      <c r="Q323" s="9">
        <v>1</v>
      </c>
      <c r="R323" s="9">
        <v>0</v>
      </c>
      <c r="S323" s="9">
        <v>0</v>
      </c>
      <c r="T323" s="9">
        <v>0</v>
      </c>
      <c r="U323" s="9">
        <v>1</v>
      </c>
      <c r="V323" s="9">
        <v>0</v>
      </c>
      <c r="W323" s="9">
        <v>0</v>
      </c>
      <c r="X323" s="9">
        <v>-1.4696497917175293</v>
      </c>
      <c r="Y323">
        <f t="shared" ref="Y323:Y386" si="40">EXP(C323)</f>
        <v>0.25328694990979683</v>
      </c>
      <c r="Z323">
        <f t="shared" ref="Z323:Z386" si="41">EXP(X323)</f>
        <v>0.23000602109733567</v>
      </c>
      <c r="AA323">
        <f t="shared" ref="AA323:AA386" si="42">Y323-Z323</f>
        <v>2.328092881246116E-2</v>
      </c>
      <c r="AB323">
        <f t="shared" ref="AB323:AB386" si="43">AA323*AA323</f>
        <v>5.4200164637088419E-4</v>
      </c>
      <c r="AC323" t="str">
        <f>VLOOKUP(A323, 'state-ids'!$A$1:$B$28, 2)</f>
        <v>ES</v>
      </c>
      <c r="AD323">
        <f>VLOOKUP(A323, 'state-ids'!$A$1:$C$28, 3)</f>
        <v>4.3489425999999998E-2</v>
      </c>
      <c r="AE323">
        <f>VLOOKUP(A323, 'state-ids'!$A$1:$D$28, 4)</f>
        <v>0.78261179000000003</v>
      </c>
      <c r="AF323">
        <f t="shared" ref="AF323:AF386" si="44">IF(B323=2006, (C323-X323)*SQRT(1 - AE323*AE323), AE323*(C323-X323) )</f>
        <v>7.5457509923842758E-2</v>
      </c>
      <c r="AG323">
        <f t="shared" ref="AG323:AG386" si="45">EXP(X323+SQRT((AD323*AD323)/(1-(AE323*AE323))))</f>
        <v>0.24664915184200045</v>
      </c>
      <c r="AH323">
        <f t="shared" ref="AH323:AH386" si="46">EXP(X323-SQRT((AD323*AD323)/(1-(AE323*AE323))))</f>
        <v>0.21448591793624613</v>
      </c>
      <c r="AI323">
        <f t="shared" ref="AI323:AI386" si="47">AG323-AH323</f>
        <v>3.2163233905754318E-2</v>
      </c>
      <c r="AJ323" s="12"/>
    </row>
    <row r="324" spans="1:36" x14ac:dyDescent="0.25">
      <c r="A324" s="9">
        <v>32</v>
      </c>
      <c r="B324" s="9">
        <v>2022</v>
      </c>
      <c r="C324" s="9">
        <v>-1.408030673586286</v>
      </c>
      <c r="D324" s="9">
        <v>0.91948562277067425</v>
      </c>
      <c r="E324" s="9">
        <v>0.91605070306954628</v>
      </c>
      <c r="F324" s="9">
        <v>0.68056839835308525</v>
      </c>
      <c r="G324" s="9">
        <v>0.73620667002039231</v>
      </c>
      <c r="H324" s="9">
        <v>0.7530185775973357</v>
      </c>
      <c r="I324" s="9">
        <v>0.52360363612520588</v>
      </c>
      <c r="J324" s="9">
        <v>0.2069221807398918</v>
      </c>
      <c r="K324" s="9">
        <v>0.1210771896579252</v>
      </c>
      <c r="L324" s="9">
        <v>-0.95235125574320523</v>
      </c>
      <c r="M324" s="9">
        <v>2.9498901365852981</v>
      </c>
      <c r="N324" s="9">
        <v>3.0526313545272359</v>
      </c>
      <c r="O324" s="9">
        <v>8.0551577318196781</v>
      </c>
      <c r="P324" s="9">
        <v>-0.10274121910333633</v>
      </c>
      <c r="Q324" s="9">
        <v>1</v>
      </c>
      <c r="R324" s="9">
        <v>0</v>
      </c>
      <c r="S324" s="9">
        <v>0</v>
      </c>
      <c r="T324" s="9">
        <v>0</v>
      </c>
      <c r="U324" s="9">
        <v>1</v>
      </c>
      <c r="V324" s="9">
        <v>0</v>
      </c>
      <c r="W324" s="9">
        <v>0</v>
      </c>
      <c r="X324" s="9">
        <v>-1.4659150838851929</v>
      </c>
      <c r="Y324">
        <f t="shared" si="40"/>
        <v>0.24462455470453007</v>
      </c>
      <c r="Z324">
        <f t="shared" si="41"/>
        <v>0.23086663245147479</v>
      </c>
      <c r="AA324">
        <f t="shared" si="42"/>
        <v>1.3757922253055277E-2</v>
      </c>
      <c r="AB324">
        <f t="shared" si="43"/>
        <v>1.8928042472111359E-4</v>
      </c>
      <c r="AC324" t="str">
        <f>VLOOKUP(A324, 'state-ids'!$A$1:$B$28, 2)</f>
        <v>ES</v>
      </c>
      <c r="AD324">
        <f>VLOOKUP(A324, 'state-ids'!$A$1:$C$28, 3)</f>
        <v>4.3489425999999998E-2</v>
      </c>
      <c r="AE324">
        <f>VLOOKUP(A324, 'state-ids'!$A$1:$D$28, 4)</f>
        <v>0.78261179000000003</v>
      </c>
      <c r="AF324">
        <f t="shared" si="44"/>
        <v>4.5301021957121962E-2</v>
      </c>
      <c r="AG324">
        <f t="shared" si="45"/>
        <v>0.24757203664106484</v>
      </c>
      <c r="AH324">
        <f t="shared" si="46"/>
        <v>0.21528845786714981</v>
      </c>
      <c r="AI324">
        <f t="shared" si="47"/>
        <v>3.2283578773915023E-2</v>
      </c>
      <c r="AJ324" s="12"/>
    </row>
    <row r="325" spans="1:36" x14ac:dyDescent="0.25">
      <c r="A325" s="9">
        <v>32</v>
      </c>
      <c r="B325" s="9">
        <v>2023</v>
      </c>
      <c r="C325" s="9">
        <v>-1.409933029471633</v>
      </c>
      <c r="D325" s="9">
        <v>0.77094120799996546</v>
      </c>
      <c r="E325" s="9">
        <v>0.91948562277067425</v>
      </c>
      <c r="F325" s="9">
        <v>0.91605070306954628</v>
      </c>
      <c r="G325" s="9">
        <v>0.51372142687801625</v>
      </c>
      <c r="H325" s="9">
        <v>0.73620667002039231</v>
      </c>
      <c r="I325" s="9">
        <v>0.7530185775973357</v>
      </c>
      <c r="J325" s="9">
        <v>0.80364040826699634</v>
      </c>
      <c r="K325" s="9">
        <v>0.1210771896579252</v>
      </c>
      <c r="L325" s="9">
        <v>-0.91589480276000479</v>
      </c>
      <c r="M325" s="9">
        <v>3.038862087768913</v>
      </c>
      <c r="N325" s="9">
        <v>2.9498901365852981</v>
      </c>
      <c r="O325" s="9">
        <v>8.4658998970286863</v>
      </c>
      <c r="P325" s="9">
        <v>8.8971950113773346E-2</v>
      </c>
      <c r="Q325" s="9">
        <v>1</v>
      </c>
      <c r="R325" s="9">
        <v>0</v>
      </c>
      <c r="S325" s="9">
        <v>0</v>
      </c>
      <c r="T325" s="9">
        <v>0</v>
      </c>
      <c r="U325" s="9">
        <v>1</v>
      </c>
      <c r="V325" s="9">
        <v>0</v>
      </c>
      <c r="W325" s="9">
        <v>0</v>
      </c>
      <c r="X325" s="9">
        <v>-1.4229415655136108</v>
      </c>
      <c r="Y325">
        <f t="shared" si="40"/>
        <v>0.24415963410561697</v>
      </c>
      <c r="Z325">
        <f t="shared" si="41"/>
        <v>0.24100404400859607</v>
      </c>
      <c r="AA325">
        <f t="shared" si="42"/>
        <v>3.155590097020905E-3</v>
      </c>
      <c r="AB325">
        <f t="shared" si="43"/>
        <v>9.9577488604164041E-6</v>
      </c>
      <c r="AC325" t="str">
        <f>VLOOKUP(A325, 'state-ids'!$A$1:$B$28, 2)</f>
        <v>ES</v>
      </c>
      <c r="AD325">
        <f>VLOOKUP(A325, 'state-ids'!$A$1:$C$28, 3)</f>
        <v>4.3489425999999998E-2</v>
      </c>
      <c r="AE325">
        <f>VLOOKUP(A325, 'state-ids'!$A$1:$D$28, 4)</f>
        <v>0.78261179000000003</v>
      </c>
      <c r="AF325">
        <f t="shared" si="44"/>
        <v>1.0180633677091782E-2</v>
      </c>
      <c r="AG325">
        <f t="shared" si="45"/>
        <v>0.25844298667319082</v>
      </c>
      <c r="AH325">
        <f t="shared" si="46"/>
        <v>0.22474182788308741</v>
      </c>
      <c r="AI325">
        <f t="shared" si="47"/>
        <v>3.3701158790103408E-2</v>
      </c>
      <c r="AJ325" s="12"/>
    </row>
    <row r="326" spans="1:36" x14ac:dyDescent="0.25">
      <c r="A326" s="9">
        <v>33</v>
      </c>
      <c r="B326" s="9">
        <v>2006</v>
      </c>
      <c r="C326" s="9">
        <v>-2.237512838161928</v>
      </c>
      <c r="D326" s="9">
        <v>0.94000725849147115</v>
      </c>
      <c r="E326" s="9">
        <v>0.88107797611841054</v>
      </c>
      <c r="F326" s="9">
        <v>0.83768033129224362</v>
      </c>
      <c r="G326" s="9">
        <v>0.63127177684185776</v>
      </c>
      <c r="H326" s="9">
        <v>0.47561286801024621</v>
      </c>
      <c r="I326" s="9">
        <v>0.34089103078292382</v>
      </c>
      <c r="J326" s="9">
        <v>-11.51292546497023</v>
      </c>
      <c r="K326" s="9">
        <v>0.82647109558213605</v>
      </c>
      <c r="L326" s="9">
        <v>-1.70570799043904</v>
      </c>
      <c r="M326" s="9">
        <v>3.2560988326107489</v>
      </c>
      <c r="N326" s="9">
        <v>3.2165286519569731</v>
      </c>
      <c r="O326" s="9">
        <v>-11.51292546497023</v>
      </c>
      <c r="P326" s="9">
        <v>3.9570178836584091E-2</v>
      </c>
      <c r="Q326" s="9">
        <v>0</v>
      </c>
      <c r="R326" s="9">
        <v>0</v>
      </c>
      <c r="S326" s="9">
        <v>0</v>
      </c>
      <c r="T326" s="9">
        <v>0</v>
      </c>
      <c r="U326" s="9">
        <v>1</v>
      </c>
      <c r="V326" s="9">
        <v>0</v>
      </c>
      <c r="W326" s="9">
        <v>0</v>
      </c>
      <c r="X326" s="9">
        <v>-2.1361193656921387</v>
      </c>
      <c r="Y326">
        <f t="shared" si="40"/>
        <v>0.10672361345661004</v>
      </c>
      <c r="Z326">
        <f t="shared" si="41"/>
        <v>0.11811230549028104</v>
      </c>
      <c r="AA326">
        <f t="shared" si="42"/>
        <v>-1.1388692033671002E-2</v>
      </c>
      <c r="AB326">
        <f t="shared" si="43"/>
        <v>1.2970230623780135E-4</v>
      </c>
      <c r="AC326" t="str">
        <f>VLOOKUP(A326, 'state-ids'!$A$1:$B$28, 2)</f>
        <v>RJ</v>
      </c>
      <c r="AD326">
        <f>VLOOKUP(A326, 'state-ids'!$A$1:$C$28, 3)</f>
        <v>6.5305524000000004E-2</v>
      </c>
      <c r="AE326">
        <f>VLOOKUP(A326, 'state-ids'!$A$1:$D$28, 4)</f>
        <v>0.99124586999999997</v>
      </c>
      <c r="AF326">
        <f t="shared" si="44"/>
        <v>-1.3386866630189448E-2</v>
      </c>
      <c r="AG326">
        <f t="shared" si="45"/>
        <v>0.19369146598193149</v>
      </c>
      <c r="AH326">
        <f t="shared" si="46"/>
        <v>7.20244262570187E-2</v>
      </c>
      <c r="AI326">
        <f t="shared" si="47"/>
        <v>0.12166703972491279</v>
      </c>
      <c r="AJ326" s="12"/>
    </row>
    <row r="327" spans="1:36" x14ac:dyDescent="0.25">
      <c r="A327" s="9">
        <v>33</v>
      </c>
      <c r="B327" s="9">
        <v>2007</v>
      </c>
      <c r="C327" s="9">
        <v>-2.2630099486957058</v>
      </c>
      <c r="D327" s="9">
        <v>0.88459364513090055</v>
      </c>
      <c r="E327" s="9">
        <v>0.94000725849147115</v>
      </c>
      <c r="F327" s="9">
        <v>0.88107797611841054</v>
      </c>
      <c r="G327" s="9">
        <v>0.48698364928041982</v>
      </c>
      <c r="H327" s="9">
        <v>0.63127177684185776</v>
      </c>
      <c r="I327" s="9">
        <v>0.47561286801024621</v>
      </c>
      <c r="J327" s="9">
        <v>-11.51292546497023</v>
      </c>
      <c r="K327" s="9">
        <v>0.82647109558213605</v>
      </c>
      <c r="L327" s="9">
        <v>-1.646945585204012</v>
      </c>
      <c r="M327" s="9">
        <v>3.2606676200173892</v>
      </c>
      <c r="N327" s="9">
        <v>3.2461673473665589</v>
      </c>
      <c r="O327" s="9">
        <v>-11.51292546497023</v>
      </c>
      <c r="P327" s="9">
        <v>1.4500272460281849E-2</v>
      </c>
      <c r="Q327" s="9">
        <v>0</v>
      </c>
      <c r="R327" s="9">
        <v>0</v>
      </c>
      <c r="S327" s="9">
        <v>0</v>
      </c>
      <c r="T327" s="9">
        <v>0</v>
      </c>
      <c r="U327" s="9">
        <v>1</v>
      </c>
      <c r="V327" s="9">
        <v>0</v>
      </c>
      <c r="W327" s="9">
        <v>0</v>
      </c>
      <c r="X327" s="9">
        <v>-2.0864202976226807</v>
      </c>
      <c r="Y327">
        <f t="shared" si="40"/>
        <v>0.10403686737217262</v>
      </c>
      <c r="Z327">
        <f t="shared" si="41"/>
        <v>0.12413069237816748</v>
      </c>
      <c r="AA327">
        <f t="shared" si="42"/>
        <v>-2.0093825005994867E-2</v>
      </c>
      <c r="AB327">
        <f t="shared" si="43"/>
        <v>4.0376180337154462E-4</v>
      </c>
      <c r="AC327" t="str">
        <f>VLOOKUP(A327, 'state-ids'!$A$1:$B$28, 2)</f>
        <v>RJ</v>
      </c>
      <c r="AD327">
        <f>VLOOKUP(A327, 'state-ids'!$A$1:$C$28, 3)</f>
        <v>6.5305524000000004E-2</v>
      </c>
      <c r="AE327">
        <f>VLOOKUP(A327, 'state-ids'!$A$1:$D$28, 4)</f>
        <v>0.99124586999999997</v>
      </c>
      <c r="AF327">
        <f t="shared" si="44"/>
        <v>-0.17504376231087726</v>
      </c>
      <c r="AG327">
        <f t="shared" si="45"/>
        <v>0.2035609725868727</v>
      </c>
      <c r="AH327">
        <f t="shared" si="46"/>
        <v>7.5694415262765893E-2</v>
      </c>
      <c r="AI327">
        <f t="shared" si="47"/>
        <v>0.12786655732410679</v>
      </c>
      <c r="AJ327" s="12"/>
    </row>
    <row r="328" spans="1:36" x14ac:dyDescent="0.25">
      <c r="A328" s="9">
        <v>33</v>
      </c>
      <c r="B328" s="9">
        <v>2008</v>
      </c>
      <c r="C328" s="9">
        <v>-2.2843596656263521</v>
      </c>
      <c r="D328" s="9">
        <v>0.83512405945549484</v>
      </c>
      <c r="E328" s="9">
        <v>0.88459364513090055</v>
      </c>
      <c r="F328" s="9">
        <v>0.94000725849147115</v>
      </c>
      <c r="G328" s="9">
        <v>0.41785470575408717</v>
      </c>
      <c r="H328" s="9">
        <v>0.48698364928041982</v>
      </c>
      <c r="I328" s="9">
        <v>0.63127177684185776</v>
      </c>
      <c r="J328" s="9">
        <v>-11.51292546497023</v>
      </c>
      <c r="K328" s="9">
        <v>0.82647109558213605</v>
      </c>
      <c r="L328" s="9">
        <v>-1.584602466258185</v>
      </c>
      <c r="M328" s="9">
        <v>3.3225279254154221</v>
      </c>
      <c r="N328" s="9">
        <v>3.2508338000063959</v>
      </c>
      <c r="O328" s="9">
        <v>-11.51292546497023</v>
      </c>
      <c r="P328" s="9">
        <v>7.1694128215312958E-2</v>
      </c>
      <c r="Q328" s="9">
        <v>0</v>
      </c>
      <c r="R328" s="9">
        <v>0</v>
      </c>
      <c r="S328" s="9">
        <v>0</v>
      </c>
      <c r="T328" s="9">
        <v>0</v>
      </c>
      <c r="U328" s="9">
        <v>1</v>
      </c>
      <c r="V328" s="9">
        <v>0</v>
      </c>
      <c r="W328" s="9">
        <v>0</v>
      </c>
      <c r="X328" s="9">
        <v>-2.0342776775360107</v>
      </c>
      <c r="Y328">
        <f t="shared" si="40"/>
        <v>0.10183925240616361</v>
      </c>
      <c r="Z328">
        <f t="shared" si="41"/>
        <v>0.13077491005160646</v>
      </c>
      <c r="AA328">
        <f t="shared" si="42"/>
        <v>-2.8935657645442855E-2</v>
      </c>
      <c r="AB328">
        <f t="shared" si="43"/>
        <v>8.3727228337427556E-4</v>
      </c>
      <c r="AC328" t="str">
        <f>VLOOKUP(A328, 'state-ids'!$A$1:$B$28, 2)</f>
        <v>RJ</v>
      </c>
      <c r="AD328">
        <f>VLOOKUP(A328, 'state-ids'!$A$1:$C$28, 3)</f>
        <v>6.5305524000000004E-2</v>
      </c>
      <c r="AE328">
        <f>VLOOKUP(A328, 'state-ids'!$A$1:$D$28, 4)</f>
        <v>0.99124586999999997</v>
      </c>
      <c r="AF328">
        <f t="shared" si="44"/>
        <v>-0.24789273785594002</v>
      </c>
      <c r="AG328">
        <f t="shared" si="45"/>
        <v>0.21445677430820434</v>
      </c>
      <c r="AH328">
        <f t="shared" si="46"/>
        <v>7.9746033456736073E-2</v>
      </c>
      <c r="AI328">
        <f t="shared" si="47"/>
        <v>0.13471074085146828</v>
      </c>
      <c r="AJ328" s="12"/>
    </row>
    <row r="329" spans="1:36" x14ac:dyDescent="0.25">
      <c r="A329" s="9">
        <v>33</v>
      </c>
      <c r="B329" s="9">
        <v>2009</v>
      </c>
      <c r="C329" s="9">
        <v>-2.2804418069396069</v>
      </c>
      <c r="D329" s="9">
        <v>0.80074519115796339</v>
      </c>
      <c r="E329" s="9">
        <v>0.83512405945549484</v>
      </c>
      <c r="F329" s="9">
        <v>0.88459364513090055</v>
      </c>
      <c r="G329" s="9">
        <v>0.39332504821399572</v>
      </c>
      <c r="H329" s="9">
        <v>0.41785470575408717</v>
      </c>
      <c r="I329" s="9">
        <v>0.48698364928041982</v>
      </c>
      <c r="J329" s="9">
        <v>-9.6809956013844154</v>
      </c>
      <c r="K329" s="9">
        <v>0.82647109558213605</v>
      </c>
      <c r="L329" s="9">
        <v>-1.5249243700995121</v>
      </c>
      <c r="M329" s="9">
        <v>3.2780036200734699</v>
      </c>
      <c r="N329" s="9">
        <v>3.3138669607552518</v>
      </c>
      <c r="O329" s="9">
        <v>-11.51292546497023</v>
      </c>
      <c r="P329" s="9">
        <v>-3.5863339900970459E-2</v>
      </c>
      <c r="Q329" s="9">
        <v>0</v>
      </c>
      <c r="R329" s="9">
        <v>0</v>
      </c>
      <c r="S329" s="9">
        <v>0</v>
      </c>
      <c r="T329" s="9">
        <v>0</v>
      </c>
      <c r="U329" s="9">
        <v>1</v>
      </c>
      <c r="V329" s="9">
        <v>0</v>
      </c>
      <c r="W329" s="9">
        <v>0</v>
      </c>
      <c r="X329" s="9">
        <v>-1.9966739416122437</v>
      </c>
      <c r="Y329">
        <f t="shared" si="40"/>
        <v>0.10223902682432799</v>
      </c>
      <c r="Z329">
        <f t="shared" si="41"/>
        <v>0.13578616570562682</v>
      </c>
      <c r="AA329">
        <f t="shared" si="42"/>
        <v>-3.354713888129883E-2</v>
      </c>
      <c r="AB329">
        <f t="shared" si="43"/>
        <v>1.1254105271211517E-3</v>
      </c>
      <c r="AC329" t="str">
        <f>VLOOKUP(A329, 'state-ids'!$A$1:$B$28, 2)</f>
        <v>RJ</v>
      </c>
      <c r="AD329">
        <f>VLOOKUP(A329, 'state-ids'!$A$1:$C$28, 3)</f>
        <v>6.5305524000000004E-2</v>
      </c>
      <c r="AE329">
        <f>VLOOKUP(A329, 'state-ids'!$A$1:$D$28, 4)</f>
        <v>0.99124586999999997</v>
      </c>
      <c r="AF329">
        <f t="shared" si="44"/>
        <v>-0.28128372454446499</v>
      </c>
      <c r="AG329">
        <f t="shared" si="45"/>
        <v>0.22267469410926449</v>
      </c>
      <c r="AH329">
        <f t="shared" si="46"/>
        <v>8.2801877738242852E-2</v>
      </c>
      <c r="AI329">
        <f t="shared" si="47"/>
        <v>0.13987281637102164</v>
      </c>
      <c r="AJ329" s="12"/>
    </row>
    <row r="330" spans="1:36" x14ac:dyDescent="0.25">
      <c r="A330" s="9">
        <v>33</v>
      </c>
      <c r="B330" s="9">
        <v>2010</v>
      </c>
      <c r="C330" s="9">
        <v>-2.1519550381873729</v>
      </c>
      <c r="D330" s="9">
        <v>0.77398956840404609</v>
      </c>
      <c r="E330" s="9">
        <v>0.80074519115796339</v>
      </c>
      <c r="F330" s="9">
        <v>0.83512405945549484</v>
      </c>
      <c r="G330" s="9">
        <v>0.42533309274563069</v>
      </c>
      <c r="H330" s="9">
        <v>0.39332504821399572</v>
      </c>
      <c r="I330" s="9">
        <v>0.41785470575408717</v>
      </c>
      <c r="J330" s="9">
        <v>-8.5855714562939589</v>
      </c>
      <c r="K330" s="9">
        <v>0.82647109558213605</v>
      </c>
      <c r="L330" s="9">
        <v>-1.4550788418249221</v>
      </c>
      <c r="M330" s="9">
        <v>3.3325037359465162</v>
      </c>
      <c r="N330" s="9">
        <v>3.2748154764963191</v>
      </c>
      <c r="O330" s="9">
        <v>-11.51292546497023</v>
      </c>
      <c r="P330" s="9">
        <v>5.7688258588314056E-2</v>
      </c>
      <c r="Q330" s="9">
        <v>0</v>
      </c>
      <c r="R330" s="9">
        <v>0</v>
      </c>
      <c r="S330" s="9">
        <v>0</v>
      </c>
      <c r="T330" s="9">
        <v>0</v>
      </c>
      <c r="U330" s="9">
        <v>1</v>
      </c>
      <c r="V330" s="9">
        <v>0</v>
      </c>
      <c r="W330" s="9">
        <v>0</v>
      </c>
      <c r="X330" s="9">
        <v>-1.8962235450744629</v>
      </c>
      <c r="Y330">
        <f t="shared" si="40"/>
        <v>0.11625664926320335</v>
      </c>
      <c r="Z330">
        <f t="shared" si="41"/>
        <v>0.15013452626005153</v>
      </c>
      <c r="AA330">
        <f t="shared" si="42"/>
        <v>-3.3877876996848175E-2</v>
      </c>
      <c r="AB330">
        <f t="shared" si="43"/>
        <v>1.1477105498135748E-3</v>
      </c>
      <c r="AC330" t="str">
        <f>VLOOKUP(A330, 'state-ids'!$A$1:$B$28, 2)</f>
        <v>RJ</v>
      </c>
      <c r="AD330">
        <f>VLOOKUP(A330, 'state-ids'!$A$1:$C$28, 3)</f>
        <v>6.5305524000000004E-2</v>
      </c>
      <c r="AE330">
        <f>VLOOKUP(A330, 'state-ids'!$A$1:$D$28, 4)</f>
        <v>0.99124586999999997</v>
      </c>
      <c r="AF330">
        <f t="shared" si="44"/>
        <v>-0.25349278637710548</v>
      </c>
      <c r="AG330">
        <f t="shared" si="45"/>
        <v>0.24620446078926997</v>
      </c>
      <c r="AH330">
        <f t="shared" si="46"/>
        <v>9.155145241102168E-2</v>
      </c>
      <c r="AI330">
        <f t="shared" si="47"/>
        <v>0.1546530083782483</v>
      </c>
      <c r="AJ330" s="12"/>
    </row>
    <row r="331" spans="1:36" x14ac:dyDescent="0.25">
      <c r="A331" s="9">
        <v>33</v>
      </c>
      <c r="B331" s="9">
        <v>2011</v>
      </c>
      <c r="C331" s="9">
        <v>-1.9553968459507789</v>
      </c>
      <c r="D331" s="9">
        <v>0.77670677365887608</v>
      </c>
      <c r="E331" s="9">
        <v>0.77398956840404609</v>
      </c>
      <c r="F331" s="9">
        <v>0.80074519115796339</v>
      </c>
      <c r="G331" s="9">
        <v>0.54290551722940239</v>
      </c>
      <c r="H331" s="9">
        <v>0.42533309274563069</v>
      </c>
      <c r="I331" s="9">
        <v>0.39332504821399572</v>
      </c>
      <c r="J331" s="9">
        <v>-6.9793114934077973</v>
      </c>
      <c r="K331" s="9">
        <v>0.82647109558213605</v>
      </c>
      <c r="L331" s="9">
        <v>-1.3877135055700109</v>
      </c>
      <c r="M331" s="9">
        <v>3.3803102737778499</v>
      </c>
      <c r="N331" s="9">
        <v>3.329325786398154</v>
      </c>
      <c r="O331" s="9">
        <v>-11.51292546497023</v>
      </c>
      <c r="P331" s="9">
        <v>5.0984486937522888E-2</v>
      </c>
      <c r="Q331" s="9">
        <v>0</v>
      </c>
      <c r="R331" s="9">
        <v>0</v>
      </c>
      <c r="S331" s="9">
        <v>0</v>
      </c>
      <c r="T331" s="9">
        <v>0</v>
      </c>
      <c r="U331" s="9">
        <v>1</v>
      </c>
      <c r="V331" s="9">
        <v>0</v>
      </c>
      <c r="W331" s="9">
        <v>0</v>
      </c>
      <c r="X331" s="9">
        <v>-1.7885845899581909</v>
      </c>
      <c r="Y331">
        <f t="shared" si="40"/>
        <v>0.14150830855057114</v>
      </c>
      <c r="Z331">
        <f t="shared" si="41"/>
        <v>0.16719665408950193</v>
      </c>
      <c r="AA331">
        <f t="shared" si="42"/>
        <v>-2.568834553893079E-2</v>
      </c>
      <c r="AB331">
        <f t="shared" si="43"/>
        <v>6.598910965275054E-4</v>
      </c>
      <c r="AC331" t="str">
        <f>VLOOKUP(A331, 'state-ids'!$A$1:$B$28, 2)</f>
        <v>RJ</v>
      </c>
      <c r="AD331">
        <f>VLOOKUP(A331, 'state-ids'!$A$1:$C$28, 3)</f>
        <v>6.5305524000000004E-2</v>
      </c>
      <c r="AE331">
        <f>VLOOKUP(A331, 'state-ids'!$A$1:$D$28, 4)</f>
        <v>0.99124586999999997</v>
      </c>
      <c r="AF331">
        <f t="shared" si="44"/>
        <v>-0.16535195981803558</v>
      </c>
      <c r="AG331">
        <f t="shared" si="45"/>
        <v>0.27418451365792973</v>
      </c>
      <c r="AH331">
        <f t="shared" si="46"/>
        <v>0.10195587185350896</v>
      </c>
      <c r="AI331">
        <f t="shared" si="47"/>
        <v>0.17222864180442077</v>
      </c>
      <c r="AJ331" s="12"/>
    </row>
    <row r="332" spans="1:36" x14ac:dyDescent="0.25">
      <c r="A332" s="9">
        <v>33</v>
      </c>
      <c r="B332" s="9">
        <v>2012</v>
      </c>
      <c r="C332" s="9">
        <v>-1.8824604353078249</v>
      </c>
      <c r="D332" s="9">
        <v>0.72701706506756059</v>
      </c>
      <c r="E332" s="9">
        <v>0.77670677365887608</v>
      </c>
      <c r="F332" s="9">
        <v>0.77398956840404609</v>
      </c>
      <c r="G332" s="9">
        <v>0.48168513401957352</v>
      </c>
      <c r="H332" s="9">
        <v>0.54290551722940239</v>
      </c>
      <c r="I332" s="9">
        <v>0.42533309274563069</v>
      </c>
      <c r="J332" s="9">
        <v>-6.5592065445550389</v>
      </c>
      <c r="K332" s="9">
        <v>0.82647109558213605</v>
      </c>
      <c r="L332" s="9">
        <v>-1.32546433749687</v>
      </c>
      <c r="M332" s="9">
        <v>3.410883565693982</v>
      </c>
      <c r="N332" s="9">
        <v>3.3729712078036278</v>
      </c>
      <c r="O332" s="9">
        <v>-11.51292546497023</v>
      </c>
      <c r="P332" s="9">
        <v>3.7912357598543167E-2</v>
      </c>
      <c r="Q332" s="9">
        <v>0</v>
      </c>
      <c r="R332" s="9">
        <v>0</v>
      </c>
      <c r="S332" s="9">
        <v>0</v>
      </c>
      <c r="T332" s="9">
        <v>0</v>
      </c>
      <c r="U332" s="9">
        <v>1</v>
      </c>
      <c r="V332" s="9">
        <v>0</v>
      </c>
      <c r="W332" s="9">
        <v>0</v>
      </c>
      <c r="X332" s="9">
        <v>-1.6938371658325195</v>
      </c>
      <c r="Y332">
        <f t="shared" si="40"/>
        <v>0.15221512916504559</v>
      </c>
      <c r="Z332">
        <f t="shared" si="41"/>
        <v>0.18381284866238834</v>
      </c>
      <c r="AA332">
        <f t="shared" si="42"/>
        <v>-3.1597719497342747E-2</v>
      </c>
      <c r="AB332">
        <f t="shared" si="43"/>
        <v>9.9841587743275395E-4</v>
      </c>
      <c r="AC332" t="str">
        <f>VLOOKUP(A332, 'state-ids'!$A$1:$B$28, 2)</f>
        <v>RJ</v>
      </c>
      <c r="AD332">
        <f>VLOOKUP(A332, 'state-ids'!$A$1:$C$28, 3)</f>
        <v>6.5305524000000004E-2</v>
      </c>
      <c r="AE332">
        <f>VLOOKUP(A332, 'state-ids'!$A$1:$D$28, 4)</f>
        <v>0.99124586999999997</v>
      </c>
      <c r="AF332">
        <f t="shared" si="44"/>
        <v>-0.18697203685329353</v>
      </c>
      <c r="AG332">
        <f t="shared" si="45"/>
        <v>0.30143328399141722</v>
      </c>
      <c r="AH332">
        <f t="shared" si="46"/>
        <v>0.11208836292393014</v>
      </c>
      <c r="AI332">
        <f t="shared" si="47"/>
        <v>0.18934492106748707</v>
      </c>
      <c r="AJ332" s="12"/>
    </row>
    <row r="333" spans="1:36" x14ac:dyDescent="0.25">
      <c r="A333" s="9">
        <v>33</v>
      </c>
      <c r="B333" s="9">
        <v>2013</v>
      </c>
      <c r="C333" s="9">
        <v>-1.833439934878303</v>
      </c>
      <c r="D333" s="9">
        <v>0.72090825134533554</v>
      </c>
      <c r="E333" s="9">
        <v>0.72701706506756059</v>
      </c>
      <c r="F333" s="9">
        <v>0.77670677365887608</v>
      </c>
      <c r="G333" s="9">
        <v>0.45082080982896172</v>
      </c>
      <c r="H333" s="9">
        <v>0.48168513401957352</v>
      </c>
      <c r="I333" s="9">
        <v>0.54290551722940239</v>
      </c>
      <c r="J333" s="9">
        <v>-5.7141714698248407</v>
      </c>
      <c r="K333" s="9">
        <v>0.82647109558213605</v>
      </c>
      <c r="L333" s="9">
        <v>-1.2719662823073969</v>
      </c>
      <c r="M333" s="9">
        <v>3.4187957986930062</v>
      </c>
      <c r="N333" s="9">
        <v>3.402428809789027</v>
      </c>
      <c r="O333" s="9">
        <v>-11.51292546497023</v>
      </c>
      <c r="P333" s="9">
        <v>1.636698842048645E-2</v>
      </c>
      <c r="Q333" s="9">
        <v>0</v>
      </c>
      <c r="R333" s="9">
        <v>0</v>
      </c>
      <c r="S333" s="9">
        <v>0</v>
      </c>
      <c r="T333" s="9">
        <v>0</v>
      </c>
      <c r="U333" s="9">
        <v>1</v>
      </c>
      <c r="V333" s="9">
        <v>0</v>
      </c>
      <c r="W333" s="9">
        <v>0</v>
      </c>
      <c r="X333" s="9">
        <v>-1.6573200225830078</v>
      </c>
      <c r="Y333">
        <f t="shared" si="40"/>
        <v>0.15986270356014803</v>
      </c>
      <c r="Z333">
        <f t="shared" si="41"/>
        <v>0.19064923170026593</v>
      </c>
      <c r="AA333">
        <f t="shared" si="42"/>
        <v>-3.0786528140117897E-2</v>
      </c>
      <c r="AB333">
        <f t="shared" si="43"/>
        <v>9.4781031492227109E-4</v>
      </c>
      <c r="AC333" t="str">
        <f>VLOOKUP(A333, 'state-ids'!$A$1:$B$28, 2)</f>
        <v>RJ</v>
      </c>
      <c r="AD333">
        <f>VLOOKUP(A333, 'state-ids'!$A$1:$C$28, 3)</f>
        <v>6.5305524000000004E-2</v>
      </c>
      <c r="AE333">
        <f>VLOOKUP(A333, 'state-ids'!$A$1:$D$28, 4)</f>
        <v>0.99124586999999997</v>
      </c>
      <c r="AF333">
        <f t="shared" si="44"/>
        <v>-0.1745781356874736</v>
      </c>
      <c r="AG333">
        <f t="shared" si="45"/>
        <v>0.31264421622344857</v>
      </c>
      <c r="AH333">
        <f t="shared" si="46"/>
        <v>0.11625716281258243</v>
      </c>
      <c r="AI333">
        <f t="shared" si="47"/>
        <v>0.19638705341086615</v>
      </c>
      <c r="AJ333" s="12"/>
    </row>
    <row r="334" spans="1:36" x14ac:dyDescent="0.25">
      <c r="A334" s="9">
        <v>33</v>
      </c>
      <c r="B334" s="9">
        <v>2014</v>
      </c>
      <c r="C334" s="9">
        <v>-1.749828565635781</v>
      </c>
      <c r="D334" s="9">
        <v>0.70116495215352848</v>
      </c>
      <c r="E334" s="9">
        <v>0.72090825134533554</v>
      </c>
      <c r="F334" s="9">
        <v>0.72701706506756059</v>
      </c>
      <c r="G334" s="9">
        <v>0.45622159177194999</v>
      </c>
      <c r="H334" s="9">
        <v>0.45082080982896172</v>
      </c>
      <c r="I334" s="9">
        <v>0.48168513401957352</v>
      </c>
      <c r="J334" s="9">
        <v>-5.0547993852039159</v>
      </c>
      <c r="K334" s="9">
        <v>0.82647109558213605</v>
      </c>
      <c r="L334" s="9">
        <v>-1.2217981484674389</v>
      </c>
      <c r="M334" s="9">
        <v>3.4036344688988498</v>
      </c>
      <c r="N334" s="9">
        <v>3.413191579720682</v>
      </c>
      <c r="O334" s="9">
        <v>-11.51292546497023</v>
      </c>
      <c r="P334" s="9">
        <v>-9.5571111887693405E-3</v>
      </c>
      <c r="Q334" s="9">
        <v>0</v>
      </c>
      <c r="R334" s="9">
        <v>0</v>
      </c>
      <c r="S334" s="9">
        <v>0</v>
      </c>
      <c r="T334" s="9">
        <v>0</v>
      </c>
      <c r="U334" s="9">
        <v>1</v>
      </c>
      <c r="V334" s="9">
        <v>0</v>
      </c>
      <c r="W334" s="9">
        <v>0</v>
      </c>
      <c r="X334" s="9">
        <v>-1.6051784753799438</v>
      </c>
      <c r="Y334">
        <f t="shared" si="40"/>
        <v>0.17380373682968991</v>
      </c>
      <c r="Z334">
        <f t="shared" si="41"/>
        <v>0.20085370426991622</v>
      </c>
      <c r="AA334">
        <f t="shared" si="42"/>
        <v>-2.7049967440226308E-2</v>
      </c>
      <c r="AB334">
        <f t="shared" si="43"/>
        <v>7.3170073851730336E-4</v>
      </c>
      <c r="AC334" t="str">
        <f>VLOOKUP(A334, 'state-ids'!$A$1:$B$28, 2)</f>
        <v>RJ</v>
      </c>
      <c r="AD334">
        <f>VLOOKUP(A334, 'state-ids'!$A$1:$C$28, 3)</f>
        <v>6.5305524000000004E-2</v>
      </c>
      <c r="AE334">
        <f>VLOOKUP(A334, 'state-ids'!$A$1:$D$28, 4)</f>
        <v>0.99124586999999997</v>
      </c>
      <c r="AF334">
        <f t="shared" si="44"/>
        <v>-0.14338380456122585</v>
      </c>
      <c r="AG334">
        <f t="shared" si="45"/>
        <v>0.32937845270612065</v>
      </c>
      <c r="AH334">
        <f t="shared" si="46"/>
        <v>0.12247981064790915</v>
      </c>
      <c r="AI334">
        <f t="shared" si="47"/>
        <v>0.20689864205821151</v>
      </c>
      <c r="AJ334" s="12"/>
    </row>
    <row r="335" spans="1:36" x14ac:dyDescent="0.25">
      <c r="A335" s="9">
        <v>33</v>
      </c>
      <c r="B335" s="9">
        <v>2015</v>
      </c>
      <c r="C335" s="9">
        <v>-1.8007779194908979</v>
      </c>
      <c r="D335" s="9">
        <v>0.72571117143320785</v>
      </c>
      <c r="E335" s="9">
        <v>0.70116495215352848</v>
      </c>
      <c r="F335" s="9">
        <v>0.72090825134533554</v>
      </c>
      <c r="G335" s="9">
        <v>0.46304195291218431</v>
      </c>
      <c r="H335" s="9">
        <v>0.45622159177194999</v>
      </c>
      <c r="I335" s="9">
        <v>0.45082080982896172</v>
      </c>
      <c r="J335" s="9">
        <v>-4.7101965250097608</v>
      </c>
      <c r="K335" s="9">
        <v>0.82647109558213605</v>
      </c>
      <c r="L335" s="9">
        <v>-1.186573062907786</v>
      </c>
      <c r="M335" s="9">
        <v>3.3073660326615402</v>
      </c>
      <c r="N335" s="9">
        <v>3.398251373305063</v>
      </c>
      <c r="O335" s="9">
        <v>-11.51292546497023</v>
      </c>
      <c r="P335" s="9">
        <v>-9.0885341167449951E-2</v>
      </c>
      <c r="Q335" s="9">
        <v>1</v>
      </c>
      <c r="R335" s="9">
        <v>0</v>
      </c>
      <c r="S335" s="9">
        <v>0</v>
      </c>
      <c r="T335" s="9">
        <v>0</v>
      </c>
      <c r="U335" s="9">
        <v>1</v>
      </c>
      <c r="V335" s="9">
        <v>0</v>
      </c>
      <c r="W335" s="9">
        <v>0</v>
      </c>
      <c r="X335" s="9">
        <v>-1.6448615789413452</v>
      </c>
      <c r="Y335">
        <f t="shared" si="40"/>
        <v>0.16517034899768124</v>
      </c>
      <c r="Z335">
        <f t="shared" si="41"/>
        <v>0.19303928164622056</v>
      </c>
      <c r="AA335">
        <f t="shared" si="42"/>
        <v>-2.7868932648539319E-2</v>
      </c>
      <c r="AB335">
        <f t="shared" si="43"/>
        <v>7.7667740696882076E-4</v>
      </c>
      <c r="AC335" t="str">
        <f>VLOOKUP(A335, 'state-ids'!$A$1:$B$28, 2)</f>
        <v>RJ</v>
      </c>
      <c r="AD335">
        <f>VLOOKUP(A335, 'state-ids'!$A$1:$C$28, 3)</f>
        <v>6.5305524000000004E-2</v>
      </c>
      <c r="AE335">
        <f>VLOOKUP(A335, 'state-ids'!$A$1:$D$28, 4)</f>
        <v>0.99124586999999997</v>
      </c>
      <c r="AF335">
        <f t="shared" si="44"/>
        <v>-0.15455142863525767</v>
      </c>
      <c r="AG335">
        <f t="shared" si="45"/>
        <v>0.3165636408412339</v>
      </c>
      <c r="AH335">
        <f t="shared" si="46"/>
        <v>0.11771460600927937</v>
      </c>
      <c r="AI335">
        <f t="shared" si="47"/>
        <v>0.19884903483195454</v>
      </c>
      <c r="AJ335" s="12"/>
    </row>
    <row r="336" spans="1:36" x14ac:dyDescent="0.25">
      <c r="A336" s="9">
        <v>33</v>
      </c>
      <c r="B336" s="9">
        <v>2016</v>
      </c>
      <c r="C336" s="9">
        <v>-1.823923987083893</v>
      </c>
      <c r="D336" s="9">
        <v>0.76383860868247833</v>
      </c>
      <c r="E336" s="9">
        <v>0.72571117143320785</v>
      </c>
      <c r="F336" s="9">
        <v>0.70116495215352848</v>
      </c>
      <c r="G336" s="9">
        <v>0.57334961710434951</v>
      </c>
      <c r="H336" s="9">
        <v>0.46304195291218431</v>
      </c>
      <c r="I336" s="9">
        <v>0.45622159177194999</v>
      </c>
      <c r="J336" s="9">
        <v>-4.4310570297258298</v>
      </c>
      <c r="K336" s="9">
        <v>0.82647109558213583</v>
      </c>
      <c r="L336" s="9">
        <v>-1.164044452768576</v>
      </c>
      <c r="M336" s="9">
        <v>3.19542542152741</v>
      </c>
      <c r="N336" s="9">
        <v>3.3021848031963952</v>
      </c>
      <c r="O336" s="9">
        <v>-11.51292546497023</v>
      </c>
      <c r="P336" s="9">
        <v>-0.10675938427448273</v>
      </c>
      <c r="Q336" s="9">
        <v>1</v>
      </c>
      <c r="R336" s="9">
        <v>0</v>
      </c>
      <c r="S336" s="9">
        <v>0</v>
      </c>
      <c r="T336" s="9">
        <v>0</v>
      </c>
      <c r="U336" s="9">
        <v>1</v>
      </c>
      <c r="V336" s="9">
        <v>0</v>
      </c>
      <c r="W336" s="9">
        <v>0</v>
      </c>
      <c r="X336" s="9">
        <v>-1.6166203022003174</v>
      </c>
      <c r="Y336">
        <f t="shared" si="40"/>
        <v>0.16139120975984836</v>
      </c>
      <c r="Z336">
        <f t="shared" si="41"/>
        <v>0.1985686683906451</v>
      </c>
      <c r="AA336">
        <f t="shared" si="42"/>
        <v>-3.7177458630796745E-2</v>
      </c>
      <c r="AB336">
        <f t="shared" si="43"/>
        <v>1.3821634302446035E-3</v>
      </c>
      <c r="AC336" t="str">
        <f>VLOOKUP(A336, 'state-ids'!$A$1:$B$28, 2)</f>
        <v>RJ</v>
      </c>
      <c r="AD336">
        <f>VLOOKUP(A336, 'state-ids'!$A$1:$C$28, 3)</f>
        <v>6.5305524000000004E-2</v>
      </c>
      <c r="AE336">
        <f>VLOOKUP(A336, 'state-ids'!$A$1:$D$28, 4)</f>
        <v>0.99124586999999997</v>
      </c>
      <c r="AF336">
        <f t="shared" si="44"/>
        <v>-0.20548892147662579</v>
      </c>
      <c r="AG336">
        <f t="shared" si="45"/>
        <v>0.32563123985272535</v>
      </c>
      <c r="AH336">
        <f t="shared" si="46"/>
        <v>0.12108640462219453</v>
      </c>
      <c r="AI336">
        <f t="shared" si="47"/>
        <v>0.20454483523053082</v>
      </c>
      <c r="AJ336" s="12"/>
    </row>
    <row r="337" spans="1:36" x14ac:dyDescent="0.25">
      <c r="A337" s="9">
        <v>33</v>
      </c>
      <c r="B337" s="9">
        <v>2017</v>
      </c>
      <c r="C337" s="9">
        <v>-1.8911561148776641</v>
      </c>
      <c r="D337" s="9">
        <v>0.78211913436220926</v>
      </c>
      <c r="E337" s="9">
        <v>0.76383860868247833</v>
      </c>
      <c r="F337" s="9">
        <v>0.72571117143320785</v>
      </c>
      <c r="G337" s="9">
        <v>0.56565466004466869</v>
      </c>
      <c r="H337" s="9">
        <v>0.57334961710434951</v>
      </c>
      <c r="I337" s="9">
        <v>0.46304195291218431</v>
      </c>
      <c r="J337" s="9">
        <v>-3.794709301107944</v>
      </c>
      <c r="K337" s="9">
        <v>0.82647109558213583</v>
      </c>
      <c r="L337" s="9">
        <v>-1.1451991938333961</v>
      </c>
      <c r="M337" s="9">
        <v>3.201971591587994</v>
      </c>
      <c r="N337" s="9">
        <v>3.1904510374499342</v>
      </c>
      <c r="O337" s="9">
        <v>-11.51292546497023</v>
      </c>
      <c r="P337" s="9">
        <v>1.1520554311573505E-2</v>
      </c>
      <c r="Q337" s="9">
        <v>1</v>
      </c>
      <c r="R337" s="9">
        <v>0</v>
      </c>
      <c r="S337" s="9">
        <v>0</v>
      </c>
      <c r="T337" s="9">
        <v>0</v>
      </c>
      <c r="U337" s="9">
        <v>1</v>
      </c>
      <c r="V337" s="9">
        <v>0</v>
      </c>
      <c r="W337" s="9">
        <v>0</v>
      </c>
      <c r="X337" s="9">
        <v>-1.6090970039367676</v>
      </c>
      <c r="Y337">
        <f t="shared" si="40"/>
        <v>0.15089725339309457</v>
      </c>
      <c r="Z337">
        <f t="shared" si="41"/>
        <v>0.20006819332264769</v>
      </c>
      <c r="AA337">
        <f t="shared" si="42"/>
        <v>-4.9170939929553126E-2</v>
      </c>
      <c r="AB337">
        <f t="shared" si="43"/>
        <v>2.417781333555722E-3</v>
      </c>
      <c r="AC337" t="str">
        <f>VLOOKUP(A337, 'state-ids'!$A$1:$B$28, 2)</f>
        <v>RJ</v>
      </c>
      <c r="AD337">
        <f>VLOOKUP(A337, 'state-ids'!$A$1:$C$28, 3)</f>
        <v>6.5305524000000004E-2</v>
      </c>
      <c r="AE337">
        <f>VLOOKUP(A337, 'state-ids'!$A$1:$D$28, 4)</f>
        <v>0.99124586999999997</v>
      </c>
      <c r="AF337">
        <f t="shared" si="44"/>
        <v>-0.2795899288160355</v>
      </c>
      <c r="AG337">
        <f t="shared" si="45"/>
        <v>0.32809029931439959</v>
      </c>
      <c r="AH337">
        <f t="shared" si="46"/>
        <v>0.12200080911575908</v>
      </c>
      <c r="AI337">
        <f t="shared" si="47"/>
        <v>0.20608949019864051</v>
      </c>
      <c r="AJ337" s="12"/>
    </row>
    <row r="338" spans="1:36" x14ac:dyDescent="0.25">
      <c r="A338" s="9">
        <v>33</v>
      </c>
      <c r="B338" s="9">
        <v>2018</v>
      </c>
      <c r="C338" s="9">
        <v>-2.1486303885364362</v>
      </c>
      <c r="D338" s="9">
        <v>0.9108358811911913</v>
      </c>
      <c r="E338" s="9">
        <v>0.78211913436220926</v>
      </c>
      <c r="F338" s="9">
        <v>0.76383860868247833</v>
      </c>
      <c r="G338" s="9">
        <v>0.59316108568401837</v>
      </c>
      <c r="H338" s="9">
        <v>0.56565466004466869</v>
      </c>
      <c r="I338" s="9">
        <v>0.57334961710434951</v>
      </c>
      <c r="J338" s="9">
        <v>-3.3303391138897651</v>
      </c>
      <c r="K338" s="9">
        <v>0.82647109558213605</v>
      </c>
      <c r="L338" s="9">
        <v>-1.144966067317355</v>
      </c>
      <c r="M338" s="9">
        <v>3.2541256695778928</v>
      </c>
      <c r="N338" s="9">
        <v>3.175935994048924</v>
      </c>
      <c r="O338" s="9">
        <v>3.2580965380214821</v>
      </c>
      <c r="P338" s="9">
        <v>7.8189678490161896E-2</v>
      </c>
      <c r="Q338" s="9">
        <v>1</v>
      </c>
      <c r="R338" s="9">
        <v>0</v>
      </c>
      <c r="S338" s="9">
        <v>0</v>
      </c>
      <c r="T338" s="9">
        <v>0</v>
      </c>
      <c r="U338" s="9">
        <v>1</v>
      </c>
      <c r="V338" s="9">
        <v>0</v>
      </c>
      <c r="W338" s="9">
        <v>0</v>
      </c>
      <c r="X338" s="9">
        <v>-1.7197731733322144</v>
      </c>
      <c r="Y338">
        <f t="shared" si="40"/>
        <v>0.11664380511376478</v>
      </c>
      <c r="Z338">
        <f t="shared" si="41"/>
        <v>0.17910676949599236</v>
      </c>
      <c r="AA338">
        <f t="shared" si="42"/>
        <v>-6.2462964382227579E-2</v>
      </c>
      <c r="AB338">
        <f t="shared" si="43"/>
        <v>3.901621919415431E-3</v>
      </c>
      <c r="AC338" t="str">
        <f>VLOOKUP(A338, 'state-ids'!$A$1:$B$28, 2)</f>
        <v>RJ</v>
      </c>
      <c r="AD338">
        <f>VLOOKUP(A338, 'state-ids'!$A$1:$C$28, 3)</f>
        <v>6.5305524000000004E-2</v>
      </c>
      <c r="AE338">
        <f>VLOOKUP(A338, 'state-ids'!$A$1:$D$28, 4)</f>
        <v>0.99124586999999997</v>
      </c>
      <c r="AF338">
        <f t="shared" si="44"/>
        <v>-0.42510294339088606</v>
      </c>
      <c r="AG338">
        <f t="shared" si="45"/>
        <v>0.29371582077721159</v>
      </c>
      <c r="AH338">
        <f t="shared" si="46"/>
        <v>0.10921861408215794</v>
      </c>
      <c r="AI338">
        <f t="shared" si="47"/>
        <v>0.18449720669505365</v>
      </c>
      <c r="AJ338" s="12"/>
    </row>
    <row r="339" spans="1:36" x14ac:dyDescent="0.25">
      <c r="A339" s="9">
        <v>33</v>
      </c>
      <c r="B339" s="9">
        <v>2019</v>
      </c>
      <c r="C339" s="9">
        <v>-2.13907748087883</v>
      </c>
      <c r="D339" s="9">
        <v>0.87070742025218939</v>
      </c>
      <c r="E339" s="9">
        <v>0.9108358811911913</v>
      </c>
      <c r="F339" s="9">
        <v>0.78211913436220926</v>
      </c>
      <c r="G339" s="9">
        <v>0.63254755843101573</v>
      </c>
      <c r="H339" s="9">
        <v>0.59316108568401837</v>
      </c>
      <c r="I339" s="9">
        <v>0.56565466004466869</v>
      </c>
      <c r="J339" s="9">
        <v>-2.6191548710812809</v>
      </c>
      <c r="K339" s="9">
        <v>0.82647109558213605</v>
      </c>
      <c r="L339" s="9">
        <v>-1.1202000938310921</v>
      </c>
      <c r="M339" s="9">
        <v>3.2340371263750378</v>
      </c>
      <c r="N339" s="9">
        <v>3.2480264032731321</v>
      </c>
      <c r="O339" s="9">
        <v>5.393627546352362</v>
      </c>
      <c r="P339" s="9">
        <v>-1.3989277184009552E-2</v>
      </c>
      <c r="Q339" s="9">
        <v>1</v>
      </c>
      <c r="R339" s="9">
        <v>0</v>
      </c>
      <c r="S339" s="9">
        <v>0</v>
      </c>
      <c r="T339" s="9">
        <v>0</v>
      </c>
      <c r="U339" s="9">
        <v>1</v>
      </c>
      <c r="V339" s="9">
        <v>0</v>
      </c>
      <c r="W339" s="9">
        <v>0</v>
      </c>
      <c r="X339" s="9">
        <v>-1.6847186088562012</v>
      </c>
      <c r="Y339">
        <f t="shared" si="40"/>
        <v>0.11776343194414252</v>
      </c>
      <c r="Z339">
        <f t="shared" si="41"/>
        <v>0.18549662171931433</v>
      </c>
      <c r="AA339">
        <f t="shared" si="42"/>
        <v>-6.7733189775171815E-2</v>
      </c>
      <c r="AB339">
        <f t="shared" si="43"/>
        <v>4.5877849971194401E-3</v>
      </c>
      <c r="AC339" t="str">
        <f>VLOOKUP(A339, 'state-ids'!$A$1:$B$28, 2)</f>
        <v>RJ</v>
      </c>
      <c r="AD339">
        <f>VLOOKUP(A339, 'state-ids'!$A$1:$C$28, 3)</f>
        <v>6.5305524000000004E-2</v>
      </c>
      <c r="AE339">
        <f>VLOOKUP(A339, 'state-ids'!$A$1:$D$28, 4)</f>
        <v>0.99124586999999997</v>
      </c>
      <c r="AF339">
        <f t="shared" si="44"/>
        <v>-0.45038135539028934</v>
      </c>
      <c r="AG339">
        <f t="shared" si="45"/>
        <v>0.30419449054329267</v>
      </c>
      <c r="AH339">
        <f t="shared" si="46"/>
        <v>0.11311512121019608</v>
      </c>
      <c r="AI339">
        <f t="shared" si="47"/>
        <v>0.1910793693330966</v>
      </c>
      <c r="AJ339" s="12"/>
    </row>
    <row r="340" spans="1:36" x14ac:dyDescent="0.25">
      <c r="A340" s="9">
        <v>33</v>
      </c>
      <c r="B340" s="9">
        <v>2020</v>
      </c>
      <c r="C340" s="9">
        <v>-2.2366779689925438</v>
      </c>
      <c r="D340" s="9">
        <v>0.80571664916344143</v>
      </c>
      <c r="E340" s="9">
        <v>0.87070742025218939</v>
      </c>
      <c r="F340" s="9">
        <v>0.9108358811911913</v>
      </c>
      <c r="G340" s="9">
        <v>0.60387871280176308</v>
      </c>
      <c r="H340" s="9">
        <v>0.63254755843101573</v>
      </c>
      <c r="I340" s="9">
        <v>0.59316108568401837</v>
      </c>
      <c r="J340" s="9">
        <v>-2.081643006335685</v>
      </c>
      <c r="K340" s="9">
        <v>0.82647109558213605</v>
      </c>
      <c r="L340" s="9">
        <v>-1.1083155054469129</v>
      </c>
      <c r="M340" s="9">
        <v>3.1314304889748761</v>
      </c>
      <c r="N340" s="9">
        <v>3.228190000820085</v>
      </c>
      <c r="O340" s="9">
        <v>5.9914645471079817</v>
      </c>
      <c r="P340" s="9">
        <v>-9.6759513020515442E-2</v>
      </c>
      <c r="Q340" s="9">
        <v>1</v>
      </c>
      <c r="R340" s="9">
        <v>1</v>
      </c>
      <c r="S340" s="9">
        <v>0</v>
      </c>
      <c r="T340" s="9">
        <v>0</v>
      </c>
      <c r="U340" s="9">
        <v>1</v>
      </c>
      <c r="V340" s="9">
        <v>0</v>
      </c>
      <c r="W340" s="9">
        <v>0</v>
      </c>
      <c r="X340" s="9">
        <v>-1.7531057596206665</v>
      </c>
      <c r="Y340">
        <f t="shared" si="40"/>
        <v>0.10681275091501073</v>
      </c>
      <c r="Z340">
        <f t="shared" si="41"/>
        <v>0.17323508057617507</v>
      </c>
      <c r="AA340">
        <f t="shared" si="42"/>
        <v>-6.6422329661164334E-2</v>
      </c>
      <c r="AB340">
        <f t="shared" si="43"/>
        <v>4.4119258776163916E-3</v>
      </c>
      <c r="AC340" t="str">
        <f>VLOOKUP(A340, 'state-ids'!$A$1:$B$28, 2)</f>
        <v>RJ</v>
      </c>
      <c r="AD340">
        <f>VLOOKUP(A340, 'state-ids'!$A$1:$C$28, 3)</f>
        <v>6.5305524000000004E-2</v>
      </c>
      <c r="AE340">
        <f>VLOOKUP(A340, 'state-ids'!$A$1:$D$28, 4)</f>
        <v>0.99124586999999997</v>
      </c>
      <c r="AF340">
        <f t="shared" si="44"/>
        <v>-0.47933895538664861</v>
      </c>
      <c r="AG340">
        <f t="shared" si="45"/>
        <v>0.28408688304757884</v>
      </c>
      <c r="AH340">
        <f t="shared" si="46"/>
        <v>0.10563808092895204</v>
      </c>
      <c r="AI340">
        <f t="shared" si="47"/>
        <v>0.17844880211862679</v>
      </c>
      <c r="AJ340" s="12"/>
    </row>
    <row r="341" spans="1:36" x14ac:dyDescent="0.25">
      <c r="A341" s="9">
        <v>33</v>
      </c>
      <c r="B341" s="9">
        <v>2021</v>
      </c>
      <c r="C341" s="9">
        <v>-2.2436494113731271</v>
      </c>
      <c r="D341" s="9">
        <v>0.99017296426485946</v>
      </c>
      <c r="E341" s="9">
        <v>0.80571664916344143</v>
      </c>
      <c r="F341" s="9">
        <v>0.87070742025218939</v>
      </c>
      <c r="G341" s="9">
        <v>0.80972949563980989</v>
      </c>
      <c r="H341" s="9">
        <v>0.60387871280176308</v>
      </c>
      <c r="I341" s="9">
        <v>0.63254755843101573</v>
      </c>
      <c r="J341" s="9">
        <v>-1.41955856591758</v>
      </c>
      <c r="K341" s="9">
        <v>0.82647109558213605</v>
      </c>
      <c r="L341" s="9">
        <v>-1.089817092932543</v>
      </c>
      <c r="M341" s="9">
        <v>3.2337584360799538</v>
      </c>
      <c r="N341" s="9">
        <v>3.1258513020199721</v>
      </c>
      <c r="O341" s="9">
        <v>6.6846117276679271</v>
      </c>
      <c r="P341" s="9">
        <v>0.10790713131427765</v>
      </c>
      <c r="Q341" s="9">
        <v>1</v>
      </c>
      <c r="R341" s="9">
        <v>0</v>
      </c>
      <c r="S341" s="9">
        <v>0</v>
      </c>
      <c r="T341" s="9">
        <v>0</v>
      </c>
      <c r="U341" s="9">
        <v>1</v>
      </c>
      <c r="V341" s="9">
        <v>0</v>
      </c>
      <c r="W341" s="9">
        <v>0</v>
      </c>
      <c r="X341" s="9">
        <v>-1.6892243623733521</v>
      </c>
      <c r="Y341">
        <f t="shared" si="40"/>
        <v>0.10607070155901939</v>
      </c>
      <c r="Z341">
        <f t="shared" si="41"/>
        <v>0.18466269979774205</v>
      </c>
      <c r="AA341">
        <f t="shared" si="42"/>
        <v>-7.8591998238722663E-2</v>
      </c>
      <c r="AB341">
        <f t="shared" si="43"/>
        <v>6.1767021871553859E-3</v>
      </c>
      <c r="AC341" t="str">
        <f>VLOOKUP(A341, 'state-ids'!$A$1:$B$28, 2)</f>
        <v>RJ</v>
      </c>
      <c r="AD341">
        <f>VLOOKUP(A341, 'state-ids'!$A$1:$C$28, 3)</f>
        <v>6.5305524000000004E-2</v>
      </c>
      <c r="AE341">
        <f>VLOOKUP(A341, 'state-ids'!$A$1:$D$28, 4)</f>
        <v>0.99124586999999997</v>
      </c>
      <c r="AF341">
        <f t="shared" si="44"/>
        <v>-0.54957154004557462</v>
      </c>
      <c r="AG341">
        <f t="shared" si="45"/>
        <v>0.30282694836525015</v>
      </c>
      <c r="AH341">
        <f t="shared" si="46"/>
        <v>0.11260659885348588</v>
      </c>
      <c r="AI341">
        <f t="shared" si="47"/>
        <v>0.19022034951176425</v>
      </c>
      <c r="AJ341" s="12"/>
    </row>
    <row r="342" spans="1:36" x14ac:dyDescent="0.25">
      <c r="A342" s="9">
        <v>33</v>
      </c>
      <c r="B342" s="9">
        <v>2022</v>
      </c>
      <c r="C342" s="9">
        <v>-2.1213573857838068</v>
      </c>
      <c r="D342" s="9">
        <v>0.95273837284520058</v>
      </c>
      <c r="E342" s="9">
        <v>0.99017296426485946</v>
      </c>
      <c r="F342" s="9">
        <v>0.80571664916344143</v>
      </c>
      <c r="G342" s="9">
        <v>0.75912216948347822</v>
      </c>
      <c r="H342" s="9">
        <v>0.80972949563980989</v>
      </c>
      <c r="I342" s="9">
        <v>0.60387871280176308</v>
      </c>
      <c r="J342" s="9">
        <v>-0.84360259996342513</v>
      </c>
      <c r="K342" s="9">
        <v>0.82647109558213605</v>
      </c>
      <c r="L342" s="9">
        <v>-1.0708892735523441</v>
      </c>
      <c r="M342" s="9">
        <v>3.3463959725109111</v>
      </c>
      <c r="N342" s="9">
        <v>3.2337584360799538</v>
      </c>
      <c r="O342" s="9">
        <v>8.0551577318196781</v>
      </c>
      <c r="P342" s="9">
        <v>0.11263753473758698</v>
      </c>
      <c r="Q342" s="9">
        <v>1</v>
      </c>
      <c r="R342" s="9">
        <v>0</v>
      </c>
      <c r="S342" s="9">
        <v>0</v>
      </c>
      <c r="T342" s="9">
        <v>0</v>
      </c>
      <c r="U342" s="9">
        <v>1</v>
      </c>
      <c r="V342" s="9">
        <v>0</v>
      </c>
      <c r="W342" s="9">
        <v>0</v>
      </c>
      <c r="X342" s="9">
        <v>-1.6451479196548462</v>
      </c>
      <c r="Y342">
        <f t="shared" si="40"/>
        <v>0.11986880981420001</v>
      </c>
      <c r="Z342">
        <f t="shared" si="41"/>
        <v>0.19298401455356726</v>
      </c>
      <c r="AA342">
        <f t="shared" si="42"/>
        <v>-7.3115204739367251E-2</v>
      </c>
      <c r="AB342">
        <f t="shared" si="43"/>
        <v>5.3458331640795914E-3</v>
      </c>
      <c r="AC342" t="str">
        <f>VLOOKUP(A342, 'state-ids'!$A$1:$B$28, 2)</f>
        <v>RJ</v>
      </c>
      <c r="AD342">
        <f>VLOOKUP(A342, 'state-ids'!$A$1:$C$28, 3)</f>
        <v>6.5305524000000004E-2</v>
      </c>
      <c r="AE342">
        <f>VLOOKUP(A342, 'state-ids'!$A$1:$D$28, 4)</f>
        <v>0.99124586999999997</v>
      </c>
      <c r="AF342">
        <f t="shared" si="44"/>
        <v>-0.47204066655523713</v>
      </c>
      <c r="AG342">
        <f t="shared" si="45"/>
        <v>0.31647300875889378</v>
      </c>
      <c r="AH342">
        <f t="shared" si="46"/>
        <v>0.11768090435031399</v>
      </c>
      <c r="AI342">
        <f t="shared" si="47"/>
        <v>0.19879210440857981</v>
      </c>
      <c r="AJ342" s="12"/>
    </row>
    <row r="343" spans="1:36" x14ac:dyDescent="0.25">
      <c r="A343" s="9">
        <v>33</v>
      </c>
      <c r="B343" s="9">
        <v>2023</v>
      </c>
      <c r="C343" s="9">
        <v>-1.9706228229045011</v>
      </c>
      <c r="D343" s="9">
        <v>0.75108584548039126</v>
      </c>
      <c r="E343" s="9">
        <v>0.95273837284520058</v>
      </c>
      <c r="F343" s="9">
        <v>0.99017296426485946</v>
      </c>
      <c r="G343" s="9">
        <v>0.49035757512612699</v>
      </c>
      <c r="H343" s="9">
        <v>0.75912216948347822</v>
      </c>
      <c r="I343" s="9">
        <v>0.80972949563980989</v>
      </c>
      <c r="J343" s="9">
        <v>-0.36954702057257222</v>
      </c>
      <c r="K343" s="9">
        <v>0.82647109558213605</v>
      </c>
      <c r="L343" s="9">
        <v>-1.047297432211312</v>
      </c>
      <c r="M343" s="9">
        <v>3.3127315355148799</v>
      </c>
      <c r="N343" s="9">
        <v>3.3463959725109111</v>
      </c>
      <c r="O343" s="9">
        <v>8.4658998970286863</v>
      </c>
      <c r="P343" s="9">
        <v>-3.3664435148239136E-2</v>
      </c>
      <c r="Q343" s="9">
        <v>1</v>
      </c>
      <c r="R343" s="9">
        <v>0</v>
      </c>
      <c r="S343" s="9">
        <v>0</v>
      </c>
      <c r="T343" s="9">
        <v>0</v>
      </c>
      <c r="U343" s="9">
        <v>1</v>
      </c>
      <c r="V343" s="9">
        <v>0</v>
      </c>
      <c r="W343" s="9">
        <v>0</v>
      </c>
      <c r="X343" s="9">
        <v>-1.5990728139877319</v>
      </c>
      <c r="Y343">
        <f t="shared" si="40"/>
        <v>0.13937002633343684</v>
      </c>
      <c r="Z343">
        <f t="shared" si="41"/>
        <v>0.20208380043147675</v>
      </c>
      <c r="AA343">
        <f t="shared" si="42"/>
        <v>-6.2713774098039909E-2</v>
      </c>
      <c r="AB343">
        <f t="shared" si="43"/>
        <v>3.9330174616199814E-3</v>
      </c>
      <c r="AC343" t="str">
        <f>VLOOKUP(A343, 'state-ids'!$A$1:$B$28, 2)</f>
        <v>RJ</v>
      </c>
      <c r="AD343">
        <f>VLOOKUP(A343, 'state-ids'!$A$1:$C$28, 3)</f>
        <v>6.5305524000000004E-2</v>
      </c>
      <c r="AE343">
        <f>VLOOKUP(A343, 'state-ids'!$A$1:$D$28, 4)</f>
        <v>0.99124586999999997</v>
      </c>
      <c r="AF343">
        <f t="shared" si="44"/>
        <v>-0.3682974118372106</v>
      </c>
      <c r="AG343">
        <f t="shared" si="45"/>
        <v>0.33139567798880731</v>
      </c>
      <c r="AH343">
        <f t="shared" si="46"/>
        <v>0.12322991852117092</v>
      </c>
      <c r="AI343">
        <f t="shared" si="47"/>
        <v>0.20816575946763638</v>
      </c>
      <c r="AJ343" s="12"/>
    </row>
    <row r="344" spans="1:36" x14ac:dyDescent="0.25">
      <c r="A344" s="9">
        <v>35</v>
      </c>
      <c r="B344" s="9">
        <v>2006</v>
      </c>
      <c r="C344" s="9">
        <v>-1.7630864665386961</v>
      </c>
      <c r="D344" s="9">
        <v>0.89199803930511046</v>
      </c>
      <c r="E344" s="9">
        <v>0.83290912293510388</v>
      </c>
      <c r="F344" s="9">
        <v>0.77941661571212117</v>
      </c>
      <c r="G344" s="9">
        <v>0.35065687161316927</v>
      </c>
      <c r="H344" s="9">
        <v>0.19647097989837431</v>
      </c>
      <c r="I344" s="9">
        <v>6.6068599969704711E-2</v>
      </c>
      <c r="J344" s="9">
        <v>-11.51292546497023</v>
      </c>
      <c r="K344" s="9">
        <v>1.265354355328006</v>
      </c>
      <c r="L344" s="9">
        <v>-1.19793178021197</v>
      </c>
      <c r="M344" s="9">
        <v>3.2978856822071889</v>
      </c>
      <c r="N344" s="9">
        <v>3.259373679013422</v>
      </c>
      <c r="O344" s="9">
        <v>-11.51292546497023</v>
      </c>
      <c r="P344" s="9">
        <v>3.8512002676725388E-2</v>
      </c>
      <c r="Q344" s="9">
        <v>0</v>
      </c>
      <c r="R344" s="9">
        <v>0</v>
      </c>
      <c r="S344" s="9">
        <v>0</v>
      </c>
      <c r="T344" s="9">
        <v>0</v>
      </c>
      <c r="U344" s="9">
        <v>1</v>
      </c>
      <c r="V344" s="9">
        <v>0</v>
      </c>
      <c r="W344" s="9">
        <v>0</v>
      </c>
      <c r="X344" s="9">
        <v>-1.9912704229354858</v>
      </c>
      <c r="Y344">
        <f t="shared" si="40"/>
        <v>0.17151467173866619</v>
      </c>
      <c r="Z344">
        <f t="shared" si="41"/>
        <v>0.13652187470662366</v>
      </c>
      <c r="AA344">
        <f t="shared" si="42"/>
        <v>3.4992797032042527E-2</v>
      </c>
      <c r="AB344">
        <f t="shared" si="43"/>
        <v>1.2244958441257243E-3</v>
      </c>
      <c r="AC344" t="str">
        <f>VLOOKUP(A344, 'state-ids'!$A$1:$B$28, 2)</f>
        <v>SP</v>
      </c>
      <c r="AD344">
        <f>VLOOKUP(A344, 'state-ids'!$A$1:$C$28, 3)</f>
        <v>8.5534595000000005E-2</v>
      </c>
      <c r="AE344">
        <f>VLOOKUP(A344, 'state-ids'!$A$1:$D$28, 4)</f>
        <v>0.71418482000000005</v>
      </c>
      <c r="AF344">
        <f t="shared" si="44"/>
        <v>0.15971899685558272</v>
      </c>
      <c r="AG344">
        <f t="shared" si="45"/>
        <v>0.15426696046256541</v>
      </c>
      <c r="AH344">
        <f t="shared" si="46"/>
        <v>0.12081797824709085</v>
      </c>
      <c r="AI344">
        <f t="shared" si="47"/>
        <v>3.3448982215474557E-2</v>
      </c>
      <c r="AJ344" s="12"/>
    </row>
    <row r="345" spans="1:36" x14ac:dyDescent="0.25">
      <c r="A345" s="9">
        <v>35</v>
      </c>
      <c r="B345" s="9">
        <v>2007</v>
      </c>
      <c r="C345" s="9">
        <v>-1.746733925088098</v>
      </c>
      <c r="D345" s="9">
        <v>0.83599132458942582</v>
      </c>
      <c r="E345" s="9">
        <v>0.89199803930511046</v>
      </c>
      <c r="F345" s="9">
        <v>0.83290912293510388</v>
      </c>
      <c r="G345" s="9">
        <v>0.1954022963324851</v>
      </c>
      <c r="H345" s="9">
        <v>0.35065687161316927</v>
      </c>
      <c r="I345" s="9">
        <v>0.19647097989837431</v>
      </c>
      <c r="J345" s="9">
        <v>-11.51292546497023</v>
      </c>
      <c r="K345" s="9">
        <v>1.265354355328006</v>
      </c>
      <c r="L345" s="9">
        <v>-1.1162756448768509</v>
      </c>
      <c r="M345" s="9">
        <v>3.3624528263573801</v>
      </c>
      <c r="N345" s="9">
        <v>3.2984228525399839</v>
      </c>
      <c r="O345" s="9">
        <v>-11.51292546497023</v>
      </c>
      <c r="P345" s="9">
        <v>6.4029976725578308E-2</v>
      </c>
      <c r="Q345" s="9">
        <v>0</v>
      </c>
      <c r="R345" s="9">
        <v>0</v>
      </c>
      <c r="S345" s="9">
        <v>0</v>
      </c>
      <c r="T345" s="9">
        <v>0</v>
      </c>
      <c r="U345" s="9">
        <v>1</v>
      </c>
      <c r="V345" s="9">
        <v>0</v>
      </c>
      <c r="W345" s="9">
        <v>0</v>
      </c>
      <c r="X345" s="9">
        <v>-1.9297616481781006</v>
      </c>
      <c r="Y345">
        <f t="shared" si="40"/>
        <v>0.17434243002200675</v>
      </c>
      <c r="Z345">
        <f t="shared" si="41"/>
        <v>0.14518279894455535</v>
      </c>
      <c r="AA345">
        <f t="shared" si="42"/>
        <v>2.9159631077451398E-2</v>
      </c>
      <c r="AB345">
        <f t="shared" si="43"/>
        <v>8.5028408457306934E-4</v>
      </c>
      <c r="AC345" t="str">
        <f>VLOOKUP(A345, 'state-ids'!$A$1:$B$28, 2)</f>
        <v>SP</v>
      </c>
      <c r="AD345">
        <f>VLOOKUP(A345, 'state-ids'!$A$1:$C$28, 3)</f>
        <v>8.5534595000000005E-2</v>
      </c>
      <c r="AE345">
        <f>VLOOKUP(A345, 'state-ids'!$A$1:$D$28, 4)</f>
        <v>0.71418482000000005</v>
      </c>
      <c r="AF345">
        <f t="shared" si="44"/>
        <v>0.13071562147004334</v>
      </c>
      <c r="AG345">
        <f t="shared" si="45"/>
        <v>0.16405362988717931</v>
      </c>
      <c r="AH345">
        <f t="shared" si="46"/>
        <v>0.12848264999604514</v>
      </c>
      <c r="AI345">
        <f t="shared" si="47"/>
        <v>3.5570979891134169E-2</v>
      </c>
      <c r="AJ345" s="12"/>
    </row>
    <row r="346" spans="1:36" x14ac:dyDescent="0.25">
      <c r="A346" s="9">
        <v>35</v>
      </c>
      <c r="B346" s="9">
        <v>2008</v>
      </c>
      <c r="C346" s="9">
        <v>-1.765048737085086</v>
      </c>
      <c r="D346" s="9">
        <v>0.77449672625626842</v>
      </c>
      <c r="E346" s="9">
        <v>0.83599132458942582</v>
      </c>
      <c r="F346" s="9">
        <v>0.89199803930511046</v>
      </c>
      <c r="G346" s="9">
        <v>0.13802129789737461</v>
      </c>
      <c r="H346" s="9">
        <v>0.1954022963324851</v>
      </c>
      <c r="I346" s="9">
        <v>0.35065687161316927</v>
      </c>
      <c r="J346" s="9">
        <v>-11.51292546497023</v>
      </c>
      <c r="K346" s="9">
        <v>1.265354355328006</v>
      </c>
      <c r="L346" s="9">
        <v>-1.0360122036168831</v>
      </c>
      <c r="M346" s="9">
        <v>3.386988115588411</v>
      </c>
      <c r="N346" s="9">
        <v>3.3629902853972329</v>
      </c>
      <c r="O346" s="9">
        <v>-11.51292546497023</v>
      </c>
      <c r="P346" s="9">
        <v>2.3997830227017403E-2</v>
      </c>
      <c r="Q346" s="9">
        <v>0</v>
      </c>
      <c r="R346" s="9">
        <v>0</v>
      </c>
      <c r="S346" s="9">
        <v>0</v>
      </c>
      <c r="T346" s="9">
        <v>0</v>
      </c>
      <c r="U346" s="9">
        <v>1</v>
      </c>
      <c r="V346" s="9">
        <v>0</v>
      </c>
      <c r="W346" s="9">
        <v>0</v>
      </c>
      <c r="X346" s="9">
        <v>-1.860649585723877</v>
      </c>
      <c r="Y346">
        <f t="shared" si="40"/>
        <v>0.17117844354326939</v>
      </c>
      <c r="Z346">
        <f t="shared" si="41"/>
        <v>0.15557154048653846</v>
      </c>
      <c r="AA346">
        <f t="shared" si="42"/>
        <v>1.5606903056730931E-2</v>
      </c>
      <c r="AB346">
        <f t="shared" si="43"/>
        <v>2.4357542302219727E-4</v>
      </c>
      <c r="AC346" t="str">
        <f>VLOOKUP(A346, 'state-ids'!$A$1:$B$28, 2)</f>
        <v>SP</v>
      </c>
      <c r="AD346">
        <f>VLOOKUP(A346, 'state-ids'!$A$1:$C$28, 3)</f>
        <v>8.5534595000000005E-2</v>
      </c>
      <c r="AE346">
        <f>VLOOKUP(A346, 'state-ids'!$A$1:$D$28, 4)</f>
        <v>0.71418482000000005</v>
      </c>
      <c r="AF346">
        <f t="shared" si="44"/>
        <v>6.8276674876942153E-2</v>
      </c>
      <c r="AG346">
        <f t="shared" si="45"/>
        <v>0.17579269796075275</v>
      </c>
      <c r="AH346">
        <f t="shared" si="46"/>
        <v>0.13767639094291673</v>
      </c>
      <c r="AI346">
        <f t="shared" si="47"/>
        <v>3.8116307017836026E-2</v>
      </c>
      <c r="AJ346" s="12"/>
    </row>
    <row r="347" spans="1:36" x14ac:dyDescent="0.25">
      <c r="A347" s="9">
        <v>35</v>
      </c>
      <c r="B347" s="9">
        <v>2009</v>
      </c>
      <c r="C347" s="9">
        <v>-1.8212686673049381</v>
      </c>
      <c r="D347" s="9">
        <v>0.73231981563441728</v>
      </c>
      <c r="E347" s="9">
        <v>0.77449672625626842</v>
      </c>
      <c r="F347" s="9">
        <v>0.83599132458942582</v>
      </c>
      <c r="G347" s="9">
        <v>0.142020260020429</v>
      </c>
      <c r="H347" s="9">
        <v>0.13802129789737461</v>
      </c>
      <c r="I347" s="9">
        <v>0.1954022963324851</v>
      </c>
      <c r="J347" s="9">
        <v>-9.9375033735161562</v>
      </c>
      <c r="K347" s="9">
        <v>1.265354355328006</v>
      </c>
      <c r="L347" s="9">
        <v>-0.97659553740601257</v>
      </c>
      <c r="M347" s="9">
        <v>3.385375666510726</v>
      </c>
      <c r="N347" s="9">
        <v>3.3779487205784622</v>
      </c>
      <c r="O347" s="9">
        <v>-11.51292546497023</v>
      </c>
      <c r="P347" s="9">
        <v>7.4269459582865238E-3</v>
      </c>
      <c r="Q347" s="9">
        <v>0</v>
      </c>
      <c r="R347" s="9">
        <v>0</v>
      </c>
      <c r="S347" s="9">
        <v>0</v>
      </c>
      <c r="T347" s="9">
        <v>0</v>
      </c>
      <c r="U347" s="9">
        <v>1</v>
      </c>
      <c r="V347" s="9">
        <v>0</v>
      </c>
      <c r="W347" s="9">
        <v>0</v>
      </c>
      <c r="X347" s="9">
        <v>-1.789037823677063</v>
      </c>
      <c r="Y347">
        <f t="shared" si="40"/>
        <v>0.16182032449756767</v>
      </c>
      <c r="Z347">
        <f t="shared" si="41"/>
        <v>0.1671208920984274</v>
      </c>
      <c r="AA347">
        <f t="shared" si="42"/>
        <v>-5.3005676008597291E-3</v>
      </c>
      <c r="AB347">
        <f t="shared" si="43"/>
        <v>2.8096016891283863E-5</v>
      </c>
      <c r="AC347" t="str">
        <f>VLOOKUP(A347, 'state-ids'!$A$1:$B$28, 2)</f>
        <v>SP</v>
      </c>
      <c r="AD347">
        <f>VLOOKUP(A347, 'state-ids'!$A$1:$C$28, 3)</f>
        <v>8.5534595000000005E-2</v>
      </c>
      <c r="AE347">
        <f>VLOOKUP(A347, 'state-ids'!$A$1:$D$28, 4)</f>
        <v>0.71418482000000005</v>
      </c>
      <c r="AF347">
        <f t="shared" si="44"/>
        <v>-2.3018779254822121E-2</v>
      </c>
      <c r="AG347">
        <f t="shared" si="45"/>
        <v>0.18884323196717664</v>
      </c>
      <c r="AH347">
        <f t="shared" si="46"/>
        <v>0.14789723880932462</v>
      </c>
      <c r="AI347">
        <f t="shared" si="47"/>
        <v>4.0945993157852023E-2</v>
      </c>
      <c r="AJ347" s="12"/>
    </row>
    <row r="348" spans="1:36" x14ac:dyDescent="0.25">
      <c r="A348" s="9">
        <v>35</v>
      </c>
      <c r="B348" s="9">
        <v>2010</v>
      </c>
      <c r="C348" s="9">
        <v>-1.7189817245146379</v>
      </c>
      <c r="D348" s="9">
        <v>0.6995764683248491</v>
      </c>
      <c r="E348" s="9">
        <v>0.73231981563441728</v>
      </c>
      <c r="F348" s="9">
        <v>0.77449672625626842</v>
      </c>
      <c r="G348" s="9">
        <v>0.21817120968765191</v>
      </c>
      <c r="H348" s="9">
        <v>0.142020260020429</v>
      </c>
      <c r="I348" s="9">
        <v>0.13802129789737461</v>
      </c>
      <c r="J348" s="9">
        <v>-9.5344896104320913</v>
      </c>
      <c r="K348" s="9">
        <v>1.265354355328006</v>
      </c>
      <c r="L348" s="9">
        <v>-0.91249109744974854</v>
      </c>
      <c r="M348" s="9">
        <v>3.440684568154373</v>
      </c>
      <c r="N348" s="9">
        <v>3.382924321486628</v>
      </c>
      <c r="O348" s="9">
        <v>-11.51292546497023</v>
      </c>
      <c r="P348" s="9">
        <v>5.7760246098041534E-2</v>
      </c>
      <c r="Q348" s="9">
        <v>0</v>
      </c>
      <c r="R348" s="9">
        <v>0</v>
      </c>
      <c r="S348" s="9">
        <v>0</v>
      </c>
      <c r="T348" s="9">
        <v>0</v>
      </c>
      <c r="U348" s="9">
        <v>1</v>
      </c>
      <c r="V348" s="9">
        <v>0</v>
      </c>
      <c r="W348" s="9">
        <v>0</v>
      </c>
      <c r="X348" s="9">
        <v>-1.6557096242904663</v>
      </c>
      <c r="Y348">
        <f t="shared" si="40"/>
        <v>0.17924857944718661</v>
      </c>
      <c r="Z348">
        <f t="shared" si="41"/>
        <v>0.19095650024343361</v>
      </c>
      <c r="AA348">
        <f t="shared" si="42"/>
        <v>-1.1707920796246996E-2</v>
      </c>
      <c r="AB348">
        <f t="shared" si="43"/>
        <v>1.3707540937119288E-4</v>
      </c>
      <c r="AC348" t="str">
        <f>VLOOKUP(A348, 'state-ids'!$A$1:$B$28, 2)</f>
        <v>SP</v>
      </c>
      <c r="AD348">
        <f>VLOOKUP(A348, 'state-ids'!$A$1:$C$28, 3)</f>
        <v>8.5534595000000005E-2</v>
      </c>
      <c r="AE348">
        <f>VLOOKUP(A348, 'state-ids'!$A$1:$D$28, 4)</f>
        <v>0.71418482000000005</v>
      </c>
      <c r="AF348">
        <f t="shared" si="44"/>
        <v>-4.5187973509621976E-2</v>
      </c>
      <c r="AG348">
        <f t="shared" si="45"/>
        <v>0.21577698765437772</v>
      </c>
      <c r="AH348">
        <f t="shared" si="46"/>
        <v>0.16899107444964215</v>
      </c>
      <c r="AI348">
        <f t="shared" si="47"/>
        <v>4.6785913204735574E-2</v>
      </c>
      <c r="AJ348" s="12"/>
    </row>
    <row r="349" spans="1:36" x14ac:dyDescent="0.25">
      <c r="A349" s="9">
        <v>35</v>
      </c>
      <c r="B349" s="9">
        <v>2011</v>
      </c>
      <c r="C349" s="9">
        <v>-1.4805213850711589</v>
      </c>
      <c r="D349" s="9">
        <v>0.7072473049387269</v>
      </c>
      <c r="E349" s="9">
        <v>0.6995764683248491</v>
      </c>
      <c r="F349" s="9">
        <v>0.73231981563441728</v>
      </c>
      <c r="G349" s="9">
        <v>0.36241841856579821</v>
      </c>
      <c r="H349" s="9">
        <v>0.21817120968765191</v>
      </c>
      <c r="I349" s="9">
        <v>0.142020260020429</v>
      </c>
      <c r="J349" s="9">
        <v>-7.8023339297130283</v>
      </c>
      <c r="K349" s="9">
        <v>1.265354355328006</v>
      </c>
      <c r="L349" s="9">
        <v>-0.85356057190685719</v>
      </c>
      <c r="M349" s="9">
        <v>3.4623864788456791</v>
      </c>
      <c r="N349" s="9">
        <v>3.4382391934854799</v>
      </c>
      <c r="O349" s="9">
        <v>-11.51292546497023</v>
      </c>
      <c r="P349" s="9">
        <v>2.4147285148501396E-2</v>
      </c>
      <c r="Q349" s="9">
        <v>0</v>
      </c>
      <c r="R349" s="9">
        <v>0</v>
      </c>
      <c r="S349" s="9">
        <v>0</v>
      </c>
      <c r="T349" s="9">
        <v>0</v>
      </c>
      <c r="U349" s="9">
        <v>1</v>
      </c>
      <c r="V349" s="9">
        <v>0</v>
      </c>
      <c r="W349" s="9">
        <v>0</v>
      </c>
      <c r="X349" s="9">
        <v>-1.5333517789840698</v>
      </c>
      <c r="Y349">
        <f t="shared" si="40"/>
        <v>0.22751903242686655</v>
      </c>
      <c r="Z349">
        <f t="shared" si="41"/>
        <v>0.2158111025857522</v>
      </c>
      <c r="AA349">
        <f t="shared" si="42"/>
        <v>1.1707929841114351E-2</v>
      </c>
      <c r="AB349">
        <f t="shared" si="43"/>
        <v>1.370756211644559E-4</v>
      </c>
      <c r="AC349" t="str">
        <f>VLOOKUP(A349, 'state-ids'!$A$1:$B$28, 2)</f>
        <v>SP</v>
      </c>
      <c r="AD349">
        <f>VLOOKUP(A349, 'state-ids'!$A$1:$C$28, 3)</f>
        <v>8.5534595000000005E-2</v>
      </c>
      <c r="AE349">
        <f>VLOOKUP(A349, 'state-ids'!$A$1:$D$28, 4)</f>
        <v>0.71418482000000005</v>
      </c>
      <c r="AF349">
        <f t="shared" si="44"/>
        <v>3.7730665367221361E-2</v>
      </c>
      <c r="AG349">
        <f t="shared" si="45"/>
        <v>0.24386218619926131</v>
      </c>
      <c r="AH349">
        <f t="shared" si="46"/>
        <v>0.19098669098792462</v>
      </c>
      <c r="AI349">
        <f t="shared" si="47"/>
        <v>5.2875495211336693E-2</v>
      </c>
      <c r="AJ349" s="12"/>
    </row>
    <row r="350" spans="1:36" x14ac:dyDescent="0.25">
      <c r="A350" s="9">
        <v>35</v>
      </c>
      <c r="B350" s="9">
        <v>2012</v>
      </c>
      <c r="C350" s="9">
        <v>-1.402603731890806</v>
      </c>
      <c r="D350" s="9">
        <v>0.65044842602683006</v>
      </c>
      <c r="E350" s="9">
        <v>0.7072473049387269</v>
      </c>
      <c r="F350" s="9">
        <v>0.6995764683248491</v>
      </c>
      <c r="G350" s="9">
        <v>0.27299981366563941</v>
      </c>
      <c r="H350" s="9">
        <v>0.36241841856579821</v>
      </c>
      <c r="I350" s="9">
        <v>0.21817120968765191</v>
      </c>
      <c r="J350" s="9">
        <v>-7.4650163682179782</v>
      </c>
      <c r="K350" s="9">
        <v>1.265354355328006</v>
      </c>
      <c r="L350" s="9">
        <v>-0.80722742659963931</v>
      </c>
      <c r="M350" s="9">
        <v>3.4601654748241999</v>
      </c>
      <c r="N350" s="9">
        <v>3.45486355404898</v>
      </c>
      <c r="O350" s="9">
        <v>-11.51292546497023</v>
      </c>
      <c r="P350" s="9">
        <v>5.3019206970930099E-3</v>
      </c>
      <c r="Q350" s="9">
        <v>0</v>
      </c>
      <c r="R350" s="9">
        <v>0</v>
      </c>
      <c r="S350" s="9">
        <v>0</v>
      </c>
      <c r="T350" s="9">
        <v>0</v>
      </c>
      <c r="U350" s="9">
        <v>1</v>
      </c>
      <c r="V350" s="9">
        <v>0</v>
      </c>
      <c r="W350" s="9">
        <v>0</v>
      </c>
      <c r="X350" s="9">
        <v>-1.4428043365478516</v>
      </c>
      <c r="Y350">
        <f t="shared" si="40"/>
        <v>0.24595572672957303</v>
      </c>
      <c r="Z350">
        <f t="shared" si="41"/>
        <v>0.2362642642748834</v>
      </c>
      <c r="AA350">
        <f t="shared" si="42"/>
        <v>9.6914624546896311E-3</v>
      </c>
      <c r="AB350">
        <f t="shared" si="43"/>
        <v>9.3924444510658768E-5</v>
      </c>
      <c r="AC350" t="str">
        <f>VLOOKUP(A350, 'state-ids'!$A$1:$B$28, 2)</f>
        <v>SP</v>
      </c>
      <c r="AD350">
        <f>VLOOKUP(A350, 'state-ids'!$A$1:$C$28, 3)</f>
        <v>8.5534595000000005E-2</v>
      </c>
      <c r="AE350">
        <f>VLOOKUP(A350, 'state-ids'!$A$1:$D$28, 4)</f>
        <v>0.71418482000000005</v>
      </c>
      <c r="AF350">
        <f t="shared" si="44"/>
        <v>2.8710661600883244E-2</v>
      </c>
      <c r="AG350">
        <f t="shared" si="45"/>
        <v>0.2669738457220453</v>
      </c>
      <c r="AH350">
        <f t="shared" si="46"/>
        <v>0.20908715766663041</v>
      </c>
      <c r="AI350">
        <f t="shared" si="47"/>
        <v>5.7886688055414887E-2</v>
      </c>
      <c r="AJ350" s="12"/>
    </row>
    <row r="351" spans="1:36" x14ac:dyDescent="0.25">
      <c r="A351" s="9">
        <v>35</v>
      </c>
      <c r="B351" s="9">
        <v>2013</v>
      </c>
      <c r="C351" s="9">
        <v>-1.4273509861010041</v>
      </c>
      <c r="D351" s="9">
        <v>0.62657993628783215</v>
      </c>
      <c r="E351" s="9">
        <v>0.65044842602683006</v>
      </c>
      <c r="F351" s="9">
        <v>0.7072473049387269</v>
      </c>
      <c r="G351" s="9">
        <v>0.22657764804849201</v>
      </c>
      <c r="H351" s="9">
        <v>0.27299981366563941</v>
      </c>
      <c r="I351" s="9">
        <v>0.36241841856579821</v>
      </c>
      <c r="J351" s="9">
        <v>-6.6769384770713529</v>
      </c>
      <c r="K351" s="9">
        <v>1.265354355328006</v>
      </c>
      <c r="L351" s="9">
        <v>-0.79988354835896736</v>
      </c>
      <c r="M351" s="9">
        <v>3.442086937200926</v>
      </c>
      <c r="N351" s="9">
        <v>3.4189640110862158</v>
      </c>
      <c r="O351" s="9">
        <v>-11.51292546497023</v>
      </c>
      <c r="P351" s="9">
        <v>2.3122925311326981E-2</v>
      </c>
      <c r="Q351" s="9">
        <v>0</v>
      </c>
      <c r="R351" s="9">
        <v>0</v>
      </c>
      <c r="S351" s="9">
        <v>0</v>
      </c>
      <c r="T351" s="9">
        <v>0</v>
      </c>
      <c r="U351" s="9">
        <v>1</v>
      </c>
      <c r="V351" s="9">
        <v>0</v>
      </c>
      <c r="W351" s="9">
        <v>0</v>
      </c>
      <c r="X351" s="9">
        <v>-1.4238059520721436</v>
      </c>
      <c r="Y351">
        <f t="shared" si="40"/>
        <v>0.23994369529505175</v>
      </c>
      <c r="Z351">
        <f t="shared" si="41"/>
        <v>0.24079581336125452</v>
      </c>
      <c r="AA351">
        <f t="shared" si="42"/>
        <v>-8.521180662027783E-4</v>
      </c>
      <c r="AB351">
        <f t="shared" si="43"/>
        <v>7.2610519874916245E-7</v>
      </c>
      <c r="AC351" t="str">
        <f>VLOOKUP(A351, 'state-ids'!$A$1:$B$28, 2)</f>
        <v>SP</v>
      </c>
      <c r="AD351">
        <f>VLOOKUP(A351, 'state-ids'!$A$1:$C$28, 3)</f>
        <v>8.5534595000000005E-2</v>
      </c>
      <c r="AE351">
        <f>VLOOKUP(A351, 'state-ids'!$A$1:$D$28, 4)</f>
        <v>0.71418482000000005</v>
      </c>
      <c r="AF351">
        <f t="shared" si="44"/>
        <v>-2.531809489795631E-3</v>
      </c>
      <c r="AG351">
        <f t="shared" si="45"/>
        <v>0.2720944046452482</v>
      </c>
      <c r="AH351">
        <f t="shared" si="46"/>
        <v>0.21309744979101952</v>
      </c>
      <c r="AI351">
        <f t="shared" si="47"/>
        <v>5.8996954854228678E-2</v>
      </c>
      <c r="AJ351" s="12"/>
    </row>
    <row r="352" spans="1:36" x14ac:dyDescent="0.25">
      <c r="A352" s="9">
        <v>35</v>
      </c>
      <c r="B352" s="9">
        <v>2014</v>
      </c>
      <c r="C352" s="9">
        <v>-1.4008463333685071</v>
      </c>
      <c r="D352" s="9">
        <v>0.61442859584854015</v>
      </c>
      <c r="E352" s="9">
        <v>0.62657993628783215</v>
      </c>
      <c r="F352" s="9">
        <v>0.65044842602683006</v>
      </c>
      <c r="G352" s="9">
        <v>0.2124465417658743</v>
      </c>
      <c r="H352" s="9">
        <v>0.22657764804849201</v>
      </c>
      <c r="I352" s="9">
        <v>0.27299981366563941</v>
      </c>
      <c r="J352" s="9">
        <v>-6.0013990725860262</v>
      </c>
      <c r="K352" s="9">
        <v>1.265354355328006</v>
      </c>
      <c r="L352" s="9">
        <v>-0.76685051736193866</v>
      </c>
      <c r="M352" s="9">
        <v>3.4381250306036359</v>
      </c>
      <c r="N352" s="9">
        <v>3.433611644689563</v>
      </c>
      <c r="O352" s="9">
        <v>-11.51292546497023</v>
      </c>
      <c r="P352" s="9">
        <v>4.5133857056498528E-3</v>
      </c>
      <c r="Q352" s="9">
        <v>0</v>
      </c>
      <c r="R352" s="9">
        <v>0</v>
      </c>
      <c r="S352" s="9">
        <v>0</v>
      </c>
      <c r="T352" s="9">
        <v>0</v>
      </c>
      <c r="U352" s="9">
        <v>1</v>
      </c>
      <c r="V352" s="9">
        <v>0</v>
      </c>
      <c r="W352" s="9">
        <v>0</v>
      </c>
      <c r="X352" s="9">
        <v>-1.4001086950302124</v>
      </c>
      <c r="Y352">
        <f t="shared" si="40"/>
        <v>0.24638834899379813</v>
      </c>
      <c r="Z352">
        <f t="shared" si="41"/>
        <v>0.24657016153383121</v>
      </c>
      <c r="AA352">
        <f t="shared" si="42"/>
        <v>-1.8181254003307723E-4</v>
      </c>
      <c r="AB352">
        <f t="shared" si="43"/>
        <v>3.3055799713279312E-8</v>
      </c>
      <c r="AC352" t="str">
        <f>VLOOKUP(A352, 'state-ids'!$A$1:$B$28, 2)</f>
        <v>SP</v>
      </c>
      <c r="AD352">
        <f>VLOOKUP(A352, 'state-ids'!$A$1:$C$28, 3)</f>
        <v>8.5534595000000005E-2</v>
      </c>
      <c r="AE352">
        <f>VLOOKUP(A352, 'state-ids'!$A$1:$D$28, 4)</f>
        <v>0.71418482000000005</v>
      </c>
      <c r="AF352">
        <f t="shared" si="44"/>
        <v>-5.2681010386006731E-4</v>
      </c>
      <c r="AG352">
        <f t="shared" si="45"/>
        <v>0.27861930142937325</v>
      </c>
      <c r="AH352">
        <f t="shared" si="46"/>
        <v>0.2182075837780065</v>
      </c>
      <c r="AI352">
        <f t="shared" si="47"/>
        <v>6.0411717651366742E-2</v>
      </c>
      <c r="AJ352" s="12"/>
    </row>
    <row r="353" spans="1:36" x14ac:dyDescent="0.25">
      <c r="A353" s="9">
        <v>35</v>
      </c>
      <c r="B353" s="9">
        <v>2015</v>
      </c>
      <c r="C353" s="9">
        <v>-1.5485504172300191</v>
      </c>
      <c r="D353" s="9">
        <v>0.61880071843128848</v>
      </c>
      <c r="E353" s="9">
        <v>0.61442859584854015</v>
      </c>
      <c r="F353" s="9">
        <v>0.62657993628783215</v>
      </c>
      <c r="G353" s="9">
        <v>0.20073432980108</v>
      </c>
      <c r="H353" s="9">
        <v>0.2124465417658743</v>
      </c>
      <c r="I353" s="9">
        <v>0.22657764804849201</v>
      </c>
      <c r="J353" s="9">
        <v>-5.6010491282713071</v>
      </c>
      <c r="K353" s="9">
        <v>1.265354355328006</v>
      </c>
      <c r="L353" s="9">
        <v>-0.74372905009135759</v>
      </c>
      <c r="M353" s="9">
        <v>3.400051629814719</v>
      </c>
      <c r="N353" s="9">
        <v>3.429956429323278</v>
      </c>
      <c r="O353" s="9">
        <v>-11.51292546497023</v>
      </c>
      <c r="P353" s="9">
        <v>-2.9904799535870552E-2</v>
      </c>
      <c r="Q353" s="9">
        <v>1</v>
      </c>
      <c r="R353" s="9">
        <v>0</v>
      </c>
      <c r="S353" s="9">
        <v>0</v>
      </c>
      <c r="T353" s="9">
        <v>0</v>
      </c>
      <c r="U353" s="9">
        <v>1</v>
      </c>
      <c r="V353" s="9">
        <v>0</v>
      </c>
      <c r="W353" s="9">
        <v>0</v>
      </c>
      <c r="X353" s="9">
        <v>-1.4336446523666382</v>
      </c>
      <c r="Y353">
        <f t="shared" si="40"/>
        <v>0.21255586793765016</v>
      </c>
      <c r="Z353">
        <f t="shared" si="41"/>
        <v>0.23843831191366965</v>
      </c>
      <c r="AA353">
        <f t="shared" si="42"/>
        <v>-2.5882443976019492E-2</v>
      </c>
      <c r="AB353">
        <f t="shared" si="43"/>
        <v>6.6990090617178775E-4</v>
      </c>
      <c r="AC353" t="str">
        <f>VLOOKUP(A353, 'state-ids'!$A$1:$B$28, 2)</f>
        <v>SP</v>
      </c>
      <c r="AD353">
        <f>VLOOKUP(A353, 'state-ids'!$A$1:$C$28, 3)</f>
        <v>8.5534595000000005E-2</v>
      </c>
      <c r="AE353">
        <f>VLOOKUP(A353, 'state-ids'!$A$1:$D$28, 4)</f>
        <v>0.71418482000000005</v>
      </c>
      <c r="AF353">
        <f t="shared" si="44"/>
        <v>-8.2063952995916012E-2</v>
      </c>
      <c r="AG353">
        <f t="shared" si="45"/>
        <v>0.26943047563470285</v>
      </c>
      <c r="AH353">
        <f t="shared" si="46"/>
        <v>0.21101112802592603</v>
      </c>
      <c r="AI353">
        <f t="shared" si="47"/>
        <v>5.8419347608776817E-2</v>
      </c>
      <c r="AJ353" s="12"/>
    </row>
    <row r="354" spans="1:36" x14ac:dyDescent="0.25">
      <c r="A354" s="9">
        <v>35</v>
      </c>
      <c r="B354" s="9">
        <v>2016</v>
      </c>
      <c r="C354" s="9">
        <v>-1.4994484294193799</v>
      </c>
      <c r="D354" s="9">
        <v>0.6505006058384728</v>
      </c>
      <c r="E354" s="9">
        <v>0.61880071843128848</v>
      </c>
      <c r="F354" s="9">
        <v>0.61442859584854015</v>
      </c>
      <c r="G354" s="9">
        <v>0.30601302913650452</v>
      </c>
      <c r="H354" s="9">
        <v>0.20073432980108</v>
      </c>
      <c r="I354" s="9">
        <v>0.2124465417658743</v>
      </c>
      <c r="J354" s="9">
        <v>-5.2535188820657037</v>
      </c>
      <c r="K354" s="9">
        <v>1.265354355328006</v>
      </c>
      <c r="L354" s="9">
        <v>-0.7272040533751134</v>
      </c>
      <c r="M354" s="9">
        <v>3.3639103949803069</v>
      </c>
      <c r="N354" s="9">
        <v>3.3921271884868189</v>
      </c>
      <c r="O354" s="9">
        <v>-11.51292546497023</v>
      </c>
      <c r="P354" s="9">
        <v>-2.821679413318634E-2</v>
      </c>
      <c r="Q354" s="9">
        <v>1</v>
      </c>
      <c r="R354" s="9">
        <v>0</v>
      </c>
      <c r="S354" s="9">
        <v>0</v>
      </c>
      <c r="T354" s="9">
        <v>0</v>
      </c>
      <c r="U354" s="9">
        <v>1</v>
      </c>
      <c r="V354" s="9">
        <v>0</v>
      </c>
      <c r="W354" s="9">
        <v>0</v>
      </c>
      <c r="X354" s="9">
        <v>-1.4085514545440674</v>
      </c>
      <c r="Y354">
        <f t="shared" si="40"/>
        <v>0.22325326612811405</v>
      </c>
      <c r="Z354">
        <f t="shared" si="41"/>
        <v>0.24449719206153234</v>
      </c>
      <c r="AA354">
        <f t="shared" si="42"/>
        <v>-2.1243925933418284E-2</v>
      </c>
      <c r="AB354">
        <f t="shared" si="43"/>
        <v>4.513043890645619E-4</v>
      </c>
      <c r="AC354" t="str">
        <f>VLOOKUP(A354, 'state-ids'!$A$1:$B$28, 2)</f>
        <v>SP</v>
      </c>
      <c r="AD354">
        <f>VLOOKUP(A354, 'state-ids'!$A$1:$C$28, 3)</f>
        <v>8.5534595000000005E-2</v>
      </c>
      <c r="AE354">
        <f>VLOOKUP(A354, 'state-ids'!$A$1:$D$28, 4)</f>
        <v>0.71418482000000005</v>
      </c>
      <c r="AF354">
        <f t="shared" si="44"/>
        <v>-6.4917239639869631E-2</v>
      </c>
      <c r="AG354">
        <f t="shared" si="45"/>
        <v>0.27627688780290904</v>
      </c>
      <c r="AH354">
        <f t="shared" si="46"/>
        <v>0.21637306472273207</v>
      </c>
      <c r="AI354">
        <f t="shared" si="47"/>
        <v>5.9903823080176971E-2</v>
      </c>
      <c r="AJ354" s="12"/>
    </row>
    <row r="355" spans="1:36" x14ac:dyDescent="0.25">
      <c r="A355" s="9">
        <v>35</v>
      </c>
      <c r="B355" s="9">
        <v>2017</v>
      </c>
      <c r="C355" s="9">
        <v>-1.4600525533671029</v>
      </c>
      <c r="D355" s="9">
        <v>0.64406197286945388</v>
      </c>
      <c r="E355" s="9">
        <v>0.6505006058384728</v>
      </c>
      <c r="F355" s="9">
        <v>0.61880071843128848</v>
      </c>
      <c r="G355" s="9">
        <v>0.28893129185221278</v>
      </c>
      <c r="H355" s="9">
        <v>0.30601302913650452</v>
      </c>
      <c r="I355" s="9">
        <v>0.20073432980108</v>
      </c>
      <c r="J355" s="9">
        <v>-4.6297489561784877</v>
      </c>
      <c r="K355" s="9">
        <v>1.265354355328006</v>
      </c>
      <c r="L355" s="9">
        <v>-0.70813243422289962</v>
      </c>
      <c r="M355" s="9">
        <v>3.359605553219466</v>
      </c>
      <c r="N355" s="9">
        <v>3.3562267093129119</v>
      </c>
      <c r="O355" s="9">
        <v>-11.51292546497023</v>
      </c>
      <c r="P355" s="9">
        <v>3.3788438886404037E-3</v>
      </c>
      <c r="Q355" s="9">
        <v>1</v>
      </c>
      <c r="R355" s="9">
        <v>0</v>
      </c>
      <c r="S355" s="9">
        <v>0</v>
      </c>
      <c r="T355" s="9">
        <v>0</v>
      </c>
      <c r="U355" s="9">
        <v>1</v>
      </c>
      <c r="V355" s="9">
        <v>0</v>
      </c>
      <c r="W355" s="9">
        <v>0</v>
      </c>
      <c r="X355" s="9">
        <v>-1.3855422735214233</v>
      </c>
      <c r="Y355">
        <f t="shared" si="40"/>
        <v>0.23222407025225433</v>
      </c>
      <c r="Z355">
        <f t="shared" si="41"/>
        <v>0.25018809262181496</v>
      </c>
      <c r="AA355">
        <f t="shared" si="42"/>
        <v>-1.7964022369560628E-2</v>
      </c>
      <c r="AB355">
        <f t="shared" si="43"/>
        <v>3.2270609969407463E-4</v>
      </c>
      <c r="AC355" t="str">
        <f>VLOOKUP(A355, 'state-ids'!$A$1:$B$28, 2)</f>
        <v>SP</v>
      </c>
      <c r="AD355">
        <f>VLOOKUP(A355, 'state-ids'!$A$1:$C$28, 3)</f>
        <v>8.5534595000000005E-2</v>
      </c>
      <c r="AE355">
        <f>VLOOKUP(A355, 'state-ids'!$A$1:$D$28, 4)</f>
        <v>0.71418482000000005</v>
      </c>
      <c r="AF355">
        <f t="shared" si="44"/>
        <v>-5.3214110799736314E-2</v>
      </c>
      <c r="AG355">
        <f t="shared" si="45"/>
        <v>0.28270749047091442</v>
      </c>
      <c r="AH355">
        <f t="shared" si="46"/>
        <v>0.22140934994498024</v>
      </c>
      <c r="AI355">
        <f t="shared" si="47"/>
        <v>6.1298140525934186E-2</v>
      </c>
      <c r="AJ355" s="12"/>
    </row>
    <row r="356" spans="1:36" x14ac:dyDescent="0.25">
      <c r="A356" s="9">
        <v>35</v>
      </c>
      <c r="B356" s="9">
        <v>2018</v>
      </c>
      <c r="C356" s="9">
        <v>-1.687282034701959</v>
      </c>
      <c r="D356" s="9">
        <v>0.76458373049779393</v>
      </c>
      <c r="E356" s="9">
        <v>0.64406197286945388</v>
      </c>
      <c r="F356" s="9">
        <v>0.6505006058384728</v>
      </c>
      <c r="G356" s="9">
        <v>0.32880002317267892</v>
      </c>
      <c r="H356" s="9">
        <v>0.28893129185221278</v>
      </c>
      <c r="I356" s="9">
        <v>0.30601302913650452</v>
      </c>
      <c r="J356" s="9">
        <v>-4.2145776456245212</v>
      </c>
      <c r="K356" s="9">
        <v>1.265354355328006</v>
      </c>
      <c r="L356" s="9">
        <v>-0.68901549049015742</v>
      </c>
      <c r="M356" s="9">
        <v>3.347322722778256</v>
      </c>
      <c r="N356" s="9">
        <v>3.3498062610410102</v>
      </c>
      <c r="O356" s="9">
        <v>3.2580965380214821</v>
      </c>
      <c r="P356" s="9">
        <v>-2.4835383519530296E-3</v>
      </c>
      <c r="Q356" s="9">
        <v>1</v>
      </c>
      <c r="R356" s="9">
        <v>0</v>
      </c>
      <c r="S356" s="9">
        <v>0</v>
      </c>
      <c r="T356" s="9">
        <v>0</v>
      </c>
      <c r="U356" s="9">
        <v>1</v>
      </c>
      <c r="V356" s="9">
        <v>0</v>
      </c>
      <c r="W356" s="9">
        <v>0</v>
      </c>
      <c r="X356" s="9">
        <v>-1.4727981090545654</v>
      </c>
      <c r="Y356">
        <f t="shared" si="40"/>
        <v>0.18502172382771515</v>
      </c>
      <c r="Z356">
        <f t="shared" si="41"/>
        <v>0.22928302785675558</v>
      </c>
      <c r="AA356">
        <f t="shared" si="42"/>
        <v>-4.4261304029040438E-2</v>
      </c>
      <c r="AB356">
        <f t="shared" si="43"/>
        <v>1.9590630343511513E-3</v>
      </c>
      <c r="AC356" t="str">
        <f>VLOOKUP(A356, 'state-ids'!$A$1:$B$28, 2)</f>
        <v>SP</v>
      </c>
      <c r="AD356">
        <f>VLOOKUP(A356, 'state-ids'!$A$1:$C$28, 3)</f>
        <v>8.5534595000000005E-2</v>
      </c>
      <c r="AE356">
        <f>VLOOKUP(A356, 'state-ids'!$A$1:$D$28, 4)</f>
        <v>0.71418482000000005</v>
      </c>
      <c r="AF356">
        <f t="shared" si="44"/>
        <v>-0.1531811638313772</v>
      </c>
      <c r="AG356">
        <f t="shared" si="45"/>
        <v>0.2590851896014823</v>
      </c>
      <c r="AH356">
        <f t="shared" si="46"/>
        <v>0.2029089618901975</v>
      </c>
      <c r="AI356">
        <f t="shared" si="47"/>
        <v>5.6176227711284804E-2</v>
      </c>
      <c r="AJ356" s="12"/>
    </row>
    <row r="357" spans="1:36" x14ac:dyDescent="0.25">
      <c r="A357" s="9">
        <v>35</v>
      </c>
      <c r="B357" s="9">
        <v>2019</v>
      </c>
      <c r="C357" s="9">
        <v>-1.7539985792808619</v>
      </c>
      <c r="D357" s="9">
        <v>0.7103483878797201</v>
      </c>
      <c r="E357" s="9">
        <v>0.76458373049779393</v>
      </c>
      <c r="F357" s="9">
        <v>0.64406197286945388</v>
      </c>
      <c r="G357" s="9">
        <v>0.28660649422484791</v>
      </c>
      <c r="H357" s="9">
        <v>0.32880002317267892</v>
      </c>
      <c r="I357" s="9">
        <v>0.28893129185221278</v>
      </c>
      <c r="J357" s="9">
        <v>-3.4734102288767632</v>
      </c>
      <c r="K357" s="9">
        <v>1.265354355328006</v>
      </c>
      <c r="L357" s="9">
        <v>-0.66727942967695109</v>
      </c>
      <c r="M357" s="9">
        <v>3.3580967354450082</v>
      </c>
      <c r="N357" s="9">
        <v>3.3390103771988229</v>
      </c>
      <c r="O357" s="9">
        <v>5.393627546352362</v>
      </c>
      <c r="P357" s="9">
        <v>1.9086359068751335E-2</v>
      </c>
      <c r="Q357" s="9">
        <v>1</v>
      </c>
      <c r="R357" s="9">
        <v>0</v>
      </c>
      <c r="S357" s="9">
        <v>0</v>
      </c>
      <c r="T357" s="9">
        <v>0</v>
      </c>
      <c r="U357" s="9">
        <v>1</v>
      </c>
      <c r="V357" s="9">
        <v>0</v>
      </c>
      <c r="W357" s="9">
        <v>0</v>
      </c>
      <c r="X357" s="9">
        <v>-1.441106915473938</v>
      </c>
      <c r="Y357">
        <f t="shared" si="40"/>
        <v>0.17308048191503275</v>
      </c>
      <c r="Z357">
        <f t="shared" si="41"/>
        <v>0.23666564477556382</v>
      </c>
      <c r="AA357">
        <f t="shared" si="42"/>
        <v>-6.3585162860531064E-2</v>
      </c>
      <c r="AB357">
        <f t="shared" si="43"/>
        <v>4.0430729360002591E-3</v>
      </c>
      <c r="AC357" t="str">
        <f>VLOOKUP(A357, 'state-ids'!$A$1:$B$28, 2)</f>
        <v>SP</v>
      </c>
      <c r="AD357">
        <f>VLOOKUP(A357, 'state-ids'!$A$1:$C$28, 3)</f>
        <v>8.5534595000000005E-2</v>
      </c>
      <c r="AE357">
        <f>VLOOKUP(A357, 'state-ids'!$A$1:$D$28, 4)</f>
        <v>0.71418482000000005</v>
      </c>
      <c r="AF357">
        <f t="shared" si="44"/>
        <v>-0.22346247659544849</v>
      </c>
      <c r="AG357">
        <f t="shared" si="45"/>
        <v>0.26742739757929873</v>
      </c>
      <c r="AH357">
        <f t="shared" si="46"/>
        <v>0.2094423679998039</v>
      </c>
      <c r="AI357">
        <f t="shared" si="47"/>
        <v>5.7985029579494834E-2</v>
      </c>
      <c r="AJ357" s="12"/>
    </row>
    <row r="358" spans="1:36" x14ac:dyDescent="0.25">
      <c r="A358" s="9">
        <v>35</v>
      </c>
      <c r="B358" s="9">
        <v>2020</v>
      </c>
      <c r="C358" s="9">
        <v>-1.86403964962227</v>
      </c>
      <c r="D358" s="9">
        <v>0.65399046535875138</v>
      </c>
      <c r="E358" s="9">
        <v>0.7103483878797201</v>
      </c>
      <c r="F358" s="9">
        <v>0.76458373049779393</v>
      </c>
      <c r="G358" s="9">
        <v>0.26428549464538492</v>
      </c>
      <c r="H358" s="9">
        <v>0.28660649422484791</v>
      </c>
      <c r="I358" s="9">
        <v>0.32880002317267892</v>
      </c>
      <c r="J358" s="9">
        <v>-2.8937330983977869</v>
      </c>
      <c r="K358" s="9">
        <v>1.265354355328006</v>
      </c>
      <c r="L358" s="9">
        <v>-0.65527629986212466</v>
      </c>
      <c r="M358" s="9">
        <v>3.2997488115508631</v>
      </c>
      <c r="N358" s="9">
        <v>3.3500652315318309</v>
      </c>
      <c r="O358" s="9">
        <v>5.9914645471079817</v>
      </c>
      <c r="P358" s="9">
        <v>-5.0316419452428818E-2</v>
      </c>
      <c r="Q358" s="9">
        <v>1</v>
      </c>
      <c r="R358" s="9">
        <v>1</v>
      </c>
      <c r="S358" s="9">
        <v>0</v>
      </c>
      <c r="T358" s="9">
        <v>0</v>
      </c>
      <c r="U358" s="9">
        <v>1</v>
      </c>
      <c r="V358" s="9">
        <v>0</v>
      </c>
      <c r="W358" s="9">
        <v>0</v>
      </c>
      <c r="X358" s="9">
        <v>-1.5223480463027954</v>
      </c>
      <c r="Y358">
        <f t="shared" si="40"/>
        <v>0.15504503596973418</v>
      </c>
      <c r="Z358">
        <f t="shared" si="41"/>
        <v>0.21819894375753349</v>
      </c>
      <c r="AA358">
        <f t="shared" si="42"/>
        <v>-6.3153907787799307E-2</v>
      </c>
      <c r="AB358">
        <f t="shared" si="43"/>
        <v>3.9884160688698576E-3</v>
      </c>
      <c r="AC358" t="str">
        <f>VLOOKUP(A358, 'state-ids'!$A$1:$B$28, 2)</f>
        <v>SP</v>
      </c>
      <c r="AD358">
        <f>VLOOKUP(A358, 'state-ids'!$A$1:$C$28, 3)</f>
        <v>8.5534595000000005E-2</v>
      </c>
      <c r="AE358">
        <f>VLOOKUP(A358, 'state-ids'!$A$1:$D$28, 4)</f>
        <v>0.71418482000000005</v>
      </c>
      <c r="AF358">
        <f t="shared" si="44"/>
        <v>-0.24403095621223037</v>
      </c>
      <c r="AG358">
        <f t="shared" si="45"/>
        <v>0.24656039848523864</v>
      </c>
      <c r="AH358">
        <f t="shared" si="46"/>
        <v>0.19309986254647327</v>
      </c>
      <c r="AI358">
        <f t="shared" si="47"/>
        <v>5.3460535938765374E-2</v>
      </c>
      <c r="AJ358" s="12"/>
    </row>
    <row r="359" spans="1:36" x14ac:dyDescent="0.25">
      <c r="A359" s="9">
        <v>35</v>
      </c>
      <c r="B359" s="9">
        <v>2021</v>
      </c>
      <c r="C359" s="9">
        <v>-1.662372354249732</v>
      </c>
      <c r="D359" s="9">
        <v>0.85070633066131007</v>
      </c>
      <c r="E359" s="9">
        <v>0.65399046535875138</v>
      </c>
      <c r="F359" s="9">
        <v>0.7103483878797201</v>
      </c>
      <c r="G359" s="9">
        <v>0.57030135056109943</v>
      </c>
      <c r="H359" s="9">
        <v>0.26428549464538492</v>
      </c>
      <c r="I359" s="9">
        <v>0.28660649422484791</v>
      </c>
      <c r="J359" s="9">
        <v>-2.3321531559009401</v>
      </c>
      <c r="K359" s="9">
        <v>1.265354355328006</v>
      </c>
      <c r="L359" s="9">
        <v>-0.6472323188136947</v>
      </c>
      <c r="M359" s="9">
        <v>3.3037784711010461</v>
      </c>
      <c r="N359" s="9">
        <v>3.2920060368555659</v>
      </c>
      <c r="O359" s="9">
        <v>6.6846117276679271</v>
      </c>
      <c r="P359" s="9">
        <v>1.177243422716856E-2</v>
      </c>
      <c r="Q359" s="9">
        <v>1</v>
      </c>
      <c r="R359" s="9">
        <v>0</v>
      </c>
      <c r="S359" s="9">
        <v>0</v>
      </c>
      <c r="T359" s="9">
        <v>0</v>
      </c>
      <c r="U359" s="9">
        <v>1</v>
      </c>
      <c r="V359" s="9">
        <v>0</v>
      </c>
      <c r="W359" s="9">
        <v>0</v>
      </c>
      <c r="X359" s="9">
        <v>-1.4540067911148071</v>
      </c>
      <c r="Y359">
        <f t="shared" si="40"/>
        <v>0.1896884377184124</v>
      </c>
      <c r="Z359">
        <f t="shared" si="41"/>
        <v>0.23363229437502298</v>
      </c>
      <c r="AA359">
        <f t="shared" si="42"/>
        <v>-4.3943856656610575E-2</v>
      </c>
      <c r="AB359">
        <f t="shared" si="43"/>
        <v>1.9310625378567375E-3</v>
      </c>
      <c r="AC359" t="str">
        <f>VLOOKUP(A359, 'state-ids'!$A$1:$B$28, 2)</f>
        <v>SP</v>
      </c>
      <c r="AD359">
        <f>VLOOKUP(A359, 'state-ids'!$A$1:$C$28, 3)</f>
        <v>8.5534595000000005E-2</v>
      </c>
      <c r="AE359">
        <f>VLOOKUP(A359, 'state-ids'!$A$1:$D$28, 4)</f>
        <v>0.71418482000000005</v>
      </c>
      <c r="AF359">
        <f t="shared" si="44"/>
        <v>-0.14881152220171492</v>
      </c>
      <c r="AG359">
        <f t="shared" si="45"/>
        <v>0.26399977290512161</v>
      </c>
      <c r="AH359">
        <f t="shared" si="46"/>
        <v>0.2067579391235092</v>
      </c>
      <c r="AI359">
        <f t="shared" si="47"/>
        <v>5.7241833781612406E-2</v>
      </c>
      <c r="AJ359" s="12"/>
    </row>
    <row r="360" spans="1:36" x14ac:dyDescent="0.25">
      <c r="A360" s="9">
        <v>35</v>
      </c>
      <c r="B360" s="9">
        <v>2022</v>
      </c>
      <c r="C360" s="9">
        <v>-1.539345348544559</v>
      </c>
      <c r="D360" s="9">
        <v>0.86487111371861958</v>
      </c>
      <c r="E360" s="9">
        <v>0.85070633066131007</v>
      </c>
      <c r="F360" s="9">
        <v>0.65399046535875138</v>
      </c>
      <c r="G360" s="9">
        <v>0.53315446924905385</v>
      </c>
      <c r="H360" s="9">
        <v>0.57030135056109943</v>
      </c>
      <c r="I360" s="9">
        <v>0.26428549464538492</v>
      </c>
      <c r="J360" s="9">
        <v>-1.8103043863290309</v>
      </c>
      <c r="K360" s="9">
        <v>1.265354355328006</v>
      </c>
      <c r="L360" s="9">
        <v>-0.6258211804677235</v>
      </c>
      <c r="M360" s="9">
        <v>3.362174111307882</v>
      </c>
      <c r="N360" s="9">
        <v>3.3037784711010461</v>
      </c>
      <c r="O360" s="9">
        <v>8.0551577318196781</v>
      </c>
      <c r="P360" s="9">
        <v>5.8395639061927795E-2</v>
      </c>
      <c r="Q360" s="9">
        <v>1</v>
      </c>
      <c r="R360" s="9">
        <v>0</v>
      </c>
      <c r="S360" s="9">
        <v>0</v>
      </c>
      <c r="T360" s="9">
        <v>0</v>
      </c>
      <c r="U360" s="9">
        <v>1</v>
      </c>
      <c r="V360" s="9">
        <v>0</v>
      </c>
      <c r="W360" s="9">
        <v>0</v>
      </c>
      <c r="X360" s="9">
        <v>-1.433785080909729</v>
      </c>
      <c r="Y360">
        <f t="shared" si="40"/>
        <v>0.21452149227556894</v>
      </c>
      <c r="Z360">
        <f t="shared" si="41"/>
        <v>0.23840483071982324</v>
      </c>
      <c r="AA360">
        <f t="shared" si="42"/>
        <v>-2.3883338444254304E-2</v>
      </c>
      <c r="AB360">
        <f t="shared" si="43"/>
        <v>5.7041385524279561E-4</v>
      </c>
      <c r="AC360" t="str">
        <f>VLOOKUP(A360, 'state-ids'!$A$1:$B$28, 2)</f>
        <v>SP</v>
      </c>
      <c r="AD360">
        <f>VLOOKUP(A360, 'state-ids'!$A$1:$C$28, 3)</f>
        <v>8.5534595000000005E-2</v>
      </c>
      <c r="AE360">
        <f>VLOOKUP(A360, 'state-ids'!$A$1:$D$28, 4)</f>
        <v>0.71418482000000005</v>
      </c>
      <c r="AF360">
        <f t="shared" si="44"/>
        <v>-7.5389540739932856E-2</v>
      </c>
      <c r="AG360">
        <f t="shared" si="45"/>
        <v>0.26939264256202899</v>
      </c>
      <c r="AH360">
        <f t="shared" si="46"/>
        <v>0.21098149812113229</v>
      </c>
      <c r="AI360">
        <f t="shared" si="47"/>
        <v>5.8411144440896706E-2</v>
      </c>
      <c r="AJ360" s="12"/>
    </row>
    <row r="361" spans="1:36" x14ac:dyDescent="0.25">
      <c r="A361" s="9">
        <v>35</v>
      </c>
      <c r="B361" s="9">
        <v>2023</v>
      </c>
      <c r="C361" s="9">
        <v>-1.4942475735529499</v>
      </c>
      <c r="D361" s="9">
        <v>0.72711373012321823</v>
      </c>
      <c r="E361" s="9">
        <v>0.86487111371861958</v>
      </c>
      <c r="F361" s="9">
        <v>0.85070633066131007</v>
      </c>
      <c r="G361" s="9">
        <v>0.33461336713621331</v>
      </c>
      <c r="H361" s="9">
        <v>0.53315446924905385</v>
      </c>
      <c r="I361" s="9">
        <v>0.57030135056109943</v>
      </c>
      <c r="J361" s="9">
        <v>-1.257223832920717</v>
      </c>
      <c r="K361" s="9">
        <v>1.265354355328006</v>
      </c>
      <c r="L361" s="9">
        <v>-0.60173262156518448</v>
      </c>
      <c r="M361" s="9">
        <v>3.4075965113004578</v>
      </c>
      <c r="N361" s="9">
        <v>3.362174111307882</v>
      </c>
      <c r="O361" s="9">
        <v>8.4658998970286863</v>
      </c>
      <c r="P361" s="9">
        <v>4.5422401279211044E-2</v>
      </c>
      <c r="Q361" s="9">
        <v>1</v>
      </c>
      <c r="R361" s="9">
        <v>0</v>
      </c>
      <c r="S361" s="9">
        <v>0</v>
      </c>
      <c r="T361" s="9">
        <v>0</v>
      </c>
      <c r="U361" s="9">
        <v>1</v>
      </c>
      <c r="V361" s="9">
        <v>0</v>
      </c>
      <c r="W361" s="9">
        <v>0</v>
      </c>
      <c r="X361" s="9">
        <v>-1.4022119045257568</v>
      </c>
      <c r="Y361">
        <f t="shared" si="40"/>
        <v>0.22441739880604844</v>
      </c>
      <c r="Z361">
        <f t="shared" si="41"/>
        <v>0.24605211779699199</v>
      </c>
      <c r="AA361">
        <f t="shared" si="42"/>
        <v>-2.1634718990943547E-2</v>
      </c>
      <c r="AB361">
        <f t="shared" si="43"/>
        <v>4.6806106581709334E-4</v>
      </c>
      <c r="AC361" t="str">
        <f>VLOOKUP(A361, 'state-ids'!$A$1:$B$28, 2)</f>
        <v>SP</v>
      </c>
      <c r="AD361">
        <f>VLOOKUP(A361, 'state-ids'!$A$1:$C$28, 3)</f>
        <v>8.5534595000000005E-2</v>
      </c>
      <c r="AE361">
        <f>VLOOKUP(A361, 'state-ids'!$A$1:$D$28, 4)</f>
        <v>0.71418482000000005</v>
      </c>
      <c r="AF361">
        <f t="shared" si="44"/>
        <v>-6.5730477717765468E-2</v>
      </c>
      <c r="AG361">
        <f t="shared" si="45"/>
        <v>0.27803392247204067</v>
      </c>
      <c r="AH361">
        <f t="shared" si="46"/>
        <v>0.21774912979718489</v>
      </c>
      <c r="AI361">
        <f t="shared" si="47"/>
        <v>6.0284792674855786E-2</v>
      </c>
      <c r="AJ361" s="12"/>
    </row>
    <row r="362" spans="1:36" x14ac:dyDescent="0.25">
      <c r="A362" s="9">
        <v>41</v>
      </c>
      <c r="B362" s="9">
        <v>2006</v>
      </c>
      <c r="C362" s="9">
        <v>-1.8423609383586479</v>
      </c>
      <c r="D362" s="9">
        <v>0.91629073187415511</v>
      </c>
      <c r="E362" s="9">
        <v>0.85946637987639407</v>
      </c>
      <c r="F362" s="9">
        <v>0.81863380060136115</v>
      </c>
      <c r="G362" s="9">
        <v>0.50681760236845186</v>
      </c>
      <c r="H362" s="9">
        <v>0.36018876323852889</v>
      </c>
      <c r="I362" s="9">
        <v>0.23467678712788281</v>
      </c>
      <c r="J362" s="9">
        <v>-11.51292546497023</v>
      </c>
      <c r="K362" s="9">
        <v>1.552935502058828</v>
      </c>
      <c r="L362" s="9">
        <v>-1.2951281768844689</v>
      </c>
      <c r="M362" s="9">
        <v>2.8821140608554998</v>
      </c>
      <c r="N362" s="9">
        <v>2.870796881453622</v>
      </c>
      <c r="O362" s="9">
        <v>-11.51292546497023</v>
      </c>
      <c r="P362" s="9">
        <v>1.1317179538309574E-2</v>
      </c>
      <c r="Q362" s="9">
        <v>0</v>
      </c>
      <c r="R362" s="9">
        <v>0</v>
      </c>
      <c r="S362" s="9">
        <v>0</v>
      </c>
      <c r="T362" s="9">
        <v>1</v>
      </c>
      <c r="U362" s="9">
        <v>0</v>
      </c>
      <c r="V362" s="9">
        <v>0</v>
      </c>
      <c r="W362" s="9">
        <v>0</v>
      </c>
      <c r="X362" s="9">
        <v>-1.8481986522674561</v>
      </c>
      <c r="Y362">
        <f t="shared" si="40"/>
        <v>0.15844291023201418</v>
      </c>
      <c r="Z362">
        <f t="shared" si="41"/>
        <v>0.15752066038568219</v>
      </c>
      <c r="AA362">
        <f t="shared" si="42"/>
        <v>9.2224984633199059E-4</v>
      </c>
      <c r="AB362">
        <f t="shared" si="43"/>
        <v>8.5054477905938025E-7</v>
      </c>
      <c r="AC362" t="str">
        <f>VLOOKUP(A362, 'state-ids'!$A$1:$B$28, 2)</f>
        <v>PR</v>
      </c>
      <c r="AD362">
        <f>VLOOKUP(A362, 'state-ids'!$A$1:$C$28, 3)</f>
        <v>6.9328867000000002E-2</v>
      </c>
      <c r="AE362">
        <f>VLOOKUP(A362, 'state-ids'!$A$1:$D$28, 4)</f>
        <v>0.76503348000000004</v>
      </c>
      <c r="AF362">
        <f t="shared" si="44"/>
        <v>3.7594323460772537E-3</v>
      </c>
      <c r="AG362">
        <f t="shared" si="45"/>
        <v>0.17542502324281337</v>
      </c>
      <c r="AH362">
        <f t="shared" si="46"/>
        <v>0.14144366630065661</v>
      </c>
      <c r="AI362">
        <f t="shared" si="47"/>
        <v>3.398135694215676E-2</v>
      </c>
      <c r="AJ362" s="12"/>
    </row>
    <row r="363" spans="1:36" x14ac:dyDescent="0.25">
      <c r="A363" s="9">
        <v>41</v>
      </c>
      <c r="B363" s="9">
        <v>2007</v>
      </c>
      <c r="C363" s="9">
        <v>-1.8560792646036639</v>
      </c>
      <c r="D363" s="9">
        <v>0.84835444486232792</v>
      </c>
      <c r="E363" s="9">
        <v>0.91629073187415511</v>
      </c>
      <c r="F363" s="9">
        <v>0.85946637987639407</v>
      </c>
      <c r="G363" s="9">
        <v>0.32099595148171439</v>
      </c>
      <c r="H363" s="9">
        <v>0.50681760236845186</v>
      </c>
      <c r="I363" s="9">
        <v>0.36018876323852889</v>
      </c>
      <c r="J363" s="9">
        <v>-11.51292546497023</v>
      </c>
      <c r="K363" s="9">
        <v>1.552935502058828</v>
      </c>
      <c r="L363" s="9">
        <v>-1.2165735664723041</v>
      </c>
      <c r="M363" s="9">
        <v>2.992506428742332</v>
      </c>
      <c r="N363" s="9">
        <v>2.872399933716999</v>
      </c>
      <c r="O363" s="9">
        <v>-11.51292546497023</v>
      </c>
      <c r="P363" s="9">
        <v>0.12010649591684341</v>
      </c>
      <c r="Q363" s="9">
        <v>0</v>
      </c>
      <c r="R363" s="9">
        <v>0</v>
      </c>
      <c r="S363" s="9">
        <v>0</v>
      </c>
      <c r="T363" s="9">
        <v>1</v>
      </c>
      <c r="U363" s="9">
        <v>0</v>
      </c>
      <c r="V363" s="9">
        <v>0</v>
      </c>
      <c r="W363" s="9">
        <v>0</v>
      </c>
      <c r="X363" s="9">
        <v>-1.7801139354705811</v>
      </c>
      <c r="Y363">
        <f t="shared" si="40"/>
        <v>0.15628417963815402</v>
      </c>
      <c r="Z363">
        <f t="shared" si="41"/>
        <v>0.16861893449645746</v>
      </c>
      <c r="AA363">
        <f t="shared" si="42"/>
        <v>-1.2334754858303432E-2</v>
      </c>
      <c r="AB363">
        <f t="shared" si="43"/>
        <v>1.521461774144401E-4</v>
      </c>
      <c r="AC363" t="str">
        <f>VLOOKUP(A363, 'state-ids'!$A$1:$B$28, 2)</f>
        <v>PR</v>
      </c>
      <c r="AD363">
        <f>VLOOKUP(A363, 'state-ids'!$A$1:$C$28, 3)</f>
        <v>6.9328867000000002E-2</v>
      </c>
      <c r="AE363">
        <f>VLOOKUP(A363, 'state-ids'!$A$1:$D$28, 4)</f>
        <v>0.76503348000000004</v>
      </c>
      <c r="AF363">
        <f t="shared" si="44"/>
        <v>-5.811602010602776E-2</v>
      </c>
      <c r="AG363">
        <f t="shared" si="45"/>
        <v>0.18778476696830901</v>
      </c>
      <c r="AH363">
        <f t="shared" si="46"/>
        <v>0.15140921987308437</v>
      </c>
      <c r="AI363">
        <f t="shared" si="47"/>
        <v>3.6375547095224642E-2</v>
      </c>
      <c r="AJ363" s="12"/>
    </row>
    <row r="364" spans="1:36" x14ac:dyDescent="0.25">
      <c r="A364" s="9">
        <v>41</v>
      </c>
      <c r="B364" s="9">
        <v>2008</v>
      </c>
      <c r="C364" s="9">
        <v>-1.829494845679668</v>
      </c>
      <c r="D364" s="9">
        <v>0.77868246866620794</v>
      </c>
      <c r="E364" s="9">
        <v>0.84835444486232792</v>
      </c>
      <c r="F364" s="9">
        <v>0.91629073187415511</v>
      </c>
      <c r="G364" s="9">
        <v>0.24263240389805671</v>
      </c>
      <c r="H364" s="9">
        <v>0.32099595148171439</v>
      </c>
      <c r="I364" s="9">
        <v>0.50681760236845186</v>
      </c>
      <c r="J364" s="9">
        <v>-11.51292546497023</v>
      </c>
      <c r="K364" s="9">
        <v>1.552935502058828</v>
      </c>
      <c r="L364" s="9">
        <v>-1.1381487519499429</v>
      </c>
      <c r="M364" s="9">
        <v>3.0155765265959911</v>
      </c>
      <c r="N364" s="9">
        <v>2.9828856643160169</v>
      </c>
      <c r="O364" s="9">
        <v>-11.51292546497023</v>
      </c>
      <c r="P364" s="9">
        <v>3.2690864056348801E-2</v>
      </c>
      <c r="Q364" s="9">
        <v>0</v>
      </c>
      <c r="R364" s="9">
        <v>0</v>
      </c>
      <c r="S364" s="9">
        <v>0</v>
      </c>
      <c r="T364" s="9">
        <v>1</v>
      </c>
      <c r="U364" s="9">
        <v>0</v>
      </c>
      <c r="V364" s="9">
        <v>0</v>
      </c>
      <c r="W364" s="9">
        <v>0</v>
      </c>
      <c r="X364" s="9">
        <v>-1.7224172353744507</v>
      </c>
      <c r="Y364">
        <f t="shared" si="40"/>
        <v>0.16049462185265934</v>
      </c>
      <c r="Z364">
        <f t="shared" si="41"/>
        <v>0.17863382560728427</v>
      </c>
      <c r="AA364">
        <f t="shared" si="42"/>
        <v>-1.8139203754624939E-2</v>
      </c>
      <c r="AB364">
        <f t="shared" si="43"/>
        <v>3.2903071285179947E-4</v>
      </c>
      <c r="AC364" t="str">
        <f>VLOOKUP(A364, 'state-ids'!$A$1:$B$28, 2)</f>
        <v>PR</v>
      </c>
      <c r="AD364">
        <f>VLOOKUP(A364, 'state-ids'!$A$1:$C$28, 3)</f>
        <v>6.9328867000000002E-2</v>
      </c>
      <c r="AE364">
        <f>VLOOKUP(A364, 'state-ids'!$A$1:$D$28, 4)</f>
        <v>0.76503348000000004</v>
      </c>
      <c r="AF364">
        <f t="shared" si="44"/>
        <v>-8.1917956841884285E-2</v>
      </c>
      <c r="AG364">
        <f t="shared" si="45"/>
        <v>0.19893798649893721</v>
      </c>
      <c r="AH364">
        <f t="shared" si="46"/>
        <v>0.1604019635096896</v>
      </c>
      <c r="AI364">
        <f t="shared" si="47"/>
        <v>3.8536022989247604E-2</v>
      </c>
      <c r="AJ364" s="12"/>
    </row>
    <row r="365" spans="1:36" x14ac:dyDescent="0.25">
      <c r="A365" s="9">
        <v>41</v>
      </c>
      <c r="B365" s="9">
        <v>2009</v>
      </c>
      <c r="C365" s="9">
        <v>-1.8964178520160431</v>
      </c>
      <c r="D365" s="9">
        <v>0.76103944660286371</v>
      </c>
      <c r="E365" s="9">
        <v>0.77868246866620794</v>
      </c>
      <c r="F365" s="9">
        <v>0.84835444486232792</v>
      </c>
      <c r="G365" s="9">
        <v>0.24208306113360409</v>
      </c>
      <c r="H365" s="9">
        <v>0.24263240389805671</v>
      </c>
      <c r="I365" s="9">
        <v>0.32099595148171439</v>
      </c>
      <c r="J365" s="9">
        <v>-9.2767128666058145</v>
      </c>
      <c r="K365" s="9">
        <v>1.552935502058828</v>
      </c>
      <c r="L365" s="9">
        <v>-1.07274631637666</v>
      </c>
      <c r="M365" s="9">
        <v>2.9934713224657501</v>
      </c>
      <c r="N365" s="9">
        <v>3.0065452457640429</v>
      </c>
      <c r="O365" s="9">
        <v>-11.51292546497023</v>
      </c>
      <c r="P365" s="9">
        <v>-1.307392306625843E-2</v>
      </c>
      <c r="Q365" s="9">
        <v>0</v>
      </c>
      <c r="R365" s="9">
        <v>0</v>
      </c>
      <c r="S365" s="9">
        <v>0</v>
      </c>
      <c r="T365" s="9">
        <v>1</v>
      </c>
      <c r="U365" s="9">
        <v>0</v>
      </c>
      <c r="V365" s="9">
        <v>0</v>
      </c>
      <c r="W365" s="9">
        <v>0</v>
      </c>
      <c r="X365" s="9">
        <v>-1.6817374229431152</v>
      </c>
      <c r="Y365">
        <f t="shared" si="40"/>
        <v>0.15010535691342339</v>
      </c>
      <c r="Z365">
        <f t="shared" si="41"/>
        <v>0.1860504467524273</v>
      </c>
      <c r="AA365">
        <f t="shared" si="42"/>
        <v>-3.5945089839003908E-2</v>
      </c>
      <c r="AB365">
        <f t="shared" si="43"/>
        <v>1.2920494835340619E-3</v>
      </c>
      <c r="AC365" t="str">
        <f>VLOOKUP(A365, 'state-ids'!$A$1:$B$28, 2)</f>
        <v>PR</v>
      </c>
      <c r="AD365">
        <f>VLOOKUP(A365, 'state-ids'!$A$1:$C$28, 3)</f>
        <v>6.9328867000000002E-2</v>
      </c>
      <c r="AE365">
        <f>VLOOKUP(A365, 'state-ids'!$A$1:$D$28, 4)</f>
        <v>0.76503348000000004</v>
      </c>
      <c r="AF365">
        <f t="shared" si="44"/>
        <v>-0.16423771574155516</v>
      </c>
      <c r="AG365">
        <f t="shared" si="45"/>
        <v>0.20719760738666246</v>
      </c>
      <c r="AH365">
        <f t="shared" si="46"/>
        <v>0.16706162379655923</v>
      </c>
      <c r="AI365">
        <f t="shared" si="47"/>
        <v>4.013598359010323E-2</v>
      </c>
      <c r="AJ365" s="12"/>
    </row>
    <row r="366" spans="1:36" x14ac:dyDescent="0.25">
      <c r="A366" s="9">
        <v>41</v>
      </c>
      <c r="B366" s="9">
        <v>2010</v>
      </c>
      <c r="C366" s="9">
        <v>-1.726507138524179</v>
      </c>
      <c r="D366" s="9">
        <v>0.72764522096751272</v>
      </c>
      <c r="E366" s="9">
        <v>0.76103944660286371</v>
      </c>
      <c r="F366" s="9">
        <v>0.77868246866620794</v>
      </c>
      <c r="G366" s="9">
        <v>0.28803201121606892</v>
      </c>
      <c r="H366" s="9">
        <v>0.24208306113360409</v>
      </c>
      <c r="I366" s="9">
        <v>0.24263240389805671</v>
      </c>
      <c r="J366" s="9">
        <v>-8.575395870932196</v>
      </c>
      <c r="K366" s="9">
        <v>1.552935502058828</v>
      </c>
      <c r="L366" s="9">
        <v>-0.99196821018247971</v>
      </c>
      <c r="M366" s="9">
        <v>3.0562244582969211</v>
      </c>
      <c r="N366" s="9">
        <v>3.0016411375795662</v>
      </c>
      <c r="O366" s="9">
        <v>-11.51292546497023</v>
      </c>
      <c r="P366" s="9">
        <v>5.4583322256803513E-2</v>
      </c>
      <c r="Q366" s="9">
        <v>0</v>
      </c>
      <c r="R366" s="9">
        <v>0</v>
      </c>
      <c r="S366" s="9">
        <v>0</v>
      </c>
      <c r="T366" s="9">
        <v>1</v>
      </c>
      <c r="U366" s="9">
        <v>0</v>
      </c>
      <c r="V366" s="9">
        <v>0</v>
      </c>
      <c r="W366" s="9">
        <v>0</v>
      </c>
      <c r="X366" s="9">
        <v>-1.5560399293899536</v>
      </c>
      <c r="Y366">
        <f t="shared" si="40"/>
        <v>0.17790472255804113</v>
      </c>
      <c r="Z366">
        <f t="shared" si="41"/>
        <v>0.21096987475125187</v>
      </c>
      <c r="AA366">
        <f t="shared" si="42"/>
        <v>-3.306515219321074E-2</v>
      </c>
      <c r="AB366">
        <f t="shared" si="43"/>
        <v>1.093304289560189E-3</v>
      </c>
      <c r="AC366" t="str">
        <f>VLOOKUP(A366, 'state-ids'!$A$1:$B$28, 2)</f>
        <v>PR</v>
      </c>
      <c r="AD366">
        <f>VLOOKUP(A366, 'state-ids'!$A$1:$C$28, 3)</f>
        <v>6.9328867000000002E-2</v>
      </c>
      <c r="AE366">
        <f>VLOOKUP(A366, 'state-ids'!$A$1:$D$28, 4)</f>
        <v>0.76503348000000004</v>
      </c>
      <c r="AF366">
        <f t="shared" si="44"/>
        <v>-0.13041312222984427</v>
      </c>
      <c r="AG366">
        <f t="shared" si="45"/>
        <v>0.23494946688996834</v>
      </c>
      <c r="AH366">
        <f t="shared" si="46"/>
        <v>0.18943770608086991</v>
      </c>
      <c r="AI366">
        <f t="shared" si="47"/>
        <v>4.5511760809098439E-2</v>
      </c>
      <c r="AJ366" s="12"/>
    </row>
    <row r="367" spans="1:36" x14ac:dyDescent="0.25">
      <c r="A367" s="9">
        <v>41</v>
      </c>
      <c r="B367" s="9">
        <v>2011</v>
      </c>
      <c r="C367" s="9">
        <v>-1.4758305114994541</v>
      </c>
      <c r="D367" s="9">
        <v>0.72226899413196388</v>
      </c>
      <c r="E367" s="9">
        <v>0.72764522096751272</v>
      </c>
      <c r="F367" s="9">
        <v>0.76103944660286371</v>
      </c>
      <c r="G367" s="9">
        <v>0.41449091931547682</v>
      </c>
      <c r="H367" s="9">
        <v>0.28803201121606892</v>
      </c>
      <c r="I367" s="9">
        <v>0.24208306113360409</v>
      </c>
      <c r="J367" s="9">
        <v>-6.7753992905375107</v>
      </c>
      <c r="K367" s="9">
        <v>1.552935502058828</v>
      </c>
      <c r="L367" s="9">
        <v>-0.91369468549430466</v>
      </c>
      <c r="M367" s="9">
        <v>3.117094438691538</v>
      </c>
      <c r="N367" s="9">
        <v>3.064461569463433</v>
      </c>
      <c r="O367" s="9">
        <v>-11.51292546497023</v>
      </c>
      <c r="P367" s="9">
        <v>5.263286828994751E-2</v>
      </c>
      <c r="Q367" s="9">
        <v>0</v>
      </c>
      <c r="R367" s="9">
        <v>0</v>
      </c>
      <c r="S367" s="9">
        <v>0</v>
      </c>
      <c r="T367" s="9">
        <v>1</v>
      </c>
      <c r="U367" s="9">
        <v>0</v>
      </c>
      <c r="V367" s="9">
        <v>0</v>
      </c>
      <c r="W367" s="9">
        <v>0</v>
      </c>
      <c r="X367" s="9">
        <v>-1.4270868301391602</v>
      </c>
      <c r="Y367">
        <f t="shared" si="40"/>
        <v>0.22858880255973221</v>
      </c>
      <c r="Z367">
        <f t="shared" si="41"/>
        <v>0.2400070862248482</v>
      </c>
      <c r="AA367">
        <f t="shared" si="42"/>
        <v>-1.1418283665115991E-2</v>
      </c>
      <c r="AB367">
        <f t="shared" si="43"/>
        <v>1.3037720185705469E-4</v>
      </c>
      <c r="AC367" t="str">
        <f>VLOOKUP(A367, 'state-ids'!$A$1:$B$28, 2)</f>
        <v>PR</v>
      </c>
      <c r="AD367">
        <f>VLOOKUP(A367, 'state-ids'!$A$1:$C$28, 3)</f>
        <v>6.9328867000000002E-2</v>
      </c>
      <c r="AE367">
        <f>VLOOKUP(A367, 'state-ids'!$A$1:$D$28, 4)</f>
        <v>0.76503348000000004</v>
      </c>
      <c r="AF367">
        <f t="shared" si="44"/>
        <v>-3.7290548179076816E-2</v>
      </c>
      <c r="AG367">
        <f t="shared" si="45"/>
        <v>0.26728715189706553</v>
      </c>
      <c r="AH367">
        <f t="shared" si="46"/>
        <v>0.21551129947437675</v>
      </c>
      <c r="AI367">
        <f t="shared" si="47"/>
        <v>5.1775852422688784E-2</v>
      </c>
      <c r="AJ367" s="12"/>
    </row>
    <row r="368" spans="1:36" x14ac:dyDescent="0.25">
      <c r="A368" s="9">
        <v>41</v>
      </c>
      <c r="B368" s="9">
        <v>2012</v>
      </c>
      <c r="C368" s="9">
        <v>-1.339446711138798</v>
      </c>
      <c r="D368" s="9">
        <v>0.66921303026431433</v>
      </c>
      <c r="E368" s="9">
        <v>0.72226899413196388</v>
      </c>
      <c r="F368" s="9">
        <v>0.72764522096751272</v>
      </c>
      <c r="G368" s="9">
        <v>0.34238330322186772</v>
      </c>
      <c r="H368" s="9">
        <v>0.41449091931547682</v>
      </c>
      <c r="I368" s="9">
        <v>0.28803201121606892</v>
      </c>
      <c r="J368" s="9">
        <v>-6.4332951460233661</v>
      </c>
      <c r="K368" s="9">
        <v>1.552935502058828</v>
      </c>
      <c r="L368" s="9">
        <v>-0.85480182225983004</v>
      </c>
      <c r="M368" s="9">
        <v>3.1395688255276668</v>
      </c>
      <c r="N368" s="9">
        <v>3.1108918889374499</v>
      </c>
      <c r="O368" s="9">
        <v>-11.51292546497023</v>
      </c>
      <c r="P368" s="9">
        <v>2.8676936402916908E-2</v>
      </c>
      <c r="Q368" s="9">
        <v>0</v>
      </c>
      <c r="R368" s="9">
        <v>0</v>
      </c>
      <c r="S368" s="9">
        <v>0</v>
      </c>
      <c r="T368" s="9">
        <v>1</v>
      </c>
      <c r="U368" s="9">
        <v>0</v>
      </c>
      <c r="V368" s="9">
        <v>0</v>
      </c>
      <c r="W368" s="9">
        <v>0</v>
      </c>
      <c r="X368" s="9">
        <v>-1.3295986652374268</v>
      </c>
      <c r="Y368">
        <f t="shared" si="40"/>
        <v>0.26199058495871752</v>
      </c>
      <c r="Z368">
        <f t="shared" si="41"/>
        <v>0.26458342652116568</v>
      </c>
      <c r="AA368">
        <f t="shared" si="42"/>
        <v>-2.592841562448156E-3</v>
      </c>
      <c r="AB368">
        <f t="shared" si="43"/>
        <v>6.7228273679585949E-6</v>
      </c>
      <c r="AC368" t="str">
        <f>VLOOKUP(A368, 'state-ids'!$A$1:$B$28, 2)</f>
        <v>PR</v>
      </c>
      <c r="AD368">
        <f>VLOOKUP(A368, 'state-ids'!$A$1:$C$28, 3)</f>
        <v>6.9328867000000002E-2</v>
      </c>
      <c r="AE368">
        <f>VLOOKUP(A368, 'state-ids'!$A$1:$D$28, 4)</f>
        <v>0.76503348000000004</v>
      </c>
      <c r="AF368">
        <f t="shared" si="44"/>
        <v>-7.5340848271257671E-3</v>
      </c>
      <c r="AG368">
        <f t="shared" si="45"/>
        <v>0.29465692711987601</v>
      </c>
      <c r="AH368">
        <f t="shared" si="46"/>
        <v>0.23757931053560816</v>
      </c>
      <c r="AI368">
        <f t="shared" si="47"/>
        <v>5.7077616584267854E-2</v>
      </c>
      <c r="AJ368" s="12"/>
    </row>
    <row r="369" spans="1:36" x14ac:dyDescent="0.25">
      <c r="A369" s="9">
        <v>41</v>
      </c>
      <c r="B369" s="9">
        <v>2013</v>
      </c>
      <c r="C369" s="9">
        <v>-1.3850817769822621</v>
      </c>
      <c r="D369" s="9">
        <v>0.6660842610102562</v>
      </c>
      <c r="E369" s="9">
        <v>0.66921303026431433</v>
      </c>
      <c r="F369" s="9">
        <v>0.72226899413196388</v>
      </c>
      <c r="G369" s="9">
        <v>0.29012907609483268</v>
      </c>
      <c r="H369" s="9">
        <v>0.34238330322186772</v>
      </c>
      <c r="I369" s="9">
        <v>0.41449091931547682</v>
      </c>
      <c r="J369" s="9">
        <v>-5.5677504523929784</v>
      </c>
      <c r="K369" s="9">
        <v>1.552935502058828</v>
      </c>
      <c r="L369" s="9">
        <v>-0.83520570489409651</v>
      </c>
      <c r="M369" s="9">
        <v>3.183217508248168</v>
      </c>
      <c r="N369" s="9">
        <v>3.1006572449309169</v>
      </c>
      <c r="O369" s="9">
        <v>-11.51292546497023</v>
      </c>
      <c r="P369" s="9">
        <v>8.2560263574123383E-2</v>
      </c>
      <c r="Q369" s="9">
        <v>0</v>
      </c>
      <c r="R369" s="9">
        <v>0</v>
      </c>
      <c r="S369" s="9">
        <v>0</v>
      </c>
      <c r="T369" s="9">
        <v>1</v>
      </c>
      <c r="U369" s="9">
        <v>0</v>
      </c>
      <c r="V369" s="9">
        <v>0</v>
      </c>
      <c r="W369" s="9">
        <v>0</v>
      </c>
      <c r="X369" s="9">
        <v>-1.3182159662246704</v>
      </c>
      <c r="Y369">
        <f t="shared" si="40"/>
        <v>0.25030332990375498</v>
      </c>
      <c r="Z369">
        <f t="shared" si="41"/>
        <v>0.26761230573604244</v>
      </c>
      <c r="AA369">
        <f t="shared" si="42"/>
        <v>-1.7308975832287465E-2</v>
      </c>
      <c r="AB369">
        <f t="shared" si="43"/>
        <v>2.9960064436271154E-4</v>
      </c>
      <c r="AC369" t="str">
        <f>VLOOKUP(A369, 'state-ids'!$A$1:$B$28, 2)</f>
        <v>PR</v>
      </c>
      <c r="AD369">
        <f>VLOOKUP(A369, 'state-ids'!$A$1:$C$28, 3)</f>
        <v>6.9328867000000002E-2</v>
      </c>
      <c r="AE369">
        <f>VLOOKUP(A369, 'state-ids'!$A$1:$D$28, 4)</f>
        <v>0.76503348000000004</v>
      </c>
      <c r="AF369">
        <f t="shared" si="44"/>
        <v>-5.1154583896901806E-2</v>
      </c>
      <c r="AG369">
        <f t="shared" si="45"/>
        <v>0.29803007960265804</v>
      </c>
      <c r="AH369">
        <f t="shared" si="46"/>
        <v>0.24029905396408965</v>
      </c>
      <c r="AI369">
        <f t="shared" si="47"/>
        <v>5.7731025638568384E-2</v>
      </c>
      <c r="AJ369" s="12"/>
    </row>
    <row r="370" spans="1:36" x14ac:dyDescent="0.25">
      <c r="A370" s="9">
        <v>41</v>
      </c>
      <c r="B370" s="9">
        <v>2014</v>
      </c>
      <c r="C370" s="9">
        <v>-1.345189368281094</v>
      </c>
      <c r="D370" s="9">
        <v>0.641959143790512</v>
      </c>
      <c r="E370" s="9">
        <v>0.6660842610102562</v>
      </c>
      <c r="F370" s="9">
        <v>0.66921303026431433</v>
      </c>
      <c r="G370" s="9">
        <v>0.27307592006241882</v>
      </c>
      <c r="H370" s="9">
        <v>0.29012907609483268</v>
      </c>
      <c r="I370" s="9">
        <v>0.34238330322186772</v>
      </c>
      <c r="J370" s="9">
        <v>-4.918600501551456</v>
      </c>
      <c r="K370" s="9">
        <v>1.552935502058828</v>
      </c>
      <c r="L370" s="9">
        <v>-0.79188257119245631</v>
      </c>
      <c r="M370" s="9">
        <v>3.142905274687771</v>
      </c>
      <c r="N370" s="9">
        <v>3.175587922700605</v>
      </c>
      <c r="O370" s="9">
        <v>-11.51292546497023</v>
      </c>
      <c r="P370" s="9">
        <v>-3.2682649791240692E-2</v>
      </c>
      <c r="Q370" s="9">
        <v>0</v>
      </c>
      <c r="R370" s="9">
        <v>0</v>
      </c>
      <c r="S370" s="9">
        <v>0</v>
      </c>
      <c r="T370" s="9">
        <v>1</v>
      </c>
      <c r="U370" s="9">
        <v>0</v>
      </c>
      <c r="V370" s="9">
        <v>0</v>
      </c>
      <c r="W370" s="9">
        <v>0</v>
      </c>
      <c r="X370" s="9">
        <v>-1.2908124923706055</v>
      </c>
      <c r="Y370">
        <f t="shared" si="40"/>
        <v>0.26049037457456858</v>
      </c>
      <c r="Z370">
        <f t="shared" si="41"/>
        <v>0.27504721851319647</v>
      </c>
      <c r="AA370">
        <f t="shared" si="42"/>
        <v>-1.4556843938627884E-2</v>
      </c>
      <c r="AB370">
        <f t="shared" si="43"/>
        <v>2.1190170545356735E-4</v>
      </c>
      <c r="AC370" t="str">
        <f>VLOOKUP(A370, 'state-ids'!$A$1:$B$28, 2)</f>
        <v>PR</v>
      </c>
      <c r="AD370">
        <f>VLOOKUP(A370, 'state-ids'!$A$1:$C$28, 3)</f>
        <v>6.9328867000000002E-2</v>
      </c>
      <c r="AE370">
        <f>VLOOKUP(A370, 'state-ids'!$A$1:$D$28, 4)</f>
        <v>0.76503348000000004</v>
      </c>
      <c r="AF370">
        <f t="shared" si="44"/>
        <v>-4.1600130609329239E-2</v>
      </c>
      <c r="AG370">
        <f t="shared" si="45"/>
        <v>0.30631007121485093</v>
      </c>
      <c r="AH370">
        <f t="shared" si="46"/>
        <v>0.24697513898843762</v>
      </c>
      <c r="AI370">
        <f t="shared" si="47"/>
        <v>5.9334932226413312E-2</v>
      </c>
      <c r="AJ370" s="12"/>
    </row>
    <row r="371" spans="1:36" x14ac:dyDescent="0.25">
      <c r="A371" s="9">
        <v>41</v>
      </c>
      <c r="B371" s="9">
        <v>2015</v>
      </c>
      <c r="C371" s="9">
        <v>-1.460493169190533</v>
      </c>
      <c r="D371" s="9">
        <v>0.64966540194798428</v>
      </c>
      <c r="E371" s="9">
        <v>0.641959143790512</v>
      </c>
      <c r="F371" s="9">
        <v>0.6660842610102562</v>
      </c>
      <c r="G371" s="9">
        <v>0.26972174707478819</v>
      </c>
      <c r="H371" s="9">
        <v>0.27307592006241882</v>
      </c>
      <c r="I371" s="9">
        <v>0.29012907609483268</v>
      </c>
      <c r="J371" s="9">
        <v>-4.484079722531721</v>
      </c>
      <c r="K371" s="9">
        <v>1.552935502058828</v>
      </c>
      <c r="L371" s="9">
        <v>-0.7667308249154009</v>
      </c>
      <c r="M371" s="9">
        <v>3.142359436250826</v>
      </c>
      <c r="N371" s="9">
        <v>3.13559330142846</v>
      </c>
      <c r="O371" s="9">
        <v>-11.51292546497023</v>
      </c>
      <c r="P371" s="9">
        <v>6.7661348730325699E-3</v>
      </c>
      <c r="Q371" s="9">
        <v>1</v>
      </c>
      <c r="R371" s="9">
        <v>0</v>
      </c>
      <c r="S371" s="9">
        <v>0</v>
      </c>
      <c r="T371" s="9">
        <v>1</v>
      </c>
      <c r="U371" s="9">
        <v>0</v>
      </c>
      <c r="V371" s="9">
        <v>0</v>
      </c>
      <c r="W371" s="9">
        <v>0</v>
      </c>
      <c r="X371" s="9">
        <v>-1.3206206560134888</v>
      </c>
      <c r="Y371">
        <f t="shared" si="40"/>
        <v>0.2321217711912674</v>
      </c>
      <c r="Z371">
        <f t="shared" si="41"/>
        <v>0.26696955427574109</v>
      </c>
      <c r="AA371">
        <f t="shared" si="42"/>
        <v>-3.4847783084473699E-2</v>
      </c>
      <c r="AB371">
        <f t="shared" si="43"/>
        <v>1.2143679859025313E-3</v>
      </c>
      <c r="AC371" t="str">
        <f>VLOOKUP(A371, 'state-ids'!$A$1:$B$28, 2)</f>
        <v>PR</v>
      </c>
      <c r="AD371">
        <f>VLOOKUP(A371, 'state-ids'!$A$1:$C$28, 3)</f>
        <v>6.9328867000000002E-2</v>
      </c>
      <c r="AE371">
        <f>VLOOKUP(A371, 'state-ids'!$A$1:$D$28, 4)</f>
        <v>0.76503348000000004</v>
      </c>
      <c r="AF371">
        <f t="shared" si="44"/>
        <v>-0.10700715551217997</v>
      </c>
      <c r="AG371">
        <f t="shared" si="45"/>
        <v>0.29731427070757954</v>
      </c>
      <c r="AH371">
        <f t="shared" si="46"/>
        <v>0.2397219034947955</v>
      </c>
      <c r="AI371">
        <f t="shared" si="47"/>
        <v>5.7592367212784046E-2</v>
      </c>
      <c r="AJ371" s="12"/>
    </row>
    <row r="372" spans="1:36" x14ac:dyDescent="0.25">
      <c r="A372" s="9">
        <v>41</v>
      </c>
      <c r="B372" s="9">
        <v>2016</v>
      </c>
      <c r="C372" s="9">
        <v>-1.3613844512385129</v>
      </c>
      <c r="D372" s="9">
        <v>0.68697819141441629</v>
      </c>
      <c r="E372" s="9">
        <v>0.64966540194798428</v>
      </c>
      <c r="F372" s="9">
        <v>0.641959143790512</v>
      </c>
      <c r="G372" s="9">
        <v>0.39102806031039478</v>
      </c>
      <c r="H372" s="9">
        <v>0.26972174707478819</v>
      </c>
      <c r="I372" s="9">
        <v>0.27307592006241882</v>
      </c>
      <c r="J372" s="9">
        <v>-4.1179899342132718</v>
      </c>
      <c r="K372" s="9">
        <v>1.552935502058828</v>
      </c>
      <c r="L372" s="9">
        <v>-0.75113211232978527</v>
      </c>
      <c r="M372" s="9">
        <v>3.1211682337027451</v>
      </c>
      <c r="N372" s="9">
        <v>3.135244978679335</v>
      </c>
      <c r="O372" s="9">
        <v>-11.51292546497023</v>
      </c>
      <c r="P372" s="9">
        <v>-1.4076745137572289E-2</v>
      </c>
      <c r="Q372" s="9">
        <v>1</v>
      </c>
      <c r="R372" s="9">
        <v>0</v>
      </c>
      <c r="S372" s="9">
        <v>0</v>
      </c>
      <c r="T372" s="9">
        <v>1</v>
      </c>
      <c r="U372" s="9">
        <v>0</v>
      </c>
      <c r="V372" s="9">
        <v>0</v>
      </c>
      <c r="W372" s="9">
        <v>0</v>
      </c>
      <c r="X372" s="9">
        <v>-1.2924900054931641</v>
      </c>
      <c r="Y372">
        <f t="shared" si="40"/>
        <v>0.25630568848107926</v>
      </c>
      <c r="Z372">
        <f t="shared" si="41"/>
        <v>0.2745862099768604</v>
      </c>
      <c r="AA372">
        <f t="shared" si="42"/>
        <v>-1.8280521495781132E-2</v>
      </c>
      <c r="AB372">
        <f t="shared" si="43"/>
        <v>3.3417746615771606E-4</v>
      </c>
      <c r="AC372" t="str">
        <f>VLOOKUP(A372, 'state-ids'!$A$1:$B$28, 2)</f>
        <v>PR</v>
      </c>
      <c r="AD372">
        <f>VLOOKUP(A372, 'state-ids'!$A$1:$C$28, 3)</f>
        <v>6.9328867000000002E-2</v>
      </c>
      <c r="AE372">
        <f>VLOOKUP(A372, 'state-ids'!$A$1:$D$28, 4)</f>
        <v>0.76503348000000004</v>
      </c>
      <c r="AF372">
        <f t="shared" si="44"/>
        <v>-5.2706557581235436E-2</v>
      </c>
      <c r="AG372">
        <f t="shared" si="45"/>
        <v>0.30579666279589257</v>
      </c>
      <c r="AH372">
        <f t="shared" si="46"/>
        <v>0.24656118225783724</v>
      </c>
      <c r="AI372">
        <f t="shared" si="47"/>
        <v>5.923548053805533E-2</v>
      </c>
      <c r="AJ372" s="12"/>
    </row>
    <row r="373" spans="1:36" x14ac:dyDescent="0.25">
      <c r="A373" s="9">
        <v>41</v>
      </c>
      <c r="B373" s="9">
        <v>2017</v>
      </c>
      <c r="C373" s="9">
        <v>-1.3064815329151609</v>
      </c>
      <c r="D373" s="9">
        <v>0.67701779863006162</v>
      </c>
      <c r="E373" s="9">
        <v>0.68697819141441629</v>
      </c>
      <c r="F373" s="9">
        <v>0.64966540194798428</v>
      </c>
      <c r="G373" s="9">
        <v>0.38028404291090551</v>
      </c>
      <c r="H373" s="9">
        <v>0.39102806031039478</v>
      </c>
      <c r="I373" s="9">
        <v>0.26972174707478819</v>
      </c>
      <c r="J373" s="9">
        <v>-3.482202667464827</v>
      </c>
      <c r="K373" s="9">
        <v>1.552935502058828</v>
      </c>
      <c r="L373" s="9">
        <v>-0.73423257976881406</v>
      </c>
      <c r="M373" s="9">
        <v>3.1260082481797218</v>
      </c>
      <c r="N373" s="9">
        <v>3.1142391735181341</v>
      </c>
      <c r="O373" s="9">
        <v>-11.51292546497023</v>
      </c>
      <c r="P373" s="9">
        <v>1.1769074946641922E-2</v>
      </c>
      <c r="Q373" s="9">
        <v>1</v>
      </c>
      <c r="R373" s="9">
        <v>0</v>
      </c>
      <c r="S373" s="9">
        <v>0</v>
      </c>
      <c r="T373" s="9">
        <v>1</v>
      </c>
      <c r="U373" s="9">
        <v>0</v>
      </c>
      <c r="V373" s="9">
        <v>0</v>
      </c>
      <c r="W373" s="9">
        <v>0</v>
      </c>
      <c r="X373" s="9">
        <v>-1.2630348205566406</v>
      </c>
      <c r="Y373">
        <f t="shared" si="40"/>
        <v>0.27077108146601875</v>
      </c>
      <c r="Z373">
        <f t="shared" si="41"/>
        <v>0.28279449235482318</v>
      </c>
      <c r="AA373">
        <f t="shared" si="42"/>
        <v>-1.2023410888804431E-2</v>
      </c>
      <c r="AB373">
        <f t="shared" si="43"/>
        <v>1.4456240940102097E-4</v>
      </c>
      <c r="AC373" t="str">
        <f>VLOOKUP(A373, 'state-ids'!$A$1:$B$28, 2)</f>
        <v>PR</v>
      </c>
      <c r="AD373">
        <f>VLOOKUP(A373, 'state-ids'!$A$1:$C$28, 3)</f>
        <v>6.9328867000000002E-2</v>
      </c>
      <c r="AE373">
        <f>VLOOKUP(A373, 'state-ids'!$A$1:$D$28, 4)</f>
        <v>0.76503348000000004</v>
      </c>
      <c r="AF373">
        <f t="shared" si="44"/>
        <v>-3.3238189550197771E-2</v>
      </c>
      <c r="AG373">
        <f t="shared" si="45"/>
        <v>0.31493792796969311</v>
      </c>
      <c r="AH373">
        <f t="shared" si="46"/>
        <v>0.25393170464345605</v>
      </c>
      <c r="AI373">
        <f t="shared" si="47"/>
        <v>6.1006223326237063E-2</v>
      </c>
      <c r="AJ373" s="12"/>
    </row>
    <row r="374" spans="1:36" x14ac:dyDescent="0.25">
      <c r="A374" s="9">
        <v>41</v>
      </c>
      <c r="B374" s="9">
        <v>2018</v>
      </c>
      <c r="C374" s="9">
        <v>-1.4986251909305219</v>
      </c>
      <c r="D374" s="9">
        <v>0.78349050045754698</v>
      </c>
      <c r="E374" s="9">
        <v>0.67701779863006162</v>
      </c>
      <c r="F374" s="9">
        <v>0.68697819141441629</v>
      </c>
      <c r="G374" s="9">
        <v>0.41369779303464072</v>
      </c>
      <c r="H374" s="9">
        <v>0.38028404291090551</v>
      </c>
      <c r="I374" s="9">
        <v>0.39102806031039478</v>
      </c>
      <c r="J374" s="9">
        <v>-3.0490208019740672</v>
      </c>
      <c r="K374" s="9">
        <v>1.552935502058828</v>
      </c>
      <c r="L374" s="9">
        <v>-0.7080024089864696</v>
      </c>
      <c r="M374" s="9">
        <v>3.1226058478362422</v>
      </c>
      <c r="N374" s="9">
        <v>3.123534033283172</v>
      </c>
      <c r="O374" s="9">
        <v>3.2580965380214821</v>
      </c>
      <c r="P374" s="9">
        <v>-9.2818547273054719E-4</v>
      </c>
      <c r="Q374" s="9">
        <v>1</v>
      </c>
      <c r="R374" s="9">
        <v>0</v>
      </c>
      <c r="S374" s="9">
        <v>0</v>
      </c>
      <c r="T374" s="9">
        <v>1</v>
      </c>
      <c r="U374" s="9">
        <v>0</v>
      </c>
      <c r="V374" s="9">
        <v>0</v>
      </c>
      <c r="W374" s="9">
        <v>0</v>
      </c>
      <c r="X374" s="9">
        <v>-1.332876443862915</v>
      </c>
      <c r="Y374">
        <f t="shared" si="40"/>
        <v>0.22343713248209948</v>
      </c>
      <c r="Z374">
        <f t="shared" si="41"/>
        <v>0.26371760038944092</v>
      </c>
      <c r="AA374">
        <f t="shared" si="42"/>
        <v>-4.0280467907341438E-2</v>
      </c>
      <c r="AB374">
        <f t="shared" si="43"/>
        <v>1.6225160948343635E-3</v>
      </c>
      <c r="AC374" t="str">
        <f>VLOOKUP(A374, 'state-ids'!$A$1:$B$28, 2)</f>
        <v>PR</v>
      </c>
      <c r="AD374">
        <f>VLOOKUP(A374, 'state-ids'!$A$1:$C$28, 3)</f>
        <v>6.9328867000000002E-2</v>
      </c>
      <c r="AE374">
        <f>VLOOKUP(A374, 'state-ids'!$A$1:$D$28, 4)</f>
        <v>0.76503348000000004</v>
      </c>
      <c r="AF374">
        <f t="shared" si="44"/>
        <v>-0.1268033407747711</v>
      </c>
      <c r="AG374">
        <f t="shared" si="45"/>
        <v>0.29369268808665866</v>
      </c>
      <c r="AH374">
        <f t="shared" si="46"/>
        <v>0.23680185301257459</v>
      </c>
      <c r="AI374">
        <f t="shared" si="47"/>
        <v>5.6890835074084073E-2</v>
      </c>
      <c r="AJ374" s="12"/>
    </row>
    <row r="375" spans="1:36" x14ac:dyDescent="0.25">
      <c r="A375" s="9">
        <v>41</v>
      </c>
      <c r="B375" s="9">
        <v>2019</v>
      </c>
      <c r="C375" s="9">
        <v>-1.5143299060988189</v>
      </c>
      <c r="D375" s="9">
        <v>0.71759586096225525</v>
      </c>
      <c r="E375" s="9">
        <v>0.78349050045754698</v>
      </c>
      <c r="F375" s="9">
        <v>0.67701779863006162</v>
      </c>
      <c r="G375" s="9">
        <v>0.36464311358790918</v>
      </c>
      <c r="H375" s="9">
        <v>0.41369779303464072</v>
      </c>
      <c r="I375" s="9">
        <v>0.38028404291090551</v>
      </c>
      <c r="J375" s="9">
        <v>-2.3090742918220881</v>
      </c>
      <c r="K375" s="9">
        <v>1.552935502058828</v>
      </c>
      <c r="L375" s="9">
        <v>-0.68325093447038077</v>
      </c>
      <c r="M375" s="9">
        <v>3.1319204394203441</v>
      </c>
      <c r="N375" s="9">
        <v>3.1151423188689078</v>
      </c>
      <c r="O375" s="9">
        <v>5.393627546352362</v>
      </c>
      <c r="P375" s="9">
        <v>1.6778120771050453E-2</v>
      </c>
      <c r="Q375" s="9">
        <v>1</v>
      </c>
      <c r="R375" s="9">
        <v>0</v>
      </c>
      <c r="S375" s="9">
        <v>0</v>
      </c>
      <c r="T375" s="9">
        <v>1</v>
      </c>
      <c r="U375" s="9">
        <v>0</v>
      </c>
      <c r="V375" s="9">
        <v>0</v>
      </c>
      <c r="W375" s="9">
        <v>0</v>
      </c>
      <c r="X375" s="9">
        <v>-1.2875840663909912</v>
      </c>
      <c r="Y375">
        <f t="shared" si="40"/>
        <v>0.21995552633265975</v>
      </c>
      <c r="Z375">
        <f t="shared" si="41"/>
        <v>0.27593662301486277</v>
      </c>
      <c r="AA375">
        <f t="shared" si="42"/>
        <v>-5.5981096682203024E-2</v>
      </c>
      <c r="AB375">
        <f t="shared" si="43"/>
        <v>3.1338831857421626E-3</v>
      </c>
      <c r="AC375" t="str">
        <f>VLOOKUP(A375, 'state-ids'!$A$1:$B$28, 2)</f>
        <v>PR</v>
      </c>
      <c r="AD375">
        <f>VLOOKUP(A375, 'state-ids'!$A$1:$C$28, 3)</f>
        <v>6.9328867000000002E-2</v>
      </c>
      <c r="AE375">
        <f>VLOOKUP(A375, 'state-ids'!$A$1:$D$28, 4)</f>
        <v>0.76503348000000004</v>
      </c>
      <c r="AF375">
        <f t="shared" si="44"/>
        <v>-0.17346815882720162</v>
      </c>
      <c r="AG375">
        <f t="shared" si="45"/>
        <v>0.30730056862004884</v>
      </c>
      <c r="AH375">
        <f t="shared" si="46"/>
        <v>0.24777376840779111</v>
      </c>
      <c r="AI375">
        <f t="shared" si="47"/>
        <v>5.952680021225773E-2</v>
      </c>
      <c r="AJ375" s="12"/>
    </row>
    <row r="376" spans="1:36" x14ac:dyDescent="0.25">
      <c r="A376" s="9">
        <v>41</v>
      </c>
      <c r="B376" s="9">
        <v>2020</v>
      </c>
      <c r="C376" s="9">
        <v>-1.530973710856024</v>
      </c>
      <c r="D376" s="9">
        <v>0.63673554663398246</v>
      </c>
      <c r="E376" s="9">
        <v>0.71759586096225525</v>
      </c>
      <c r="F376" s="9">
        <v>0.78349050045754698</v>
      </c>
      <c r="G376" s="9">
        <v>0.33404071142979791</v>
      </c>
      <c r="H376" s="9">
        <v>0.36464311358790918</v>
      </c>
      <c r="I376" s="9">
        <v>0.41369779303464072</v>
      </c>
      <c r="J376" s="9">
        <v>-1.6952284246354941</v>
      </c>
      <c r="K376" s="9">
        <v>1.552935502058828</v>
      </c>
      <c r="L376" s="9">
        <v>-0.66505064194755892</v>
      </c>
      <c r="M376" s="9">
        <v>3.1071599665025058</v>
      </c>
      <c r="N376" s="9">
        <v>3.1246977394578521</v>
      </c>
      <c r="O376" s="9">
        <v>5.9914645471079817</v>
      </c>
      <c r="P376" s="9">
        <v>-1.7537772655487061E-2</v>
      </c>
      <c r="Q376" s="9">
        <v>1</v>
      </c>
      <c r="R376" s="9">
        <v>1</v>
      </c>
      <c r="S376" s="9">
        <v>0</v>
      </c>
      <c r="T376" s="9">
        <v>1</v>
      </c>
      <c r="U376" s="9">
        <v>0</v>
      </c>
      <c r="V376" s="9">
        <v>0</v>
      </c>
      <c r="W376" s="9">
        <v>0</v>
      </c>
      <c r="X376" s="9">
        <v>-1.3363113403320313</v>
      </c>
      <c r="Y376">
        <f t="shared" si="40"/>
        <v>0.2163249268028383</v>
      </c>
      <c r="Z376">
        <f t="shared" si="41"/>
        <v>0.26281331169314948</v>
      </c>
      <c r="AA376">
        <f t="shared" si="42"/>
        <v>-4.648838489031118E-2</v>
      </c>
      <c r="AB376">
        <f t="shared" si="43"/>
        <v>2.161169929709713E-3</v>
      </c>
      <c r="AC376" t="str">
        <f>VLOOKUP(A376, 'state-ids'!$A$1:$B$28, 2)</f>
        <v>PR</v>
      </c>
      <c r="AD376">
        <f>VLOOKUP(A376, 'state-ids'!$A$1:$C$28, 3)</f>
        <v>6.9328867000000002E-2</v>
      </c>
      <c r="AE376">
        <f>VLOOKUP(A376, 'state-ids'!$A$1:$D$28, 4)</f>
        <v>0.76503348000000004</v>
      </c>
      <c r="AF376">
        <f t="shared" si="44"/>
        <v>-0.14892323074701957</v>
      </c>
      <c r="AG376">
        <f t="shared" si="45"/>
        <v>0.29268561469592547</v>
      </c>
      <c r="AH376">
        <f t="shared" si="46"/>
        <v>0.23598985852064869</v>
      </c>
      <c r="AI376">
        <f t="shared" si="47"/>
        <v>5.6695756175276779E-2</v>
      </c>
      <c r="AJ376" s="12"/>
    </row>
    <row r="377" spans="1:36" x14ac:dyDescent="0.25">
      <c r="A377" s="9">
        <v>41</v>
      </c>
      <c r="B377" s="9">
        <v>2021</v>
      </c>
      <c r="C377" s="9">
        <v>-1.421809541109802</v>
      </c>
      <c r="D377" s="9">
        <v>0.85980503288729271</v>
      </c>
      <c r="E377" s="9">
        <v>0.63673554663398246</v>
      </c>
      <c r="F377" s="9">
        <v>0.71759586096225525</v>
      </c>
      <c r="G377" s="9">
        <v>0.62663337650160578</v>
      </c>
      <c r="H377" s="9">
        <v>0.33404071142979791</v>
      </c>
      <c r="I377" s="9">
        <v>0.36464311358790918</v>
      </c>
      <c r="J377" s="9">
        <v>-1.146789059642076</v>
      </c>
      <c r="K377" s="9">
        <v>1.552935502058828</v>
      </c>
      <c r="L377" s="9">
        <v>-0.64621235690546897</v>
      </c>
      <c r="M377" s="9">
        <v>3.0972182161012869</v>
      </c>
      <c r="N377" s="9">
        <v>3.1001821005509091</v>
      </c>
      <c r="O377" s="9">
        <v>6.6846117276679271</v>
      </c>
      <c r="P377" s="9">
        <v>-2.9638845007866621E-3</v>
      </c>
      <c r="Q377" s="9">
        <v>1</v>
      </c>
      <c r="R377" s="9">
        <v>0</v>
      </c>
      <c r="S377" s="9">
        <v>0</v>
      </c>
      <c r="T377" s="9">
        <v>1</v>
      </c>
      <c r="U377" s="9">
        <v>0</v>
      </c>
      <c r="V377" s="9">
        <v>0</v>
      </c>
      <c r="W377" s="9">
        <v>0</v>
      </c>
      <c r="X377" s="9">
        <v>-1.291932225227356</v>
      </c>
      <c r="Y377">
        <f t="shared" si="40"/>
        <v>0.24127702094695719</v>
      </c>
      <c r="Z377">
        <f t="shared" si="41"/>
        <v>0.27473941146846093</v>
      </c>
      <c r="AA377">
        <f t="shared" si="42"/>
        <v>-3.3462390521503738E-2</v>
      </c>
      <c r="AB377">
        <f t="shared" si="43"/>
        <v>1.1197315794136231E-3</v>
      </c>
      <c r="AC377" t="str">
        <f>VLOOKUP(A377, 'state-ids'!$A$1:$B$28, 2)</f>
        <v>PR</v>
      </c>
      <c r="AD377">
        <f>VLOOKUP(A377, 'state-ids'!$A$1:$C$28, 3)</f>
        <v>6.9328867000000002E-2</v>
      </c>
      <c r="AE377">
        <f>VLOOKUP(A377, 'state-ids'!$A$1:$D$28, 4)</f>
        <v>0.76503348000000004</v>
      </c>
      <c r="AF377">
        <f t="shared" si="44"/>
        <v>-9.9360494942606944E-2</v>
      </c>
      <c r="AG377">
        <f t="shared" si="45"/>
        <v>0.30596727771814497</v>
      </c>
      <c r="AH377">
        <f t="shared" si="46"/>
        <v>0.24669874758165983</v>
      </c>
      <c r="AI377">
        <f t="shared" si="47"/>
        <v>5.9268530136485142E-2</v>
      </c>
      <c r="AJ377" s="12"/>
    </row>
    <row r="378" spans="1:36" x14ac:dyDescent="0.25">
      <c r="A378" s="9">
        <v>41</v>
      </c>
      <c r="B378" s="9">
        <v>2022</v>
      </c>
      <c r="C378" s="9">
        <v>-1.292181866336219</v>
      </c>
      <c r="D378" s="9">
        <v>0.9032460183533465</v>
      </c>
      <c r="E378" s="9">
        <v>0.85980503288729271</v>
      </c>
      <c r="F378" s="9">
        <v>0.63673554663398246</v>
      </c>
      <c r="G378" s="9">
        <v>0.64301111106614806</v>
      </c>
      <c r="H378" s="9">
        <v>0.62663337650160578</v>
      </c>
      <c r="I378" s="9">
        <v>0.33404071142979791</v>
      </c>
      <c r="J378" s="9">
        <v>-0.65453880353422889</v>
      </c>
      <c r="K378" s="9">
        <v>1.552935502058828</v>
      </c>
      <c r="L378" s="9">
        <v>-0.62477866230722001</v>
      </c>
      <c r="M378" s="9">
        <v>3.1261348219753211</v>
      </c>
      <c r="N378" s="9">
        <v>3.0972182161012869</v>
      </c>
      <c r="O378" s="9">
        <v>8.0551577318196781</v>
      </c>
      <c r="P378" s="9">
        <v>2.8916606679558754E-2</v>
      </c>
      <c r="Q378" s="9">
        <v>1</v>
      </c>
      <c r="R378" s="9">
        <v>0</v>
      </c>
      <c r="S378" s="9">
        <v>0</v>
      </c>
      <c r="T378" s="9">
        <v>1</v>
      </c>
      <c r="U378" s="9">
        <v>0</v>
      </c>
      <c r="V378" s="9">
        <v>0</v>
      </c>
      <c r="W378" s="9">
        <v>0</v>
      </c>
      <c r="X378" s="9">
        <v>-1.2790071964263916</v>
      </c>
      <c r="Y378">
        <f t="shared" si="40"/>
        <v>0.2746708337773951</v>
      </c>
      <c r="Z378">
        <f t="shared" si="41"/>
        <v>0.2783134739490129</v>
      </c>
      <c r="AA378">
        <f t="shared" si="42"/>
        <v>-3.6426401716178058E-3</v>
      </c>
      <c r="AB378">
        <f t="shared" si="43"/>
        <v>1.3268827419883798E-5</v>
      </c>
      <c r="AC378" t="str">
        <f>VLOOKUP(A378, 'state-ids'!$A$1:$B$28, 2)</f>
        <v>PR</v>
      </c>
      <c r="AD378">
        <f>VLOOKUP(A378, 'state-ids'!$A$1:$C$28, 3)</f>
        <v>6.9328867000000002E-2</v>
      </c>
      <c r="AE378">
        <f>VLOOKUP(A378, 'state-ids'!$A$1:$D$28, 4)</f>
        <v>0.76503348000000004</v>
      </c>
      <c r="AF378">
        <f t="shared" si="44"/>
        <v>-1.0079063568966548E-2</v>
      </c>
      <c r="AG378">
        <f t="shared" si="45"/>
        <v>0.30994758095066677</v>
      </c>
      <c r="AH378">
        <f t="shared" si="46"/>
        <v>0.24990803136449269</v>
      </c>
      <c r="AI378">
        <f t="shared" si="47"/>
        <v>6.0039549586174079E-2</v>
      </c>
      <c r="AJ378" s="12"/>
    </row>
    <row r="379" spans="1:36" x14ac:dyDescent="0.25">
      <c r="A379" s="9">
        <v>41</v>
      </c>
      <c r="B379" s="9">
        <v>2023</v>
      </c>
      <c r="C379" s="9">
        <v>-1.2328482132081771</v>
      </c>
      <c r="D379" s="9">
        <v>0.77803964757790789</v>
      </c>
      <c r="E379" s="9">
        <v>0.9032460183533465</v>
      </c>
      <c r="F379" s="9">
        <v>0.85980503288729271</v>
      </c>
      <c r="G379" s="9">
        <v>0.43696377516753537</v>
      </c>
      <c r="H379" s="9">
        <v>0.64301111106614806</v>
      </c>
      <c r="I379" s="9">
        <v>0.62663337650160578</v>
      </c>
      <c r="J379" s="9">
        <v>-0.1094632567251597</v>
      </c>
      <c r="K379" s="9">
        <v>1.552935502058828</v>
      </c>
      <c r="L379" s="9">
        <v>-0.60228029567260255</v>
      </c>
      <c r="M379" s="9">
        <v>3.1634861092570059</v>
      </c>
      <c r="N379" s="9">
        <v>3.1261348219753211</v>
      </c>
      <c r="O379" s="9">
        <v>8.4658998970286863</v>
      </c>
      <c r="P379" s="9">
        <v>3.735128790140152E-2</v>
      </c>
      <c r="Q379" s="9">
        <v>1</v>
      </c>
      <c r="R379" s="9">
        <v>0</v>
      </c>
      <c r="S379" s="9">
        <v>0</v>
      </c>
      <c r="T379" s="9">
        <v>1</v>
      </c>
      <c r="U379" s="9">
        <v>0</v>
      </c>
      <c r="V379" s="9">
        <v>0</v>
      </c>
      <c r="W379" s="9">
        <v>0</v>
      </c>
      <c r="X379" s="9">
        <v>-1.2678767442703247</v>
      </c>
      <c r="Y379">
        <f t="shared" si="40"/>
        <v>0.2914612505608975</v>
      </c>
      <c r="Z379">
        <f t="shared" si="41"/>
        <v>0.28142853260130701</v>
      </c>
      <c r="AA379">
        <f t="shared" si="42"/>
        <v>1.0032717959590487E-2</v>
      </c>
      <c r="AB379">
        <f t="shared" si="43"/>
        <v>1.006554296566895E-4</v>
      </c>
      <c r="AC379" t="str">
        <f>VLOOKUP(A379, 'state-ids'!$A$1:$B$28, 2)</f>
        <v>PR</v>
      </c>
      <c r="AD379">
        <f>VLOOKUP(A379, 'state-ids'!$A$1:$C$28, 3)</f>
        <v>6.9328867000000002E-2</v>
      </c>
      <c r="AE379">
        <f>VLOOKUP(A379, 'state-ids'!$A$1:$D$28, 4)</f>
        <v>0.76503348000000004</v>
      </c>
      <c r="AF379">
        <f t="shared" si="44"/>
        <v>2.6797999017762916E-2</v>
      </c>
      <c r="AG379">
        <f t="shared" si="45"/>
        <v>0.31341670833461399</v>
      </c>
      <c r="AH379">
        <f t="shared" si="46"/>
        <v>0.25270515851875458</v>
      </c>
      <c r="AI379">
        <f t="shared" si="47"/>
        <v>6.0711549815859411E-2</v>
      </c>
      <c r="AJ379" s="12"/>
    </row>
    <row r="380" spans="1:36" x14ac:dyDescent="0.25">
      <c r="A380" s="9">
        <v>42</v>
      </c>
      <c r="B380" s="9">
        <v>2006</v>
      </c>
      <c r="C380" s="9">
        <v>-1.393732183021102</v>
      </c>
      <c r="D380" s="9">
        <v>0.94390589890712839</v>
      </c>
      <c r="E380" s="9">
        <v>0.9146894505071812</v>
      </c>
      <c r="F380" s="9">
        <v>0.86098941608906565</v>
      </c>
      <c r="G380" s="9">
        <v>0.59883650108870401</v>
      </c>
      <c r="H380" s="9">
        <v>0.51336240341796069</v>
      </c>
      <c r="I380" s="9">
        <v>0.40832767372164103</v>
      </c>
      <c r="J380" s="9">
        <v>-11.51292546497023</v>
      </c>
      <c r="K380" s="9">
        <v>0.76262602198805785</v>
      </c>
      <c r="L380" s="9">
        <v>-1.137032485298213</v>
      </c>
      <c r="M380" s="9">
        <v>3.024780520985785</v>
      </c>
      <c r="N380" s="9">
        <v>2.9799779067954488</v>
      </c>
      <c r="O380" s="9">
        <v>-11.51292546497023</v>
      </c>
      <c r="P380" s="9">
        <v>4.480261355638504E-2</v>
      </c>
      <c r="Q380" s="9">
        <v>0</v>
      </c>
      <c r="R380" s="9">
        <v>0</v>
      </c>
      <c r="S380" s="9">
        <v>0</v>
      </c>
      <c r="T380" s="9">
        <v>1</v>
      </c>
      <c r="U380" s="9">
        <v>0</v>
      </c>
      <c r="V380" s="9">
        <v>0</v>
      </c>
      <c r="W380" s="9">
        <v>0</v>
      </c>
      <c r="X380" s="9">
        <v>-1.6134806871414185</v>
      </c>
      <c r="Y380">
        <f t="shared" si="40"/>
        <v>0.24814744256130886</v>
      </c>
      <c r="Z380">
        <f t="shared" si="41"/>
        <v>0.1991930772609867</v>
      </c>
      <c r="AA380">
        <f t="shared" si="42"/>
        <v>4.8954365300322156E-2</v>
      </c>
      <c r="AB380">
        <f t="shared" si="43"/>
        <v>2.3965298819573861E-3</v>
      </c>
      <c r="AC380" t="str">
        <f>VLOOKUP(A380, 'state-ids'!$A$1:$B$28, 2)</f>
        <v>SC</v>
      </c>
      <c r="AD380">
        <f>VLOOKUP(A380, 'state-ids'!$A$1:$C$28, 3)</f>
        <v>5.6063801000000003E-2</v>
      </c>
      <c r="AE380">
        <f>VLOOKUP(A380, 'state-ids'!$A$1:$D$28, 4)</f>
        <v>0.75056648000000004</v>
      </c>
      <c r="AF380">
        <f t="shared" si="44"/>
        <v>0.14520870065458555</v>
      </c>
      <c r="AG380">
        <f t="shared" si="45"/>
        <v>0.21683084962462351</v>
      </c>
      <c r="AH380">
        <f t="shared" si="46"/>
        <v>0.18299002239483714</v>
      </c>
      <c r="AI380">
        <f t="shared" si="47"/>
        <v>3.3840827229786374E-2</v>
      </c>
      <c r="AJ380" s="12"/>
    </row>
    <row r="381" spans="1:36" x14ac:dyDescent="0.25">
      <c r="A381" s="9">
        <v>42</v>
      </c>
      <c r="B381" s="9">
        <v>2007</v>
      </c>
      <c r="C381" s="9">
        <v>-1.5006937786087979</v>
      </c>
      <c r="D381" s="9">
        <v>0.88854947689243036</v>
      </c>
      <c r="E381" s="9">
        <v>0.94390589890712839</v>
      </c>
      <c r="F381" s="9">
        <v>0.9146894505071812</v>
      </c>
      <c r="G381" s="9">
        <v>0.49286529838899779</v>
      </c>
      <c r="H381" s="9">
        <v>0.59883650108870401</v>
      </c>
      <c r="I381" s="9">
        <v>0.51336240341796069</v>
      </c>
      <c r="J381" s="9">
        <v>-11.51292546497023</v>
      </c>
      <c r="K381" s="9">
        <v>0.76262602198805785</v>
      </c>
      <c r="L381" s="9">
        <v>-1.057041665037638</v>
      </c>
      <c r="M381" s="9">
        <v>3.0847108733252599</v>
      </c>
      <c r="N381" s="9">
        <v>3.016896626236234</v>
      </c>
      <c r="O381" s="9">
        <v>-11.51292546497023</v>
      </c>
      <c r="P381" s="9">
        <v>6.7814245820045471E-2</v>
      </c>
      <c r="Q381" s="9">
        <v>0</v>
      </c>
      <c r="R381" s="9">
        <v>0</v>
      </c>
      <c r="S381" s="9">
        <v>0</v>
      </c>
      <c r="T381" s="9">
        <v>1</v>
      </c>
      <c r="U381" s="9">
        <v>0</v>
      </c>
      <c r="V381" s="9">
        <v>0</v>
      </c>
      <c r="W381" s="9">
        <v>0</v>
      </c>
      <c r="X381" s="9">
        <v>-1.5425288677215576</v>
      </c>
      <c r="Y381">
        <f t="shared" si="40"/>
        <v>0.22297541090340625</v>
      </c>
      <c r="Z381">
        <f t="shared" si="41"/>
        <v>0.21383964490398805</v>
      </c>
      <c r="AA381">
        <f t="shared" si="42"/>
        <v>9.135765999418205E-3</v>
      </c>
      <c r="AB381">
        <f t="shared" si="43"/>
        <v>8.3462220396125715E-5</v>
      </c>
      <c r="AC381" t="str">
        <f>VLOOKUP(A381, 'state-ids'!$A$1:$B$28, 2)</f>
        <v>SC</v>
      </c>
      <c r="AD381">
        <f>VLOOKUP(A381, 'state-ids'!$A$1:$C$28, 3)</f>
        <v>5.6063801000000003E-2</v>
      </c>
      <c r="AE381">
        <f>VLOOKUP(A381, 'state-ids'!$A$1:$D$28, 4)</f>
        <v>0.75056648000000004</v>
      </c>
      <c r="AF381">
        <f t="shared" si="44"/>
        <v>3.1400015575850357E-2</v>
      </c>
      <c r="AG381">
        <f t="shared" si="45"/>
        <v>0.23277431387441502</v>
      </c>
      <c r="AH381">
        <f t="shared" si="46"/>
        <v>0.19644518749321399</v>
      </c>
      <c r="AI381">
        <f t="shared" si="47"/>
        <v>3.6329126381201032E-2</v>
      </c>
      <c r="AJ381" s="12"/>
    </row>
    <row r="382" spans="1:36" x14ac:dyDescent="0.25">
      <c r="A382" s="9">
        <v>42</v>
      </c>
      <c r="B382" s="9">
        <v>2008</v>
      </c>
      <c r="C382" s="9">
        <v>-1.481321040208609</v>
      </c>
      <c r="D382" s="9">
        <v>0.83121203151584044</v>
      </c>
      <c r="E382" s="9">
        <v>0.88854947689243036</v>
      </c>
      <c r="F382" s="9">
        <v>0.94390589890712839</v>
      </c>
      <c r="G382" s="9">
        <v>0.4296372600791496</v>
      </c>
      <c r="H382" s="9">
        <v>0.49286529838899779</v>
      </c>
      <c r="I382" s="9">
        <v>0.59883650108870401</v>
      </c>
      <c r="J382" s="9">
        <v>-11.51292546497023</v>
      </c>
      <c r="K382" s="9">
        <v>0.76262602198805785</v>
      </c>
      <c r="L382" s="9">
        <v>-0.98384170078727839</v>
      </c>
      <c r="M382" s="9">
        <v>3.1506985729239658</v>
      </c>
      <c r="N382" s="9">
        <v>3.0768884832713241</v>
      </c>
      <c r="O382" s="9">
        <v>-11.51292546497023</v>
      </c>
      <c r="P382" s="9">
        <v>7.3810093104839325E-2</v>
      </c>
      <c r="Q382" s="9">
        <v>0</v>
      </c>
      <c r="R382" s="9">
        <v>0</v>
      </c>
      <c r="S382" s="9">
        <v>0</v>
      </c>
      <c r="T382" s="9">
        <v>1</v>
      </c>
      <c r="U382" s="9">
        <v>0</v>
      </c>
      <c r="V382" s="9">
        <v>0</v>
      </c>
      <c r="W382" s="9">
        <v>0</v>
      </c>
      <c r="X382" s="9">
        <v>-1.4715136289596558</v>
      </c>
      <c r="Y382">
        <f t="shared" si="40"/>
        <v>0.22733716838766641</v>
      </c>
      <c r="Z382">
        <f t="shared" si="41"/>
        <v>0.22957772656893477</v>
      </c>
      <c r="AA382">
        <f t="shared" si="42"/>
        <v>-2.240558181268365E-3</v>
      </c>
      <c r="AB382">
        <f t="shared" si="43"/>
        <v>5.0201009636486034E-6</v>
      </c>
      <c r="AC382" t="str">
        <f>VLOOKUP(A382, 'state-ids'!$A$1:$B$28, 2)</f>
        <v>SC</v>
      </c>
      <c r="AD382">
        <f>VLOOKUP(A382, 'state-ids'!$A$1:$C$28, 3)</f>
        <v>5.6063801000000003E-2</v>
      </c>
      <c r="AE382">
        <f>VLOOKUP(A382, 'state-ids'!$A$1:$D$28, 4)</f>
        <v>0.75056648000000004</v>
      </c>
      <c r="AF382">
        <f t="shared" si="44"/>
        <v>-7.3611141390392335E-3</v>
      </c>
      <c r="AG382">
        <f t="shared" si="45"/>
        <v>0.24990594146808373</v>
      </c>
      <c r="AH382">
        <f t="shared" si="46"/>
        <v>0.21090307908222267</v>
      </c>
      <c r="AI382">
        <f t="shared" si="47"/>
        <v>3.9002862385861065E-2</v>
      </c>
      <c r="AJ382" s="12"/>
    </row>
    <row r="383" spans="1:36" x14ac:dyDescent="0.25">
      <c r="A383" s="9">
        <v>42</v>
      </c>
      <c r="B383" s="9">
        <v>2009</v>
      </c>
      <c r="C383" s="9">
        <v>-1.4386193539111141</v>
      </c>
      <c r="D383" s="9">
        <v>0.78504244526420097</v>
      </c>
      <c r="E383" s="9">
        <v>0.83121203151584044</v>
      </c>
      <c r="F383" s="9">
        <v>0.88854947689243036</v>
      </c>
      <c r="G383" s="9">
        <v>0.40499833251872053</v>
      </c>
      <c r="H383" s="9">
        <v>0.4296372600791496</v>
      </c>
      <c r="I383" s="9">
        <v>0.49286529838899779</v>
      </c>
      <c r="J383" s="9">
        <v>-8.7191119622539297</v>
      </c>
      <c r="K383" s="9">
        <v>0.76262602198805785</v>
      </c>
      <c r="L383" s="9">
        <v>-0.91604814610972674</v>
      </c>
      <c r="M383" s="9">
        <v>3.130092444870475</v>
      </c>
      <c r="N383" s="9">
        <v>3.1398276736047461</v>
      </c>
      <c r="O383" s="9">
        <v>-11.51292546497023</v>
      </c>
      <c r="P383" s="9">
        <v>-9.7352284938097E-3</v>
      </c>
      <c r="Q383" s="9">
        <v>0</v>
      </c>
      <c r="R383" s="9">
        <v>0</v>
      </c>
      <c r="S383" s="9">
        <v>0</v>
      </c>
      <c r="T383" s="9">
        <v>1</v>
      </c>
      <c r="U383" s="9">
        <v>0</v>
      </c>
      <c r="V383" s="9">
        <v>0</v>
      </c>
      <c r="W383" s="9">
        <v>0</v>
      </c>
      <c r="X383" s="9">
        <v>-1.4097095727920532</v>
      </c>
      <c r="Y383">
        <f t="shared" si="40"/>
        <v>0.23725509798336034</v>
      </c>
      <c r="Z383">
        <f t="shared" si="41"/>
        <v>0.24421419930299348</v>
      </c>
      <c r="AA383">
        <f t="shared" si="42"/>
        <v>-6.9591013196331486E-3</v>
      </c>
      <c r="AB383">
        <f t="shared" si="43"/>
        <v>4.8429091176919828E-5</v>
      </c>
      <c r="AC383" t="str">
        <f>VLOOKUP(A383, 'state-ids'!$A$1:$B$28, 2)</f>
        <v>SC</v>
      </c>
      <c r="AD383">
        <f>VLOOKUP(A383, 'state-ids'!$A$1:$C$28, 3)</f>
        <v>5.6063801000000003E-2</v>
      </c>
      <c r="AE383">
        <f>VLOOKUP(A383, 'state-ids'!$A$1:$D$28, 4)</f>
        <v>0.75056648000000004</v>
      </c>
      <c r="AF383">
        <f t="shared" si="44"/>
        <v>-2.1698712652103956E-2</v>
      </c>
      <c r="AG383">
        <f t="shared" si="45"/>
        <v>0.26583841694400312</v>
      </c>
      <c r="AH383">
        <f t="shared" si="46"/>
        <v>0.22434897042651689</v>
      </c>
      <c r="AI383">
        <f t="shared" si="47"/>
        <v>4.1489446517486234E-2</v>
      </c>
      <c r="AJ383" s="12"/>
    </row>
    <row r="384" spans="1:36" x14ac:dyDescent="0.25">
      <c r="A384" s="9">
        <v>42</v>
      </c>
      <c r="B384" s="9">
        <v>2010</v>
      </c>
      <c r="C384" s="9">
        <v>-1.246790307904005</v>
      </c>
      <c r="D384" s="9">
        <v>0.74720913865847582</v>
      </c>
      <c r="E384" s="9">
        <v>0.78504244526420097</v>
      </c>
      <c r="F384" s="9">
        <v>0.83121203151584044</v>
      </c>
      <c r="G384" s="9">
        <v>0.47237581339079121</v>
      </c>
      <c r="H384" s="9">
        <v>0.40499833251872053</v>
      </c>
      <c r="I384" s="9">
        <v>0.4296372600791496</v>
      </c>
      <c r="J384" s="9">
        <v>-8.0420400059359878</v>
      </c>
      <c r="K384" s="9">
        <v>0.76262602198805785</v>
      </c>
      <c r="L384" s="9">
        <v>-0.85606414860519153</v>
      </c>
      <c r="M384" s="9">
        <v>3.207739934963127</v>
      </c>
      <c r="N384" s="9">
        <v>3.1140172206283951</v>
      </c>
      <c r="O384" s="9">
        <v>-11.51292546497023</v>
      </c>
      <c r="P384" s="9">
        <v>9.3722715973854065E-2</v>
      </c>
      <c r="Q384" s="9">
        <v>0</v>
      </c>
      <c r="R384" s="9">
        <v>0</v>
      </c>
      <c r="S384" s="9">
        <v>0</v>
      </c>
      <c r="T384" s="9">
        <v>1</v>
      </c>
      <c r="U384" s="9">
        <v>0</v>
      </c>
      <c r="V384" s="9">
        <v>0</v>
      </c>
      <c r="W384" s="9">
        <v>0</v>
      </c>
      <c r="X384" s="9">
        <v>-1.2805079221725464</v>
      </c>
      <c r="Y384">
        <f t="shared" si="40"/>
        <v>0.28742586642624235</v>
      </c>
      <c r="Z384">
        <f t="shared" si="41"/>
        <v>0.27789611500214484</v>
      </c>
      <c r="AA384">
        <f t="shared" si="42"/>
        <v>9.5297514240975101E-3</v>
      </c>
      <c r="AB384">
        <f t="shared" si="43"/>
        <v>9.0816162205088519E-5</v>
      </c>
      <c r="AC384" t="str">
        <f>VLOOKUP(A384, 'state-ids'!$A$1:$B$28, 2)</f>
        <v>SC</v>
      </c>
      <c r="AD384">
        <f>VLOOKUP(A384, 'state-ids'!$A$1:$C$28, 3)</f>
        <v>5.6063801000000003E-2</v>
      </c>
      <c r="AE384">
        <f>VLOOKUP(A384, 'state-ids'!$A$1:$D$28, 4)</f>
        <v>0.75056648000000004</v>
      </c>
      <c r="AF384">
        <f t="shared" si="44"/>
        <v>2.5307311055536866E-2</v>
      </c>
      <c r="AG384">
        <f t="shared" si="45"/>
        <v>0.30250273529510241</v>
      </c>
      <c r="AH384">
        <f t="shared" si="46"/>
        <v>0.25529108243582754</v>
      </c>
      <c r="AI384">
        <f t="shared" si="47"/>
        <v>4.7211652859274866E-2</v>
      </c>
      <c r="AJ384" s="12"/>
    </row>
    <row r="385" spans="1:36" x14ac:dyDescent="0.25">
      <c r="A385" s="9">
        <v>42</v>
      </c>
      <c r="B385" s="9">
        <v>2011</v>
      </c>
      <c r="C385" s="9">
        <v>-1.1457883531947981</v>
      </c>
      <c r="D385" s="9">
        <v>0.73706836761787342</v>
      </c>
      <c r="E385" s="9">
        <v>0.74720913865847582</v>
      </c>
      <c r="F385" s="9">
        <v>0.78504244526420097</v>
      </c>
      <c r="G385" s="9">
        <v>0.58661931715011228</v>
      </c>
      <c r="H385" s="9">
        <v>0.47237581339079121</v>
      </c>
      <c r="I385" s="9">
        <v>0.40499833251872053</v>
      </c>
      <c r="J385" s="9">
        <v>-6.1860588817622144</v>
      </c>
      <c r="K385" s="9">
        <v>0.76262602198805785</v>
      </c>
      <c r="L385" s="9">
        <v>-0.80329043221256957</v>
      </c>
      <c r="M385" s="9">
        <v>3.2362882904880972</v>
      </c>
      <c r="N385" s="9">
        <v>3.191918882235131</v>
      </c>
      <c r="O385" s="9">
        <v>-11.51292546497023</v>
      </c>
      <c r="P385" s="9">
        <v>4.4369406998157501E-2</v>
      </c>
      <c r="Q385" s="9">
        <v>0</v>
      </c>
      <c r="R385" s="9">
        <v>0</v>
      </c>
      <c r="S385" s="9">
        <v>0</v>
      </c>
      <c r="T385" s="9">
        <v>1</v>
      </c>
      <c r="U385" s="9">
        <v>0</v>
      </c>
      <c r="V385" s="9">
        <v>0</v>
      </c>
      <c r="W385" s="9">
        <v>0</v>
      </c>
      <c r="X385" s="9">
        <v>-1.1639243364334106</v>
      </c>
      <c r="Y385">
        <f t="shared" si="40"/>
        <v>0.31797314381039005</v>
      </c>
      <c r="Z385">
        <f t="shared" si="41"/>
        <v>0.31225836639589621</v>
      </c>
      <c r="AA385">
        <f t="shared" si="42"/>
        <v>5.7147774144938324E-3</v>
      </c>
      <c r="AB385">
        <f t="shared" si="43"/>
        <v>3.2658680897208812E-5</v>
      </c>
      <c r="AC385" t="str">
        <f>VLOOKUP(A385, 'state-ids'!$A$1:$B$28, 2)</f>
        <v>SC</v>
      </c>
      <c r="AD385">
        <f>VLOOKUP(A385, 'state-ids'!$A$1:$C$28, 3)</f>
        <v>5.6063801000000003E-2</v>
      </c>
      <c r="AE385">
        <f>VLOOKUP(A385, 'state-ids'!$A$1:$D$28, 4)</f>
        <v>0.75056648000000004</v>
      </c>
      <c r="AF385">
        <f t="shared" si="44"/>
        <v>1.3612261100744415E-2</v>
      </c>
      <c r="AG385">
        <f t="shared" si="45"/>
        <v>0.33990763042084937</v>
      </c>
      <c r="AH385">
        <f t="shared" si="46"/>
        <v>0.28685818927780377</v>
      </c>
      <c r="AI385">
        <f t="shared" si="47"/>
        <v>5.3049441143045606E-2</v>
      </c>
      <c r="AJ385" s="12"/>
    </row>
    <row r="386" spans="1:36" x14ac:dyDescent="0.25">
      <c r="A386" s="9">
        <v>42</v>
      </c>
      <c r="B386" s="9">
        <v>2012</v>
      </c>
      <c r="C386" s="9">
        <v>-1.0504947660197681</v>
      </c>
      <c r="D386" s="9">
        <v>0.68031520174456706</v>
      </c>
      <c r="E386" s="9">
        <v>0.73706836761787342</v>
      </c>
      <c r="F386" s="9">
        <v>0.74720913865847582</v>
      </c>
      <c r="G386" s="9">
        <v>0.54679104419859936</v>
      </c>
      <c r="H386" s="9">
        <v>0.58661931715011228</v>
      </c>
      <c r="I386" s="9">
        <v>0.47237581339079121</v>
      </c>
      <c r="J386" s="9">
        <v>-5.8137744590121443</v>
      </c>
      <c r="K386" s="9">
        <v>0.76262602198805785</v>
      </c>
      <c r="L386" s="9">
        <v>-0.74688021980413444</v>
      </c>
      <c r="M386" s="9">
        <v>3.24962619301956</v>
      </c>
      <c r="N386" s="9">
        <v>3.22908309153327</v>
      </c>
      <c r="O386" s="9">
        <v>-11.51292546497023</v>
      </c>
      <c r="P386" s="9">
        <v>2.054310217499733E-2</v>
      </c>
      <c r="Q386" s="9">
        <v>0</v>
      </c>
      <c r="R386" s="9">
        <v>0</v>
      </c>
      <c r="S386" s="9">
        <v>0</v>
      </c>
      <c r="T386" s="9">
        <v>1</v>
      </c>
      <c r="U386" s="9">
        <v>0</v>
      </c>
      <c r="V386" s="9">
        <v>0</v>
      </c>
      <c r="W386" s="9">
        <v>0</v>
      </c>
      <c r="X386" s="9">
        <v>-1.0466791391372681</v>
      </c>
      <c r="Y386">
        <f t="shared" si="40"/>
        <v>0.34976465462802631</v>
      </c>
      <c r="Z386">
        <f t="shared" si="41"/>
        <v>0.35110177540149518</v>
      </c>
      <c r="AA386">
        <f t="shared" si="42"/>
        <v>-1.3371207734688695E-3</v>
      </c>
      <c r="AB386">
        <f t="shared" si="43"/>
        <v>1.7878919628419877E-6</v>
      </c>
      <c r="AC386" t="str">
        <f>VLOOKUP(A386, 'state-ids'!$A$1:$B$28, 2)</f>
        <v>SC</v>
      </c>
      <c r="AD386">
        <f>VLOOKUP(A386, 'state-ids'!$A$1:$C$28, 3)</f>
        <v>5.6063801000000003E-2</v>
      </c>
      <c r="AE386">
        <f>VLOOKUP(A386, 'state-ids'!$A$1:$D$28, 4)</f>
        <v>0.75056648000000004</v>
      </c>
      <c r="AF386">
        <f t="shared" si="44"/>
        <v>-2.8638816381914242E-3</v>
      </c>
      <c r="AG386">
        <f t="shared" si="45"/>
        <v>0.3821904722385171</v>
      </c>
      <c r="AH386">
        <f t="shared" si="46"/>
        <v>0.32254194084971899</v>
      </c>
      <c r="AI386">
        <f t="shared" si="47"/>
        <v>5.9648531388798109E-2</v>
      </c>
      <c r="AJ386" s="12"/>
    </row>
    <row r="387" spans="1:36" x14ac:dyDescent="0.25">
      <c r="A387" s="9">
        <v>42</v>
      </c>
      <c r="B387" s="9">
        <v>2013</v>
      </c>
      <c r="C387" s="9">
        <v>-1.03185787121915</v>
      </c>
      <c r="D387" s="9">
        <v>0.66957144403123958</v>
      </c>
      <c r="E387" s="9">
        <v>0.68031520174456706</v>
      </c>
      <c r="F387" s="9">
        <v>0.73706836761787342</v>
      </c>
      <c r="G387" s="9">
        <v>0.49774038421733519</v>
      </c>
      <c r="H387" s="9">
        <v>0.54679104419859936</v>
      </c>
      <c r="I387" s="9">
        <v>0.58661931715011228</v>
      </c>
      <c r="J387" s="9">
        <v>-4.9933390166130129</v>
      </c>
      <c r="K387" s="9">
        <v>0.76262602198805785</v>
      </c>
      <c r="L387" s="9">
        <v>-0.73164084194109869</v>
      </c>
      <c r="M387" s="9">
        <v>3.2474165335249561</v>
      </c>
      <c r="N387" s="9">
        <v>3.2078381248147831</v>
      </c>
      <c r="O387" s="9">
        <v>-11.51292546497023</v>
      </c>
      <c r="P387" s="9">
        <v>3.9578408002853394E-2</v>
      </c>
      <c r="Q387" s="9">
        <v>0</v>
      </c>
      <c r="R387" s="9">
        <v>0</v>
      </c>
      <c r="S387" s="9">
        <v>0</v>
      </c>
      <c r="T387" s="9">
        <v>1</v>
      </c>
      <c r="U387" s="9">
        <v>0</v>
      </c>
      <c r="V387" s="9">
        <v>0</v>
      </c>
      <c r="W387" s="9">
        <v>0</v>
      </c>
      <c r="X387" s="9">
        <v>-1.0259331464767456</v>
      </c>
      <c r="Y387">
        <f t="shared" ref="Y387:Y450" si="48">EXP(C387)</f>
        <v>0.35634430336854733</v>
      </c>
      <c r="Z387">
        <f t="shared" ref="Z387:Z450" si="49">EXP(X387)</f>
        <v>0.35846181191303683</v>
      </c>
      <c r="AA387">
        <f t="shared" ref="AA387:AA450" si="50">Y387-Z387</f>
        <v>-2.1175085444894992E-3</v>
      </c>
      <c r="AB387">
        <f t="shared" ref="AB387:AB450" si="51">AA387*AA387</f>
        <v>4.4838424359860379E-6</v>
      </c>
      <c r="AC387" t="str">
        <f>VLOOKUP(A387, 'state-ids'!$A$1:$B$28, 2)</f>
        <v>SC</v>
      </c>
      <c r="AD387">
        <f>VLOOKUP(A387, 'state-ids'!$A$1:$C$28, 3)</f>
        <v>5.6063801000000003E-2</v>
      </c>
      <c r="AE387">
        <f>VLOOKUP(A387, 'state-ids'!$A$1:$D$28, 4)</f>
        <v>0.75056648000000004</v>
      </c>
      <c r="AF387">
        <f t="shared" ref="AF387:AF450" si="52">IF(B387=2006, (C387-X387)*SQRT(1 - AE387*AE387), AE387*(C387-X387) )</f>
        <v>-4.4468997948753416E-3</v>
      </c>
      <c r="AG387">
        <f t="shared" ref="AG387:AG450" si="53">EXP(X387+SQRT((AD387*AD387)/(1-(AE387*AE387))))</f>
        <v>0.39020221136123201</v>
      </c>
      <c r="AH387">
        <f t="shared" ref="AH387:AH450" si="54">EXP(X387-SQRT((AD387*AD387)/(1-(AE387*AE387))))</f>
        <v>0.32930328649783708</v>
      </c>
      <c r="AI387">
        <f t="shared" ref="AI387:AI450" si="55">AG387-AH387</f>
        <v>6.0898924863394932E-2</v>
      </c>
      <c r="AJ387" s="12"/>
    </row>
    <row r="388" spans="1:36" x14ac:dyDescent="0.25">
      <c r="A388" s="9">
        <v>42</v>
      </c>
      <c r="B388" s="9">
        <v>2014</v>
      </c>
      <c r="C388" s="9">
        <v>-0.96167624316490352</v>
      </c>
      <c r="D388" s="9">
        <v>0.64532155107734079</v>
      </c>
      <c r="E388" s="9">
        <v>0.66957144403123958</v>
      </c>
      <c r="F388" s="9">
        <v>0.68031520174456706</v>
      </c>
      <c r="G388" s="9">
        <v>0.47243816336119532</v>
      </c>
      <c r="H388" s="9">
        <v>0.49774038421733519</v>
      </c>
      <c r="I388" s="9">
        <v>0.54679104419859936</v>
      </c>
      <c r="J388" s="9">
        <v>-4.281307065522264</v>
      </c>
      <c r="K388" s="9">
        <v>0.76262602198805785</v>
      </c>
      <c r="L388" s="9">
        <v>-0.69640885170269451</v>
      </c>
      <c r="M388" s="9">
        <v>3.280825766320369</v>
      </c>
      <c r="N388" s="9">
        <v>3.2335114812327692</v>
      </c>
      <c r="O388" s="9">
        <v>-11.51292546497023</v>
      </c>
      <c r="P388" s="9">
        <v>4.7314286231994629E-2</v>
      </c>
      <c r="Q388" s="9">
        <v>0</v>
      </c>
      <c r="R388" s="9">
        <v>0</v>
      </c>
      <c r="S388" s="9">
        <v>0</v>
      </c>
      <c r="T388" s="9">
        <v>1</v>
      </c>
      <c r="U388" s="9">
        <v>0</v>
      </c>
      <c r="V388" s="9">
        <v>0</v>
      </c>
      <c r="W388" s="9">
        <v>0</v>
      </c>
      <c r="X388" s="9">
        <v>-0.98722010850906372</v>
      </c>
      <c r="Y388">
        <f t="shared" si="48"/>
        <v>0.38225160201618869</v>
      </c>
      <c r="Z388">
        <f t="shared" si="49"/>
        <v>0.37261107096953228</v>
      </c>
      <c r="AA388">
        <f t="shared" si="50"/>
        <v>9.6405310466564087E-3</v>
      </c>
      <c r="AB388">
        <f t="shared" si="51"/>
        <v>9.2939838861546116E-5</v>
      </c>
      <c r="AC388" t="str">
        <f>VLOOKUP(A388, 'state-ids'!$A$1:$B$28, 2)</f>
        <v>SC</v>
      </c>
      <c r="AD388">
        <f>VLOOKUP(A388, 'state-ids'!$A$1:$C$28, 3)</f>
        <v>5.6063801000000003E-2</v>
      </c>
      <c r="AE388">
        <f>VLOOKUP(A388, 'state-ids'!$A$1:$D$28, 4)</f>
        <v>0.75056648000000004</v>
      </c>
      <c r="AF388">
        <f t="shared" si="52"/>
        <v>1.9172369096960309E-2</v>
      </c>
      <c r="AG388">
        <f t="shared" si="53"/>
        <v>0.40560433228313059</v>
      </c>
      <c r="AH388">
        <f t="shared" si="54"/>
        <v>0.34230159581270386</v>
      </c>
      <c r="AI388">
        <f t="shared" si="55"/>
        <v>6.3302736470426724E-2</v>
      </c>
      <c r="AJ388" s="12"/>
    </row>
    <row r="389" spans="1:36" x14ac:dyDescent="0.25">
      <c r="A389" s="9">
        <v>42</v>
      </c>
      <c r="B389" s="9">
        <v>2015</v>
      </c>
      <c r="C389" s="9">
        <v>-0.97948746823497623</v>
      </c>
      <c r="D389" s="9">
        <v>0.64048452797663935</v>
      </c>
      <c r="E389" s="9">
        <v>0.64532155107734079</v>
      </c>
      <c r="F389" s="9">
        <v>0.66957144403123958</v>
      </c>
      <c r="G389" s="9">
        <v>0.41811805423147991</v>
      </c>
      <c r="H389" s="9">
        <v>0.47243816336119532</v>
      </c>
      <c r="I389" s="9">
        <v>0.49774038421733519</v>
      </c>
      <c r="J389" s="9">
        <v>-3.907515049627424</v>
      </c>
      <c r="K389" s="9">
        <v>0.76262602198805785</v>
      </c>
      <c r="L389" s="9">
        <v>-0.6753936138371639</v>
      </c>
      <c r="M389" s="9">
        <v>3.2208512157920479</v>
      </c>
      <c r="N389" s="9">
        <v>3.2672363495403411</v>
      </c>
      <c r="O389" s="9">
        <v>-11.51292546497023</v>
      </c>
      <c r="P389" s="9">
        <v>-4.6385135501623154E-2</v>
      </c>
      <c r="Q389" s="9">
        <v>1</v>
      </c>
      <c r="R389" s="9">
        <v>0</v>
      </c>
      <c r="S389" s="9">
        <v>0</v>
      </c>
      <c r="T389" s="9">
        <v>1</v>
      </c>
      <c r="U389" s="9">
        <v>0</v>
      </c>
      <c r="V389" s="9">
        <v>0</v>
      </c>
      <c r="W389" s="9">
        <v>0</v>
      </c>
      <c r="X389" s="9">
        <v>-1.0426563024520874</v>
      </c>
      <c r="Y389">
        <f t="shared" si="48"/>
        <v>0.37550350701476271</v>
      </c>
      <c r="Z389">
        <f t="shared" si="49"/>
        <v>0.35251704529500166</v>
      </c>
      <c r="AA389">
        <f t="shared" si="50"/>
        <v>2.2986461719761042E-2</v>
      </c>
      <c r="AB389">
        <f t="shared" si="51"/>
        <v>5.2837742239403979E-4</v>
      </c>
      <c r="AC389" t="str">
        <f>VLOOKUP(A389, 'state-ids'!$A$1:$B$28, 2)</f>
        <v>SC</v>
      </c>
      <c r="AD389">
        <f>VLOOKUP(A389, 'state-ids'!$A$1:$C$28, 3)</f>
        <v>5.6063801000000003E-2</v>
      </c>
      <c r="AE389">
        <f>VLOOKUP(A389, 'state-ids'!$A$1:$D$28, 4)</f>
        <v>0.75056648000000004</v>
      </c>
      <c r="AF389">
        <f t="shared" si="52"/>
        <v>4.741240954404069E-2</v>
      </c>
      <c r="AG389">
        <f t="shared" si="53"/>
        <v>0.38373105877735092</v>
      </c>
      <c r="AH389">
        <f t="shared" si="54"/>
        <v>0.32384208778789886</v>
      </c>
      <c r="AI389">
        <f t="shared" si="55"/>
        <v>5.9888970989452062E-2</v>
      </c>
      <c r="AJ389" s="12"/>
    </row>
    <row r="390" spans="1:36" x14ac:dyDescent="0.25">
      <c r="A390" s="9">
        <v>42</v>
      </c>
      <c r="B390" s="9">
        <v>2016</v>
      </c>
      <c r="C390" s="9">
        <v>-0.93951189807711188</v>
      </c>
      <c r="D390" s="9">
        <v>0.65622382645534749</v>
      </c>
      <c r="E390" s="9">
        <v>0.64048452797663935</v>
      </c>
      <c r="F390" s="9">
        <v>0.64532155107734079</v>
      </c>
      <c r="G390" s="9">
        <v>0.53561579257320946</v>
      </c>
      <c r="H390" s="9">
        <v>0.41811805423147991</v>
      </c>
      <c r="I390" s="9">
        <v>0.47243816336119532</v>
      </c>
      <c r="J390" s="9">
        <v>-3.588531514456502</v>
      </c>
      <c r="K390" s="9">
        <v>0.76262602198805785</v>
      </c>
      <c r="L390" s="9">
        <v>-0.66142540700881813</v>
      </c>
      <c r="M390" s="9">
        <v>3.159970708774186</v>
      </c>
      <c r="N390" s="9">
        <v>3.2075422487444629</v>
      </c>
      <c r="O390" s="9">
        <v>-11.51292546497023</v>
      </c>
      <c r="P390" s="9">
        <v>-4.7571539878845215E-2</v>
      </c>
      <c r="Q390" s="9">
        <v>1</v>
      </c>
      <c r="R390" s="9">
        <v>0</v>
      </c>
      <c r="S390" s="9">
        <v>0</v>
      </c>
      <c r="T390" s="9">
        <v>1</v>
      </c>
      <c r="U390" s="9">
        <v>0</v>
      </c>
      <c r="V390" s="9">
        <v>0</v>
      </c>
      <c r="W390" s="9">
        <v>0</v>
      </c>
      <c r="X390" s="9">
        <v>-1.0022484064102173</v>
      </c>
      <c r="Y390">
        <f t="shared" si="48"/>
        <v>0.3908185480959338</v>
      </c>
      <c r="Z390">
        <f t="shared" si="49"/>
        <v>0.36705322785744615</v>
      </c>
      <c r="AA390">
        <f t="shared" si="50"/>
        <v>2.3765320238487653E-2</v>
      </c>
      <c r="AB390">
        <f t="shared" si="51"/>
        <v>5.6479044603787083E-4</v>
      </c>
      <c r="AC390" t="str">
        <f>VLOOKUP(A390, 'state-ids'!$A$1:$B$28, 2)</f>
        <v>SC</v>
      </c>
      <c r="AD390">
        <f>VLOOKUP(A390, 'state-ids'!$A$1:$C$28, 3)</f>
        <v>5.6063801000000003E-2</v>
      </c>
      <c r="AE390">
        <f>VLOOKUP(A390, 'state-ids'!$A$1:$D$28, 4)</f>
        <v>0.75056648000000004</v>
      </c>
      <c r="AF390">
        <f t="shared" si="52"/>
        <v>4.7087920227069591E-2</v>
      </c>
      <c r="AG390">
        <f t="shared" si="53"/>
        <v>0.39955436377697096</v>
      </c>
      <c r="AH390">
        <f t="shared" si="54"/>
        <v>0.33719584691052135</v>
      </c>
      <c r="AI390">
        <f t="shared" si="55"/>
        <v>6.2358516866449609E-2</v>
      </c>
      <c r="AJ390" s="12"/>
    </row>
    <row r="391" spans="1:36" x14ac:dyDescent="0.25">
      <c r="A391" s="9">
        <v>42</v>
      </c>
      <c r="B391" s="9">
        <v>2017</v>
      </c>
      <c r="C391" s="9">
        <v>-0.91395387035870879</v>
      </c>
      <c r="D391" s="9">
        <v>0.6661356313130955</v>
      </c>
      <c r="E391" s="9">
        <v>0.65622382645534749</v>
      </c>
      <c r="F391" s="9">
        <v>0.64048452797663935</v>
      </c>
      <c r="G391" s="9">
        <v>0.5442410573053944</v>
      </c>
      <c r="H391" s="9">
        <v>0.53561579257320946</v>
      </c>
      <c r="I391" s="9">
        <v>0.41811805423147991</v>
      </c>
      <c r="J391" s="9">
        <v>-2.9376292088200979</v>
      </c>
      <c r="K391" s="9">
        <v>0.76262602198805785</v>
      </c>
      <c r="L391" s="9">
        <v>-0.64353260194844553</v>
      </c>
      <c r="M391" s="9">
        <v>3.1877600153943462</v>
      </c>
      <c r="N391" s="9">
        <v>3.146944379849784</v>
      </c>
      <c r="O391" s="9">
        <v>-11.51292546497023</v>
      </c>
      <c r="P391" s="9">
        <v>4.0815636515617371E-2</v>
      </c>
      <c r="Q391" s="9">
        <v>1</v>
      </c>
      <c r="R391" s="9">
        <v>0</v>
      </c>
      <c r="S391" s="9">
        <v>0</v>
      </c>
      <c r="T391" s="9">
        <v>1</v>
      </c>
      <c r="U391" s="9">
        <v>0</v>
      </c>
      <c r="V391" s="9">
        <v>0</v>
      </c>
      <c r="W391" s="9">
        <v>0</v>
      </c>
      <c r="X391" s="9">
        <v>-0.97661870718002319</v>
      </c>
      <c r="Y391">
        <f t="shared" si="48"/>
        <v>0.40093583764178542</v>
      </c>
      <c r="Z391">
        <f t="shared" si="49"/>
        <v>0.37658228348780948</v>
      </c>
      <c r="AA391">
        <f t="shared" si="50"/>
        <v>2.4353554153975943E-2</v>
      </c>
      <c r="AB391">
        <f t="shared" si="51"/>
        <v>5.9309559993063888E-4</v>
      </c>
      <c r="AC391" t="str">
        <f>VLOOKUP(A391, 'state-ids'!$A$1:$B$28, 2)</f>
        <v>SC</v>
      </c>
      <c r="AD391">
        <f>VLOOKUP(A391, 'state-ids'!$A$1:$C$28, 3)</f>
        <v>5.6063801000000003E-2</v>
      </c>
      <c r="AE391">
        <f>VLOOKUP(A391, 'state-ids'!$A$1:$D$28, 4)</f>
        <v>0.75056648000000004</v>
      </c>
      <c r="AF391">
        <f t="shared" si="52"/>
        <v>4.7034125992748345E-2</v>
      </c>
      <c r="AG391">
        <f t="shared" si="53"/>
        <v>0.40992718022653468</v>
      </c>
      <c r="AH391">
        <f t="shared" si="54"/>
        <v>0.34594977614932304</v>
      </c>
      <c r="AI391">
        <f t="shared" si="55"/>
        <v>6.3977404077211641E-2</v>
      </c>
      <c r="AJ391" s="12"/>
    </row>
    <row r="392" spans="1:36" x14ac:dyDescent="0.25">
      <c r="A392" s="9">
        <v>42</v>
      </c>
      <c r="B392" s="9">
        <v>2018</v>
      </c>
      <c r="C392" s="9">
        <v>-0.944958930277492</v>
      </c>
      <c r="D392" s="9">
        <v>0.74284169758379726</v>
      </c>
      <c r="E392" s="9">
        <v>0.6661356313130955</v>
      </c>
      <c r="F392" s="9">
        <v>0.65622382645534749</v>
      </c>
      <c r="G392" s="9">
        <v>0.5789140863985206</v>
      </c>
      <c r="H392" s="9">
        <v>0.5442410573053944</v>
      </c>
      <c r="I392" s="9">
        <v>0.53561579257320946</v>
      </c>
      <c r="J392" s="9">
        <v>-2.492780696163603</v>
      </c>
      <c r="K392" s="9">
        <v>0.76262602198805785</v>
      </c>
      <c r="L392" s="9">
        <v>-0.61980314191261154</v>
      </c>
      <c r="M392" s="9">
        <v>3.206106360172182</v>
      </c>
      <c r="N392" s="9">
        <v>3.1771987434264202</v>
      </c>
      <c r="O392" s="9">
        <v>3.2580965380214821</v>
      </c>
      <c r="P392" s="9">
        <v>2.8907617554068565E-2</v>
      </c>
      <c r="Q392" s="9">
        <v>1</v>
      </c>
      <c r="R392" s="9">
        <v>0</v>
      </c>
      <c r="S392" s="9">
        <v>0</v>
      </c>
      <c r="T392" s="9">
        <v>1</v>
      </c>
      <c r="U392" s="9">
        <v>0</v>
      </c>
      <c r="V392" s="9">
        <v>0</v>
      </c>
      <c r="W392" s="9">
        <v>0</v>
      </c>
      <c r="X392" s="9">
        <v>-1.0120289325714111</v>
      </c>
      <c r="Y392">
        <f t="shared" si="48"/>
        <v>0.38869553419167618</v>
      </c>
      <c r="Z392">
        <f t="shared" si="49"/>
        <v>0.36348075297997945</v>
      </c>
      <c r="AA392">
        <f t="shared" si="50"/>
        <v>2.5214781211696735E-2</v>
      </c>
      <c r="AB392">
        <f t="shared" si="51"/>
        <v>6.3578519155373472E-4</v>
      </c>
      <c r="AC392" t="str">
        <f>VLOOKUP(A392, 'state-ids'!$A$1:$B$28, 2)</f>
        <v>SC</v>
      </c>
      <c r="AD392">
        <f>VLOOKUP(A392, 'state-ids'!$A$1:$C$28, 3)</f>
        <v>5.6063801000000003E-2</v>
      </c>
      <c r="AE392">
        <f>VLOOKUP(A392, 'state-ids'!$A$1:$D$28, 4)</f>
        <v>0.75056648000000004</v>
      </c>
      <c r="AF392">
        <f t="shared" si="52"/>
        <v>5.0340495535338807E-2</v>
      </c>
      <c r="AG392">
        <f t="shared" si="53"/>
        <v>0.39566556014184867</v>
      </c>
      <c r="AH392">
        <f t="shared" si="54"/>
        <v>0.3339139695138682</v>
      </c>
      <c r="AI392">
        <f t="shared" si="55"/>
        <v>6.1751590627980468E-2</v>
      </c>
      <c r="AJ392" s="12"/>
    </row>
    <row r="393" spans="1:36" x14ac:dyDescent="0.25">
      <c r="A393" s="9">
        <v>42</v>
      </c>
      <c r="B393" s="9">
        <v>2019</v>
      </c>
      <c r="C393" s="9">
        <v>-0.90954320781252307</v>
      </c>
      <c r="D393" s="9">
        <v>0.69579367550085092</v>
      </c>
      <c r="E393" s="9">
        <v>0.74284169758379726</v>
      </c>
      <c r="F393" s="9">
        <v>0.6661356313130955</v>
      </c>
      <c r="G393" s="9">
        <v>0.55663993590528216</v>
      </c>
      <c r="H393" s="9">
        <v>0.5789140863985206</v>
      </c>
      <c r="I393" s="9">
        <v>0.5442410573053944</v>
      </c>
      <c r="J393" s="9">
        <v>-1.741246404520044</v>
      </c>
      <c r="K393" s="9">
        <v>0.76262602198805785</v>
      </c>
      <c r="L393" s="9">
        <v>-0.59560037145709022</v>
      </c>
      <c r="M393" s="9">
        <v>3.2328040663406181</v>
      </c>
      <c r="N393" s="9">
        <v>3.1935651520194539</v>
      </c>
      <c r="O393" s="9">
        <v>5.393627546352362</v>
      </c>
      <c r="P393" s="9">
        <v>3.9238914847373962E-2</v>
      </c>
      <c r="Q393" s="9">
        <v>1</v>
      </c>
      <c r="R393" s="9">
        <v>0</v>
      </c>
      <c r="S393" s="9">
        <v>0</v>
      </c>
      <c r="T393" s="9">
        <v>1</v>
      </c>
      <c r="U393" s="9">
        <v>0</v>
      </c>
      <c r="V393" s="9">
        <v>0</v>
      </c>
      <c r="W393" s="9">
        <v>0</v>
      </c>
      <c r="X393" s="9">
        <v>-0.9716218113899231</v>
      </c>
      <c r="Y393">
        <f t="shared" si="48"/>
        <v>0.40270813595601151</v>
      </c>
      <c r="Z393">
        <f t="shared" si="49"/>
        <v>0.37846873519085494</v>
      </c>
      <c r="AA393">
        <f t="shared" si="50"/>
        <v>2.4239400765156571E-2</v>
      </c>
      <c r="AB393">
        <f t="shared" si="51"/>
        <v>5.8754854945387294E-4</v>
      </c>
      <c r="AC393" t="str">
        <f>VLOOKUP(A393, 'state-ids'!$A$1:$B$28, 2)</f>
        <v>SC</v>
      </c>
      <c r="AD393">
        <f>VLOOKUP(A393, 'state-ids'!$A$1:$C$28, 3)</f>
        <v>5.6063801000000003E-2</v>
      </c>
      <c r="AE393">
        <f>VLOOKUP(A393, 'state-ids'!$A$1:$D$28, 4)</f>
        <v>0.75056648000000004</v>
      </c>
      <c r="AF393">
        <f t="shared" si="52"/>
        <v>4.6594118970404545E-2</v>
      </c>
      <c r="AG393">
        <f t="shared" si="53"/>
        <v>0.41198066989179666</v>
      </c>
      <c r="AH393">
        <f t="shared" si="54"/>
        <v>0.34768277733658209</v>
      </c>
      <c r="AI393">
        <f t="shared" si="55"/>
        <v>6.4297892555214564E-2</v>
      </c>
      <c r="AJ393" s="12"/>
    </row>
    <row r="394" spans="1:36" x14ac:dyDescent="0.25">
      <c r="A394" s="9">
        <v>42</v>
      </c>
      <c r="B394" s="9">
        <v>2020</v>
      </c>
      <c r="C394" s="9">
        <v>-1.011838933733094</v>
      </c>
      <c r="D394" s="9">
        <v>0.66859830763853256</v>
      </c>
      <c r="E394" s="9">
        <v>0.69579367550085092</v>
      </c>
      <c r="F394" s="9">
        <v>0.74284169758379726</v>
      </c>
      <c r="G394" s="9">
        <v>0.53467885978815022</v>
      </c>
      <c r="H394" s="9">
        <v>0.55663993590528216</v>
      </c>
      <c r="I394" s="9">
        <v>0.5789140863985206</v>
      </c>
      <c r="J394" s="9">
        <v>-1.1046285560260289</v>
      </c>
      <c r="K394" s="9">
        <v>0.76262602198805785</v>
      </c>
      <c r="L394" s="9">
        <v>-0.5789384278531744</v>
      </c>
      <c r="M394" s="9">
        <v>3.2353102188231069</v>
      </c>
      <c r="N394" s="9">
        <v>3.2206360261263072</v>
      </c>
      <c r="O394" s="9">
        <v>5.9914645471079817</v>
      </c>
      <c r="P394" s="9">
        <v>1.4674192294478416E-2</v>
      </c>
      <c r="Q394" s="9">
        <v>1</v>
      </c>
      <c r="R394" s="9">
        <v>1</v>
      </c>
      <c r="S394" s="9">
        <v>0</v>
      </c>
      <c r="T394" s="9">
        <v>1</v>
      </c>
      <c r="U394" s="9">
        <v>0</v>
      </c>
      <c r="V394" s="9">
        <v>0</v>
      </c>
      <c r="W394" s="9">
        <v>0</v>
      </c>
      <c r="X394" s="9">
        <v>-1.0587621927261353</v>
      </c>
      <c r="Y394">
        <f t="shared" si="48"/>
        <v>0.36354982046195922</v>
      </c>
      <c r="Z394">
        <f t="shared" si="49"/>
        <v>0.34688492137575438</v>
      </c>
      <c r="AA394">
        <f t="shared" si="50"/>
        <v>1.6664899086204832E-2</v>
      </c>
      <c r="AB394">
        <f t="shared" si="51"/>
        <v>2.7771886155339063E-4</v>
      </c>
      <c r="AC394" t="str">
        <f>VLOOKUP(A394, 'state-ids'!$A$1:$B$28, 2)</f>
        <v>SC</v>
      </c>
      <c r="AD394">
        <f>VLOOKUP(A394, 'state-ids'!$A$1:$C$28, 3)</f>
        <v>5.6063801000000003E-2</v>
      </c>
      <c r="AE394">
        <f>VLOOKUP(A394, 'state-ids'!$A$1:$D$28, 4)</f>
        <v>0.75056648000000004</v>
      </c>
      <c r="AF394">
        <f t="shared" si="52"/>
        <v>3.5219025332535341E-2</v>
      </c>
      <c r="AG394">
        <f t="shared" si="53"/>
        <v>0.37760023218742134</v>
      </c>
      <c r="AH394">
        <f t="shared" si="54"/>
        <v>0.31866810033670234</v>
      </c>
      <c r="AI394">
        <f t="shared" si="55"/>
        <v>5.8932131850718994E-2</v>
      </c>
      <c r="AJ394" s="12"/>
    </row>
    <row r="395" spans="1:36" x14ac:dyDescent="0.25">
      <c r="A395" s="9">
        <v>42</v>
      </c>
      <c r="B395" s="9">
        <v>2021</v>
      </c>
      <c r="C395" s="9">
        <v>-0.94960041247688209</v>
      </c>
      <c r="D395" s="9">
        <v>0.86520794164483905</v>
      </c>
      <c r="E395" s="9">
        <v>0.66859830763853256</v>
      </c>
      <c r="F395" s="9">
        <v>0.69579367550085092</v>
      </c>
      <c r="G395" s="9">
        <v>0.76304630793961248</v>
      </c>
      <c r="H395" s="9">
        <v>0.53467885978815022</v>
      </c>
      <c r="I395" s="9">
        <v>0.55663993590528216</v>
      </c>
      <c r="J395" s="9">
        <v>-0.48086478215452139</v>
      </c>
      <c r="K395" s="9">
        <v>0.76262602198805785</v>
      </c>
      <c r="L395" s="9">
        <v>-0.56530419946763544</v>
      </c>
      <c r="M395" s="9">
        <v>3.3054624717010972</v>
      </c>
      <c r="N395" s="9">
        <v>3.22352594876712</v>
      </c>
      <c r="O395" s="9">
        <v>6.6846117276679271</v>
      </c>
      <c r="P395" s="9">
        <v>8.193652331829071E-2</v>
      </c>
      <c r="Q395" s="9">
        <v>1</v>
      </c>
      <c r="R395" s="9">
        <v>0</v>
      </c>
      <c r="S395" s="9">
        <v>0</v>
      </c>
      <c r="T395" s="9">
        <v>1</v>
      </c>
      <c r="U395" s="9">
        <v>0</v>
      </c>
      <c r="V395" s="9">
        <v>0</v>
      </c>
      <c r="W395" s="9">
        <v>0</v>
      </c>
      <c r="X395" s="9">
        <v>-1.0267763137817383</v>
      </c>
      <c r="Y395">
        <f t="shared" si="48"/>
        <v>0.38689559122177047</v>
      </c>
      <c r="Z395">
        <f t="shared" si="49"/>
        <v>0.35815969601816439</v>
      </c>
      <c r="AA395">
        <f t="shared" si="50"/>
        <v>2.8735895203606088E-2</v>
      </c>
      <c r="AB395">
        <f t="shared" si="51"/>
        <v>8.257516731526314E-4</v>
      </c>
      <c r="AC395" t="str">
        <f>VLOOKUP(A395, 'state-ids'!$A$1:$B$28, 2)</f>
        <v>SC</v>
      </c>
      <c r="AD395">
        <f>VLOOKUP(A395, 'state-ids'!$A$1:$C$28, 3)</f>
        <v>5.6063801000000003E-2</v>
      </c>
      <c r="AE395">
        <f>VLOOKUP(A395, 'state-ids'!$A$1:$D$28, 4)</f>
        <v>0.75056648000000004</v>
      </c>
      <c r="AF395">
        <f t="shared" si="52"/>
        <v>5.7925644583213316E-2</v>
      </c>
      <c r="AG395">
        <f t="shared" si="53"/>
        <v>0.3898733442787457</v>
      </c>
      <c r="AH395">
        <f t="shared" si="54"/>
        <v>0.32902574575631771</v>
      </c>
      <c r="AI395">
        <f t="shared" si="55"/>
        <v>6.0847598522427992E-2</v>
      </c>
      <c r="AJ395" s="12"/>
    </row>
    <row r="396" spans="1:36" x14ac:dyDescent="0.25">
      <c r="A396" s="9">
        <v>42</v>
      </c>
      <c r="B396" s="9">
        <v>2022</v>
      </c>
      <c r="C396" s="9">
        <v>-0.90764552114857155</v>
      </c>
      <c r="D396" s="9">
        <v>0.8950262365694307</v>
      </c>
      <c r="E396" s="9">
        <v>0.86520794164483905</v>
      </c>
      <c r="F396" s="9">
        <v>0.66859830763853256</v>
      </c>
      <c r="G396" s="9">
        <v>0.78527046943575118</v>
      </c>
      <c r="H396" s="9">
        <v>0.76304630793961248</v>
      </c>
      <c r="I396" s="9">
        <v>0.53467885978815022</v>
      </c>
      <c r="J396" s="9">
        <v>-1.544515011089968E-2</v>
      </c>
      <c r="K396" s="9">
        <v>0.76262602198805785</v>
      </c>
      <c r="L396" s="9">
        <v>-0.54276363401586869</v>
      </c>
      <c r="M396" s="9">
        <v>3.3075765826809751</v>
      </c>
      <c r="N396" s="9">
        <v>3.3054624717010972</v>
      </c>
      <c r="O396" s="9">
        <v>8.0551577318196781</v>
      </c>
      <c r="P396" s="9">
        <v>2.1141110919415951E-3</v>
      </c>
      <c r="Q396" s="9">
        <v>1</v>
      </c>
      <c r="R396" s="9">
        <v>0</v>
      </c>
      <c r="S396" s="9">
        <v>0</v>
      </c>
      <c r="T396" s="9">
        <v>1</v>
      </c>
      <c r="U396" s="9">
        <v>0</v>
      </c>
      <c r="V396" s="9">
        <v>0</v>
      </c>
      <c r="W396" s="9">
        <v>0</v>
      </c>
      <c r="X396" s="9">
        <v>-1.0308986902236938</v>
      </c>
      <c r="Y396">
        <f t="shared" si="48"/>
        <v>0.40347307539320509</v>
      </c>
      <c r="Z396">
        <f t="shared" si="49"/>
        <v>0.35668626602800163</v>
      </c>
      <c r="AA396">
        <f t="shared" si="50"/>
        <v>4.6786809365203463E-2</v>
      </c>
      <c r="AB396">
        <f t="shared" si="51"/>
        <v>2.1890055305758905E-3</v>
      </c>
      <c r="AC396" t="str">
        <f>VLOOKUP(A396, 'state-ids'!$A$1:$B$28, 2)</f>
        <v>SC</v>
      </c>
      <c r="AD396">
        <f>VLOOKUP(A396, 'state-ids'!$A$1:$C$28, 3)</f>
        <v>5.6063801000000003E-2</v>
      </c>
      <c r="AE396">
        <f>VLOOKUP(A396, 'state-ids'!$A$1:$D$28, 4)</f>
        <v>0.75056648000000004</v>
      </c>
      <c r="AF396">
        <f t="shared" si="52"/>
        <v>9.2509697261559401E-2</v>
      </c>
      <c r="AG396">
        <f t="shared" si="53"/>
        <v>0.38826944779287131</v>
      </c>
      <c r="AH396">
        <f t="shared" si="54"/>
        <v>0.32767216966519758</v>
      </c>
      <c r="AI396">
        <f t="shared" si="55"/>
        <v>6.0597278127673737E-2</v>
      </c>
      <c r="AJ396" s="12"/>
    </row>
    <row r="397" spans="1:36" x14ac:dyDescent="0.25">
      <c r="A397" s="9">
        <v>42</v>
      </c>
      <c r="B397" s="9">
        <v>2023</v>
      </c>
      <c r="C397" s="9">
        <v>-0.86068777455664414</v>
      </c>
      <c r="D397" s="9">
        <v>0.77094120799996546</v>
      </c>
      <c r="E397" s="9">
        <v>0.8950262365694307</v>
      </c>
      <c r="F397" s="9">
        <v>0.86520794164483905</v>
      </c>
      <c r="G397" s="9">
        <v>0.55669724742204718</v>
      </c>
      <c r="H397" s="9">
        <v>0.78527046943575118</v>
      </c>
      <c r="I397" s="9">
        <v>0.76304630793961248</v>
      </c>
      <c r="J397" s="9">
        <v>0.53826179109634587</v>
      </c>
      <c r="K397" s="9">
        <v>0.76262602198805785</v>
      </c>
      <c r="L397" s="9">
        <v>-0.51737696039870651</v>
      </c>
      <c r="M397" s="9">
        <v>3.3535364298210641</v>
      </c>
      <c r="N397" s="9">
        <v>3.3075765826809751</v>
      </c>
      <c r="O397" s="9">
        <v>8.4658998970286863</v>
      </c>
      <c r="P397" s="9">
        <v>4.5959848910570145E-2</v>
      </c>
      <c r="Q397" s="9">
        <v>1</v>
      </c>
      <c r="R397" s="9">
        <v>0</v>
      </c>
      <c r="S397" s="9">
        <v>0</v>
      </c>
      <c r="T397" s="9">
        <v>1</v>
      </c>
      <c r="U397" s="9">
        <v>0</v>
      </c>
      <c r="V397" s="9">
        <v>0</v>
      </c>
      <c r="W397" s="9">
        <v>0</v>
      </c>
      <c r="X397" s="9">
        <v>-1.022907018661499</v>
      </c>
      <c r="Y397">
        <f t="shared" si="48"/>
        <v>0.42287114226624528</v>
      </c>
      <c r="Z397">
        <f t="shared" si="49"/>
        <v>0.35954820612759614</v>
      </c>
      <c r="AA397">
        <f t="shared" si="50"/>
        <v>6.3322936138649144E-2</v>
      </c>
      <c r="AB397">
        <f t="shared" si="51"/>
        <v>4.0097942412194373E-3</v>
      </c>
      <c r="AC397" t="str">
        <f>VLOOKUP(A397, 'state-ids'!$A$1:$B$28, 2)</f>
        <v>SC</v>
      </c>
      <c r="AD397">
        <f>VLOOKUP(A397, 'state-ids'!$A$1:$C$28, 3)</f>
        <v>5.6063801000000003E-2</v>
      </c>
      <c r="AE397">
        <f>VLOOKUP(A397, 'state-ids'!$A$1:$D$28, 4)</f>
        <v>0.75056648000000004</v>
      </c>
      <c r="AF397">
        <f t="shared" si="52"/>
        <v>0.12175632703604169</v>
      </c>
      <c r="AG397">
        <f t="shared" si="53"/>
        <v>0.39138480155868921</v>
      </c>
      <c r="AH397">
        <f t="shared" si="54"/>
        <v>0.33030130964394955</v>
      </c>
      <c r="AI397">
        <f t="shared" si="55"/>
        <v>6.1083491914739663E-2</v>
      </c>
      <c r="AJ397" s="12"/>
    </row>
    <row r="398" spans="1:36" x14ac:dyDescent="0.25">
      <c r="A398" s="9">
        <v>43</v>
      </c>
      <c r="B398" s="9">
        <v>2006</v>
      </c>
      <c r="C398" s="9">
        <v>-1.753645194906905</v>
      </c>
      <c r="D398" s="9">
        <v>1.000631880307906</v>
      </c>
      <c r="E398" s="9">
        <v>0.9748237560598092</v>
      </c>
      <c r="F398" s="9">
        <v>0.89718945857175403</v>
      </c>
      <c r="G398" s="9">
        <v>0.77472716755236815</v>
      </c>
      <c r="H398" s="9">
        <v>0.62422573509352353</v>
      </c>
      <c r="I398" s="9">
        <v>0.45780452178873787</v>
      </c>
      <c r="J398" s="9">
        <v>-11.51292546497023</v>
      </c>
      <c r="K398" s="9">
        <v>1.394292615005166</v>
      </c>
      <c r="L398" s="9">
        <v>-1.329463895418197</v>
      </c>
      <c r="M398" s="9">
        <v>2.8981165822450889</v>
      </c>
      <c r="N398" s="9">
        <v>2.884323158134944</v>
      </c>
      <c r="O398" s="9">
        <v>-11.51292546497023</v>
      </c>
      <c r="P398" s="9">
        <v>1.3793423771858215E-2</v>
      </c>
      <c r="Q398" s="9">
        <v>0</v>
      </c>
      <c r="R398" s="9">
        <v>0</v>
      </c>
      <c r="S398" s="9">
        <v>0</v>
      </c>
      <c r="T398" s="9">
        <v>1</v>
      </c>
      <c r="U398" s="9">
        <v>0</v>
      </c>
      <c r="V398" s="9">
        <v>0</v>
      </c>
      <c r="W398" s="9">
        <v>0</v>
      </c>
      <c r="X398" s="9">
        <v>-1.7800037860870361</v>
      </c>
      <c r="Y398">
        <f t="shared" si="48"/>
        <v>0.17314165666124151</v>
      </c>
      <c r="Z398">
        <f t="shared" si="49"/>
        <v>0.16863750879110101</v>
      </c>
      <c r="AA398">
        <f t="shared" si="50"/>
        <v>4.5041478701405013E-3</v>
      </c>
      <c r="AB398">
        <f t="shared" si="51"/>
        <v>2.0287348036091216E-5</v>
      </c>
      <c r="AC398" t="str">
        <f>VLOOKUP(A398, 'state-ids'!$A$1:$B$28, 2)</f>
        <v>RS</v>
      </c>
      <c r="AD398">
        <f>VLOOKUP(A398, 'state-ids'!$A$1:$C$28, 3)</f>
        <v>2.7906773999999999E-2</v>
      </c>
      <c r="AE398">
        <f>VLOOKUP(A398, 'state-ids'!$A$1:$D$28, 4)</f>
        <v>0.22441960999999999</v>
      </c>
      <c r="AF398">
        <f t="shared" si="52"/>
        <v>2.5686252202835966E-2</v>
      </c>
      <c r="AG398">
        <f t="shared" si="53"/>
        <v>0.17353663470672179</v>
      </c>
      <c r="AH398">
        <f t="shared" si="54"/>
        <v>0.163876690471324</v>
      </c>
      <c r="AI398">
        <f t="shared" si="55"/>
        <v>9.6599442353977882E-3</v>
      </c>
      <c r="AJ398" s="12"/>
    </row>
    <row r="399" spans="1:36" x14ac:dyDescent="0.25">
      <c r="A399" s="9">
        <v>43</v>
      </c>
      <c r="B399" s="9">
        <v>2007</v>
      </c>
      <c r="C399" s="9">
        <v>-1.7129132809711911</v>
      </c>
      <c r="D399" s="9">
        <v>0.89637369803379618</v>
      </c>
      <c r="E399" s="9">
        <v>1.000631880307906</v>
      </c>
      <c r="F399" s="9">
        <v>0.9748237560598092</v>
      </c>
      <c r="G399" s="9">
        <v>0.52732869586500486</v>
      </c>
      <c r="H399" s="9">
        <v>0.77472716755236815</v>
      </c>
      <c r="I399" s="9">
        <v>0.62422573509352353</v>
      </c>
      <c r="J399" s="9">
        <v>-11.51292546497023</v>
      </c>
      <c r="K399" s="9">
        <v>1.394292615005166</v>
      </c>
      <c r="L399" s="9">
        <v>-1.259825287207806</v>
      </c>
      <c r="M399" s="9">
        <v>2.9700146472848301</v>
      </c>
      <c r="N399" s="9">
        <v>2.9030538551125771</v>
      </c>
      <c r="O399" s="9">
        <v>-11.51292546497023</v>
      </c>
      <c r="P399" s="9">
        <v>6.6960789263248444E-2</v>
      </c>
      <c r="Q399" s="9">
        <v>0</v>
      </c>
      <c r="R399" s="9">
        <v>0</v>
      </c>
      <c r="S399" s="9">
        <v>0</v>
      </c>
      <c r="T399" s="9">
        <v>1</v>
      </c>
      <c r="U399" s="9">
        <v>0</v>
      </c>
      <c r="V399" s="9">
        <v>0</v>
      </c>
      <c r="W399" s="9">
        <v>0</v>
      </c>
      <c r="X399" s="9">
        <v>-1.7142868041992188</v>
      </c>
      <c r="Y399">
        <f t="shared" si="48"/>
        <v>0.1803396465229791</v>
      </c>
      <c r="Z399">
        <f t="shared" si="49"/>
        <v>0.18009211586301629</v>
      </c>
      <c r="AA399">
        <f t="shared" si="50"/>
        <v>2.4753065996280244E-4</v>
      </c>
      <c r="AB399">
        <f t="shared" si="51"/>
        <v>6.127142762162052E-8</v>
      </c>
      <c r="AC399" t="str">
        <f>VLOOKUP(A399, 'state-ids'!$A$1:$B$28, 2)</f>
        <v>RS</v>
      </c>
      <c r="AD399">
        <f>VLOOKUP(A399, 'state-ids'!$A$1:$C$28, 3)</f>
        <v>2.7906773999999999E-2</v>
      </c>
      <c r="AE399">
        <f>VLOOKUP(A399, 'state-ids'!$A$1:$D$28, 4)</f>
        <v>0.22441960999999999</v>
      </c>
      <c r="AF399">
        <f t="shared" si="52"/>
        <v>3.0824554715990399E-4</v>
      </c>
      <c r="AG399">
        <f t="shared" si="53"/>
        <v>0.18532401212588401</v>
      </c>
      <c r="AH399">
        <f t="shared" si="54"/>
        <v>0.17500792166094151</v>
      </c>
      <c r="AI399">
        <f t="shared" si="55"/>
        <v>1.0316090464942501E-2</v>
      </c>
      <c r="AJ399" s="12"/>
    </row>
    <row r="400" spans="1:36" x14ac:dyDescent="0.25">
      <c r="A400" s="9">
        <v>43</v>
      </c>
      <c r="B400" s="9">
        <v>2008</v>
      </c>
      <c r="C400" s="9">
        <v>-1.632342014529147</v>
      </c>
      <c r="D400" s="9">
        <v>0.8429455456483399</v>
      </c>
      <c r="E400" s="9">
        <v>0.89637369803379618</v>
      </c>
      <c r="F400" s="9">
        <v>1.000631880307906</v>
      </c>
      <c r="G400" s="9">
        <v>0.47567501648296739</v>
      </c>
      <c r="H400" s="9">
        <v>0.52732869586500486</v>
      </c>
      <c r="I400" s="9">
        <v>0.77472716755236815</v>
      </c>
      <c r="J400" s="9">
        <v>-11.51292546497023</v>
      </c>
      <c r="K400" s="9">
        <v>1.394292615005166</v>
      </c>
      <c r="L400" s="9">
        <v>-1.1829128071823389</v>
      </c>
      <c r="M400" s="9">
        <v>3.0150434119850198</v>
      </c>
      <c r="N400" s="9">
        <v>2.974976509938859</v>
      </c>
      <c r="O400" s="9">
        <v>-11.51292546497023</v>
      </c>
      <c r="P400" s="9">
        <v>4.0066901594400406E-2</v>
      </c>
      <c r="Q400" s="9">
        <v>0</v>
      </c>
      <c r="R400" s="9">
        <v>0</v>
      </c>
      <c r="S400" s="9">
        <v>0</v>
      </c>
      <c r="T400" s="9">
        <v>1</v>
      </c>
      <c r="U400" s="9">
        <v>0</v>
      </c>
      <c r="V400" s="9">
        <v>0</v>
      </c>
      <c r="W400" s="9">
        <v>0</v>
      </c>
      <c r="X400" s="9">
        <v>-1.6496610641479492</v>
      </c>
      <c r="Y400">
        <f t="shared" si="48"/>
        <v>0.1954712411383713</v>
      </c>
      <c r="Z400">
        <f t="shared" si="49"/>
        <v>0.19211501225252298</v>
      </c>
      <c r="AA400">
        <f t="shared" si="50"/>
        <v>3.356228885848328E-3</v>
      </c>
      <c r="AB400">
        <f t="shared" si="51"/>
        <v>1.1264272334202709E-5</v>
      </c>
      <c r="AC400" t="str">
        <f>VLOOKUP(A400, 'state-ids'!$A$1:$B$28, 2)</f>
        <v>RS</v>
      </c>
      <c r="AD400">
        <f>VLOOKUP(A400, 'state-ids'!$A$1:$C$28, 3)</f>
        <v>2.7906773999999999E-2</v>
      </c>
      <c r="AE400">
        <f>VLOOKUP(A400, 'state-ids'!$A$1:$D$28, 4)</f>
        <v>0.22441960999999999</v>
      </c>
      <c r="AF400">
        <f t="shared" si="52"/>
        <v>3.8867343610222522E-3</v>
      </c>
      <c r="AG400">
        <f t="shared" si="53"/>
        <v>0.19769618836247158</v>
      </c>
      <c r="AH400">
        <f t="shared" si="54"/>
        <v>0.18669139874926027</v>
      </c>
      <c r="AI400">
        <f t="shared" si="55"/>
        <v>1.1004789613211302E-2</v>
      </c>
      <c r="AJ400" s="12"/>
    </row>
    <row r="401" spans="1:36" x14ac:dyDescent="0.25">
      <c r="A401" s="9">
        <v>43</v>
      </c>
      <c r="B401" s="9">
        <v>2009</v>
      </c>
      <c r="C401" s="9">
        <v>-1.581124182932099</v>
      </c>
      <c r="D401" s="9">
        <v>0.79683129183682722</v>
      </c>
      <c r="E401" s="9">
        <v>0.8429455456483399</v>
      </c>
      <c r="F401" s="9">
        <v>0.89637369803379618</v>
      </c>
      <c r="G401" s="9">
        <v>0.44462171664268602</v>
      </c>
      <c r="H401" s="9">
        <v>0.47567501648296739</v>
      </c>
      <c r="I401" s="9">
        <v>0.52732869586500486</v>
      </c>
      <c r="J401" s="9">
        <v>-9.2978133757331118</v>
      </c>
      <c r="K401" s="9">
        <v>1.394292615005166</v>
      </c>
      <c r="L401" s="9">
        <v>-1.1210942174554031</v>
      </c>
      <c r="M401" s="9">
        <v>3.0106245296607348</v>
      </c>
      <c r="N401" s="9">
        <v>3.009632122489271</v>
      </c>
      <c r="O401" s="9">
        <v>-11.51292546497023</v>
      </c>
      <c r="P401" s="9">
        <v>9.9240720737725496E-4</v>
      </c>
      <c r="Q401" s="9">
        <v>0</v>
      </c>
      <c r="R401" s="9">
        <v>0</v>
      </c>
      <c r="S401" s="9">
        <v>0</v>
      </c>
      <c r="T401" s="9">
        <v>1</v>
      </c>
      <c r="U401" s="9">
        <v>0</v>
      </c>
      <c r="V401" s="9">
        <v>0</v>
      </c>
      <c r="W401" s="9">
        <v>0</v>
      </c>
      <c r="X401" s="9">
        <v>-1.591987133026123</v>
      </c>
      <c r="Y401">
        <f t="shared" si="48"/>
        <v>0.20574367462063839</v>
      </c>
      <c r="Z401">
        <f t="shared" si="49"/>
        <v>0.20352078677000307</v>
      </c>
      <c r="AA401">
        <f t="shared" si="50"/>
        <v>2.2228878506353189E-3</v>
      </c>
      <c r="AB401">
        <f t="shared" si="51"/>
        <v>4.9412303965021075E-6</v>
      </c>
      <c r="AC401" t="str">
        <f>VLOOKUP(A401, 'state-ids'!$A$1:$B$28, 2)</f>
        <v>RS</v>
      </c>
      <c r="AD401">
        <f>VLOOKUP(A401, 'state-ids'!$A$1:$C$28, 3)</f>
        <v>2.7906773999999999E-2</v>
      </c>
      <c r="AE401">
        <f>VLOOKUP(A401, 'state-ids'!$A$1:$D$28, 4)</f>
        <v>0.22441960999999999</v>
      </c>
      <c r="AF401">
        <f t="shared" si="52"/>
        <v>2.4378590235503402E-3</v>
      </c>
      <c r="AG401">
        <f t="shared" si="53"/>
        <v>0.20943331458175801</v>
      </c>
      <c r="AH401">
        <f t="shared" si="54"/>
        <v>0.197775175979996</v>
      </c>
      <c r="AI401">
        <f t="shared" si="55"/>
        <v>1.1658138601762014E-2</v>
      </c>
      <c r="AJ401" s="12"/>
    </row>
    <row r="402" spans="1:36" x14ac:dyDescent="0.25">
      <c r="A402" s="9">
        <v>43</v>
      </c>
      <c r="B402" s="9">
        <v>2010</v>
      </c>
      <c r="C402" s="9">
        <v>-1.4328128258210631</v>
      </c>
      <c r="D402" s="9">
        <v>0.75494758146539209</v>
      </c>
      <c r="E402" s="9">
        <v>0.79683129183682722</v>
      </c>
      <c r="F402" s="9">
        <v>0.8429455456483399</v>
      </c>
      <c r="G402" s="9">
        <v>0.49755799676508627</v>
      </c>
      <c r="H402" s="9">
        <v>0.44462171664268602</v>
      </c>
      <c r="I402" s="9">
        <v>0.47567501648296739</v>
      </c>
      <c r="J402" s="9">
        <v>-8.5963350934867027</v>
      </c>
      <c r="K402" s="9">
        <v>1.394292615005166</v>
      </c>
      <c r="L402" s="9">
        <v>-1.0495763025808691</v>
      </c>
      <c r="M402" s="9">
        <v>3.1041032798641042</v>
      </c>
      <c r="N402" s="9">
        <v>3.018955631347696</v>
      </c>
      <c r="O402" s="9">
        <v>-11.51292546497023</v>
      </c>
      <c r="P402" s="9">
        <v>8.5147649049758911E-2</v>
      </c>
      <c r="Q402" s="9">
        <v>0</v>
      </c>
      <c r="R402" s="9">
        <v>0</v>
      </c>
      <c r="S402" s="9">
        <v>0</v>
      </c>
      <c r="T402" s="9">
        <v>1</v>
      </c>
      <c r="U402" s="9">
        <v>0</v>
      </c>
      <c r="V402" s="9">
        <v>0</v>
      </c>
      <c r="W402" s="9">
        <v>0</v>
      </c>
      <c r="X402" s="9">
        <v>-1.4605555534362793</v>
      </c>
      <c r="Y402">
        <f t="shared" si="48"/>
        <v>0.23863673374583391</v>
      </c>
      <c r="Z402">
        <f t="shared" si="49"/>
        <v>0.23210729090132601</v>
      </c>
      <c r="AA402">
        <f t="shared" si="50"/>
        <v>6.5294428445079045E-3</v>
      </c>
      <c r="AB402">
        <f t="shared" si="51"/>
        <v>4.2633623859695474E-5</v>
      </c>
      <c r="AC402" t="str">
        <f>VLOOKUP(A402, 'state-ids'!$A$1:$B$28, 2)</f>
        <v>RS</v>
      </c>
      <c r="AD402">
        <f>VLOOKUP(A402, 'state-ids'!$A$1:$C$28, 3)</f>
        <v>2.7906773999999999E-2</v>
      </c>
      <c r="AE402">
        <f>VLOOKUP(A402, 'state-ids'!$A$1:$D$28, 4)</f>
        <v>0.22441960999999999</v>
      </c>
      <c r="AF402">
        <f t="shared" si="52"/>
        <v>6.226012111743057E-3</v>
      </c>
      <c r="AG402">
        <f t="shared" si="53"/>
        <v>0.23885029162643651</v>
      </c>
      <c r="AH402">
        <f t="shared" si="54"/>
        <v>0.22555465234186006</v>
      </c>
      <c r="AI402">
        <f t="shared" si="55"/>
        <v>1.3295639284576444E-2</v>
      </c>
      <c r="AJ402" s="12"/>
    </row>
    <row r="403" spans="1:36" x14ac:dyDescent="0.25">
      <c r="A403" s="9">
        <v>43</v>
      </c>
      <c r="B403" s="9">
        <v>2011</v>
      </c>
      <c r="C403" s="9">
        <v>-1.3388052020833481</v>
      </c>
      <c r="D403" s="9">
        <v>0.74806141143733718</v>
      </c>
      <c r="E403" s="9">
        <v>0.75494758146539209</v>
      </c>
      <c r="F403" s="9">
        <v>0.79683129183682722</v>
      </c>
      <c r="G403" s="9">
        <v>0.59933088435566051</v>
      </c>
      <c r="H403" s="9">
        <v>0.49755799676508627</v>
      </c>
      <c r="I403" s="9">
        <v>0.44462171664268602</v>
      </c>
      <c r="J403" s="9">
        <v>-6.7961745318075186</v>
      </c>
      <c r="K403" s="9">
        <v>1.394292615005166</v>
      </c>
      <c r="L403" s="9">
        <v>-0.9769624058166676</v>
      </c>
      <c r="M403" s="9">
        <v>3.1267101646923612</v>
      </c>
      <c r="N403" s="9">
        <v>3.1125043723147749</v>
      </c>
      <c r="O403" s="9">
        <v>-11.51292546497023</v>
      </c>
      <c r="P403" s="9">
        <v>1.4205791987478733E-2</v>
      </c>
      <c r="Q403" s="9">
        <v>0</v>
      </c>
      <c r="R403" s="9">
        <v>0</v>
      </c>
      <c r="S403" s="9">
        <v>0</v>
      </c>
      <c r="T403" s="9">
        <v>1</v>
      </c>
      <c r="U403" s="9">
        <v>0</v>
      </c>
      <c r="V403" s="9">
        <v>0</v>
      </c>
      <c r="W403" s="9">
        <v>0</v>
      </c>
      <c r="X403" s="9">
        <v>-1.3446584939956665</v>
      </c>
      <c r="Y403">
        <f t="shared" si="48"/>
        <v>0.26215870821194015</v>
      </c>
      <c r="Z403">
        <f t="shared" si="49"/>
        <v>0.26062869892920443</v>
      </c>
      <c r="AA403">
        <f t="shared" si="50"/>
        <v>1.5300092827357226E-3</v>
      </c>
      <c r="AB403">
        <f t="shared" si="51"/>
        <v>2.3409284052574801E-6</v>
      </c>
      <c r="AC403" t="str">
        <f>VLOOKUP(A403, 'state-ids'!$A$1:$B$28, 2)</f>
        <v>RS</v>
      </c>
      <c r="AD403">
        <f>VLOOKUP(A403, 'state-ids'!$A$1:$C$28, 3)</f>
        <v>2.7906773999999999E-2</v>
      </c>
      <c r="AE403">
        <f>VLOOKUP(A403, 'state-ids'!$A$1:$D$28, 4)</f>
        <v>0.22441960999999999</v>
      </c>
      <c r="AF403">
        <f t="shared" si="52"/>
        <v>1.3135934881786553E-3</v>
      </c>
      <c r="AG403">
        <f t="shared" si="53"/>
        <v>0.26820028144623681</v>
      </c>
      <c r="AH403">
        <f t="shared" si="54"/>
        <v>0.25327087033332041</v>
      </c>
      <c r="AI403">
        <f t="shared" si="55"/>
        <v>1.4929411112916402E-2</v>
      </c>
      <c r="AJ403" s="12"/>
    </row>
    <row r="404" spans="1:36" x14ac:dyDescent="0.25">
      <c r="A404" s="9">
        <v>43</v>
      </c>
      <c r="B404" s="9">
        <v>2012</v>
      </c>
      <c r="C404" s="9">
        <v>-1.251168951714438</v>
      </c>
      <c r="D404" s="9">
        <v>0.69494556250132467</v>
      </c>
      <c r="E404" s="9">
        <v>0.74806141143733718</v>
      </c>
      <c r="F404" s="9">
        <v>0.75494758146539209</v>
      </c>
      <c r="G404" s="9">
        <v>0.55514868240265458</v>
      </c>
      <c r="H404" s="9">
        <v>0.59933088435566051</v>
      </c>
      <c r="I404" s="9">
        <v>0.49755799676508627</v>
      </c>
      <c r="J404" s="9">
        <v>-6.4511230295195494</v>
      </c>
      <c r="K404" s="9">
        <v>1.394292615005166</v>
      </c>
      <c r="L404" s="9">
        <v>-0.91462143886203429</v>
      </c>
      <c r="M404" s="9">
        <v>3.128603467996856</v>
      </c>
      <c r="N404" s="9">
        <v>3.1234549727121181</v>
      </c>
      <c r="O404" s="9">
        <v>-11.51292546497023</v>
      </c>
      <c r="P404" s="9">
        <v>5.1484950818121433E-3</v>
      </c>
      <c r="Q404" s="9">
        <v>0</v>
      </c>
      <c r="R404" s="9">
        <v>0</v>
      </c>
      <c r="S404" s="9">
        <v>0</v>
      </c>
      <c r="T404" s="9">
        <v>1</v>
      </c>
      <c r="U404" s="9">
        <v>0</v>
      </c>
      <c r="V404" s="9">
        <v>0</v>
      </c>
      <c r="W404" s="9">
        <v>0</v>
      </c>
      <c r="X404" s="9">
        <v>-1.2313386201858521</v>
      </c>
      <c r="Y404">
        <f t="shared" si="48"/>
        <v>0.28617008225742424</v>
      </c>
      <c r="Z404">
        <f t="shared" si="49"/>
        <v>0.29190157069950734</v>
      </c>
      <c r="AA404">
        <f t="shared" si="50"/>
        <v>-5.7314884420830992E-3</v>
      </c>
      <c r="AB404">
        <f t="shared" si="51"/>
        <v>3.2849959761732149E-5</v>
      </c>
      <c r="AC404" t="str">
        <f>VLOOKUP(A404, 'state-ids'!$A$1:$B$28, 2)</f>
        <v>RS</v>
      </c>
      <c r="AD404">
        <f>VLOOKUP(A404, 'state-ids'!$A$1:$C$28, 3)</f>
        <v>2.7906773999999999E-2</v>
      </c>
      <c r="AE404">
        <f>VLOOKUP(A404, 'state-ids'!$A$1:$D$28, 4)</f>
        <v>0.22441960999999999</v>
      </c>
      <c r="AF404">
        <f t="shared" si="52"/>
        <v>-4.4503152678159585E-3</v>
      </c>
      <c r="AG404">
        <f t="shared" si="53"/>
        <v>0.30038166839589742</v>
      </c>
      <c r="AH404">
        <f t="shared" si="54"/>
        <v>0.28366087528530165</v>
      </c>
      <c r="AI404">
        <f t="shared" si="55"/>
        <v>1.6720793110595766E-2</v>
      </c>
      <c r="AJ404" s="12"/>
    </row>
    <row r="405" spans="1:36" x14ac:dyDescent="0.25">
      <c r="A405" s="9">
        <v>43</v>
      </c>
      <c r="B405" s="9">
        <v>2013</v>
      </c>
      <c r="C405" s="9">
        <v>-1.21962571153388</v>
      </c>
      <c r="D405" s="9">
        <v>0.67656037695554638</v>
      </c>
      <c r="E405" s="9">
        <v>0.69494556250132467</v>
      </c>
      <c r="F405" s="9">
        <v>0.74806141143733718</v>
      </c>
      <c r="G405" s="9">
        <v>0.51018541887856739</v>
      </c>
      <c r="H405" s="9">
        <v>0.55514868240265458</v>
      </c>
      <c r="I405" s="9">
        <v>0.59933088435566051</v>
      </c>
      <c r="J405" s="9">
        <v>-5.5827838280315172</v>
      </c>
      <c r="K405" s="9">
        <v>1.394292615005166</v>
      </c>
      <c r="L405" s="9">
        <v>-0.89064857564990396</v>
      </c>
      <c r="M405" s="9">
        <v>3.1646140698555278</v>
      </c>
      <c r="N405" s="9">
        <v>3.0924863952577129</v>
      </c>
      <c r="O405" s="9">
        <v>-11.51292546497023</v>
      </c>
      <c r="P405" s="9">
        <v>7.2127677500247955E-2</v>
      </c>
      <c r="Q405" s="9">
        <v>0</v>
      </c>
      <c r="R405" s="9">
        <v>0</v>
      </c>
      <c r="S405" s="9">
        <v>0</v>
      </c>
      <c r="T405" s="9">
        <v>1</v>
      </c>
      <c r="U405" s="9">
        <v>0</v>
      </c>
      <c r="V405" s="9">
        <v>0</v>
      </c>
      <c r="W405" s="9">
        <v>0</v>
      </c>
      <c r="X405" s="9">
        <v>-1.1950476169586182</v>
      </c>
      <c r="Y405">
        <f t="shared" si="48"/>
        <v>0.29534068885259585</v>
      </c>
      <c r="Z405">
        <f t="shared" si="49"/>
        <v>0.30268954068364923</v>
      </c>
      <c r="AA405">
        <f t="shared" si="50"/>
        <v>-7.3488518310533824E-3</v>
      </c>
      <c r="AB405">
        <f t="shared" si="51"/>
        <v>5.4005623234776648E-5</v>
      </c>
      <c r="AC405" t="str">
        <f>VLOOKUP(A405, 'state-ids'!$A$1:$B$28, 2)</f>
        <v>RS</v>
      </c>
      <c r="AD405">
        <f>VLOOKUP(A405, 'state-ids'!$A$1:$C$28, 3)</f>
        <v>2.7906773999999999E-2</v>
      </c>
      <c r="AE405">
        <f>VLOOKUP(A405, 'state-ids'!$A$1:$D$28, 4)</f>
        <v>0.22441960999999999</v>
      </c>
      <c r="AF405">
        <f t="shared" si="52"/>
        <v>-5.5158063991233757E-3</v>
      </c>
      <c r="AG405">
        <f t="shared" si="53"/>
        <v>0.3114830421044249</v>
      </c>
      <c r="AH405">
        <f t="shared" si="54"/>
        <v>0.29414428926940606</v>
      </c>
      <c r="AI405">
        <f t="shared" si="55"/>
        <v>1.7338752835018845E-2</v>
      </c>
      <c r="AJ405" s="12"/>
    </row>
    <row r="406" spans="1:36" x14ac:dyDescent="0.25">
      <c r="A406" s="9">
        <v>43</v>
      </c>
      <c r="B406" s="9">
        <v>2014</v>
      </c>
      <c r="C406" s="9">
        <v>-1.1488799804869669</v>
      </c>
      <c r="D406" s="9">
        <v>0.64532155107734079</v>
      </c>
      <c r="E406" s="9">
        <v>0.67656037695554638</v>
      </c>
      <c r="F406" s="9">
        <v>0.69494556250132467</v>
      </c>
      <c r="G406" s="9">
        <v>0.46837730750115147</v>
      </c>
      <c r="H406" s="9">
        <v>0.51018541887856739</v>
      </c>
      <c r="I406" s="9">
        <v>0.55514868240265458</v>
      </c>
      <c r="J406" s="9">
        <v>-4.9175990634939977</v>
      </c>
      <c r="K406" s="9">
        <v>1.394292615005166</v>
      </c>
      <c r="L406" s="9">
        <v>-0.84520795212677169</v>
      </c>
      <c r="M406" s="9">
        <v>3.159212314237815</v>
      </c>
      <c r="N406" s="9">
        <v>3.1607492054121509</v>
      </c>
      <c r="O406" s="9">
        <v>-11.51292546497023</v>
      </c>
      <c r="P406" s="9">
        <v>-1.5368912136182189E-3</v>
      </c>
      <c r="Q406" s="9">
        <v>0</v>
      </c>
      <c r="R406" s="9">
        <v>0</v>
      </c>
      <c r="S406" s="9">
        <v>0</v>
      </c>
      <c r="T406" s="9">
        <v>1</v>
      </c>
      <c r="U406" s="9">
        <v>0</v>
      </c>
      <c r="V406" s="9">
        <v>0</v>
      </c>
      <c r="W406" s="9">
        <v>0</v>
      </c>
      <c r="X406" s="9">
        <v>-1.1577886343002319</v>
      </c>
      <c r="Y406">
        <f t="shared" si="48"/>
        <v>0.3169916074149699</v>
      </c>
      <c r="Z406">
        <f t="shared" si="49"/>
        <v>0.31418018053105667</v>
      </c>
      <c r="AA406">
        <f t="shared" si="50"/>
        <v>2.8114268839132261E-3</v>
      </c>
      <c r="AB406">
        <f t="shared" si="51"/>
        <v>7.9041211235900321E-6</v>
      </c>
      <c r="AC406" t="str">
        <f>VLOOKUP(A406, 'state-ids'!$A$1:$B$28, 2)</f>
        <v>RS</v>
      </c>
      <c r="AD406">
        <f>VLOOKUP(A406, 'state-ids'!$A$1:$C$28, 3)</f>
        <v>2.7906773999999999E-2</v>
      </c>
      <c r="AE406">
        <f>VLOOKUP(A406, 'state-ids'!$A$1:$D$28, 4)</f>
        <v>0.22441960999999999</v>
      </c>
      <c r="AF406">
        <f t="shared" si="52"/>
        <v>1.9992766143979439E-3</v>
      </c>
      <c r="AG406">
        <f t="shared" si="53"/>
        <v>0.32330749909528433</v>
      </c>
      <c r="AH406">
        <f t="shared" si="54"/>
        <v>0.30531053599049385</v>
      </c>
      <c r="AI406">
        <f t="shared" si="55"/>
        <v>1.7996963104790487E-2</v>
      </c>
      <c r="AJ406" s="12"/>
    </row>
    <row r="407" spans="1:36" x14ac:dyDescent="0.25">
      <c r="A407" s="9">
        <v>43</v>
      </c>
      <c r="B407" s="9">
        <v>2015</v>
      </c>
      <c r="C407" s="9">
        <v>-1.1689292396529061</v>
      </c>
      <c r="D407" s="9">
        <v>0.67069705172235339</v>
      </c>
      <c r="E407" s="9">
        <v>0.64532155107734079</v>
      </c>
      <c r="F407" s="9">
        <v>0.67656037695554638</v>
      </c>
      <c r="G407" s="9">
        <v>0.44455760791426069</v>
      </c>
      <c r="H407" s="9">
        <v>0.46837730750115147</v>
      </c>
      <c r="I407" s="9">
        <v>0.51018541887856739</v>
      </c>
      <c r="J407" s="9">
        <v>-4.4837560382573232</v>
      </c>
      <c r="K407" s="9">
        <v>1.394292615005166</v>
      </c>
      <c r="L407" s="9">
        <v>-0.81478004329457732</v>
      </c>
      <c r="M407" s="9">
        <v>3.1480326131264391</v>
      </c>
      <c r="N407" s="9">
        <v>3.1555875002801459</v>
      </c>
      <c r="O407" s="9">
        <v>-11.51292546497023</v>
      </c>
      <c r="P407" s="9">
        <v>-7.5548873282968998E-3</v>
      </c>
      <c r="Q407" s="9">
        <v>1</v>
      </c>
      <c r="R407" s="9">
        <v>0</v>
      </c>
      <c r="S407" s="9">
        <v>0</v>
      </c>
      <c r="T407" s="9">
        <v>1</v>
      </c>
      <c r="U407" s="9">
        <v>0</v>
      </c>
      <c r="V407" s="9">
        <v>0</v>
      </c>
      <c r="W407" s="9">
        <v>0</v>
      </c>
      <c r="X407" s="9">
        <v>-1.2130722999572754</v>
      </c>
      <c r="Y407">
        <f t="shared" si="48"/>
        <v>0.31069944786491283</v>
      </c>
      <c r="Z407">
        <f t="shared" si="49"/>
        <v>0.29728253384696851</v>
      </c>
      <c r="AA407">
        <f t="shared" si="50"/>
        <v>1.3416914017944315E-2</v>
      </c>
      <c r="AB407">
        <f t="shared" si="51"/>
        <v>1.8001358176491066E-4</v>
      </c>
      <c r="AC407" t="str">
        <f>VLOOKUP(A407, 'state-ids'!$A$1:$B$28, 2)</f>
        <v>RS</v>
      </c>
      <c r="AD407">
        <f>VLOOKUP(A407, 'state-ids'!$A$1:$C$28, 3)</f>
        <v>2.7906773999999999E-2</v>
      </c>
      <c r="AE407">
        <f>VLOOKUP(A407, 'state-ids'!$A$1:$D$28, 4)</f>
        <v>0.22441960999999999</v>
      </c>
      <c r="AF407">
        <f t="shared" si="52"/>
        <v>9.9065683777130441E-3</v>
      </c>
      <c r="AG407">
        <f t="shared" si="53"/>
        <v>0.30591895510503658</v>
      </c>
      <c r="AH407">
        <f t="shared" si="54"/>
        <v>0.28888992805342834</v>
      </c>
      <c r="AI407">
        <f t="shared" si="55"/>
        <v>1.7029027051608248E-2</v>
      </c>
      <c r="AJ407" s="12"/>
    </row>
    <row r="408" spans="1:36" x14ac:dyDescent="0.25">
      <c r="A408" s="9">
        <v>43</v>
      </c>
      <c r="B408" s="9">
        <v>2016</v>
      </c>
      <c r="C408" s="9">
        <v>-1.1813691965431139</v>
      </c>
      <c r="D408" s="9">
        <v>0.75099147024438317</v>
      </c>
      <c r="E408" s="9">
        <v>0.67069705172235339</v>
      </c>
      <c r="F408" s="9">
        <v>0.64532155107734079</v>
      </c>
      <c r="G408" s="9">
        <v>0.66186289052017888</v>
      </c>
      <c r="H408" s="9">
        <v>0.44455760791426069</v>
      </c>
      <c r="I408" s="9">
        <v>0.46837730750115147</v>
      </c>
      <c r="J408" s="9">
        <v>-4.1056159265104339</v>
      </c>
      <c r="K408" s="9">
        <v>1.394292615005166</v>
      </c>
      <c r="L408" s="9">
        <v>-0.79229715995028049</v>
      </c>
      <c r="M408" s="9">
        <v>3.1344924395282949</v>
      </c>
      <c r="N408" s="9">
        <v>3.144613137618717</v>
      </c>
      <c r="O408" s="9">
        <v>-11.51292546497023</v>
      </c>
      <c r="P408" s="9">
        <v>-1.0120698250830173E-2</v>
      </c>
      <c r="Q408" s="9">
        <v>1</v>
      </c>
      <c r="R408" s="9">
        <v>0</v>
      </c>
      <c r="S408" s="9">
        <v>0</v>
      </c>
      <c r="T408" s="9">
        <v>1</v>
      </c>
      <c r="U408" s="9">
        <v>0</v>
      </c>
      <c r="V408" s="9">
        <v>0</v>
      </c>
      <c r="W408" s="9">
        <v>0</v>
      </c>
      <c r="X408" s="9">
        <v>-1.1861649751663208</v>
      </c>
      <c r="Y408">
        <f t="shared" si="48"/>
        <v>0.30685830151065435</v>
      </c>
      <c r="Z408">
        <f t="shared" si="49"/>
        <v>0.30539020018618801</v>
      </c>
      <c r="AA408">
        <f t="shared" si="50"/>
        <v>1.4681013244663421E-3</v>
      </c>
      <c r="AB408">
        <f t="shared" si="51"/>
        <v>2.1553214988998279E-6</v>
      </c>
      <c r="AC408" t="str">
        <f>VLOOKUP(A408, 'state-ids'!$A$1:$B$28, 2)</f>
        <v>RS</v>
      </c>
      <c r="AD408">
        <f>VLOOKUP(A408, 'state-ids'!$A$1:$C$28, 3)</f>
        <v>2.7906773999999999E-2</v>
      </c>
      <c r="AE408">
        <f>VLOOKUP(A408, 'state-ids'!$A$1:$D$28, 4)</f>
        <v>0.22441960999999999</v>
      </c>
      <c r="AF408">
        <f t="shared" si="52"/>
        <v>1.0762667682664301E-3</v>
      </c>
      <c r="AG408">
        <f t="shared" si="53"/>
        <v>0.31426215906908467</v>
      </c>
      <c r="AH408">
        <f t="shared" si="54"/>
        <v>0.2967687062483963</v>
      </c>
      <c r="AI408">
        <f t="shared" si="55"/>
        <v>1.7493452820688371E-2</v>
      </c>
      <c r="AJ408" s="12"/>
    </row>
    <row r="409" spans="1:36" x14ac:dyDescent="0.25">
      <c r="A409" s="9">
        <v>43</v>
      </c>
      <c r="B409" s="9">
        <v>2017</v>
      </c>
      <c r="C409" s="9">
        <v>-1.1474899667955909</v>
      </c>
      <c r="D409" s="9">
        <v>0.73222365254173816</v>
      </c>
      <c r="E409" s="9">
        <v>0.75099147024438317</v>
      </c>
      <c r="F409" s="9">
        <v>0.67069705172235339</v>
      </c>
      <c r="G409" s="9">
        <v>0.65793442480420083</v>
      </c>
      <c r="H409" s="9">
        <v>0.66186289052017888</v>
      </c>
      <c r="I409" s="9">
        <v>0.44455760791426069</v>
      </c>
      <c r="J409" s="9">
        <v>-3.4766489066267621</v>
      </c>
      <c r="K409" s="9">
        <v>1.394292615005166</v>
      </c>
      <c r="L409" s="9">
        <v>-0.76976414629165346</v>
      </c>
      <c r="M409" s="9">
        <v>3.1300269945941022</v>
      </c>
      <c r="N409" s="9">
        <v>3.1312729786417068</v>
      </c>
      <c r="O409" s="9">
        <v>-11.51292546497023</v>
      </c>
      <c r="P409" s="9">
        <v>-1.245983992703259E-3</v>
      </c>
      <c r="Q409" s="9">
        <v>1</v>
      </c>
      <c r="R409" s="9">
        <v>0</v>
      </c>
      <c r="S409" s="9">
        <v>0</v>
      </c>
      <c r="T409" s="9">
        <v>1</v>
      </c>
      <c r="U409" s="9">
        <v>0</v>
      </c>
      <c r="V409" s="9">
        <v>0</v>
      </c>
      <c r="W409" s="9">
        <v>0</v>
      </c>
      <c r="X409" s="9">
        <v>-1.1414681673049927</v>
      </c>
      <c r="Y409">
        <f t="shared" si="48"/>
        <v>0.317432536467043</v>
      </c>
      <c r="Z409">
        <f t="shared" si="49"/>
        <v>0.31934981850372118</v>
      </c>
      <c r="AA409">
        <f t="shared" si="50"/>
        <v>-1.9172820366781806E-3</v>
      </c>
      <c r="AB409">
        <f t="shared" si="51"/>
        <v>3.6759704081688326E-6</v>
      </c>
      <c r="AC409" t="str">
        <f>VLOOKUP(A409, 'state-ids'!$A$1:$B$28, 2)</f>
        <v>RS</v>
      </c>
      <c r="AD409">
        <f>VLOOKUP(A409, 'state-ids'!$A$1:$C$28, 3)</f>
        <v>2.7906773999999999E-2</v>
      </c>
      <c r="AE409">
        <f>VLOOKUP(A409, 'state-ids'!$A$1:$D$28, 4)</f>
        <v>0.22441960999999999</v>
      </c>
      <c r="AF409">
        <f t="shared" si="52"/>
        <v>-1.3514098931782519E-3</v>
      </c>
      <c r="AG409">
        <f t="shared" si="53"/>
        <v>0.32862732137479617</v>
      </c>
      <c r="AH409">
        <f t="shared" si="54"/>
        <v>0.31033422952088502</v>
      </c>
      <c r="AI409">
        <f t="shared" si="55"/>
        <v>1.8293091853911148E-2</v>
      </c>
      <c r="AJ409" s="12"/>
    </row>
    <row r="410" spans="1:36" x14ac:dyDescent="0.25">
      <c r="A410" s="9">
        <v>43</v>
      </c>
      <c r="B410" s="9">
        <v>2018</v>
      </c>
      <c r="C410" s="9">
        <v>-1.185861415436875</v>
      </c>
      <c r="D410" s="9">
        <v>0.85573360777969776</v>
      </c>
      <c r="E410" s="9">
        <v>0.73222365254173816</v>
      </c>
      <c r="F410" s="9">
        <v>0.75099147024438317</v>
      </c>
      <c r="G410" s="9">
        <v>0.71818119827958704</v>
      </c>
      <c r="H410" s="9">
        <v>0.65793442480420083</v>
      </c>
      <c r="I410" s="9">
        <v>0.66186289052017888</v>
      </c>
      <c r="J410" s="9">
        <v>-3.0072377064900651</v>
      </c>
      <c r="K410" s="9">
        <v>1.394292615005166</v>
      </c>
      <c r="L410" s="9">
        <v>-0.74270185594626881</v>
      </c>
      <c r="M410" s="9">
        <v>3.1627955883168761</v>
      </c>
      <c r="N410" s="9">
        <v>3.129434565485063</v>
      </c>
      <c r="O410" s="9">
        <v>3.2580965380214821</v>
      </c>
      <c r="P410" s="9">
        <v>3.3361021429300308E-2</v>
      </c>
      <c r="Q410" s="9">
        <v>1</v>
      </c>
      <c r="R410" s="9">
        <v>0</v>
      </c>
      <c r="S410" s="9">
        <v>0</v>
      </c>
      <c r="T410" s="9">
        <v>1</v>
      </c>
      <c r="U410" s="9">
        <v>0</v>
      </c>
      <c r="V410" s="9">
        <v>0</v>
      </c>
      <c r="W410" s="9">
        <v>0</v>
      </c>
      <c r="X410" s="9">
        <v>-1.207128643989563</v>
      </c>
      <c r="Y410">
        <f t="shared" si="48"/>
        <v>0.30548291842478165</v>
      </c>
      <c r="Z410">
        <f t="shared" si="49"/>
        <v>0.29905474042924685</v>
      </c>
      <c r="AA410">
        <f t="shared" si="50"/>
        <v>6.4281779955348006E-3</v>
      </c>
      <c r="AB410">
        <f t="shared" si="51"/>
        <v>4.1321472342277805E-5</v>
      </c>
      <c r="AC410" t="str">
        <f>VLOOKUP(A410, 'state-ids'!$A$1:$B$28, 2)</f>
        <v>RS</v>
      </c>
      <c r="AD410">
        <f>VLOOKUP(A410, 'state-ids'!$A$1:$C$28, 3)</f>
        <v>2.7906773999999999E-2</v>
      </c>
      <c r="AE410">
        <f>VLOOKUP(A410, 'state-ids'!$A$1:$D$28, 4)</f>
        <v>0.22441960999999999</v>
      </c>
      <c r="AF410">
        <f t="shared" si="52"/>
        <v>4.7727831375751128E-3</v>
      </c>
      <c r="AG410">
        <f t="shared" si="53"/>
        <v>0.30774264645637556</v>
      </c>
      <c r="AH410">
        <f t="shared" si="54"/>
        <v>0.29061210333707199</v>
      </c>
      <c r="AI410">
        <f t="shared" si="55"/>
        <v>1.7130543119303565E-2</v>
      </c>
      <c r="AJ410" s="12"/>
    </row>
    <row r="411" spans="1:36" x14ac:dyDescent="0.25">
      <c r="A411" s="9">
        <v>43</v>
      </c>
      <c r="B411" s="9">
        <v>2019</v>
      </c>
      <c r="C411" s="9">
        <v>-1.1636872799363609</v>
      </c>
      <c r="D411" s="9">
        <v>0.7959744903594157</v>
      </c>
      <c r="E411" s="9">
        <v>0.85573360777969776</v>
      </c>
      <c r="F411" s="9">
        <v>0.73222365254173816</v>
      </c>
      <c r="G411" s="9">
        <v>0.69084453149726976</v>
      </c>
      <c r="H411" s="9">
        <v>0.71818119827958704</v>
      </c>
      <c r="I411" s="9">
        <v>0.65793442480420083</v>
      </c>
      <c r="J411" s="9">
        <v>-2.2652532434171251</v>
      </c>
      <c r="K411" s="9">
        <v>1.394292615005166</v>
      </c>
      <c r="L411" s="9">
        <v>-0.7200209016275827</v>
      </c>
      <c r="M411" s="9">
        <v>3.170805547254858</v>
      </c>
      <c r="N411" s="9">
        <v>3.158600018921649</v>
      </c>
      <c r="O411" s="9">
        <v>5.393627546352362</v>
      </c>
      <c r="P411" s="9">
        <v>1.2205528095364571E-2</v>
      </c>
      <c r="Q411" s="9">
        <v>1</v>
      </c>
      <c r="R411" s="9">
        <v>0</v>
      </c>
      <c r="S411" s="9">
        <v>0</v>
      </c>
      <c r="T411" s="9">
        <v>1</v>
      </c>
      <c r="U411" s="9">
        <v>0</v>
      </c>
      <c r="V411" s="9">
        <v>0</v>
      </c>
      <c r="W411" s="9">
        <v>0</v>
      </c>
      <c r="X411" s="9">
        <v>-1.1578282117843628</v>
      </c>
      <c r="Y411">
        <f t="shared" si="48"/>
        <v>0.31233239804490354</v>
      </c>
      <c r="Z411">
        <f t="shared" si="49"/>
        <v>0.31416774631600658</v>
      </c>
      <c r="AA411">
        <f t="shared" si="50"/>
        <v>-1.8353482711030433E-3</v>
      </c>
      <c r="AB411">
        <f t="shared" si="51"/>
        <v>3.3685032762409301E-6</v>
      </c>
      <c r="AC411" t="str">
        <f>VLOOKUP(A411, 'state-ids'!$A$1:$B$28, 2)</f>
        <v>RS</v>
      </c>
      <c r="AD411">
        <f>VLOOKUP(A411, 'state-ids'!$A$1:$C$28, 3)</f>
        <v>2.7906773999999999E-2</v>
      </c>
      <c r="AE411">
        <f>VLOOKUP(A411, 'state-ids'!$A$1:$D$28, 4)</f>
        <v>0.22441960999999999</v>
      </c>
      <c r="AF411">
        <f t="shared" si="52"/>
        <v>-1.314889789634835E-3</v>
      </c>
      <c r="AG411">
        <f t="shared" si="53"/>
        <v>0.32329470365107693</v>
      </c>
      <c r="AH411">
        <f t="shared" si="54"/>
        <v>0.30529845280671331</v>
      </c>
      <c r="AI411">
        <f t="shared" si="55"/>
        <v>1.7996250844363626E-2</v>
      </c>
      <c r="AJ411" s="12"/>
    </row>
    <row r="412" spans="1:36" x14ac:dyDescent="0.25">
      <c r="A412" s="9">
        <v>43</v>
      </c>
      <c r="B412" s="9">
        <v>2020</v>
      </c>
      <c r="C412" s="9">
        <v>-1.2792861663795729</v>
      </c>
      <c r="D412" s="9">
        <v>0.71564225838731621</v>
      </c>
      <c r="E412" s="9">
        <v>0.7959744903594157</v>
      </c>
      <c r="F412" s="9">
        <v>0.85573360777969776</v>
      </c>
      <c r="G412" s="9">
        <v>0.66618699897716227</v>
      </c>
      <c r="H412" s="9">
        <v>0.69084453149726976</v>
      </c>
      <c r="I412" s="9">
        <v>0.71818119827958704</v>
      </c>
      <c r="J412" s="9">
        <v>-1.714377892425917</v>
      </c>
      <c r="K412" s="9">
        <v>1.394292615005166</v>
      </c>
      <c r="L412" s="9">
        <v>-0.70344543233434553</v>
      </c>
      <c r="M412" s="9">
        <v>3.079905222339911</v>
      </c>
      <c r="N412" s="9">
        <v>3.1667938247904721</v>
      </c>
      <c r="O412" s="9">
        <v>5.9914645471079817</v>
      </c>
      <c r="P412" s="9">
        <v>-8.6888603866100311E-2</v>
      </c>
      <c r="Q412" s="9">
        <v>1</v>
      </c>
      <c r="R412" s="9">
        <v>1</v>
      </c>
      <c r="S412" s="9">
        <v>0</v>
      </c>
      <c r="T412" s="9">
        <v>1</v>
      </c>
      <c r="U412" s="9">
        <v>0</v>
      </c>
      <c r="V412" s="9">
        <v>0</v>
      </c>
      <c r="W412" s="9">
        <v>0</v>
      </c>
      <c r="X412" s="9">
        <v>-1.2103017568588257</v>
      </c>
      <c r="Y412">
        <f t="shared" si="48"/>
        <v>0.27823584368097515</v>
      </c>
      <c r="Z412">
        <f t="shared" si="49"/>
        <v>0.29810730993067569</v>
      </c>
      <c r="AA412">
        <f t="shared" si="50"/>
        <v>-1.9871466249700542E-2</v>
      </c>
      <c r="AB412">
        <f t="shared" si="51"/>
        <v>3.9487517091298775E-4</v>
      </c>
      <c r="AC412" t="str">
        <f>VLOOKUP(A412, 'state-ids'!$A$1:$B$28, 2)</f>
        <v>RS</v>
      </c>
      <c r="AD412">
        <f>VLOOKUP(A412, 'state-ids'!$A$1:$C$28, 3)</f>
        <v>2.7906773999999999E-2</v>
      </c>
      <c r="AE412">
        <f>VLOOKUP(A412, 'state-ids'!$A$1:$D$28, 4)</f>
        <v>0.22441960999999999</v>
      </c>
      <c r="AF412">
        <f t="shared" si="52"/>
        <v>-1.5481454280726384E-2</v>
      </c>
      <c r="AG412">
        <f t="shared" si="53"/>
        <v>0.30676769194287984</v>
      </c>
      <c r="AH412">
        <f t="shared" si="54"/>
        <v>0.28969141982086938</v>
      </c>
      <c r="AI412">
        <f t="shared" si="55"/>
        <v>1.7076272122010461E-2</v>
      </c>
      <c r="AJ412" s="12"/>
    </row>
    <row r="413" spans="1:36" x14ac:dyDescent="0.25">
      <c r="A413" s="9">
        <v>43</v>
      </c>
      <c r="B413" s="9">
        <v>2021</v>
      </c>
      <c r="C413" s="9">
        <v>-1.2547276923864741</v>
      </c>
      <c r="D413" s="9">
        <v>0.94304950117484621</v>
      </c>
      <c r="E413" s="9">
        <v>0.71564225838731621</v>
      </c>
      <c r="F413" s="9">
        <v>0.7959744903594157</v>
      </c>
      <c r="G413" s="9">
        <v>0.89531221348895718</v>
      </c>
      <c r="H413" s="9">
        <v>0.66618699897716227</v>
      </c>
      <c r="I413" s="9">
        <v>0.69084453149726976</v>
      </c>
      <c r="J413" s="9">
        <v>-1.068768097814778</v>
      </c>
      <c r="K413" s="9">
        <v>1.394292615005166</v>
      </c>
      <c r="L413" s="9">
        <v>-0.68890576751442378</v>
      </c>
      <c r="M413" s="9">
        <v>3.1639349121749452</v>
      </c>
      <c r="N413" s="9">
        <v>3.0760906474049361</v>
      </c>
      <c r="O413" s="9">
        <v>6.6846117276679271</v>
      </c>
      <c r="P413" s="9">
        <v>8.784426748752594E-2</v>
      </c>
      <c r="Q413" s="9">
        <v>1</v>
      </c>
      <c r="R413" s="9">
        <v>0</v>
      </c>
      <c r="S413" s="9">
        <v>0</v>
      </c>
      <c r="T413" s="9">
        <v>1</v>
      </c>
      <c r="U413" s="9">
        <v>0</v>
      </c>
      <c r="V413" s="9">
        <v>0</v>
      </c>
      <c r="W413" s="9">
        <v>0</v>
      </c>
      <c r="X413" s="9">
        <v>-1.1837419271469116</v>
      </c>
      <c r="Y413">
        <f t="shared" si="48"/>
        <v>0.28515348711870869</v>
      </c>
      <c r="Z413">
        <f t="shared" si="49"/>
        <v>0.30613107252804467</v>
      </c>
      <c r="AA413">
        <f t="shared" si="50"/>
        <v>-2.0977585409335975E-2</v>
      </c>
      <c r="AB413">
        <f t="shared" si="51"/>
        <v>4.4005908960598558E-4</v>
      </c>
      <c r="AC413" t="str">
        <f>VLOOKUP(A413, 'state-ids'!$A$1:$B$28, 2)</f>
        <v>RS</v>
      </c>
      <c r="AD413">
        <f>VLOOKUP(A413, 'state-ids'!$A$1:$C$28, 3)</f>
        <v>2.7906773999999999E-2</v>
      </c>
      <c r="AE413">
        <f>VLOOKUP(A413, 'state-ids'!$A$1:$D$28, 4)</f>
        <v>0.22441960999999999</v>
      </c>
      <c r="AF413">
        <f t="shared" si="52"/>
        <v>-1.5930597750614162E-2</v>
      </c>
      <c r="AG413">
        <f t="shared" si="53"/>
        <v>0.31502455465874174</v>
      </c>
      <c r="AH413">
        <f t="shared" si="54"/>
        <v>0.29748866296689602</v>
      </c>
      <c r="AI413">
        <f t="shared" si="55"/>
        <v>1.7535891691845717E-2</v>
      </c>
      <c r="AJ413" s="12"/>
    </row>
    <row r="414" spans="1:36" x14ac:dyDescent="0.25">
      <c r="A414" s="9">
        <v>43</v>
      </c>
      <c r="B414" s="9">
        <v>2022</v>
      </c>
      <c r="C414" s="9">
        <v>-1.1578699023743559</v>
      </c>
      <c r="D414" s="9">
        <v>0.86827626677239533</v>
      </c>
      <c r="E414" s="9">
        <v>0.94304950117484621</v>
      </c>
      <c r="F414" s="9">
        <v>0.71564225838731621</v>
      </c>
      <c r="G414" s="9">
        <v>0.83729081364000524</v>
      </c>
      <c r="H414" s="9">
        <v>0.89531221348895718</v>
      </c>
      <c r="I414" s="9">
        <v>0.66618699897716227</v>
      </c>
      <c r="J414" s="9">
        <v>-0.66652469660513669</v>
      </c>
      <c r="K414" s="9">
        <v>1.394292615005166</v>
      </c>
      <c r="L414" s="9">
        <v>-0.67216233134431047</v>
      </c>
      <c r="M414" s="9">
        <v>3.102755010118011</v>
      </c>
      <c r="N414" s="9">
        <v>3.1639349121749452</v>
      </c>
      <c r="O414" s="9">
        <v>8.0551577318196781</v>
      </c>
      <c r="P414" s="9">
        <v>-6.1179902404546738E-2</v>
      </c>
      <c r="Q414" s="9">
        <v>1</v>
      </c>
      <c r="R414" s="9">
        <v>0</v>
      </c>
      <c r="S414" s="9">
        <v>0</v>
      </c>
      <c r="T414" s="9">
        <v>1</v>
      </c>
      <c r="U414" s="9">
        <v>0</v>
      </c>
      <c r="V414" s="9">
        <v>0</v>
      </c>
      <c r="W414" s="9">
        <v>0</v>
      </c>
      <c r="X414" s="9">
        <v>-1.1212078332901001</v>
      </c>
      <c r="Y414">
        <f t="shared" si="48"/>
        <v>0.31415464875033033</v>
      </c>
      <c r="Z414">
        <f t="shared" si="49"/>
        <v>0.32588594092789047</v>
      </c>
      <c r="AA414">
        <f t="shared" si="50"/>
        <v>-1.1731292177560138E-2</v>
      </c>
      <c r="AB414">
        <f t="shared" si="51"/>
        <v>1.3762321615528366E-4</v>
      </c>
      <c r="AC414" t="str">
        <f>VLOOKUP(A414, 'state-ids'!$A$1:$B$28, 2)</f>
        <v>RS</v>
      </c>
      <c r="AD414">
        <f>VLOOKUP(A414, 'state-ids'!$A$1:$C$28, 3)</f>
        <v>2.7906773999999999E-2</v>
      </c>
      <c r="AE414">
        <f>VLOOKUP(A414, 'state-ids'!$A$1:$D$28, 4)</f>
        <v>0.22441960999999999</v>
      </c>
      <c r="AF414">
        <f t="shared" si="52"/>
        <v>-8.2276872456817536E-3</v>
      </c>
      <c r="AG414">
        <f t="shared" si="53"/>
        <v>0.33535332615067637</v>
      </c>
      <c r="AH414">
        <f t="shared" si="54"/>
        <v>0.31668583017643737</v>
      </c>
      <c r="AI414">
        <f t="shared" si="55"/>
        <v>1.8667495974239001E-2</v>
      </c>
      <c r="AJ414" s="12"/>
    </row>
    <row r="415" spans="1:36" x14ac:dyDescent="0.25">
      <c r="A415" s="9">
        <v>43</v>
      </c>
      <c r="B415" s="9">
        <v>2023</v>
      </c>
      <c r="C415" s="9">
        <v>-1.0976857307889401</v>
      </c>
      <c r="D415" s="9">
        <v>0.74007847524437753</v>
      </c>
      <c r="E415" s="9">
        <v>0.86827626677239533</v>
      </c>
      <c r="F415" s="9">
        <v>0.94304950117484621</v>
      </c>
      <c r="G415" s="9">
        <v>0.5978470007056208</v>
      </c>
      <c r="H415" s="9">
        <v>0.83729081364000524</v>
      </c>
      <c r="I415" s="9">
        <v>0.89531221348895718</v>
      </c>
      <c r="J415" s="9">
        <v>-0.1183286804237825</v>
      </c>
      <c r="K415" s="9">
        <v>1.394292615005166</v>
      </c>
      <c r="L415" s="9">
        <v>-0.65299503340882381</v>
      </c>
      <c r="M415" s="9">
        <v>3.1433215520329649</v>
      </c>
      <c r="N415" s="9">
        <v>3.102755010118011</v>
      </c>
      <c r="O415" s="9">
        <v>8.4658998970286863</v>
      </c>
      <c r="P415" s="9">
        <v>4.0566541254520416E-2</v>
      </c>
      <c r="Q415" s="9">
        <v>1</v>
      </c>
      <c r="R415" s="9">
        <v>0</v>
      </c>
      <c r="S415" s="9">
        <v>0</v>
      </c>
      <c r="T415" s="9">
        <v>1</v>
      </c>
      <c r="U415" s="9">
        <v>0</v>
      </c>
      <c r="V415" s="9">
        <v>0</v>
      </c>
      <c r="W415" s="9">
        <v>0</v>
      </c>
      <c r="X415" s="9">
        <v>-1.1165146827697754</v>
      </c>
      <c r="Y415">
        <f t="shared" si="48"/>
        <v>0.33364232908884284</v>
      </c>
      <c r="Z415">
        <f t="shared" si="49"/>
        <v>0.32741896724893527</v>
      </c>
      <c r="AA415">
        <f t="shared" si="50"/>
        <v>6.2233618399075707E-3</v>
      </c>
      <c r="AB415">
        <f t="shared" si="51"/>
        <v>3.8730232590417741E-5</v>
      </c>
      <c r="AC415" t="str">
        <f>VLOOKUP(A415, 'state-ids'!$A$1:$B$28, 2)</f>
        <v>RS</v>
      </c>
      <c r="AD415">
        <f>VLOOKUP(A415, 'state-ids'!$A$1:$C$28, 3)</f>
        <v>2.7906773999999999E-2</v>
      </c>
      <c r="AE415">
        <f>VLOOKUP(A415, 'state-ids'!$A$1:$D$28, 4)</f>
        <v>0.22441960999999999</v>
      </c>
      <c r="AF415">
        <f t="shared" si="52"/>
        <v>4.2255860602477945E-3</v>
      </c>
      <c r="AG415">
        <f t="shared" si="53"/>
        <v>0.33693088876161653</v>
      </c>
      <c r="AH415">
        <f t="shared" si="54"/>
        <v>0.31817557751496961</v>
      </c>
      <c r="AI415">
        <f t="shared" si="55"/>
        <v>1.8755311246646922E-2</v>
      </c>
      <c r="AJ415" s="12"/>
    </row>
    <row r="416" spans="1:36" x14ac:dyDescent="0.25">
      <c r="A416" s="9">
        <v>50</v>
      </c>
      <c r="B416" s="9">
        <v>2006</v>
      </c>
      <c r="C416" s="9">
        <v>-1.975513597005494</v>
      </c>
      <c r="D416" s="9">
        <v>1.015230679729058</v>
      </c>
      <c r="E416" s="9">
        <v>0.97093042083247871</v>
      </c>
      <c r="F416" s="9">
        <v>0.89718945857175403</v>
      </c>
      <c r="G416" s="9">
        <v>0.66268797307523675</v>
      </c>
      <c r="H416" s="9">
        <v>0.53168651443331993</v>
      </c>
      <c r="I416" s="9">
        <v>0.4439162944824171</v>
      </c>
      <c r="J416" s="9">
        <v>-11.51292546497023</v>
      </c>
      <c r="K416" s="9">
        <v>1.130977484562024</v>
      </c>
      <c r="L416" s="9">
        <v>-1.579811695749985</v>
      </c>
      <c r="M416" s="9">
        <v>2.74943297343194</v>
      </c>
      <c r="N416" s="9">
        <v>2.6980596550138718</v>
      </c>
      <c r="O416" s="9">
        <v>-11.51292546497023</v>
      </c>
      <c r="P416" s="9">
        <v>5.1373317837715149E-2</v>
      </c>
      <c r="Q416" s="9">
        <v>0</v>
      </c>
      <c r="R416" s="9">
        <v>0</v>
      </c>
      <c r="S416" s="9">
        <v>1</v>
      </c>
      <c r="T416" s="9">
        <v>0</v>
      </c>
      <c r="U416" s="9">
        <v>0</v>
      </c>
      <c r="V416" s="9">
        <v>0</v>
      </c>
      <c r="W416" s="9">
        <v>0</v>
      </c>
      <c r="X416" s="9">
        <v>-1.9434492588043213</v>
      </c>
      <c r="Y416">
        <f t="shared" si="48"/>
        <v>0.13869006314673626</v>
      </c>
      <c r="Z416">
        <f t="shared" si="49"/>
        <v>0.14320913153239789</v>
      </c>
      <c r="AA416">
        <f t="shared" si="50"/>
        <v>-4.5190683856616287E-3</v>
      </c>
      <c r="AB416">
        <f t="shared" si="51"/>
        <v>2.04219790742864E-5</v>
      </c>
      <c r="AC416" t="str">
        <f>VLOOKUP(A416, 'state-ids'!$A$1:$B$28, 2)</f>
        <v>MS</v>
      </c>
      <c r="AD416">
        <f>VLOOKUP(A416, 'state-ids'!$A$1:$C$28, 3)</f>
        <v>3.8154966999999998E-2</v>
      </c>
      <c r="AE416">
        <f>VLOOKUP(A416, 'state-ids'!$A$1:$D$28, 4)</f>
        <v>0.74716150999999997</v>
      </c>
      <c r="AF416">
        <f t="shared" si="52"/>
        <v>-2.1311322509969161E-2</v>
      </c>
      <c r="AG416">
        <f t="shared" si="53"/>
        <v>0.15167085879272857</v>
      </c>
      <c r="AH416">
        <f t="shared" si="54"/>
        <v>0.13521948459651553</v>
      </c>
      <c r="AI416">
        <f t="shared" si="55"/>
        <v>1.6451374196213037E-2</v>
      </c>
      <c r="AJ416" s="12"/>
    </row>
    <row r="417" spans="1:36" x14ac:dyDescent="0.25">
      <c r="A417" s="9">
        <v>50</v>
      </c>
      <c r="B417" s="9">
        <v>2007</v>
      </c>
      <c r="C417" s="9">
        <v>-1.952096980782045</v>
      </c>
      <c r="D417" s="9">
        <v>0.95331673071060219</v>
      </c>
      <c r="E417" s="9">
        <v>1.015230679729058</v>
      </c>
      <c r="F417" s="9">
        <v>0.97093042083247871</v>
      </c>
      <c r="G417" s="9">
        <v>0.50446544061330811</v>
      </c>
      <c r="H417" s="9">
        <v>0.66268797307523675</v>
      </c>
      <c r="I417" s="9">
        <v>0.53168651443331993</v>
      </c>
      <c r="J417" s="9">
        <v>-11.51292546497023</v>
      </c>
      <c r="K417" s="9">
        <v>1.130977484562024</v>
      </c>
      <c r="L417" s="9">
        <v>-1.4896782365077359</v>
      </c>
      <c r="M417" s="9">
        <v>2.7993383120309798</v>
      </c>
      <c r="N417" s="9">
        <v>2.7411820075006239</v>
      </c>
      <c r="O417" s="9">
        <v>-11.51292546497023</v>
      </c>
      <c r="P417" s="9">
        <v>5.8156304061412811E-2</v>
      </c>
      <c r="Q417" s="9">
        <v>0</v>
      </c>
      <c r="R417" s="9">
        <v>0</v>
      </c>
      <c r="S417" s="9">
        <v>1</v>
      </c>
      <c r="T417" s="9">
        <v>0</v>
      </c>
      <c r="U417" s="9">
        <v>0</v>
      </c>
      <c r="V417" s="9">
        <v>0</v>
      </c>
      <c r="W417" s="9">
        <v>0</v>
      </c>
      <c r="X417" s="9">
        <v>-1.8878177404403687</v>
      </c>
      <c r="Y417">
        <f t="shared" si="48"/>
        <v>0.14197603818698154</v>
      </c>
      <c r="Z417">
        <f t="shared" si="49"/>
        <v>0.15140184671857948</v>
      </c>
      <c r="AA417">
        <f t="shared" si="50"/>
        <v>-9.4258085315979401E-3</v>
      </c>
      <c r="AB417">
        <f t="shared" si="51"/>
        <v>8.8845866474344511E-5</v>
      </c>
      <c r="AC417" t="str">
        <f>VLOOKUP(A417, 'state-ids'!$A$1:$B$28, 2)</f>
        <v>MS</v>
      </c>
      <c r="AD417">
        <f>VLOOKUP(A417, 'state-ids'!$A$1:$C$28, 3)</f>
        <v>3.8154966999999998E-2</v>
      </c>
      <c r="AE417">
        <f>VLOOKUP(A417, 'state-ids'!$A$1:$D$28, 4)</f>
        <v>0.74716150999999997</v>
      </c>
      <c r="AF417">
        <f t="shared" si="52"/>
        <v>-4.8026974275339786E-2</v>
      </c>
      <c r="AG417">
        <f t="shared" si="53"/>
        <v>0.16034765289682018</v>
      </c>
      <c r="AH417">
        <f t="shared" si="54"/>
        <v>0.14295512765968779</v>
      </c>
      <c r="AI417">
        <f t="shared" si="55"/>
        <v>1.7392525237132389E-2</v>
      </c>
      <c r="AJ417" s="12"/>
    </row>
    <row r="418" spans="1:36" x14ac:dyDescent="0.25">
      <c r="A418" s="9">
        <v>50</v>
      </c>
      <c r="B418" s="9">
        <v>2008</v>
      </c>
      <c r="C418" s="9">
        <v>-1.880283809994443</v>
      </c>
      <c r="D418" s="9">
        <v>0.8960063885714481</v>
      </c>
      <c r="E418" s="9">
        <v>0.95331673071060219</v>
      </c>
      <c r="F418" s="9">
        <v>1.015230679729058</v>
      </c>
      <c r="G418" s="9">
        <v>0.4529210492644597</v>
      </c>
      <c r="H418" s="9">
        <v>0.50446544061330811</v>
      </c>
      <c r="I418" s="9">
        <v>0.66268797307523675</v>
      </c>
      <c r="J418" s="9">
        <v>-11.51292546497023</v>
      </c>
      <c r="K418" s="9">
        <v>1.130977484562024</v>
      </c>
      <c r="L418" s="9">
        <v>-1.396145555598052</v>
      </c>
      <c r="M418" s="9">
        <v>2.8925826433772062</v>
      </c>
      <c r="N418" s="9">
        <v>2.7911544397278618</v>
      </c>
      <c r="O418" s="9">
        <v>-11.51292546497023</v>
      </c>
      <c r="P418" s="9">
        <v>0.10142820328474045</v>
      </c>
      <c r="Q418" s="9">
        <v>0</v>
      </c>
      <c r="R418" s="9">
        <v>0</v>
      </c>
      <c r="S418" s="9">
        <v>1</v>
      </c>
      <c r="T418" s="9">
        <v>0</v>
      </c>
      <c r="U418" s="9">
        <v>0</v>
      </c>
      <c r="V418" s="9">
        <v>0</v>
      </c>
      <c r="W418" s="9">
        <v>0</v>
      </c>
      <c r="X418" s="9">
        <v>-1.8010404109954834</v>
      </c>
      <c r="Y418">
        <f t="shared" si="48"/>
        <v>0.15254680530465814</v>
      </c>
      <c r="Z418">
        <f t="shared" si="49"/>
        <v>0.16512699887402843</v>
      </c>
      <c r="AA418">
        <f t="shared" si="50"/>
        <v>-1.258019356937029E-2</v>
      </c>
      <c r="AB418">
        <f t="shared" si="51"/>
        <v>1.582612702428256E-4</v>
      </c>
      <c r="AC418" t="str">
        <f>VLOOKUP(A418, 'state-ids'!$A$1:$B$28, 2)</f>
        <v>MS</v>
      </c>
      <c r="AD418">
        <f>VLOOKUP(A418, 'state-ids'!$A$1:$C$28, 3)</f>
        <v>3.8154966999999998E-2</v>
      </c>
      <c r="AE418">
        <f>VLOOKUP(A418, 'state-ids'!$A$1:$D$28, 4)</f>
        <v>0.74716150999999997</v>
      </c>
      <c r="AF418">
        <f t="shared" si="52"/>
        <v>-5.920761765359514E-2</v>
      </c>
      <c r="AG418">
        <f t="shared" si="53"/>
        <v>0.17488377634232039</v>
      </c>
      <c r="AH418">
        <f t="shared" si="54"/>
        <v>0.15591455266708479</v>
      </c>
      <c r="AI418">
        <f t="shared" si="55"/>
        <v>1.8969223675235597E-2</v>
      </c>
      <c r="AJ418" s="12"/>
    </row>
    <row r="419" spans="1:36" x14ac:dyDescent="0.25">
      <c r="A419" s="9">
        <v>50</v>
      </c>
      <c r="B419" s="9">
        <v>2009</v>
      </c>
      <c r="C419" s="9">
        <v>-1.8462884171821501</v>
      </c>
      <c r="D419" s="9">
        <v>0.83893441262592605</v>
      </c>
      <c r="E419" s="9">
        <v>0.8960063885714481</v>
      </c>
      <c r="F419" s="9">
        <v>0.95331673071060219</v>
      </c>
      <c r="G419" s="9">
        <v>0.41071795438961278</v>
      </c>
      <c r="H419" s="9">
        <v>0.4529210492644597</v>
      </c>
      <c r="I419" s="9">
        <v>0.50446544061330811</v>
      </c>
      <c r="J419" s="9">
        <v>-7.7666278927080938</v>
      </c>
      <c r="K419" s="9">
        <v>1.130977484562024</v>
      </c>
      <c r="L419" s="9">
        <v>-1.3133919458640591</v>
      </c>
      <c r="M419" s="9">
        <v>2.8987503000406152</v>
      </c>
      <c r="N419" s="9">
        <v>2.8821757792191152</v>
      </c>
      <c r="O419" s="9">
        <v>-11.51292546497023</v>
      </c>
      <c r="P419" s="9">
        <v>1.6574520617723465E-2</v>
      </c>
      <c r="Q419" s="9">
        <v>0</v>
      </c>
      <c r="R419" s="9">
        <v>0</v>
      </c>
      <c r="S419" s="9">
        <v>1</v>
      </c>
      <c r="T419" s="9">
        <v>0</v>
      </c>
      <c r="U419" s="9">
        <v>0</v>
      </c>
      <c r="V419" s="9">
        <v>0</v>
      </c>
      <c r="W419" s="9">
        <v>0</v>
      </c>
      <c r="X419" s="9">
        <v>-1.733475923538208</v>
      </c>
      <c r="Y419">
        <f t="shared" si="48"/>
        <v>0.1578218494571908</v>
      </c>
      <c r="Z419">
        <f t="shared" si="49"/>
        <v>0.17666925265556349</v>
      </c>
      <c r="AA419">
        <f t="shared" si="50"/>
        <v>-1.8847403198372692E-2</v>
      </c>
      <c r="AB419">
        <f t="shared" si="51"/>
        <v>3.5522460732202916E-4</v>
      </c>
      <c r="AC419" t="str">
        <f>VLOOKUP(A419, 'state-ids'!$A$1:$B$28, 2)</f>
        <v>MS</v>
      </c>
      <c r="AD419">
        <f>VLOOKUP(A419, 'state-ids'!$A$1:$C$28, 3)</f>
        <v>3.8154966999999998E-2</v>
      </c>
      <c r="AE419">
        <f>VLOOKUP(A419, 'state-ids'!$A$1:$D$28, 4)</f>
        <v>0.74716150999999997</v>
      </c>
      <c r="AF419">
        <f t="shared" si="52"/>
        <v>-8.428915309787316E-2</v>
      </c>
      <c r="AG419">
        <f t="shared" si="53"/>
        <v>0.18710802157526493</v>
      </c>
      <c r="AH419">
        <f t="shared" si="54"/>
        <v>0.16681286334546683</v>
      </c>
      <c r="AI419">
        <f t="shared" si="55"/>
        <v>2.0295158229798105E-2</v>
      </c>
      <c r="AJ419" s="12"/>
    </row>
    <row r="420" spans="1:36" x14ac:dyDescent="0.25">
      <c r="A420" s="9">
        <v>50</v>
      </c>
      <c r="B420" s="9">
        <v>2010</v>
      </c>
      <c r="C420" s="9">
        <v>-1.6790492006636919</v>
      </c>
      <c r="D420" s="9">
        <v>0.77398956840404609</v>
      </c>
      <c r="E420" s="9">
        <v>0.83893441262592605</v>
      </c>
      <c r="F420" s="9">
        <v>0.8960063885714481</v>
      </c>
      <c r="G420" s="9">
        <v>0.39823906301642481</v>
      </c>
      <c r="H420" s="9">
        <v>0.41071795438961278</v>
      </c>
      <c r="I420" s="9">
        <v>0.4529210492644597</v>
      </c>
      <c r="J420" s="9">
        <v>-7.0979705978952667</v>
      </c>
      <c r="K420" s="9">
        <v>1.130977484562024</v>
      </c>
      <c r="L420" s="9">
        <v>-1.2405089831405469</v>
      </c>
      <c r="M420" s="9">
        <v>2.972527222959565</v>
      </c>
      <c r="N420" s="9">
        <v>2.874260414293341</v>
      </c>
      <c r="O420" s="9">
        <v>-11.51292546497023</v>
      </c>
      <c r="P420" s="9">
        <v>9.8266810178756714E-2</v>
      </c>
      <c r="Q420" s="9">
        <v>0</v>
      </c>
      <c r="R420" s="9">
        <v>0</v>
      </c>
      <c r="S420" s="9">
        <v>1</v>
      </c>
      <c r="T420" s="9">
        <v>0</v>
      </c>
      <c r="U420" s="9">
        <v>0</v>
      </c>
      <c r="V420" s="9">
        <v>0</v>
      </c>
      <c r="W420" s="9">
        <v>0</v>
      </c>
      <c r="X420" s="9">
        <v>-1.606993556022644</v>
      </c>
      <c r="Y420">
        <f t="shared" si="48"/>
        <v>0.18655126456168197</v>
      </c>
      <c r="Z420">
        <f t="shared" si="49"/>
        <v>0.20048946925723993</v>
      </c>
      <c r="AA420">
        <f t="shared" si="50"/>
        <v>-1.3938204695557954E-2</v>
      </c>
      <c r="AB420">
        <f t="shared" si="51"/>
        <v>1.942735501352738E-4</v>
      </c>
      <c r="AC420" t="str">
        <f>VLOOKUP(A420, 'state-ids'!$A$1:$B$28, 2)</f>
        <v>MS</v>
      </c>
      <c r="AD420">
        <f>VLOOKUP(A420, 'state-ids'!$A$1:$C$28, 3)</f>
        <v>3.8154966999999998E-2</v>
      </c>
      <c r="AE420">
        <f>VLOOKUP(A420, 'state-ids'!$A$1:$D$28, 4)</f>
        <v>0.74716150999999997</v>
      </c>
      <c r="AF420">
        <f t="shared" si="52"/>
        <v>-5.3837204254028721E-2</v>
      </c>
      <c r="AG420">
        <f t="shared" si="53"/>
        <v>0.21233569155654508</v>
      </c>
      <c r="AH420">
        <f t="shared" si="54"/>
        <v>0.18930414848483226</v>
      </c>
      <c r="AI420">
        <f t="shared" si="55"/>
        <v>2.3031543071712818E-2</v>
      </c>
      <c r="AJ420" s="12"/>
    </row>
    <row r="421" spans="1:36" x14ac:dyDescent="0.25">
      <c r="A421" s="9">
        <v>50</v>
      </c>
      <c r="B421" s="9">
        <v>2011</v>
      </c>
      <c r="C421" s="9">
        <v>-1.5013570777630769</v>
      </c>
      <c r="D421" s="9">
        <v>0.74074615935922428</v>
      </c>
      <c r="E421" s="9">
        <v>0.77398956840404609</v>
      </c>
      <c r="F421" s="9">
        <v>0.83893441262592605</v>
      </c>
      <c r="G421" s="9">
        <v>0.46881542360892609</v>
      </c>
      <c r="H421" s="9">
        <v>0.39823906301642481</v>
      </c>
      <c r="I421" s="9">
        <v>0.41071795438961278</v>
      </c>
      <c r="J421" s="9">
        <v>-5.5124371256395719</v>
      </c>
      <c r="K421" s="9">
        <v>1.130977484562024</v>
      </c>
      <c r="L421" s="9">
        <v>-1.174478633946102</v>
      </c>
      <c r="M421" s="9">
        <v>3.0225778200583151</v>
      </c>
      <c r="N421" s="9">
        <v>2.948622782781094</v>
      </c>
      <c r="O421" s="9">
        <v>-11.51292546497023</v>
      </c>
      <c r="P421" s="9">
        <v>7.3955036699771881E-2</v>
      </c>
      <c r="Q421" s="9">
        <v>0</v>
      </c>
      <c r="R421" s="9">
        <v>0</v>
      </c>
      <c r="S421" s="9">
        <v>1</v>
      </c>
      <c r="T421" s="9">
        <v>0</v>
      </c>
      <c r="U421" s="9">
        <v>0</v>
      </c>
      <c r="V421" s="9">
        <v>0</v>
      </c>
      <c r="W421" s="9">
        <v>0</v>
      </c>
      <c r="X421" s="9">
        <v>-1.4842032194137573</v>
      </c>
      <c r="Y421">
        <f t="shared" si="48"/>
        <v>0.22282756054185968</v>
      </c>
      <c r="Z421">
        <f t="shared" si="49"/>
        <v>0.22668288526191693</v>
      </c>
      <c r="AA421">
        <f t="shared" si="50"/>
        <v>-3.8553247200572571E-3</v>
      </c>
      <c r="AB421">
        <f t="shared" si="51"/>
        <v>1.4863528697084567E-5</v>
      </c>
      <c r="AC421" t="str">
        <f>VLOOKUP(A421, 'state-ids'!$A$1:$B$28, 2)</f>
        <v>MS</v>
      </c>
      <c r="AD421">
        <f>VLOOKUP(A421, 'state-ids'!$A$1:$C$28, 3)</f>
        <v>3.8154966999999998E-2</v>
      </c>
      <c r="AE421">
        <f>VLOOKUP(A421, 'state-ids'!$A$1:$D$28, 4)</f>
        <v>0.74716150999999997</v>
      </c>
      <c r="AF421">
        <f t="shared" si="52"/>
        <v>-1.2816702706603735E-2</v>
      </c>
      <c r="AG421">
        <f t="shared" si="53"/>
        <v>0.24007678500243199</v>
      </c>
      <c r="AH421">
        <f t="shared" si="54"/>
        <v>0.214036232075279</v>
      </c>
      <c r="AI421">
        <f t="shared" si="55"/>
        <v>2.6040552927152988E-2</v>
      </c>
      <c r="AJ421" s="12"/>
    </row>
    <row r="422" spans="1:36" x14ac:dyDescent="0.25">
      <c r="A422" s="9">
        <v>50</v>
      </c>
      <c r="B422" s="9">
        <v>2012</v>
      </c>
      <c r="C422" s="9">
        <v>-1.3576503718458801</v>
      </c>
      <c r="D422" s="9">
        <v>0.70215647471753273</v>
      </c>
      <c r="E422" s="9">
        <v>0.74074615935922428</v>
      </c>
      <c r="F422" s="9">
        <v>0.77398956840404609</v>
      </c>
      <c r="G422" s="9">
        <v>0.43580030790423729</v>
      </c>
      <c r="H422" s="9">
        <v>0.46881542360892609</v>
      </c>
      <c r="I422" s="9">
        <v>0.39823906301642481</v>
      </c>
      <c r="J422" s="9">
        <v>-5.0516032779595612</v>
      </c>
      <c r="K422" s="9">
        <v>1.130977484562024</v>
      </c>
      <c r="L422" s="9">
        <v>-1.102219461000258</v>
      </c>
      <c r="M422" s="9">
        <v>3.0545696338853041</v>
      </c>
      <c r="N422" s="9">
        <v>3.0134080384925941</v>
      </c>
      <c r="O422" s="9">
        <v>-11.51292546497023</v>
      </c>
      <c r="P422" s="9">
        <v>4.1161596775054932E-2</v>
      </c>
      <c r="Q422" s="9">
        <v>0</v>
      </c>
      <c r="R422" s="9">
        <v>0</v>
      </c>
      <c r="S422" s="9">
        <v>1</v>
      </c>
      <c r="T422" s="9">
        <v>0</v>
      </c>
      <c r="U422" s="9">
        <v>0</v>
      </c>
      <c r="V422" s="9">
        <v>0</v>
      </c>
      <c r="W422" s="9">
        <v>0</v>
      </c>
      <c r="X422" s="9">
        <v>-1.3795301914215088</v>
      </c>
      <c r="Y422">
        <f t="shared" si="48"/>
        <v>0.25726454337666699</v>
      </c>
      <c r="Z422">
        <f t="shared" si="49"/>
        <v>0.2516967745907186</v>
      </c>
      <c r="AA422">
        <f t="shared" si="50"/>
        <v>5.5677687859483904E-3</v>
      </c>
      <c r="AB422">
        <f t="shared" si="51"/>
        <v>3.100004925378121E-5</v>
      </c>
      <c r="AC422" t="str">
        <f>VLOOKUP(A422, 'state-ids'!$A$1:$B$28, 2)</f>
        <v>MS</v>
      </c>
      <c r="AD422">
        <f>VLOOKUP(A422, 'state-ids'!$A$1:$C$28, 3)</f>
        <v>3.8154966999999998E-2</v>
      </c>
      <c r="AE422">
        <f>VLOOKUP(A422, 'state-ids'!$A$1:$D$28, 4)</f>
        <v>0.74716150999999997</v>
      </c>
      <c r="AF422">
        <f t="shared" si="52"/>
        <v>1.6347759032654282E-2</v>
      </c>
      <c r="AG422">
        <f t="shared" si="53"/>
        <v>0.26656865766201404</v>
      </c>
      <c r="AH422">
        <f t="shared" si="54"/>
        <v>0.23765459486124182</v>
      </c>
      <c r="AI422">
        <f t="shared" si="55"/>
        <v>2.8914062800772217E-2</v>
      </c>
      <c r="AJ422" s="12"/>
    </row>
    <row r="423" spans="1:36" x14ac:dyDescent="0.25">
      <c r="A423" s="9">
        <v>50</v>
      </c>
      <c r="B423" s="9">
        <v>2013</v>
      </c>
      <c r="C423" s="9">
        <v>-1.349415161555104</v>
      </c>
      <c r="D423" s="9">
        <v>0.72090825134533554</v>
      </c>
      <c r="E423" s="9">
        <v>0.70215647471753273</v>
      </c>
      <c r="F423" s="9">
        <v>0.74074615935922428</v>
      </c>
      <c r="G423" s="9">
        <v>0.39237986855950879</v>
      </c>
      <c r="H423" s="9">
        <v>0.43580030790423729</v>
      </c>
      <c r="I423" s="9">
        <v>0.46881542360892609</v>
      </c>
      <c r="J423" s="9">
        <v>-4.2474402455818021</v>
      </c>
      <c r="K423" s="9">
        <v>1.130977484562024</v>
      </c>
      <c r="L423" s="9">
        <v>-1.0624577711181571</v>
      </c>
      <c r="M423" s="9">
        <v>3.0577401914607312</v>
      </c>
      <c r="N423" s="9">
        <v>3.0204034758586098</v>
      </c>
      <c r="O423" s="9">
        <v>-11.51292546497023</v>
      </c>
      <c r="P423" s="9">
        <v>3.7336714565753937E-2</v>
      </c>
      <c r="Q423" s="9">
        <v>0</v>
      </c>
      <c r="R423" s="9">
        <v>0</v>
      </c>
      <c r="S423" s="9">
        <v>1</v>
      </c>
      <c r="T423" s="9">
        <v>0</v>
      </c>
      <c r="U423" s="9">
        <v>0</v>
      </c>
      <c r="V423" s="9">
        <v>0</v>
      </c>
      <c r="W423" s="9">
        <v>0</v>
      </c>
      <c r="X423" s="9">
        <v>-1.3728792667388916</v>
      </c>
      <c r="Y423">
        <f t="shared" si="48"/>
        <v>0.25939191866017797</v>
      </c>
      <c r="Z423">
        <f t="shared" si="49"/>
        <v>0.25337637012168968</v>
      </c>
      <c r="AA423">
        <f t="shared" si="50"/>
        <v>6.0155485384882912E-3</v>
      </c>
      <c r="AB423">
        <f t="shared" si="51"/>
        <v>3.6186824218908614E-5</v>
      </c>
      <c r="AC423" t="str">
        <f>VLOOKUP(A423, 'state-ids'!$A$1:$B$28, 2)</f>
        <v>MS</v>
      </c>
      <c r="AD423">
        <f>VLOOKUP(A423, 'state-ids'!$A$1:$C$28, 3)</f>
        <v>3.8154966999999998E-2</v>
      </c>
      <c r="AE423">
        <f>VLOOKUP(A423, 'state-ids'!$A$1:$D$28, 4)</f>
        <v>0.74716150999999997</v>
      </c>
      <c r="AF423">
        <f t="shared" si="52"/>
        <v>1.7531476259917578E-2</v>
      </c>
      <c r="AG423">
        <f t="shared" si="53"/>
        <v>0.26834749462499902</v>
      </c>
      <c r="AH423">
        <f t="shared" si="54"/>
        <v>0.23924048564626582</v>
      </c>
      <c r="AI423">
        <f t="shared" si="55"/>
        <v>2.9107008978733195E-2</v>
      </c>
      <c r="AJ423" s="12"/>
    </row>
    <row r="424" spans="1:36" x14ac:dyDescent="0.25">
      <c r="A424" s="9">
        <v>50</v>
      </c>
      <c r="B424" s="9">
        <v>2014</v>
      </c>
      <c r="C424" s="9">
        <v>-1.294690965227715</v>
      </c>
      <c r="D424" s="9">
        <v>0.68506460436658934</v>
      </c>
      <c r="E424" s="9">
        <v>0.72090825134533554</v>
      </c>
      <c r="F424" s="9">
        <v>0.70215647471753273</v>
      </c>
      <c r="G424" s="9">
        <v>0.34401514579194181</v>
      </c>
      <c r="H424" s="9">
        <v>0.39237986855950879</v>
      </c>
      <c r="I424" s="9">
        <v>0.43580030790423729</v>
      </c>
      <c r="J424" s="9">
        <v>-3.514089845464766</v>
      </c>
      <c r="K424" s="9">
        <v>1.130977484562024</v>
      </c>
      <c r="L424" s="9">
        <v>-1.0143261612993819</v>
      </c>
      <c r="M424" s="9">
        <v>3.1015283053931602</v>
      </c>
      <c r="N424" s="9">
        <v>3.0452996775323982</v>
      </c>
      <c r="O424" s="9">
        <v>-11.51292546497023</v>
      </c>
      <c r="P424" s="9">
        <v>5.6228626519441605E-2</v>
      </c>
      <c r="Q424" s="9">
        <v>0</v>
      </c>
      <c r="R424" s="9">
        <v>0</v>
      </c>
      <c r="S424" s="9">
        <v>1</v>
      </c>
      <c r="T424" s="9">
        <v>0</v>
      </c>
      <c r="U424" s="9">
        <v>0</v>
      </c>
      <c r="V424" s="9">
        <v>0</v>
      </c>
      <c r="W424" s="9">
        <v>0</v>
      </c>
      <c r="X424" s="9">
        <v>-1.3330508470535278</v>
      </c>
      <c r="Y424">
        <f t="shared" si="48"/>
        <v>0.27398252137589008</v>
      </c>
      <c r="Z424">
        <f t="shared" si="49"/>
        <v>0.26367161120895877</v>
      </c>
      <c r="AA424">
        <f t="shared" si="50"/>
        <v>1.0310910166931309E-2</v>
      </c>
      <c r="AB424">
        <f t="shared" si="51"/>
        <v>1.0631486847052743E-4</v>
      </c>
      <c r="AC424" t="str">
        <f>VLOOKUP(A424, 'state-ids'!$A$1:$B$28, 2)</f>
        <v>MS</v>
      </c>
      <c r="AD424">
        <f>VLOOKUP(A424, 'state-ids'!$A$1:$C$28, 3)</f>
        <v>3.8154966999999998E-2</v>
      </c>
      <c r="AE424">
        <f>VLOOKUP(A424, 'state-ids'!$A$1:$D$28, 4)</f>
        <v>0.74716150999999997</v>
      </c>
      <c r="AF424">
        <f t="shared" si="52"/>
        <v>2.8661027228395884E-2</v>
      </c>
      <c r="AG424">
        <f t="shared" si="53"/>
        <v>0.27925104554019353</v>
      </c>
      <c r="AH424">
        <f t="shared" si="54"/>
        <v>0.24896135455121032</v>
      </c>
      <c r="AI424">
        <f t="shared" si="55"/>
        <v>3.0289690988983209E-2</v>
      </c>
      <c r="AJ424" s="12"/>
    </row>
    <row r="425" spans="1:36" x14ac:dyDescent="0.25">
      <c r="A425" s="9">
        <v>50</v>
      </c>
      <c r="B425" s="9">
        <v>2015</v>
      </c>
      <c r="C425" s="9">
        <v>-1.3848701080031769</v>
      </c>
      <c r="D425" s="9">
        <v>0.66772680321303413</v>
      </c>
      <c r="E425" s="9">
        <v>0.68506460436658934</v>
      </c>
      <c r="F425" s="9">
        <v>0.72090825134533554</v>
      </c>
      <c r="G425" s="9">
        <v>0.32164862201505379</v>
      </c>
      <c r="H425" s="9">
        <v>0.34401514579194181</v>
      </c>
      <c r="I425" s="9">
        <v>0.39237986855950879</v>
      </c>
      <c r="J425" s="9">
        <v>-3.1206069133565029</v>
      </c>
      <c r="K425" s="9">
        <v>1.130977484562024</v>
      </c>
      <c r="L425" s="9">
        <v>-0.98173704079714696</v>
      </c>
      <c r="M425" s="9">
        <v>3.067628402405107</v>
      </c>
      <c r="N425" s="9">
        <v>3.0895461293932569</v>
      </c>
      <c r="O425" s="9">
        <v>-11.51292546497023</v>
      </c>
      <c r="P425" s="9">
        <v>-2.1917726844549179E-2</v>
      </c>
      <c r="Q425" s="9">
        <v>1</v>
      </c>
      <c r="R425" s="9">
        <v>0</v>
      </c>
      <c r="S425" s="9">
        <v>1</v>
      </c>
      <c r="T425" s="9">
        <v>0</v>
      </c>
      <c r="U425" s="9">
        <v>0</v>
      </c>
      <c r="V425" s="9">
        <v>0</v>
      </c>
      <c r="W425" s="9">
        <v>0</v>
      </c>
      <c r="X425" s="9">
        <v>-1.3628988265991211</v>
      </c>
      <c r="Y425">
        <f t="shared" si="48"/>
        <v>0.25035631696171773</v>
      </c>
      <c r="Z425">
        <f t="shared" si="49"/>
        <v>0.25591783921047162</v>
      </c>
      <c r="AA425">
        <f t="shared" si="50"/>
        <v>-5.5615222487538918E-3</v>
      </c>
      <c r="AB425">
        <f t="shared" si="51"/>
        <v>3.0930529723384545E-5</v>
      </c>
      <c r="AC425" t="str">
        <f>VLOOKUP(A425, 'state-ids'!$A$1:$B$28, 2)</f>
        <v>MS</v>
      </c>
      <c r="AD425">
        <f>VLOOKUP(A425, 'state-ids'!$A$1:$C$28, 3)</f>
        <v>3.8154966999999998E-2</v>
      </c>
      <c r="AE425">
        <f>VLOOKUP(A425, 'state-ids'!$A$1:$D$28, 4)</f>
        <v>0.74716150999999997</v>
      </c>
      <c r="AF425">
        <f t="shared" si="52"/>
        <v>-1.6416095790489249E-2</v>
      </c>
      <c r="AG425">
        <f t="shared" si="53"/>
        <v>0.27103913024324539</v>
      </c>
      <c r="AH425">
        <f t="shared" si="54"/>
        <v>0.24164016600621074</v>
      </c>
      <c r="AI425">
        <f t="shared" si="55"/>
        <v>2.9398964237034642E-2</v>
      </c>
      <c r="AJ425" s="12"/>
    </row>
    <row r="426" spans="1:36" x14ac:dyDescent="0.25">
      <c r="A426" s="9">
        <v>50</v>
      </c>
      <c r="B426" s="9">
        <v>2016</v>
      </c>
      <c r="C426" s="9">
        <v>-1.285285227425053</v>
      </c>
      <c r="D426" s="9">
        <v>0.65336631054810068</v>
      </c>
      <c r="E426" s="9">
        <v>0.66772680321303413</v>
      </c>
      <c r="F426" s="9">
        <v>0.68506460436658934</v>
      </c>
      <c r="G426" s="9">
        <v>0.4415398522451548</v>
      </c>
      <c r="H426" s="9">
        <v>0.32164862201505379</v>
      </c>
      <c r="I426" s="9">
        <v>0.34401514579194181</v>
      </c>
      <c r="J426" s="9">
        <v>-2.7239779808935669</v>
      </c>
      <c r="K426" s="9">
        <v>1.130977484562024</v>
      </c>
      <c r="L426" s="9">
        <v>-0.96065305975401938</v>
      </c>
      <c r="M426" s="9">
        <v>3.078809717589027</v>
      </c>
      <c r="N426" s="9">
        <v>3.0559472746276479</v>
      </c>
      <c r="O426" s="9">
        <v>-11.51292546497023</v>
      </c>
      <c r="P426" s="9">
        <v>2.2862443700432777E-2</v>
      </c>
      <c r="Q426" s="9">
        <v>1</v>
      </c>
      <c r="R426" s="9">
        <v>0</v>
      </c>
      <c r="S426" s="9">
        <v>1</v>
      </c>
      <c r="T426" s="9">
        <v>0</v>
      </c>
      <c r="U426" s="9">
        <v>0</v>
      </c>
      <c r="V426" s="9">
        <v>0</v>
      </c>
      <c r="W426" s="9">
        <v>0</v>
      </c>
      <c r="X426" s="9">
        <v>-1.2735817432403564</v>
      </c>
      <c r="Y426">
        <f t="shared" si="48"/>
        <v>0.27657168655070519</v>
      </c>
      <c r="Z426">
        <f t="shared" si="49"/>
        <v>0.27982755424486921</v>
      </c>
      <c r="AA426">
        <f t="shared" si="50"/>
        <v>-3.2558676941640274E-3</v>
      </c>
      <c r="AB426">
        <f t="shared" si="51"/>
        <v>1.060067444190098E-5</v>
      </c>
      <c r="AC426" t="str">
        <f>VLOOKUP(A426, 'state-ids'!$A$1:$B$28, 2)</f>
        <v>MS</v>
      </c>
      <c r="AD426">
        <f>VLOOKUP(A426, 'state-ids'!$A$1:$C$28, 3)</f>
        <v>3.8154966999999998E-2</v>
      </c>
      <c r="AE426">
        <f>VLOOKUP(A426, 'state-ids'!$A$1:$D$28, 4)</f>
        <v>0.74716150999999997</v>
      </c>
      <c r="AF426">
        <f t="shared" si="52"/>
        <v>-8.7443929156990133E-3</v>
      </c>
      <c r="AG426">
        <f t="shared" si="53"/>
        <v>0.2963615868069604</v>
      </c>
      <c r="AH426">
        <f t="shared" si="54"/>
        <v>0.26421595645480656</v>
      </c>
      <c r="AI426">
        <f t="shared" si="55"/>
        <v>3.2145630352153842E-2</v>
      </c>
      <c r="AJ426" s="12"/>
    </row>
    <row r="427" spans="1:36" x14ac:dyDescent="0.25">
      <c r="A427" s="9">
        <v>50</v>
      </c>
      <c r="B427" s="9">
        <v>2017</v>
      </c>
      <c r="C427" s="9">
        <v>-1.2638688961429589</v>
      </c>
      <c r="D427" s="9">
        <v>0.67701779863006162</v>
      </c>
      <c r="E427" s="9">
        <v>0.65336631054810068</v>
      </c>
      <c r="F427" s="9">
        <v>0.66772680321303413</v>
      </c>
      <c r="G427" s="9">
        <v>0.49035757512612699</v>
      </c>
      <c r="H427" s="9">
        <v>0.4415398522451548</v>
      </c>
      <c r="I427" s="9">
        <v>0.32164862201505379</v>
      </c>
      <c r="J427" s="9">
        <v>-2.1007295258352019</v>
      </c>
      <c r="K427" s="9">
        <v>1.130977484562024</v>
      </c>
      <c r="L427" s="9">
        <v>-0.93731049146277712</v>
      </c>
      <c r="M427" s="9">
        <v>3.0792033858508652</v>
      </c>
      <c r="N427" s="9">
        <v>3.0674071987690561</v>
      </c>
      <c r="O427" s="9">
        <v>-11.51292546497023</v>
      </c>
      <c r="P427" s="9">
        <v>1.1796186678111553E-2</v>
      </c>
      <c r="Q427" s="9">
        <v>1</v>
      </c>
      <c r="R427" s="9">
        <v>0</v>
      </c>
      <c r="S427" s="9">
        <v>1</v>
      </c>
      <c r="T427" s="9">
        <v>0</v>
      </c>
      <c r="U427" s="9">
        <v>0</v>
      </c>
      <c r="V427" s="9">
        <v>0</v>
      </c>
      <c r="W427" s="9">
        <v>0</v>
      </c>
      <c r="X427" s="9">
        <v>-1.2346770763397217</v>
      </c>
      <c r="Y427">
        <f t="shared" si="48"/>
        <v>0.28255871871299265</v>
      </c>
      <c r="Z427">
        <f t="shared" si="49"/>
        <v>0.29092869495956347</v>
      </c>
      <c r="AA427">
        <f t="shared" si="50"/>
        <v>-8.3699762465708205E-3</v>
      </c>
      <c r="AB427">
        <f t="shared" si="51"/>
        <v>7.0056502368159762E-5</v>
      </c>
      <c r="AC427" t="str">
        <f>VLOOKUP(A427, 'state-ids'!$A$1:$B$28, 2)</f>
        <v>MS</v>
      </c>
      <c r="AD427">
        <f>VLOOKUP(A427, 'state-ids'!$A$1:$C$28, 3)</f>
        <v>3.8154966999999998E-2</v>
      </c>
      <c r="AE427">
        <f>VLOOKUP(A427, 'state-ids'!$A$1:$D$28, 4)</f>
        <v>0.74716150999999997</v>
      </c>
      <c r="AF427">
        <f t="shared" si="52"/>
        <v>-2.1811004163834656E-2</v>
      </c>
      <c r="AG427">
        <f t="shared" si="53"/>
        <v>0.30811865514303716</v>
      </c>
      <c r="AH427">
        <f t="shared" si="54"/>
        <v>0.27469776379357086</v>
      </c>
      <c r="AI427">
        <f t="shared" si="55"/>
        <v>3.3420891349466297E-2</v>
      </c>
      <c r="AJ427" s="12"/>
    </row>
    <row r="428" spans="1:36" x14ac:dyDescent="0.25">
      <c r="A428" s="9">
        <v>50</v>
      </c>
      <c r="B428" s="9">
        <v>2018</v>
      </c>
      <c r="C428" s="9">
        <v>-1.3495948435285481</v>
      </c>
      <c r="D428" s="9">
        <v>0.7764307846966827</v>
      </c>
      <c r="E428" s="9">
        <v>0.67701779863006162</v>
      </c>
      <c r="F428" s="9">
        <v>0.65336631054810068</v>
      </c>
      <c r="G428" s="9">
        <v>0.53783749601278841</v>
      </c>
      <c r="H428" s="9">
        <v>0.49035757512612699</v>
      </c>
      <c r="I428" s="9">
        <v>0.4415398522451548</v>
      </c>
      <c r="J428" s="9">
        <v>-1.6270678834723289</v>
      </c>
      <c r="K428" s="9">
        <v>1.130977484562024</v>
      </c>
      <c r="L428" s="9">
        <v>-0.91339665834032158</v>
      </c>
      <c r="M428" s="9">
        <v>3.126547037607621</v>
      </c>
      <c r="N428" s="9">
        <v>3.066430857571905</v>
      </c>
      <c r="O428" s="9">
        <v>3.2580965380214821</v>
      </c>
      <c r="P428" s="9">
        <v>6.0116179287433624E-2</v>
      </c>
      <c r="Q428" s="9">
        <v>1</v>
      </c>
      <c r="R428" s="9">
        <v>0</v>
      </c>
      <c r="S428" s="9">
        <v>1</v>
      </c>
      <c r="T428" s="9">
        <v>0</v>
      </c>
      <c r="U428" s="9">
        <v>0</v>
      </c>
      <c r="V428" s="9">
        <v>0</v>
      </c>
      <c r="W428" s="9">
        <v>0</v>
      </c>
      <c r="X428" s="9">
        <v>-1.2658064365386963</v>
      </c>
      <c r="Y428">
        <f t="shared" si="48"/>
        <v>0.25934531479540024</v>
      </c>
      <c r="Z428">
        <f t="shared" si="49"/>
        <v>0.28201177981053077</v>
      </c>
      <c r="AA428">
        <f t="shared" si="50"/>
        <v>-2.2666465015130532E-2</v>
      </c>
      <c r="AB428">
        <f t="shared" si="51"/>
        <v>5.1376863628213641E-4</v>
      </c>
      <c r="AC428" t="str">
        <f>VLOOKUP(A428, 'state-ids'!$A$1:$B$28, 2)</f>
        <v>MS</v>
      </c>
      <c r="AD428">
        <f>VLOOKUP(A428, 'state-ids'!$A$1:$C$28, 3)</f>
        <v>3.8154966999999998E-2</v>
      </c>
      <c r="AE428">
        <f>VLOOKUP(A428, 'state-ids'!$A$1:$D$28, 4)</f>
        <v>0.74716150999999997</v>
      </c>
      <c r="AF428">
        <f t="shared" si="52"/>
        <v>-6.2603472687032216E-2</v>
      </c>
      <c r="AG428">
        <f t="shared" si="53"/>
        <v>0.29867487063038739</v>
      </c>
      <c r="AH428">
        <f t="shared" si="54"/>
        <v>0.26627832393145356</v>
      </c>
      <c r="AI428">
        <f t="shared" si="55"/>
        <v>3.2396546698933826E-2</v>
      </c>
      <c r="AJ428" s="12"/>
    </row>
    <row r="429" spans="1:36" x14ac:dyDescent="0.25">
      <c r="A429" s="9">
        <v>50</v>
      </c>
      <c r="B429" s="9">
        <v>2019</v>
      </c>
      <c r="C429" s="9">
        <v>-1.285858708664841</v>
      </c>
      <c r="D429" s="9">
        <v>0.7103483878797201</v>
      </c>
      <c r="E429" s="9">
        <v>0.7764307846966827</v>
      </c>
      <c r="F429" s="9">
        <v>0.67701779863006162</v>
      </c>
      <c r="G429" s="9">
        <v>0.51641000205989129</v>
      </c>
      <c r="H429" s="9">
        <v>0.53783749601278841</v>
      </c>
      <c r="I429" s="9">
        <v>0.49035757512612699</v>
      </c>
      <c r="J429" s="9">
        <v>-0.95256005031569146</v>
      </c>
      <c r="K429" s="9">
        <v>1.130977484562024</v>
      </c>
      <c r="L429" s="9">
        <v>-0.88821277880844851</v>
      </c>
      <c r="M429" s="9">
        <v>3.0737258239883838</v>
      </c>
      <c r="N429" s="9">
        <v>3.1153426686918322</v>
      </c>
      <c r="O429" s="9">
        <v>5.393627546352362</v>
      </c>
      <c r="P429" s="9">
        <v>-4.161684587597847E-2</v>
      </c>
      <c r="Q429" s="9">
        <v>1</v>
      </c>
      <c r="R429" s="9">
        <v>0</v>
      </c>
      <c r="S429" s="9">
        <v>1</v>
      </c>
      <c r="T429" s="9">
        <v>0</v>
      </c>
      <c r="U429" s="9">
        <v>0</v>
      </c>
      <c r="V429" s="9">
        <v>0</v>
      </c>
      <c r="W429" s="9">
        <v>0</v>
      </c>
      <c r="X429" s="9">
        <v>-1.2171481847763062</v>
      </c>
      <c r="Y429">
        <f t="shared" si="48"/>
        <v>0.27641312334786861</v>
      </c>
      <c r="Z429">
        <f t="shared" si="49"/>
        <v>0.29607331048192898</v>
      </c>
      <c r="AA429">
        <f t="shared" si="50"/>
        <v>-1.966018713406037E-2</v>
      </c>
      <c r="AB429">
        <f t="shared" si="51"/>
        <v>3.8652295814627286E-4</v>
      </c>
      <c r="AC429" t="str">
        <f>VLOOKUP(A429, 'state-ids'!$A$1:$B$28, 2)</f>
        <v>MS</v>
      </c>
      <c r="AD429">
        <f>VLOOKUP(A429, 'state-ids'!$A$1:$C$28, 3)</f>
        <v>3.8154966999999998E-2</v>
      </c>
      <c r="AE429">
        <f>VLOOKUP(A429, 'state-ids'!$A$1:$D$28, 4)</f>
        <v>0.74716150999999997</v>
      </c>
      <c r="AF429">
        <f t="shared" si="52"/>
        <v>-5.1337858781448746E-2</v>
      </c>
      <c r="AG429">
        <f t="shared" si="53"/>
        <v>0.31356724802315705</v>
      </c>
      <c r="AH429">
        <f t="shared" si="54"/>
        <v>0.27955536087510974</v>
      </c>
      <c r="AI429">
        <f t="shared" si="55"/>
        <v>3.4011887148047315E-2</v>
      </c>
      <c r="AJ429" s="12"/>
    </row>
    <row r="430" spans="1:36" x14ac:dyDescent="0.25">
      <c r="A430" s="9">
        <v>50</v>
      </c>
      <c r="B430" s="9">
        <v>2020</v>
      </c>
      <c r="C430" s="9">
        <v>-1.3925580452554449</v>
      </c>
      <c r="D430" s="9">
        <v>0.70872521052326376</v>
      </c>
      <c r="E430" s="9">
        <v>0.7103483878797201</v>
      </c>
      <c r="F430" s="9">
        <v>0.7764307846966827</v>
      </c>
      <c r="G430" s="9">
        <v>0.44243971089952577</v>
      </c>
      <c r="H430" s="9">
        <v>0.51641000205989129</v>
      </c>
      <c r="I430" s="9">
        <v>0.53783749601278841</v>
      </c>
      <c r="J430" s="9">
        <v>-0.25456177721428758</v>
      </c>
      <c r="K430" s="9">
        <v>1.130977484562024</v>
      </c>
      <c r="L430" s="9">
        <v>-0.87034242799961925</v>
      </c>
      <c r="M430" s="9">
        <v>3.1369814545481511</v>
      </c>
      <c r="N430" s="9">
        <v>3.0628431352276291</v>
      </c>
      <c r="O430" s="9">
        <v>5.9914645471079817</v>
      </c>
      <c r="P430" s="9">
        <v>7.4138320982456207E-2</v>
      </c>
      <c r="Q430" s="9">
        <v>1</v>
      </c>
      <c r="R430" s="9">
        <v>1</v>
      </c>
      <c r="S430" s="9">
        <v>1</v>
      </c>
      <c r="T430" s="9">
        <v>0</v>
      </c>
      <c r="U430" s="9">
        <v>0</v>
      </c>
      <c r="V430" s="9">
        <v>0</v>
      </c>
      <c r="W430" s="9">
        <v>0</v>
      </c>
      <c r="X430" s="9">
        <v>-1.33976149559021</v>
      </c>
      <c r="Y430">
        <f t="shared" si="48"/>
        <v>0.24843897296000483</v>
      </c>
      <c r="Z430">
        <f t="shared" si="49"/>
        <v>0.26190812737501973</v>
      </c>
      <c r="AA430">
        <f t="shared" si="50"/>
        <v>-1.3469154415014895E-2</v>
      </c>
      <c r="AB430">
        <f t="shared" si="51"/>
        <v>1.8141812065551523E-4</v>
      </c>
      <c r="AC430" t="str">
        <f>VLOOKUP(A430, 'state-ids'!$A$1:$B$28, 2)</f>
        <v>MS</v>
      </c>
      <c r="AD430">
        <f>VLOOKUP(A430, 'state-ids'!$A$1:$C$28, 3)</f>
        <v>3.8154966999999998E-2</v>
      </c>
      <c r="AE430">
        <f>VLOOKUP(A430, 'state-ids'!$A$1:$D$28, 4)</f>
        <v>0.74716150999999997</v>
      </c>
      <c r="AF430">
        <f t="shared" si="52"/>
        <v>-3.9447549770666938E-2</v>
      </c>
      <c r="AG430">
        <f t="shared" si="53"/>
        <v>0.27738336360749416</v>
      </c>
      <c r="AH430">
        <f t="shared" si="54"/>
        <v>0.24729625559719862</v>
      </c>
      <c r="AI430">
        <f t="shared" si="55"/>
        <v>3.0087108010295543E-2</v>
      </c>
      <c r="AJ430" s="12"/>
    </row>
    <row r="431" spans="1:36" x14ac:dyDescent="0.25">
      <c r="A431" s="9">
        <v>50</v>
      </c>
      <c r="B431" s="9">
        <v>2021</v>
      </c>
      <c r="C431" s="9">
        <v>-1.434501324363882</v>
      </c>
      <c r="D431" s="9">
        <v>0.90401570099854245</v>
      </c>
      <c r="E431" s="9">
        <v>0.70872521052326376</v>
      </c>
      <c r="F431" s="9">
        <v>0.7103483878797201</v>
      </c>
      <c r="G431" s="9">
        <v>0.64924753826992698</v>
      </c>
      <c r="H431" s="9">
        <v>0.44243971089952577</v>
      </c>
      <c r="I431" s="9">
        <v>0.51641000205989129</v>
      </c>
      <c r="J431" s="9">
        <v>0.31514809820388678</v>
      </c>
      <c r="K431" s="9">
        <v>1.130977484562024</v>
      </c>
      <c r="L431" s="9">
        <v>-0.85750585795415835</v>
      </c>
      <c r="M431" s="9">
        <v>3.1518800036120922</v>
      </c>
      <c r="N431" s="9">
        <v>3.126432160474677</v>
      </c>
      <c r="O431" s="9">
        <v>6.6846117276679271</v>
      </c>
      <c r="P431" s="9">
        <v>2.5447843596339226E-2</v>
      </c>
      <c r="Q431" s="9">
        <v>1</v>
      </c>
      <c r="R431" s="9">
        <v>0</v>
      </c>
      <c r="S431" s="9">
        <v>1</v>
      </c>
      <c r="T431" s="9">
        <v>0</v>
      </c>
      <c r="U431" s="9">
        <v>0</v>
      </c>
      <c r="V431" s="9">
        <v>0</v>
      </c>
      <c r="W431" s="9">
        <v>0</v>
      </c>
      <c r="X431" s="9">
        <v>-1.3374176025390625</v>
      </c>
      <c r="Y431">
        <f t="shared" si="48"/>
        <v>0.23823413595718218</v>
      </c>
      <c r="Z431">
        <f t="shared" si="49"/>
        <v>0.2625227320172101</v>
      </c>
      <c r="AA431">
        <f t="shared" si="50"/>
        <v>-2.4288596060027923E-2</v>
      </c>
      <c r="AB431">
        <f t="shared" si="51"/>
        <v>5.8993589856720392E-4</v>
      </c>
      <c r="AC431" t="str">
        <f>VLOOKUP(A431, 'state-ids'!$A$1:$B$28, 2)</f>
        <v>MS</v>
      </c>
      <c r="AD431">
        <f>VLOOKUP(A431, 'state-ids'!$A$1:$C$28, 3)</f>
        <v>3.8154966999999998E-2</v>
      </c>
      <c r="AE431">
        <f>VLOOKUP(A431, 'state-ids'!$A$1:$D$28, 4)</f>
        <v>0.74716150999999997</v>
      </c>
      <c r="AF431">
        <f t="shared" si="52"/>
        <v>-7.2537220195052099E-2</v>
      </c>
      <c r="AG431">
        <f t="shared" si="53"/>
        <v>0.27803428309078093</v>
      </c>
      <c r="AH431">
        <f t="shared" si="54"/>
        <v>0.24787657140568325</v>
      </c>
      <c r="AI431">
        <f t="shared" si="55"/>
        <v>3.0157711685097677E-2</v>
      </c>
      <c r="AJ431" s="12"/>
    </row>
    <row r="432" spans="1:36" x14ac:dyDescent="0.25">
      <c r="A432" s="9">
        <v>50</v>
      </c>
      <c r="B432" s="9">
        <v>2022</v>
      </c>
      <c r="C432" s="9">
        <v>-1.305504312734995</v>
      </c>
      <c r="D432" s="9">
        <v>0.86827626677239533</v>
      </c>
      <c r="E432" s="9">
        <v>0.90401570099854245</v>
      </c>
      <c r="F432" s="9">
        <v>0.70872521052326376</v>
      </c>
      <c r="G432" s="9">
        <v>0.61285860933110847</v>
      </c>
      <c r="H432" s="9">
        <v>0.64924753826992698</v>
      </c>
      <c r="I432" s="9">
        <v>0.44243971089952577</v>
      </c>
      <c r="J432" s="9">
        <v>0.8535018840870181</v>
      </c>
      <c r="K432" s="9">
        <v>1.130977484562024</v>
      </c>
      <c r="L432" s="9">
        <v>-0.83501885082324967</v>
      </c>
      <c r="M432" s="9">
        <v>3.2268541726774989</v>
      </c>
      <c r="N432" s="9">
        <v>3.1518800036120922</v>
      </c>
      <c r="O432" s="9">
        <v>8.0551577318196781</v>
      </c>
      <c r="P432" s="9">
        <v>7.4974171817302704E-2</v>
      </c>
      <c r="Q432" s="9">
        <v>1</v>
      </c>
      <c r="R432" s="9">
        <v>0</v>
      </c>
      <c r="S432" s="9">
        <v>1</v>
      </c>
      <c r="T432" s="9">
        <v>0</v>
      </c>
      <c r="U432" s="9">
        <v>0</v>
      </c>
      <c r="V432" s="9">
        <v>0</v>
      </c>
      <c r="W432" s="9">
        <v>0</v>
      </c>
      <c r="X432" s="9">
        <v>-1.3098952770233154</v>
      </c>
      <c r="Y432">
        <f t="shared" si="48"/>
        <v>0.27103581376083574</v>
      </c>
      <c r="Z432">
        <f t="shared" si="49"/>
        <v>0.26984831422375732</v>
      </c>
      <c r="AA432">
        <f t="shared" si="50"/>
        <v>1.187499537078418E-3</v>
      </c>
      <c r="AB432">
        <f t="shared" si="51"/>
        <v>1.4101551505614571E-6</v>
      </c>
      <c r="AC432" t="str">
        <f>VLOOKUP(A432, 'state-ids'!$A$1:$B$28, 2)</f>
        <v>MS</v>
      </c>
      <c r="AD432">
        <f>VLOOKUP(A432, 'state-ids'!$A$1:$C$28, 3)</f>
        <v>3.8154966999999998E-2</v>
      </c>
      <c r="AE432">
        <f>VLOOKUP(A432, 'state-ids'!$A$1:$D$28, 4)</f>
        <v>0.74716150999999997</v>
      </c>
      <c r="AF432">
        <f t="shared" si="52"/>
        <v>3.2807595080175606E-3</v>
      </c>
      <c r="AG432">
        <f t="shared" si="53"/>
        <v>0.28579270835692672</v>
      </c>
      <c r="AH432">
        <f t="shared" si="54"/>
        <v>0.25479345889560306</v>
      </c>
      <c r="AI432">
        <f t="shared" si="55"/>
        <v>3.0999249461323652E-2</v>
      </c>
      <c r="AJ432" s="12"/>
    </row>
    <row r="433" spans="1:36" x14ac:dyDescent="0.25">
      <c r="A433" s="9">
        <v>50</v>
      </c>
      <c r="B433" s="9">
        <v>2023</v>
      </c>
      <c r="C433" s="9">
        <v>-1.2479133990084019</v>
      </c>
      <c r="D433" s="9">
        <v>0.70640885454313052</v>
      </c>
      <c r="E433" s="9">
        <v>0.86827626677239533</v>
      </c>
      <c r="F433" s="9">
        <v>0.90401570099854245</v>
      </c>
      <c r="G433" s="9">
        <v>0.36186147062603241</v>
      </c>
      <c r="H433" s="9">
        <v>0.61285860933110847</v>
      </c>
      <c r="I433" s="9">
        <v>0.64924753826992698</v>
      </c>
      <c r="J433" s="9">
        <v>1.413503350499935</v>
      </c>
      <c r="K433" s="9">
        <v>1.130977484562024</v>
      </c>
      <c r="L433" s="9">
        <v>-0.80935547800188667</v>
      </c>
      <c r="M433" s="9">
        <v>3.2792263326556959</v>
      </c>
      <c r="N433" s="9">
        <v>3.2268541726774989</v>
      </c>
      <c r="O433" s="9">
        <v>8.4658998970286863</v>
      </c>
      <c r="P433" s="9">
        <v>5.237216129899025E-2</v>
      </c>
      <c r="Q433" s="9">
        <v>1</v>
      </c>
      <c r="R433" s="9">
        <v>0</v>
      </c>
      <c r="S433" s="9">
        <v>1</v>
      </c>
      <c r="T433" s="9">
        <v>0</v>
      </c>
      <c r="U433" s="9">
        <v>0</v>
      </c>
      <c r="V433" s="9">
        <v>0</v>
      </c>
      <c r="W433" s="9">
        <v>0</v>
      </c>
      <c r="X433" s="9">
        <v>-1.2823128700256348</v>
      </c>
      <c r="Y433">
        <f t="shared" si="48"/>
        <v>0.28710324219459921</v>
      </c>
      <c r="Z433">
        <f t="shared" si="49"/>
        <v>0.27739497940385272</v>
      </c>
      <c r="AA433">
        <f t="shared" si="50"/>
        <v>9.7082627907464913E-3</v>
      </c>
      <c r="AB433">
        <f t="shared" si="51"/>
        <v>9.4250366414192852E-5</v>
      </c>
      <c r="AC433" t="str">
        <f>VLOOKUP(A433, 'state-ids'!$A$1:$B$28, 2)</f>
        <v>MS</v>
      </c>
      <c r="AD433">
        <f>VLOOKUP(A433, 'state-ids'!$A$1:$C$28, 3)</f>
        <v>3.8154966999999998E-2</v>
      </c>
      <c r="AE433">
        <f>VLOOKUP(A433, 'state-ids'!$A$1:$D$28, 4)</f>
        <v>0.74716150999999997</v>
      </c>
      <c r="AF433">
        <f t="shared" si="52"/>
        <v>2.5701960708436923E-2</v>
      </c>
      <c r="AG433">
        <f t="shared" si="53"/>
        <v>0.29378527961714207</v>
      </c>
      <c r="AH433">
        <f t="shared" si="54"/>
        <v>0.2619190951253299</v>
      </c>
      <c r="AI433">
        <f t="shared" si="55"/>
        <v>3.1866184491812166E-2</v>
      </c>
      <c r="AJ433" s="12"/>
    </row>
    <row r="434" spans="1:36" x14ac:dyDescent="0.25">
      <c r="A434" s="9">
        <v>51</v>
      </c>
      <c r="B434" s="9">
        <v>2006</v>
      </c>
      <c r="C434" s="9">
        <v>-2.05774652737274</v>
      </c>
      <c r="D434" s="9">
        <v>1.081805170351728</v>
      </c>
      <c r="E434" s="9">
        <v>1.042535642447705</v>
      </c>
      <c r="F434" s="9">
        <v>0.99047013004840656</v>
      </c>
      <c r="G434" s="9">
        <v>0.69314718055994529</v>
      </c>
      <c r="H434" s="9">
        <v>0.58478215588182025</v>
      </c>
      <c r="I434" s="9">
        <v>0.51801968434623125</v>
      </c>
      <c r="J434" s="9">
        <v>-11.51292546497023</v>
      </c>
      <c r="K434" s="9">
        <v>1.9730087517591539</v>
      </c>
      <c r="L434" s="9">
        <v>-1.798920155106793</v>
      </c>
      <c r="M434" s="9">
        <v>2.6724997707606679</v>
      </c>
      <c r="N434" s="9">
        <v>2.847671102973925</v>
      </c>
      <c r="O434" s="9">
        <v>-11.51292546497023</v>
      </c>
      <c r="P434" s="9">
        <v>-0.17517133057117462</v>
      </c>
      <c r="Q434" s="9">
        <v>0</v>
      </c>
      <c r="R434" s="9">
        <v>0</v>
      </c>
      <c r="S434" s="9">
        <v>1</v>
      </c>
      <c r="T434" s="9">
        <v>0</v>
      </c>
      <c r="U434" s="9">
        <v>0</v>
      </c>
      <c r="V434" s="9">
        <v>0</v>
      </c>
      <c r="W434" s="9">
        <v>0</v>
      </c>
      <c r="X434" s="9">
        <v>-2.2730188369750977</v>
      </c>
      <c r="Y434">
        <f t="shared" si="48"/>
        <v>0.12774150778491689</v>
      </c>
      <c r="Z434">
        <f t="shared" si="49"/>
        <v>0.10300076774193385</v>
      </c>
      <c r="AA434">
        <f t="shared" si="50"/>
        <v>2.4740740042983031E-2</v>
      </c>
      <c r="AB434">
        <f t="shared" si="51"/>
        <v>6.1210421787446395E-4</v>
      </c>
      <c r="AC434" t="str">
        <f>VLOOKUP(A434, 'state-ids'!$A$1:$B$28, 2)</f>
        <v>MT</v>
      </c>
      <c r="AD434">
        <f>VLOOKUP(A434, 'state-ids'!$A$1:$C$28, 3)</f>
        <v>7.9445726999999994E-2</v>
      </c>
      <c r="AE434">
        <f>VLOOKUP(A434, 'state-ids'!$A$1:$D$28, 4)</f>
        <v>0.87497932</v>
      </c>
      <c r="AF434">
        <f t="shared" si="52"/>
        <v>0.10422630454844156</v>
      </c>
      <c r="AG434">
        <f t="shared" si="53"/>
        <v>0.12136786766657766</v>
      </c>
      <c r="AH434">
        <f t="shared" si="54"/>
        <v>8.7413236793228738E-2</v>
      </c>
      <c r="AI434">
        <f t="shared" si="55"/>
        <v>3.395463087334892E-2</v>
      </c>
      <c r="AJ434" s="12"/>
    </row>
    <row r="435" spans="1:36" x14ac:dyDescent="0.25">
      <c r="A435" s="9">
        <v>51</v>
      </c>
      <c r="B435" s="9">
        <v>2007</v>
      </c>
      <c r="C435" s="9">
        <v>-2.1237769983382999</v>
      </c>
      <c r="D435" s="9">
        <v>1.021083086158872</v>
      </c>
      <c r="E435" s="9">
        <v>1.081805170351728</v>
      </c>
      <c r="F435" s="9">
        <v>1.042535642447705</v>
      </c>
      <c r="G435" s="9">
        <v>0.36845528247426368</v>
      </c>
      <c r="H435" s="9">
        <v>0.69314718055994529</v>
      </c>
      <c r="I435" s="9">
        <v>0.58478215588182025</v>
      </c>
      <c r="J435" s="9">
        <v>-11.51292546497023</v>
      </c>
      <c r="K435" s="9">
        <v>1.9730087517591539</v>
      </c>
      <c r="L435" s="9">
        <v>-1.6952029836220981</v>
      </c>
      <c r="M435" s="9">
        <v>2.8066650646061579</v>
      </c>
      <c r="N435" s="9">
        <v>2.6550236833934591</v>
      </c>
      <c r="O435" s="9">
        <v>-11.51292546497023</v>
      </c>
      <c r="P435" s="9">
        <v>0.15164138376712799</v>
      </c>
      <c r="Q435" s="9">
        <v>0</v>
      </c>
      <c r="R435" s="9">
        <v>0</v>
      </c>
      <c r="S435" s="9">
        <v>1</v>
      </c>
      <c r="T435" s="9">
        <v>0</v>
      </c>
      <c r="U435" s="9">
        <v>0</v>
      </c>
      <c r="V435" s="9">
        <v>0</v>
      </c>
      <c r="W435" s="9">
        <v>0</v>
      </c>
      <c r="X435" s="9">
        <v>-2.2524383068084717</v>
      </c>
      <c r="Y435">
        <f t="shared" si="48"/>
        <v>0.11957912434171535</v>
      </c>
      <c r="Z435">
        <f t="shared" si="49"/>
        <v>0.10514254197762599</v>
      </c>
      <c r="AA435">
        <f t="shared" si="50"/>
        <v>1.4436582364089359E-2</v>
      </c>
      <c r="AB435">
        <f t="shared" si="51"/>
        <v>2.0841491035513592E-4</v>
      </c>
      <c r="AC435" t="str">
        <f>VLOOKUP(A435, 'state-ids'!$A$1:$B$28, 2)</f>
        <v>MT</v>
      </c>
      <c r="AD435">
        <f>VLOOKUP(A435, 'state-ids'!$A$1:$C$28, 3)</f>
        <v>7.9445726999999994E-2</v>
      </c>
      <c r="AE435">
        <f>VLOOKUP(A435, 'state-ids'!$A$1:$D$28, 4)</f>
        <v>0.87497932</v>
      </c>
      <c r="AF435">
        <f t="shared" si="52"/>
        <v>0.11257598419554113</v>
      </c>
      <c r="AG435">
        <f t="shared" si="53"/>
        <v>0.12389156314679434</v>
      </c>
      <c r="AH435">
        <f t="shared" si="54"/>
        <v>8.9230887501340603E-2</v>
      </c>
      <c r="AI435">
        <f t="shared" si="55"/>
        <v>3.4660675645453734E-2</v>
      </c>
      <c r="AJ435" s="12"/>
    </row>
    <row r="436" spans="1:36" x14ac:dyDescent="0.25">
      <c r="A436" s="9">
        <v>51</v>
      </c>
      <c r="B436" s="9">
        <v>2008</v>
      </c>
      <c r="C436" s="9">
        <v>-2.1175597176399039</v>
      </c>
      <c r="D436" s="9">
        <v>0.91063476701799762</v>
      </c>
      <c r="E436" s="9">
        <v>1.021083086158872</v>
      </c>
      <c r="F436" s="9">
        <v>1.081805170351728</v>
      </c>
      <c r="G436" s="9">
        <v>0.24966863025356481</v>
      </c>
      <c r="H436" s="9">
        <v>0.36845528247426368</v>
      </c>
      <c r="I436" s="9">
        <v>0.69314718055994529</v>
      </c>
      <c r="J436" s="9">
        <v>-11.51292546497023</v>
      </c>
      <c r="K436" s="9">
        <v>1.9730087517591539</v>
      </c>
      <c r="L436" s="9">
        <v>-1.5606998325896051</v>
      </c>
      <c r="M436" s="9">
        <v>2.962978052689655</v>
      </c>
      <c r="N436" s="9">
        <v>2.7894891524881991</v>
      </c>
      <c r="O436" s="9">
        <v>-11.51292546497023</v>
      </c>
      <c r="P436" s="9">
        <v>0.17348890006542206</v>
      </c>
      <c r="Q436" s="9">
        <v>0</v>
      </c>
      <c r="R436" s="9">
        <v>0</v>
      </c>
      <c r="S436" s="9">
        <v>1</v>
      </c>
      <c r="T436" s="9">
        <v>0</v>
      </c>
      <c r="U436" s="9">
        <v>0</v>
      </c>
      <c r="V436" s="9">
        <v>0</v>
      </c>
      <c r="W436" s="9">
        <v>0</v>
      </c>
      <c r="X436" s="9">
        <v>-2.1526186466217041</v>
      </c>
      <c r="Y436">
        <f t="shared" si="48"/>
        <v>0.12032489726091082</v>
      </c>
      <c r="Z436">
        <f t="shared" si="49"/>
        <v>0.11617952596287177</v>
      </c>
      <c r="AA436">
        <f t="shared" si="50"/>
        <v>4.1453712980390467E-3</v>
      </c>
      <c r="AB436">
        <f t="shared" si="51"/>
        <v>1.7184103198605931E-5</v>
      </c>
      <c r="AC436" t="str">
        <f>VLOOKUP(A436, 'state-ids'!$A$1:$B$28, 2)</f>
        <v>MT</v>
      </c>
      <c r="AD436">
        <f>VLOOKUP(A436, 'state-ids'!$A$1:$C$28, 3)</f>
        <v>7.9445726999999994E-2</v>
      </c>
      <c r="AE436">
        <f>VLOOKUP(A436, 'state-ids'!$A$1:$D$28, 4)</f>
        <v>0.87497932</v>
      </c>
      <c r="AF436">
        <f t="shared" si="52"/>
        <v>3.0675837840423818E-2</v>
      </c>
      <c r="AG436">
        <f t="shared" si="53"/>
        <v>0.13689666243999207</v>
      </c>
      <c r="AH436">
        <f t="shared" si="54"/>
        <v>9.8597599184525292E-2</v>
      </c>
      <c r="AI436">
        <f t="shared" si="55"/>
        <v>3.8299063255466781E-2</v>
      </c>
      <c r="AJ436" s="12"/>
    </row>
    <row r="437" spans="1:36" x14ac:dyDescent="0.25">
      <c r="A437" s="9">
        <v>51</v>
      </c>
      <c r="B437" s="9">
        <v>2009</v>
      </c>
      <c r="C437" s="9">
        <v>-2.1349810416516708</v>
      </c>
      <c r="D437" s="9">
        <v>0.85747447398162135</v>
      </c>
      <c r="E437" s="9">
        <v>0.91063476701799762</v>
      </c>
      <c r="F437" s="9">
        <v>1.021083086158872</v>
      </c>
      <c r="G437" s="9">
        <v>0.2214621385316716</v>
      </c>
      <c r="H437" s="9">
        <v>0.24966863025356481</v>
      </c>
      <c r="I437" s="9">
        <v>0.36845528247426368</v>
      </c>
      <c r="J437" s="9">
        <v>-8.0069314086622185</v>
      </c>
      <c r="K437" s="9">
        <v>1.9730087517591539</v>
      </c>
      <c r="L437" s="9">
        <v>-1.4506574410501361</v>
      </c>
      <c r="M437" s="9">
        <v>2.9461875816004648</v>
      </c>
      <c r="N437" s="9">
        <v>2.94822569572601</v>
      </c>
      <c r="O437" s="9">
        <v>-11.51292546497023</v>
      </c>
      <c r="P437" s="9">
        <v>-2.0381142385303974E-3</v>
      </c>
      <c r="Q437" s="9">
        <v>0</v>
      </c>
      <c r="R437" s="9">
        <v>0</v>
      </c>
      <c r="S437" s="9">
        <v>1</v>
      </c>
      <c r="T437" s="9">
        <v>0</v>
      </c>
      <c r="U437" s="9">
        <v>0</v>
      </c>
      <c r="V437" s="9">
        <v>0</v>
      </c>
      <c r="W437" s="9">
        <v>0</v>
      </c>
      <c r="X437" s="9">
        <v>-2.0998616218566895</v>
      </c>
      <c r="Y437">
        <f t="shared" si="48"/>
        <v>0.11824683212001763</v>
      </c>
      <c r="Z437">
        <f t="shared" si="49"/>
        <v>0.12247337471864318</v>
      </c>
      <c r="AA437">
        <f t="shared" si="50"/>
        <v>-4.2265425986255517E-3</v>
      </c>
      <c r="AB437">
        <f t="shared" si="51"/>
        <v>1.7863662337996432E-5</v>
      </c>
      <c r="AC437" t="str">
        <f>VLOOKUP(A437, 'state-ids'!$A$1:$B$28, 2)</f>
        <v>MT</v>
      </c>
      <c r="AD437">
        <f>VLOOKUP(A437, 'state-ids'!$A$1:$C$28, 3)</f>
        <v>7.9445726999999994E-2</v>
      </c>
      <c r="AE437">
        <f>VLOOKUP(A437, 'state-ids'!$A$1:$D$28, 4)</f>
        <v>0.87497932</v>
      </c>
      <c r="AF437">
        <f t="shared" si="52"/>
        <v>-3.0728766051007314E-2</v>
      </c>
      <c r="AG437">
        <f t="shared" si="53"/>
        <v>0.14431283049048449</v>
      </c>
      <c r="AH437">
        <f t="shared" si="54"/>
        <v>0.1039389738527942</v>
      </c>
      <c r="AI437">
        <f t="shared" si="55"/>
        <v>4.0373856637690289E-2</v>
      </c>
      <c r="AJ437" s="12"/>
    </row>
    <row r="438" spans="1:36" x14ac:dyDescent="0.25">
      <c r="A438" s="9">
        <v>51</v>
      </c>
      <c r="B438" s="9">
        <v>2010</v>
      </c>
      <c r="C438" s="9">
        <v>-2.0433626100727298</v>
      </c>
      <c r="D438" s="9">
        <v>0.81828091131671099</v>
      </c>
      <c r="E438" s="9">
        <v>0.85747447398162135</v>
      </c>
      <c r="F438" s="9">
        <v>0.91063476701799762</v>
      </c>
      <c r="G438" s="9">
        <v>0.33590064472225528</v>
      </c>
      <c r="H438" s="9">
        <v>0.2214621385316716</v>
      </c>
      <c r="I438" s="9">
        <v>0.24966863025356481</v>
      </c>
      <c r="J438" s="9">
        <v>-7.3260754061403617</v>
      </c>
      <c r="K438" s="9">
        <v>1.9730087517591539</v>
      </c>
      <c r="L438" s="9">
        <v>-1.3486996414753709</v>
      </c>
      <c r="M438" s="9">
        <v>2.9245585501402531</v>
      </c>
      <c r="N438" s="9">
        <v>2.9338964035622919</v>
      </c>
      <c r="O438" s="9">
        <v>-11.51292546497023</v>
      </c>
      <c r="P438" s="9">
        <v>-9.3378536403179169E-3</v>
      </c>
      <c r="Q438" s="9">
        <v>0</v>
      </c>
      <c r="R438" s="9">
        <v>0</v>
      </c>
      <c r="S438" s="9">
        <v>1</v>
      </c>
      <c r="T438" s="9">
        <v>0</v>
      </c>
      <c r="U438" s="9">
        <v>0</v>
      </c>
      <c r="V438" s="9">
        <v>0</v>
      </c>
      <c r="W438" s="9">
        <v>0</v>
      </c>
      <c r="X438" s="9">
        <v>-1.9221136569976807</v>
      </c>
      <c r="Y438">
        <f t="shared" si="48"/>
        <v>0.12959220932903426</v>
      </c>
      <c r="Z438">
        <f t="shared" si="49"/>
        <v>0.14629741255499157</v>
      </c>
      <c r="AA438">
        <f t="shared" si="50"/>
        <v>-1.670520322595731E-2</v>
      </c>
      <c r="AB438">
        <f t="shared" si="51"/>
        <v>2.7906381482053453E-4</v>
      </c>
      <c r="AC438" t="str">
        <f>VLOOKUP(A438, 'state-ids'!$A$1:$B$28, 2)</f>
        <v>MT</v>
      </c>
      <c r="AD438">
        <f>VLOOKUP(A438, 'state-ids'!$A$1:$C$28, 3)</f>
        <v>7.9445726999999994E-2</v>
      </c>
      <c r="AE438">
        <f>VLOOKUP(A438, 'state-ids'!$A$1:$D$28, 4)</f>
        <v>0.87497932</v>
      </c>
      <c r="AF438">
        <f t="shared" si="52"/>
        <v>-0.10609032651231839</v>
      </c>
      <c r="AG438">
        <f t="shared" si="53"/>
        <v>0.17238517145254401</v>
      </c>
      <c r="AH438">
        <f t="shared" si="54"/>
        <v>0.12415762179508245</v>
      </c>
      <c r="AI438">
        <f t="shared" si="55"/>
        <v>4.8227549657461552E-2</v>
      </c>
      <c r="AJ438" s="12"/>
    </row>
    <row r="439" spans="1:36" x14ac:dyDescent="0.25">
      <c r="A439" s="9">
        <v>51</v>
      </c>
      <c r="B439" s="9">
        <v>2011</v>
      </c>
      <c r="C439" s="9">
        <v>-1.840213729643446</v>
      </c>
      <c r="D439" s="9">
        <v>0.79768735983386929</v>
      </c>
      <c r="E439" s="9">
        <v>0.81828091131671099</v>
      </c>
      <c r="F439" s="9">
        <v>0.85747447398162135</v>
      </c>
      <c r="G439" s="9">
        <v>0.4093907261106367</v>
      </c>
      <c r="H439" s="9">
        <v>0.33590064472225528</v>
      </c>
      <c r="I439" s="9">
        <v>0.2214621385316716</v>
      </c>
      <c r="J439" s="9">
        <v>-5.6334692513688536</v>
      </c>
      <c r="K439" s="9">
        <v>1.9730087517591539</v>
      </c>
      <c r="L439" s="9">
        <v>-1.254492718073984</v>
      </c>
      <c r="M439" s="9">
        <v>3.0328194081271249</v>
      </c>
      <c r="N439" s="9">
        <v>2.91241661267324</v>
      </c>
      <c r="O439" s="9">
        <v>-11.51292546497023</v>
      </c>
      <c r="P439" s="9">
        <v>0.12040279805660248</v>
      </c>
      <c r="Q439" s="9">
        <v>0</v>
      </c>
      <c r="R439" s="9">
        <v>0</v>
      </c>
      <c r="S439" s="9">
        <v>1</v>
      </c>
      <c r="T439" s="9">
        <v>0</v>
      </c>
      <c r="U439" s="9">
        <v>0</v>
      </c>
      <c r="V439" s="9">
        <v>0</v>
      </c>
      <c r="W439" s="9">
        <v>0</v>
      </c>
      <c r="X439" s="9">
        <v>-1.7564654350280762</v>
      </c>
      <c r="Y439">
        <f t="shared" si="48"/>
        <v>0.15878348574222609</v>
      </c>
      <c r="Z439">
        <f t="shared" si="49"/>
        <v>0.17265404353073277</v>
      </c>
      <c r="AA439">
        <f t="shared" si="50"/>
        <v>-1.3870557788506682E-2</v>
      </c>
      <c r="AB439">
        <f t="shared" si="51"/>
        <v>1.9239237336430339E-4</v>
      </c>
      <c r="AC439" t="str">
        <f>VLOOKUP(A439, 'state-ids'!$A$1:$B$28, 2)</f>
        <v>MT</v>
      </c>
      <c r="AD439">
        <f>VLOOKUP(A439, 'state-ids'!$A$1:$C$28, 3)</f>
        <v>7.9445726999999994E-2</v>
      </c>
      <c r="AE439">
        <f>VLOOKUP(A439, 'state-ids'!$A$1:$D$28, 4)</f>
        <v>0.87497932</v>
      </c>
      <c r="AF439">
        <f t="shared" si="52"/>
        <v>-7.3278025873715943E-2</v>
      </c>
      <c r="AG439">
        <f t="shared" si="53"/>
        <v>0.20344171763689115</v>
      </c>
      <c r="AH439">
        <f t="shared" si="54"/>
        <v>0.14652559511278268</v>
      </c>
      <c r="AI439">
        <f t="shared" si="55"/>
        <v>5.6916122524108465E-2</v>
      </c>
      <c r="AJ439" s="12"/>
    </row>
    <row r="440" spans="1:36" x14ac:dyDescent="0.25">
      <c r="A440" s="9">
        <v>51</v>
      </c>
      <c r="B440" s="9">
        <v>2012</v>
      </c>
      <c r="C440" s="9">
        <v>-1.6588784145306159</v>
      </c>
      <c r="D440" s="9">
        <v>0.76825465304675078</v>
      </c>
      <c r="E440" s="9">
        <v>0.79768735983386929</v>
      </c>
      <c r="F440" s="9">
        <v>0.81828091131671099</v>
      </c>
      <c r="G440" s="9">
        <v>0.36276635357504911</v>
      </c>
      <c r="H440" s="9">
        <v>0.4093907261106367</v>
      </c>
      <c r="I440" s="9">
        <v>0.33590064472225528</v>
      </c>
      <c r="J440" s="9">
        <v>-5.271503568333296</v>
      </c>
      <c r="K440" s="9">
        <v>1.9730087517591539</v>
      </c>
      <c r="L440" s="9">
        <v>-1.1799399526944709</v>
      </c>
      <c r="M440" s="9">
        <v>3.0851610781021268</v>
      </c>
      <c r="N440" s="9">
        <v>3.0200916417212711</v>
      </c>
      <c r="O440" s="9">
        <v>-11.51292546497023</v>
      </c>
      <c r="P440" s="9">
        <v>6.5069437026977539E-2</v>
      </c>
      <c r="Q440" s="9">
        <v>0</v>
      </c>
      <c r="R440" s="9">
        <v>0</v>
      </c>
      <c r="S440" s="9">
        <v>1</v>
      </c>
      <c r="T440" s="9">
        <v>0</v>
      </c>
      <c r="U440" s="9">
        <v>0</v>
      </c>
      <c r="V440" s="9">
        <v>0</v>
      </c>
      <c r="W440" s="9">
        <v>0</v>
      </c>
      <c r="X440" s="9">
        <v>-1.6590038537979126</v>
      </c>
      <c r="Y440">
        <f t="shared" si="48"/>
        <v>0.19035235685653168</v>
      </c>
      <c r="Z440">
        <f t="shared" si="49"/>
        <v>0.19032848069389488</v>
      </c>
      <c r="AA440">
        <f t="shared" si="50"/>
        <v>2.3876162636798925E-5</v>
      </c>
      <c r="AB440">
        <f t="shared" si="51"/>
        <v>5.7007114225887297E-10</v>
      </c>
      <c r="AC440" t="str">
        <f>VLOOKUP(A440, 'state-ids'!$A$1:$B$28, 2)</f>
        <v>MT</v>
      </c>
      <c r="AD440">
        <f>VLOOKUP(A440, 'state-ids'!$A$1:$C$28, 3)</f>
        <v>7.9445726999999994E-2</v>
      </c>
      <c r="AE440">
        <f>VLOOKUP(A440, 'state-ids'!$A$1:$D$28, 4)</f>
        <v>0.87497932</v>
      </c>
      <c r="AF440">
        <f t="shared" si="52"/>
        <v>1.0975676480055584E-4</v>
      </c>
      <c r="AG440">
        <f t="shared" si="53"/>
        <v>0.22426786095336063</v>
      </c>
      <c r="AH440">
        <f t="shared" si="54"/>
        <v>0.16152528681218287</v>
      </c>
      <c r="AI440">
        <f t="shared" si="55"/>
        <v>6.2742574141177759E-2</v>
      </c>
      <c r="AJ440" s="12"/>
    </row>
    <row r="441" spans="1:36" x14ac:dyDescent="0.25">
      <c r="A441" s="9">
        <v>51</v>
      </c>
      <c r="B441" s="9">
        <v>2013</v>
      </c>
      <c r="C441" s="9">
        <v>-1.690374031574946</v>
      </c>
      <c r="D441" s="9">
        <v>0.72754860727727766</v>
      </c>
      <c r="E441" s="9">
        <v>0.76825465304675078</v>
      </c>
      <c r="F441" s="9">
        <v>0.79768735983386929</v>
      </c>
      <c r="G441" s="9">
        <v>0.30535007010518789</v>
      </c>
      <c r="H441" s="9">
        <v>0.36276635357504911</v>
      </c>
      <c r="I441" s="9">
        <v>0.4093907261106367</v>
      </c>
      <c r="J441" s="9">
        <v>-4.4017390743939897</v>
      </c>
      <c r="K441" s="9">
        <v>1.9730087517591539</v>
      </c>
      <c r="L441" s="9">
        <v>-1.1195437403122011</v>
      </c>
      <c r="M441" s="9">
        <v>3.1047763713222141</v>
      </c>
      <c r="N441" s="9">
        <v>3.0639526481515622</v>
      </c>
      <c r="O441" s="9">
        <v>-11.51292546497023</v>
      </c>
      <c r="P441" s="9">
        <v>4.0823724120855331E-2</v>
      </c>
      <c r="Q441" s="9">
        <v>0</v>
      </c>
      <c r="R441" s="9">
        <v>0</v>
      </c>
      <c r="S441" s="9">
        <v>1</v>
      </c>
      <c r="T441" s="9">
        <v>0</v>
      </c>
      <c r="U441" s="9">
        <v>0</v>
      </c>
      <c r="V441" s="9">
        <v>0</v>
      </c>
      <c r="W441" s="9">
        <v>0</v>
      </c>
      <c r="X441" s="9">
        <v>-1.5964484214782715</v>
      </c>
      <c r="Y441">
        <f t="shared" si="48"/>
        <v>0.18445052077031837</v>
      </c>
      <c r="Z441">
        <f t="shared" si="49"/>
        <v>0.20261484417242626</v>
      </c>
      <c r="AA441">
        <f t="shared" si="50"/>
        <v>-1.8164323402107885E-2</v>
      </c>
      <c r="AB441">
        <f t="shared" si="51"/>
        <v>3.2994264465636416E-4</v>
      </c>
      <c r="AC441" t="str">
        <f>VLOOKUP(A441, 'state-ids'!$A$1:$B$28, 2)</f>
        <v>MT</v>
      </c>
      <c r="AD441">
        <f>VLOOKUP(A441, 'state-ids'!$A$1:$C$28, 3)</f>
        <v>7.9445726999999994E-2</v>
      </c>
      <c r="AE441">
        <f>VLOOKUP(A441, 'state-ids'!$A$1:$D$28, 4)</f>
        <v>0.87497932</v>
      </c>
      <c r="AF441">
        <f t="shared" si="52"/>
        <v>-8.2182966452973433E-2</v>
      </c>
      <c r="AG441">
        <f t="shared" si="53"/>
        <v>0.23874512912772961</v>
      </c>
      <c r="AH441">
        <f t="shared" si="54"/>
        <v>0.17195230423760052</v>
      </c>
      <c r="AI441">
        <f t="shared" si="55"/>
        <v>6.6792824890129082E-2</v>
      </c>
      <c r="AJ441" s="12"/>
    </row>
    <row r="442" spans="1:36" x14ac:dyDescent="0.25">
      <c r="A442" s="9">
        <v>51</v>
      </c>
      <c r="B442" s="9">
        <v>2014</v>
      </c>
      <c r="C442" s="9">
        <v>-1.582605413124665</v>
      </c>
      <c r="D442" s="9">
        <v>0.69474590192364238</v>
      </c>
      <c r="E442" s="9">
        <v>0.72754860727727766</v>
      </c>
      <c r="F442" s="9">
        <v>0.76825465304675078</v>
      </c>
      <c r="G442" s="9">
        <v>0.29728580859447568</v>
      </c>
      <c r="H442" s="9">
        <v>0.30535007010518789</v>
      </c>
      <c r="I442" s="9">
        <v>0.36276635357504911</v>
      </c>
      <c r="J442" s="9">
        <v>-3.6840396748336701</v>
      </c>
      <c r="K442" s="9">
        <v>1.9730087517591539</v>
      </c>
      <c r="L442" s="9">
        <v>-1.0613115936954669</v>
      </c>
      <c r="M442" s="9">
        <v>3.142461528138865</v>
      </c>
      <c r="N442" s="9">
        <v>3.091588262339735</v>
      </c>
      <c r="O442" s="9">
        <v>-11.51292546497023</v>
      </c>
      <c r="P442" s="9">
        <v>5.0873264670372009E-2</v>
      </c>
      <c r="Q442" s="9">
        <v>0</v>
      </c>
      <c r="R442" s="9">
        <v>0</v>
      </c>
      <c r="S442" s="9">
        <v>1</v>
      </c>
      <c r="T442" s="9">
        <v>0</v>
      </c>
      <c r="U442" s="9">
        <v>0</v>
      </c>
      <c r="V442" s="9">
        <v>0</v>
      </c>
      <c r="W442" s="9">
        <v>0</v>
      </c>
      <c r="X442" s="9">
        <v>-1.5311722755432129</v>
      </c>
      <c r="Y442">
        <f t="shared" si="48"/>
        <v>0.20543914647168415</v>
      </c>
      <c r="Z442">
        <f t="shared" si="49"/>
        <v>0.21628197657575685</v>
      </c>
      <c r="AA442">
        <f t="shared" si="50"/>
        <v>-1.0842830104072693E-2</v>
      </c>
      <c r="AB442">
        <f t="shared" si="51"/>
        <v>1.1756696466578504E-4</v>
      </c>
      <c r="AC442" t="str">
        <f>VLOOKUP(A442, 'state-ids'!$A$1:$B$28, 2)</f>
        <v>MT</v>
      </c>
      <c r="AD442">
        <f>VLOOKUP(A442, 'state-ids'!$A$1:$C$28, 3)</f>
        <v>7.9445726999999994E-2</v>
      </c>
      <c r="AE442">
        <f>VLOOKUP(A442, 'state-ids'!$A$1:$D$28, 4)</f>
        <v>0.87497932</v>
      </c>
      <c r="AF442">
        <f t="shared" si="52"/>
        <v>-4.5002931746485376E-2</v>
      </c>
      <c r="AG442">
        <f t="shared" si="53"/>
        <v>0.25484938498206444</v>
      </c>
      <c r="AH442">
        <f t="shared" si="54"/>
        <v>0.18355113313225507</v>
      </c>
      <c r="AI442">
        <f t="shared" si="55"/>
        <v>7.1298251849809369E-2</v>
      </c>
      <c r="AJ442" s="12"/>
    </row>
    <row r="443" spans="1:36" x14ac:dyDescent="0.25">
      <c r="A443" s="9">
        <v>51</v>
      </c>
      <c r="B443" s="9">
        <v>2015</v>
      </c>
      <c r="C443" s="9">
        <v>-1.7534303860936951</v>
      </c>
      <c r="D443" s="9">
        <v>0.67960590999327797</v>
      </c>
      <c r="E443" s="9">
        <v>0.69474590192364238</v>
      </c>
      <c r="F443" s="9">
        <v>0.72754860727727766</v>
      </c>
      <c r="G443" s="9">
        <v>0.20073432980108</v>
      </c>
      <c r="H443" s="9">
        <v>0.29728580859447568</v>
      </c>
      <c r="I443" s="9">
        <v>0.30535007010518789</v>
      </c>
      <c r="J443" s="9">
        <v>-3.2789795267156618</v>
      </c>
      <c r="K443" s="9">
        <v>1.9730087517591539</v>
      </c>
      <c r="L443" s="9">
        <v>-1.020982827946896</v>
      </c>
      <c r="M443" s="9">
        <v>3.1161413519454091</v>
      </c>
      <c r="N443" s="9">
        <v>3.1297864755568958</v>
      </c>
      <c r="O443" s="9">
        <v>-11.51292546497023</v>
      </c>
      <c r="P443" s="9">
        <v>-1.3645123690366745E-2</v>
      </c>
      <c r="Q443" s="9">
        <v>1</v>
      </c>
      <c r="R443" s="9">
        <v>0</v>
      </c>
      <c r="S443" s="9">
        <v>1</v>
      </c>
      <c r="T443" s="9">
        <v>0</v>
      </c>
      <c r="U443" s="9">
        <v>0</v>
      </c>
      <c r="V443" s="9">
        <v>0</v>
      </c>
      <c r="W443" s="9">
        <v>0</v>
      </c>
      <c r="X443" s="9">
        <v>-1.5668298006057739</v>
      </c>
      <c r="Y443">
        <f t="shared" si="48"/>
        <v>0.17317885300993485</v>
      </c>
      <c r="Z443">
        <f t="shared" si="49"/>
        <v>0.2087057736178537</v>
      </c>
      <c r="AA443">
        <f t="shared" si="50"/>
        <v>-3.5526920607918844E-2</v>
      </c>
      <c r="AB443">
        <f t="shared" si="51"/>
        <v>1.2621620878813687E-3</v>
      </c>
      <c r="AC443" t="str">
        <f>VLOOKUP(A443, 'state-ids'!$A$1:$B$28, 2)</f>
        <v>MT</v>
      </c>
      <c r="AD443">
        <f>VLOOKUP(A443, 'state-ids'!$A$1:$C$28, 3)</f>
        <v>7.9445726999999994E-2</v>
      </c>
      <c r="AE443">
        <f>VLOOKUP(A443, 'state-ids'!$A$1:$D$28, 4)</f>
        <v>0.87497932</v>
      </c>
      <c r="AF443">
        <f t="shared" si="52"/>
        <v>-0.16327165340182309</v>
      </c>
      <c r="AG443">
        <f t="shared" si="53"/>
        <v>0.24592219329050605</v>
      </c>
      <c r="AH443">
        <f t="shared" si="54"/>
        <v>0.17712146821158159</v>
      </c>
      <c r="AI443">
        <f t="shared" si="55"/>
        <v>6.8800725078924457E-2</v>
      </c>
      <c r="AJ443" s="12"/>
    </row>
    <row r="444" spans="1:36" x14ac:dyDescent="0.25">
      <c r="A444" s="9">
        <v>51</v>
      </c>
      <c r="B444" s="9">
        <v>2016</v>
      </c>
      <c r="C444" s="9">
        <v>-1.679206203083961</v>
      </c>
      <c r="D444" s="9">
        <v>0.71147813724466868</v>
      </c>
      <c r="E444" s="9">
        <v>0.67960590999327797</v>
      </c>
      <c r="F444" s="9">
        <v>0.69474590192364238</v>
      </c>
      <c r="G444" s="9">
        <v>0.34557355086755848</v>
      </c>
      <c r="H444" s="9">
        <v>0.20073432980108</v>
      </c>
      <c r="I444" s="9">
        <v>0.29728580859447568</v>
      </c>
      <c r="J444" s="9">
        <v>-2.8458570330107551</v>
      </c>
      <c r="K444" s="9">
        <v>1.9730087517591539</v>
      </c>
      <c r="L444" s="9">
        <v>-0.98968193431058293</v>
      </c>
      <c r="M444" s="9">
        <v>3.1686179571010782</v>
      </c>
      <c r="N444" s="9">
        <v>3.1039528289949501</v>
      </c>
      <c r="O444" s="9">
        <v>-11.51292546497023</v>
      </c>
      <c r="P444" s="9">
        <v>6.4665131270885468E-2</v>
      </c>
      <c r="Q444" s="9">
        <v>1</v>
      </c>
      <c r="R444" s="9">
        <v>0</v>
      </c>
      <c r="S444" s="9">
        <v>1</v>
      </c>
      <c r="T444" s="9">
        <v>0</v>
      </c>
      <c r="U444" s="9">
        <v>0</v>
      </c>
      <c r="V444" s="9">
        <v>0</v>
      </c>
      <c r="W444" s="9">
        <v>0</v>
      </c>
      <c r="X444" s="9">
        <v>-1.5116231441497803</v>
      </c>
      <c r="Y444">
        <f t="shared" si="48"/>
        <v>0.18652197786074315</v>
      </c>
      <c r="Z444">
        <f t="shared" si="49"/>
        <v>0.22055170006801683</v>
      </c>
      <c r="AA444">
        <f t="shared" si="50"/>
        <v>-3.4029722207273683E-2</v>
      </c>
      <c r="AB444">
        <f t="shared" si="51"/>
        <v>1.1580219935042157E-3</v>
      </c>
      <c r="AC444" t="str">
        <f>VLOOKUP(A444, 'state-ids'!$A$1:$B$28, 2)</f>
        <v>MT</v>
      </c>
      <c r="AD444">
        <f>VLOOKUP(A444, 'state-ids'!$A$1:$C$28, 3)</f>
        <v>7.9445726999999994E-2</v>
      </c>
      <c r="AE444">
        <f>VLOOKUP(A444, 'state-ids'!$A$1:$D$28, 4)</f>
        <v>0.87497932</v>
      </c>
      <c r="AF444">
        <f t="shared" si="52"/>
        <v>-0.14663171094974933</v>
      </c>
      <c r="AG444">
        <f t="shared" si="53"/>
        <v>0.25988048569269062</v>
      </c>
      <c r="AH444">
        <f t="shared" si="54"/>
        <v>0.18717470176045845</v>
      </c>
      <c r="AI444">
        <f t="shared" si="55"/>
        <v>7.2705783932232176E-2</v>
      </c>
      <c r="AJ444" s="12"/>
    </row>
    <row r="445" spans="1:36" x14ac:dyDescent="0.25">
      <c r="A445" s="9">
        <v>51</v>
      </c>
      <c r="B445" s="9">
        <v>2017</v>
      </c>
      <c r="C445" s="9">
        <v>-1.67921739515646</v>
      </c>
      <c r="D445" s="9">
        <v>0.70631016708622618</v>
      </c>
      <c r="E445" s="9">
        <v>0.71147813724466868</v>
      </c>
      <c r="F445" s="9">
        <v>0.67960590999327797</v>
      </c>
      <c r="G445" s="9">
        <v>0.27292370147623563</v>
      </c>
      <c r="H445" s="9">
        <v>0.34557355086755848</v>
      </c>
      <c r="I445" s="9">
        <v>0.20073432980108</v>
      </c>
      <c r="J445" s="9">
        <v>-2.2429678509241522</v>
      </c>
      <c r="K445" s="9">
        <v>1.9730087517591539</v>
      </c>
      <c r="L445" s="9">
        <v>-0.96161077735185829</v>
      </c>
      <c r="M445" s="9">
        <v>3.144485979086646</v>
      </c>
      <c r="N445" s="9">
        <v>3.156884721740048</v>
      </c>
      <c r="O445" s="9">
        <v>-11.51292546497023</v>
      </c>
      <c r="P445" s="9">
        <v>-1.2398743070662022E-2</v>
      </c>
      <c r="Q445" s="9">
        <v>1</v>
      </c>
      <c r="R445" s="9">
        <v>0</v>
      </c>
      <c r="S445" s="9">
        <v>1</v>
      </c>
      <c r="T445" s="9">
        <v>0</v>
      </c>
      <c r="U445" s="9">
        <v>0</v>
      </c>
      <c r="V445" s="9">
        <v>0</v>
      </c>
      <c r="W445" s="9">
        <v>0</v>
      </c>
      <c r="X445" s="9">
        <v>-1.5189636945724487</v>
      </c>
      <c r="Y445">
        <f t="shared" si="48"/>
        <v>0.18651989030492636</v>
      </c>
      <c r="Z445">
        <f t="shared" si="49"/>
        <v>0.21893865674882429</v>
      </c>
      <c r="AA445">
        <f t="shared" si="50"/>
        <v>-3.2418766443897934E-2</v>
      </c>
      <c r="AB445">
        <f t="shared" si="51"/>
        <v>1.0509764177440027E-3</v>
      </c>
      <c r="AC445" t="str">
        <f>VLOOKUP(A445, 'state-ids'!$A$1:$B$28, 2)</f>
        <v>MT</v>
      </c>
      <c r="AD445">
        <f>VLOOKUP(A445, 'state-ids'!$A$1:$C$28, 3)</f>
        <v>7.9445726999999994E-2</v>
      </c>
      <c r="AE445">
        <f>VLOOKUP(A445, 'state-ids'!$A$1:$D$28, 4)</f>
        <v>0.87497932</v>
      </c>
      <c r="AF445">
        <f t="shared" si="52"/>
        <v>-0.14021867396448176</v>
      </c>
      <c r="AG445">
        <f t="shared" si="53"/>
        <v>0.25797980444151081</v>
      </c>
      <c r="AH445">
        <f t="shared" si="54"/>
        <v>0.1858057669388114</v>
      </c>
      <c r="AI445">
        <f t="shared" si="55"/>
        <v>7.2174037502699406E-2</v>
      </c>
      <c r="AJ445" s="12"/>
    </row>
    <row r="446" spans="1:36" x14ac:dyDescent="0.25">
      <c r="A446" s="9">
        <v>51</v>
      </c>
      <c r="B446" s="9">
        <v>2018</v>
      </c>
      <c r="C446" s="9">
        <v>-1.8864132743384829</v>
      </c>
      <c r="D446" s="9">
        <v>0.83594797919161656</v>
      </c>
      <c r="E446" s="9">
        <v>0.70631016708622618</v>
      </c>
      <c r="F446" s="9">
        <v>0.71147813724466868</v>
      </c>
      <c r="G446" s="9">
        <v>0.33253592808540672</v>
      </c>
      <c r="H446" s="9">
        <v>0.27292370147623563</v>
      </c>
      <c r="I446" s="9">
        <v>0.34557355086755848</v>
      </c>
      <c r="J446" s="9">
        <v>-1.826642708966508</v>
      </c>
      <c r="K446" s="9">
        <v>1.9730087517591539</v>
      </c>
      <c r="L446" s="9">
        <v>-0.94169512122798971</v>
      </c>
      <c r="M446" s="9">
        <v>3.1520444807485388</v>
      </c>
      <c r="N446" s="9">
        <v>3.115764223772421</v>
      </c>
      <c r="O446" s="9">
        <v>3.2580965380214821</v>
      </c>
      <c r="P446" s="9">
        <v>3.6280255764722824E-2</v>
      </c>
      <c r="Q446" s="9">
        <v>1</v>
      </c>
      <c r="R446" s="9">
        <v>0</v>
      </c>
      <c r="S446" s="9">
        <v>1</v>
      </c>
      <c r="T446" s="9">
        <v>0</v>
      </c>
      <c r="U446" s="9">
        <v>0</v>
      </c>
      <c r="V446" s="9">
        <v>0</v>
      </c>
      <c r="W446" s="9">
        <v>0</v>
      </c>
      <c r="X446" s="9">
        <v>-1.6053529977798462</v>
      </c>
      <c r="Y446">
        <f t="shared" si="48"/>
        <v>0.15161463487195528</v>
      </c>
      <c r="Z446">
        <f t="shared" si="49"/>
        <v>0.2008186538580477</v>
      </c>
      <c r="AA446">
        <f t="shared" si="50"/>
        <v>-4.9204018986092418E-2</v>
      </c>
      <c r="AB446">
        <f t="shared" si="51"/>
        <v>2.421035484383743E-3</v>
      </c>
      <c r="AC446" t="str">
        <f>VLOOKUP(A446, 'state-ids'!$A$1:$B$28, 2)</f>
        <v>MT</v>
      </c>
      <c r="AD446">
        <f>VLOOKUP(A446, 'state-ids'!$A$1:$C$28, 3)</f>
        <v>7.9445726999999994E-2</v>
      </c>
      <c r="AE446">
        <f>VLOOKUP(A446, 'state-ids'!$A$1:$D$28, 4)</f>
        <v>0.87497932</v>
      </c>
      <c r="AF446">
        <f t="shared" si="52"/>
        <v>-0.24592192966228793</v>
      </c>
      <c r="AG446">
        <f t="shared" si="53"/>
        <v>0.23662864210381071</v>
      </c>
      <c r="AH446">
        <f t="shared" si="54"/>
        <v>0.17042793881083143</v>
      </c>
      <c r="AI446">
        <f t="shared" si="55"/>
        <v>6.6200703292979279E-2</v>
      </c>
      <c r="AJ446" s="12"/>
    </row>
    <row r="447" spans="1:36" x14ac:dyDescent="0.25">
      <c r="A447" s="9">
        <v>51</v>
      </c>
      <c r="B447" s="9">
        <v>2019</v>
      </c>
      <c r="C447" s="9">
        <v>-1.9921047751330849</v>
      </c>
      <c r="D447" s="9">
        <v>0.79376145059253866</v>
      </c>
      <c r="E447" s="9">
        <v>0.83594797919161656</v>
      </c>
      <c r="F447" s="9">
        <v>0.70631016708622618</v>
      </c>
      <c r="G447" s="9">
        <v>0.24904518883686269</v>
      </c>
      <c r="H447" s="9">
        <v>0.33253592808540672</v>
      </c>
      <c r="I447" s="9">
        <v>0.27292370147623563</v>
      </c>
      <c r="J447" s="9">
        <v>-1.120801484052383</v>
      </c>
      <c r="K447" s="9">
        <v>1.9730087517591539</v>
      </c>
      <c r="L447" s="9">
        <v>-0.90391195547556569</v>
      </c>
      <c r="M447" s="9">
        <v>3.13188489075428</v>
      </c>
      <c r="N447" s="9">
        <v>3.1397817931288499</v>
      </c>
      <c r="O447" s="9">
        <v>5.393627546352362</v>
      </c>
      <c r="P447" s="9">
        <v>-7.8969020396471024E-3</v>
      </c>
      <c r="Q447" s="9">
        <v>1</v>
      </c>
      <c r="R447" s="9">
        <v>0</v>
      </c>
      <c r="S447" s="9">
        <v>1</v>
      </c>
      <c r="T447" s="9">
        <v>0</v>
      </c>
      <c r="U447" s="9">
        <v>0</v>
      </c>
      <c r="V447" s="9">
        <v>0</v>
      </c>
      <c r="W447" s="9">
        <v>0</v>
      </c>
      <c r="X447" s="9">
        <v>-1.6068980693817139</v>
      </c>
      <c r="Y447">
        <f t="shared" si="48"/>
        <v>0.13640801488664259</v>
      </c>
      <c r="Z447">
        <f t="shared" si="49"/>
        <v>0.20050861423723154</v>
      </c>
      <c r="AA447">
        <f t="shared" si="50"/>
        <v>-6.4100599350588955E-2</v>
      </c>
      <c r="AB447">
        <f t="shared" si="51"/>
        <v>4.1088868371047249E-3</v>
      </c>
      <c r="AC447" t="str">
        <f>VLOOKUP(A447, 'state-ids'!$A$1:$B$28, 2)</f>
        <v>MT</v>
      </c>
      <c r="AD447">
        <f>VLOOKUP(A447, 'state-ids'!$A$1:$C$28, 3)</f>
        <v>7.9445726999999994E-2</v>
      </c>
      <c r="AE447">
        <f>VLOOKUP(A447, 'state-ids'!$A$1:$D$28, 4)</f>
        <v>0.87497932</v>
      </c>
      <c r="AF447">
        <f t="shared" si="52"/>
        <v>-0.33704790145777475</v>
      </c>
      <c r="AG447">
        <f t="shared" si="53"/>
        <v>0.23626331620871749</v>
      </c>
      <c r="AH447">
        <f t="shared" si="54"/>
        <v>0.17016481876441014</v>
      </c>
      <c r="AI447">
        <f t="shared" si="55"/>
        <v>6.6098497444307347E-2</v>
      </c>
      <c r="AJ447" s="12"/>
    </row>
    <row r="448" spans="1:36" x14ac:dyDescent="0.25">
      <c r="A448" s="9">
        <v>51</v>
      </c>
      <c r="B448" s="9">
        <v>2020</v>
      </c>
      <c r="C448" s="9">
        <v>-1.9497546726642769</v>
      </c>
      <c r="D448" s="9">
        <v>0.7133418878454646</v>
      </c>
      <c r="E448" s="9">
        <v>0.79376145059253866</v>
      </c>
      <c r="F448" s="9">
        <v>0.83594797919161656</v>
      </c>
      <c r="G448" s="9">
        <v>0.28930575356787852</v>
      </c>
      <c r="H448" s="9">
        <v>0.24904518883686269</v>
      </c>
      <c r="I448" s="9">
        <v>0.33253592808540672</v>
      </c>
      <c r="J448" s="9">
        <v>-0.33279799939185711</v>
      </c>
      <c r="K448" s="9">
        <v>1.9730087517591539</v>
      </c>
      <c r="L448" s="9">
        <v>-0.87596321331421045</v>
      </c>
      <c r="M448" s="9">
        <v>3.2859967765217868</v>
      </c>
      <c r="N448" s="9">
        <v>3.1199732194291552</v>
      </c>
      <c r="O448" s="9">
        <v>5.9914645471079817</v>
      </c>
      <c r="P448" s="9">
        <v>0.16602355241775513</v>
      </c>
      <c r="Q448" s="9">
        <v>1</v>
      </c>
      <c r="R448" s="9">
        <v>1</v>
      </c>
      <c r="S448" s="9">
        <v>1</v>
      </c>
      <c r="T448" s="9">
        <v>0</v>
      </c>
      <c r="U448" s="9">
        <v>0</v>
      </c>
      <c r="V448" s="9">
        <v>0</v>
      </c>
      <c r="W448" s="9">
        <v>0</v>
      </c>
      <c r="X448" s="9">
        <v>-1.6114116907119751</v>
      </c>
      <c r="Y448">
        <f t="shared" si="48"/>
        <v>0.14230897958720667</v>
      </c>
      <c r="Z448">
        <f t="shared" si="49"/>
        <v>0.19960563366830561</v>
      </c>
      <c r="AA448">
        <f t="shared" si="50"/>
        <v>-5.7296654081098936E-2</v>
      </c>
      <c r="AB448">
        <f t="shared" si="51"/>
        <v>3.2829065688891111E-3</v>
      </c>
      <c r="AC448" t="str">
        <f>VLOOKUP(A448, 'state-ids'!$A$1:$B$28, 2)</f>
        <v>MT</v>
      </c>
      <c r="AD448">
        <f>VLOOKUP(A448, 'state-ids'!$A$1:$C$28, 3)</f>
        <v>7.9445726999999994E-2</v>
      </c>
      <c r="AE448">
        <f>VLOOKUP(A448, 'state-ids'!$A$1:$D$28, 4)</f>
        <v>0.87497932</v>
      </c>
      <c r="AF448">
        <f t="shared" si="52"/>
        <v>-0.29604311227539731</v>
      </c>
      <c r="AG448">
        <f t="shared" si="53"/>
        <v>0.23519931611825723</v>
      </c>
      <c r="AH448">
        <f t="shared" si="54"/>
        <v>0.16939848996879406</v>
      </c>
      <c r="AI448">
        <f t="shared" si="55"/>
        <v>6.5800826149463171E-2</v>
      </c>
      <c r="AJ448" s="12"/>
    </row>
    <row r="449" spans="1:36" x14ac:dyDescent="0.25">
      <c r="A449" s="9">
        <v>51</v>
      </c>
      <c r="B449" s="9">
        <v>2021</v>
      </c>
      <c r="C449" s="9">
        <v>-1.765906089621222</v>
      </c>
      <c r="D449" s="9">
        <v>0.90401570099854245</v>
      </c>
      <c r="E449" s="9">
        <v>0.7133418878454646</v>
      </c>
      <c r="F449" s="9">
        <v>0.79376145059253866</v>
      </c>
      <c r="G449" s="9">
        <v>0.57515162232223782</v>
      </c>
      <c r="H449" s="9">
        <v>0.28930575356787852</v>
      </c>
      <c r="I449" s="9">
        <v>0.24904518883686269</v>
      </c>
      <c r="J449" s="9">
        <v>0.35411113289401652</v>
      </c>
      <c r="K449" s="9">
        <v>1.9730087517591539</v>
      </c>
      <c r="L449" s="9">
        <v>-0.85090031149088408</v>
      </c>
      <c r="M449" s="9">
        <v>3.4190583322518591</v>
      </c>
      <c r="N449" s="9">
        <v>3.2744327466275061</v>
      </c>
      <c r="O449" s="9">
        <v>6.6846117276679271</v>
      </c>
      <c r="P449" s="9">
        <v>0.14462558925151825</v>
      </c>
      <c r="Q449" s="9">
        <v>1</v>
      </c>
      <c r="R449" s="9">
        <v>0</v>
      </c>
      <c r="S449" s="9">
        <v>1</v>
      </c>
      <c r="T449" s="9">
        <v>0</v>
      </c>
      <c r="U449" s="9">
        <v>0</v>
      </c>
      <c r="V449" s="9">
        <v>0</v>
      </c>
      <c r="W449" s="9">
        <v>0</v>
      </c>
      <c r="X449" s="9">
        <v>-1.5370136499404907</v>
      </c>
      <c r="Y449">
        <f t="shared" si="48"/>
        <v>0.17103174616523617</v>
      </c>
      <c r="Z449">
        <f t="shared" si="49"/>
        <v>0.21502227535035986</v>
      </c>
      <c r="AA449">
        <f t="shared" si="50"/>
        <v>-4.3990529185123695E-2</v>
      </c>
      <c r="AB449">
        <f t="shared" si="51"/>
        <v>1.9351666579872195E-3</v>
      </c>
      <c r="AC449" t="str">
        <f>VLOOKUP(A449, 'state-ids'!$A$1:$B$28, 2)</f>
        <v>MT</v>
      </c>
      <c r="AD449">
        <f>VLOOKUP(A449, 'state-ids'!$A$1:$C$28, 3)</f>
        <v>7.9445726999999994E-2</v>
      </c>
      <c r="AE449">
        <f>VLOOKUP(A449, 'state-ids'!$A$1:$D$28, 4)</f>
        <v>0.87497932</v>
      </c>
      <c r="AF449">
        <f t="shared" si="52"/>
        <v>-0.20027615122498724</v>
      </c>
      <c r="AG449">
        <f t="shared" si="53"/>
        <v>0.25336505379720897</v>
      </c>
      <c r="AH449">
        <f t="shared" si="54"/>
        <v>0.18248206768819705</v>
      </c>
      <c r="AI449">
        <f t="shared" si="55"/>
        <v>7.088298610901192E-2</v>
      </c>
      <c r="AJ449" s="12"/>
    </row>
    <row r="450" spans="1:36" x14ac:dyDescent="0.25">
      <c r="A450" s="9">
        <v>51</v>
      </c>
      <c r="B450" s="9">
        <v>2022</v>
      </c>
      <c r="C450" s="9">
        <v>-1.681463142928628</v>
      </c>
      <c r="D450" s="9">
        <v>0.89006995223107255</v>
      </c>
      <c r="E450" s="9">
        <v>0.90401570099854245</v>
      </c>
      <c r="F450" s="9">
        <v>0.7133418878454646</v>
      </c>
      <c r="G450" s="9">
        <v>0.5042842757225684</v>
      </c>
      <c r="H450" s="9">
        <v>0.57515162232223782</v>
      </c>
      <c r="I450" s="9">
        <v>0.28930575356787852</v>
      </c>
      <c r="J450" s="9">
        <v>0.82585925575775587</v>
      </c>
      <c r="K450" s="9">
        <v>1.9730087517591539</v>
      </c>
      <c r="L450" s="9">
        <v>-0.8181080957602257</v>
      </c>
      <c r="M450" s="9">
        <v>3.4274724365402758</v>
      </c>
      <c r="N450" s="9">
        <v>3.4190583322518591</v>
      </c>
      <c r="O450" s="9">
        <v>8.0551577318196781</v>
      </c>
      <c r="P450" s="9">
        <v>8.4141045808792114E-3</v>
      </c>
      <c r="Q450" s="9">
        <v>1</v>
      </c>
      <c r="R450" s="9">
        <v>0</v>
      </c>
      <c r="S450" s="9">
        <v>1</v>
      </c>
      <c r="T450" s="9">
        <v>0</v>
      </c>
      <c r="U450" s="9">
        <v>0</v>
      </c>
      <c r="V450" s="9">
        <v>0</v>
      </c>
      <c r="W450" s="9">
        <v>0</v>
      </c>
      <c r="X450" s="9">
        <v>-1.5012661218643188</v>
      </c>
      <c r="Y450">
        <f t="shared" si="48"/>
        <v>0.18610148367054127</v>
      </c>
      <c r="Z450">
        <f t="shared" si="49"/>
        <v>0.22284782894464825</v>
      </c>
      <c r="AA450">
        <f t="shared" si="50"/>
        <v>-3.6746345274106973E-2</v>
      </c>
      <c r="AB450">
        <f t="shared" si="51"/>
        <v>1.3502938910038838E-3</v>
      </c>
      <c r="AC450" t="str">
        <f>VLOOKUP(A450, 'state-ids'!$A$1:$B$28, 2)</f>
        <v>MT</v>
      </c>
      <c r="AD450">
        <f>VLOOKUP(A450, 'state-ids'!$A$1:$C$28, 3)</f>
        <v>7.9445726999999994E-2</v>
      </c>
      <c r="AE450">
        <f>VLOOKUP(A450, 'state-ids'!$A$1:$D$28, 4)</f>
        <v>0.87497932</v>
      </c>
      <c r="AF450">
        <f t="shared" si="52"/>
        <v>-0.15766866695687487</v>
      </c>
      <c r="AG450">
        <f t="shared" si="53"/>
        <v>0.26258606033794596</v>
      </c>
      <c r="AH450">
        <f t="shared" si="54"/>
        <v>0.18912334798515099</v>
      </c>
      <c r="AI450">
        <f t="shared" si="55"/>
        <v>7.3462712352794973E-2</v>
      </c>
      <c r="AJ450" s="12"/>
    </row>
    <row r="451" spans="1:36" x14ac:dyDescent="0.25">
      <c r="A451" s="9">
        <v>51</v>
      </c>
      <c r="B451" s="9">
        <v>2023</v>
      </c>
      <c r="C451" s="9">
        <v>-1.6568841041092961</v>
      </c>
      <c r="D451" s="9">
        <v>0.75292438459580613</v>
      </c>
      <c r="E451" s="9">
        <v>0.89006995223107255</v>
      </c>
      <c r="F451" s="9">
        <v>0.90401570099854245</v>
      </c>
      <c r="G451" s="9">
        <v>0.28073298336357422</v>
      </c>
      <c r="H451" s="9">
        <v>0.5042842757225684</v>
      </c>
      <c r="I451" s="9">
        <v>0.57515162232223782</v>
      </c>
      <c r="J451" s="9">
        <v>1.3493937625097989</v>
      </c>
      <c r="K451" s="9">
        <v>1.9730087517591539</v>
      </c>
      <c r="L451" s="9">
        <v>-0.78477121725476684</v>
      </c>
      <c r="M451" s="9">
        <v>3.443338371166075</v>
      </c>
      <c r="N451" s="9">
        <v>3.4274724365402758</v>
      </c>
      <c r="O451" s="9">
        <v>8.4658998970286863</v>
      </c>
      <c r="P451" s="9">
        <v>1.5865935012698174E-2</v>
      </c>
      <c r="Q451" s="9">
        <v>1</v>
      </c>
      <c r="R451" s="9">
        <v>0</v>
      </c>
      <c r="S451" s="9">
        <v>1</v>
      </c>
      <c r="T451" s="9">
        <v>0</v>
      </c>
      <c r="U451" s="9">
        <v>0</v>
      </c>
      <c r="V451" s="9">
        <v>0</v>
      </c>
      <c r="W451" s="9">
        <v>0</v>
      </c>
      <c r="X451" s="9">
        <v>-1.4753338098526001</v>
      </c>
      <c r="Y451">
        <f t="shared" ref="Y451:Y487" si="56">EXP(C451)</f>
        <v>0.19073235733904748</v>
      </c>
      <c r="Z451">
        <f t="shared" ref="Z451:Z487" si="57">EXP(X451)</f>
        <v>0.2287023711969457</v>
      </c>
      <c r="AA451">
        <f t="shared" ref="AA451:AA487" si="58">Y451-Z451</f>
        <v>-3.7970013857898222E-2</v>
      </c>
      <c r="AB451">
        <f t="shared" ref="AB451:AB487" si="59">AA451*AA451</f>
        <v>1.4417219523689829E-3</v>
      </c>
      <c r="AC451" t="str">
        <f>VLOOKUP(A451, 'state-ids'!$A$1:$B$28, 2)</f>
        <v>MT</v>
      </c>
      <c r="AD451">
        <f>VLOOKUP(A451, 'state-ids'!$A$1:$C$28, 3)</f>
        <v>7.9445726999999994E-2</v>
      </c>
      <c r="AE451">
        <f>VLOOKUP(A451, 'state-ids'!$A$1:$D$28, 4)</f>
        <v>0.87497932</v>
      </c>
      <c r="AF451">
        <f t="shared" ref="AF451:AF487" si="60">IF(B451=2006, (C451-X451)*SQRT(1 - AE451*AE451), AE451*(C451-X451) )</f>
        <v>-0.15885275301452378</v>
      </c>
      <c r="AG451">
        <f t="shared" ref="AG451:AG487" si="61">EXP(X451+SQRT((AD451*AD451)/(1-(AE451*AE451))))</f>
        <v>0.26948458473638054</v>
      </c>
      <c r="AH451">
        <f t="shared" ref="AH451:AH487" si="62">EXP(X451-SQRT((AD451*AD451)/(1-(AE451*AE451))))</f>
        <v>0.1940918982147789</v>
      </c>
      <c r="AI451">
        <f t="shared" ref="AI451:AI487" si="63">AG451-AH451</f>
        <v>7.5392686521601637E-2</v>
      </c>
      <c r="AJ451" s="12"/>
    </row>
    <row r="452" spans="1:36" x14ac:dyDescent="0.25">
      <c r="A452" s="9">
        <v>52</v>
      </c>
      <c r="B452" s="9">
        <v>2006</v>
      </c>
      <c r="C452" s="9">
        <v>-1.862337595589032</v>
      </c>
      <c r="D452" s="9">
        <v>0.94778939893352609</v>
      </c>
      <c r="E452" s="9">
        <v>0.88533655655224996</v>
      </c>
      <c r="F452" s="9">
        <v>0.82342955082286751</v>
      </c>
      <c r="G452" s="9">
        <v>0.52472852893498212</v>
      </c>
      <c r="H452" s="9">
        <v>0.40246059908786569</v>
      </c>
      <c r="I452" s="9">
        <v>0.34861252984868768</v>
      </c>
      <c r="J452" s="9">
        <v>-11.51292546497023</v>
      </c>
      <c r="K452" s="9">
        <v>2.05817408255127</v>
      </c>
      <c r="L452" s="9">
        <v>-1.608091352549371</v>
      </c>
      <c r="M452" s="9">
        <v>2.6691657313985648</v>
      </c>
      <c r="N452" s="9">
        <v>2.604186425782943</v>
      </c>
      <c r="O452" s="9">
        <v>-11.51292546497023</v>
      </c>
      <c r="P452" s="9">
        <v>6.4979307353496552E-2</v>
      </c>
      <c r="Q452" s="9">
        <v>0</v>
      </c>
      <c r="R452" s="9">
        <v>0</v>
      </c>
      <c r="S452" s="9">
        <v>1</v>
      </c>
      <c r="T452" s="9">
        <v>0</v>
      </c>
      <c r="U452" s="9">
        <v>0</v>
      </c>
      <c r="V452" s="9">
        <v>0</v>
      </c>
      <c r="W452" s="9">
        <v>0</v>
      </c>
      <c r="X452" s="9">
        <v>-2.0510866641998291</v>
      </c>
      <c r="Y452">
        <f t="shared" si="56"/>
        <v>0.15530915570781006</v>
      </c>
      <c r="Z452">
        <f t="shared" si="57"/>
        <v>0.12859508795688557</v>
      </c>
      <c r="AA452">
        <f t="shared" si="58"/>
        <v>2.6714067750924497E-2</v>
      </c>
      <c r="AB452">
        <f t="shared" si="59"/>
        <v>7.1364141580098424E-4</v>
      </c>
      <c r="AC452" t="str">
        <f>VLOOKUP(A452, 'state-ids'!$A$1:$B$28, 2)</f>
        <v>GO</v>
      </c>
      <c r="AD452">
        <f>VLOOKUP(A452, 'state-ids'!$A$1:$C$28, 3)</f>
        <v>6.8600796000000006E-2</v>
      </c>
      <c r="AE452">
        <f>VLOOKUP(A452, 'state-ids'!$A$1:$D$28, 4)</f>
        <v>0.70854371999999999</v>
      </c>
      <c r="AF452">
        <f t="shared" si="60"/>
        <v>0.13319397321287541</v>
      </c>
      <c r="AG452">
        <f t="shared" si="61"/>
        <v>0.14172417594261136</v>
      </c>
      <c r="AH452">
        <f t="shared" si="62"/>
        <v>0.11668225647920062</v>
      </c>
      <c r="AI452">
        <f t="shared" si="63"/>
        <v>2.5041919463410736E-2</v>
      </c>
      <c r="AJ452" s="12"/>
    </row>
    <row r="453" spans="1:36" x14ac:dyDescent="0.25">
      <c r="A453" s="9">
        <v>52</v>
      </c>
      <c r="B453" s="9">
        <v>2007</v>
      </c>
      <c r="C453" s="9">
        <v>-1.883076035962455</v>
      </c>
      <c r="D453" s="9">
        <v>0.88459364513090055</v>
      </c>
      <c r="E453" s="9">
        <v>0.94778939893352609</v>
      </c>
      <c r="F453" s="9">
        <v>0.88533655655224996</v>
      </c>
      <c r="G453" s="9">
        <v>0.33482802850872367</v>
      </c>
      <c r="H453" s="9">
        <v>0.52472852893498212</v>
      </c>
      <c r="I453" s="9">
        <v>0.40246059908786569</v>
      </c>
      <c r="J453" s="9">
        <v>-11.51292546497023</v>
      </c>
      <c r="K453" s="9">
        <v>2.05817408255127</v>
      </c>
      <c r="L453" s="9">
        <v>-1.5047876678710319</v>
      </c>
      <c r="M453" s="9">
        <v>2.7482821220994418</v>
      </c>
      <c r="N453" s="9">
        <v>2.6592476277490902</v>
      </c>
      <c r="O453" s="9">
        <v>-11.51292546497023</v>
      </c>
      <c r="P453" s="9">
        <v>8.9034497737884521E-2</v>
      </c>
      <c r="Q453" s="9">
        <v>0</v>
      </c>
      <c r="R453" s="9">
        <v>0</v>
      </c>
      <c r="S453" s="9">
        <v>1</v>
      </c>
      <c r="T453" s="9">
        <v>0</v>
      </c>
      <c r="U453" s="9">
        <v>0</v>
      </c>
      <c r="V453" s="9">
        <v>0</v>
      </c>
      <c r="W453" s="9">
        <v>0</v>
      </c>
      <c r="X453" s="9">
        <v>-2.0046496391296387</v>
      </c>
      <c r="Y453">
        <f t="shared" si="56"/>
        <v>0.15212145426800924</v>
      </c>
      <c r="Z453">
        <f t="shared" si="57"/>
        <v>0.13470748365983426</v>
      </c>
      <c r="AA453">
        <f t="shared" si="58"/>
        <v>1.7413970608174983E-2</v>
      </c>
      <c r="AB453">
        <f t="shared" si="59"/>
        <v>3.032463723423822E-4</v>
      </c>
      <c r="AC453" t="str">
        <f>VLOOKUP(A453, 'state-ids'!$A$1:$B$28, 2)</f>
        <v>GO</v>
      </c>
      <c r="AD453">
        <f>VLOOKUP(A453, 'state-ids'!$A$1:$C$28, 3)</f>
        <v>6.8600796000000006E-2</v>
      </c>
      <c r="AE453">
        <f>VLOOKUP(A453, 'state-ids'!$A$1:$D$28, 4)</f>
        <v>0.70854371999999999</v>
      </c>
      <c r="AF453">
        <f t="shared" si="60"/>
        <v>8.6140213041880104E-2</v>
      </c>
      <c r="AG453">
        <f t="shared" si="61"/>
        <v>0.1484606248832272</v>
      </c>
      <c r="AH453">
        <f t="shared" si="62"/>
        <v>0.12222841018106631</v>
      </c>
      <c r="AI453">
        <f t="shared" si="63"/>
        <v>2.6232214702160889E-2</v>
      </c>
      <c r="AJ453" s="12"/>
    </row>
    <row r="454" spans="1:36" x14ac:dyDescent="0.25">
      <c r="A454" s="9">
        <v>52</v>
      </c>
      <c r="B454" s="9">
        <v>2008</v>
      </c>
      <c r="C454" s="9">
        <v>-1.846873097254206</v>
      </c>
      <c r="D454" s="9">
        <v>0.81933920579770469</v>
      </c>
      <c r="E454" s="9">
        <v>0.88459364513090055</v>
      </c>
      <c r="F454" s="9">
        <v>0.94778939893352609</v>
      </c>
      <c r="G454" s="9">
        <v>0.33732901234119472</v>
      </c>
      <c r="H454" s="9">
        <v>0.33482802850872367</v>
      </c>
      <c r="I454" s="9">
        <v>0.52472852893498212</v>
      </c>
      <c r="J454" s="9">
        <v>-11.51292546497023</v>
      </c>
      <c r="K454" s="9">
        <v>2.05817408255127</v>
      </c>
      <c r="L454" s="9">
        <v>-1.396098820537637</v>
      </c>
      <c r="M454" s="9">
        <v>2.7976701186191248</v>
      </c>
      <c r="N454" s="9">
        <v>2.7384614219624459</v>
      </c>
      <c r="O454" s="9">
        <v>-11.51292546497023</v>
      </c>
      <c r="P454" s="9">
        <v>5.9208694845438004E-2</v>
      </c>
      <c r="Q454" s="9">
        <v>0</v>
      </c>
      <c r="R454" s="9">
        <v>0</v>
      </c>
      <c r="S454" s="9">
        <v>1</v>
      </c>
      <c r="T454" s="9">
        <v>0</v>
      </c>
      <c r="U454" s="9">
        <v>0</v>
      </c>
      <c r="V454" s="9">
        <v>0</v>
      </c>
      <c r="W454" s="9">
        <v>0</v>
      </c>
      <c r="X454" s="9">
        <v>-1.8955596685409546</v>
      </c>
      <c r="Y454">
        <f t="shared" si="56"/>
        <v>0.15772960113738324</v>
      </c>
      <c r="Z454">
        <f t="shared" si="57"/>
        <v>0.15023423014077644</v>
      </c>
      <c r="AA454">
        <f t="shared" si="58"/>
        <v>7.4953709966067983E-3</v>
      </c>
      <c r="AB454">
        <f t="shared" si="59"/>
        <v>5.6180586376774387E-5</v>
      </c>
      <c r="AC454" t="str">
        <f>VLOOKUP(A454, 'state-ids'!$A$1:$B$28, 2)</f>
        <v>GO</v>
      </c>
      <c r="AD454">
        <f>VLOOKUP(A454, 'state-ids'!$A$1:$C$28, 3)</f>
        <v>6.8600796000000006E-2</v>
      </c>
      <c r="AE454">
        <f>VLOOKUP(A454, 'state-ids'!$A$1:$D$28, 4)</f>
        <v>0.70854371999999999</v>
      </c>
      <c r="AF454">
        <f t="shared" si="60"/>
        <v>3.4496564333558029E-2</v>
      </c>
      <c r="AG454">
        <f t="shared" si="61"/>
        <v>0.16557259537170452</v>
      </c>
      <c r="AH454">
        <f t="shared" si="62"/>
        <v>0.13631678512571607</v>
      </c>
      <c r="AI454">
        <f t="shared" si="63"/>
        <v>2.9255810245988445E-2</v>
      </c>
      <c r="AJ454" s="12"/>
    </row>
    <row r="455" spans="1:36" x14ac:dyDescent="0.25">
      <c r="A455" s="9">
        <v>52</v>
      </c>
      <c r="B455" s="9">
        <v>2009</v>
      </c>
      <c r="C455" s="9">
        <v>-1.8293809229926421</v>
      </c>
      <c r="D455" s="9">
        <v>0.80848277923984968</v>
      </c>
      <c r="E455" s="9">
        <v>0.81933920579770469</v>
      </c>
      <c r="F455" s="9">
        <v>0.88459364513090055</v>
      </c>
      <c r="G455" s="9">
        <v>0.30792577892882339</v>
      </c>
      <c r="H455" s="9">
        <v>0.33732901234119472</v>
      </c>
      <c r="I455" s="9">
        <v>0.33482802850872367</v>
      </c>
      <c r="J455" s="9">
        <v>-8.6871553512195536</v>
      </c>
      <c r="K455" s="9">
        <v>2.05817408255127</v>
      </c>
      <c r="L455" s="9">
        <v>-1.3112481563549381</v>
      </c>
      <c r="M455" s="9">
        <v>2.8326279323779491</v>
      </c>
      <c r="N455" s="9">
        <v>2.7838557858735991</v>
      </c>
      <c r="O455" s="9">
        <v>-11.51292546497023</v>
      </c>
      <c r="P455" s="9">
        <v>4.8772145062685013E-2</v>
      </c>
      <c r="Q455" s="9">
        <v>0</v>
      </c>
      <c r="R455" s="9">
        <v>0</v>
      </c>
      <c r="S455" s="9">
        <v>1</v>
      </c>
      <c r="T455" s="9">
        <v>0</v>
      </c>
      <c r="U455" s="9">
        <v>0</v>
      </c>
      <c r="V455" s="9">
        <v>0</v>
      </c>
      <c r="W455" s="9">
        <v>0</v>
      </c>
      <c r="X455" s="9">
        <v>-1.8478692770004272</v>
      </c>
      <c r="Y455">
        <f t="shared" si="56"/>
        <v>0.16051290687275355</v>
      </c>
      <c r="Z455">
        <f t="shared" si="57"/>
        <v>0.1575725523407534</v>
      </c>
      <c r="AA455">
        <f t="shared" si="58"/>
        <v>2.9403545320001445E-3</v>
      </c>
      <c r="AB455">
        <f t="shared" si="59"/>
        <v>8.6456847738537887E-6</v>
      </c>
      <c r="AC455" t="str">
        <f>VLOOKUP(A455, 'state-ids'!$A$1:$B$28, 2)</f>
        <v>GO</v>
      </c>
      <c r="AD455">
        <f>VLOOKUP(A455, 'state-ids'!$A$1:$C$28, 3)</f>
        <v>6.8600796000000006E-2</v>
      </c>
      <c r="AE455">
        <f>VLOOKUP(A455, 'state-ids'!$A$1:$D$28, 4)</f>
        <v>0.70854371999999999</v>
      </c>
      <c r="AF455">
        <f t="shared" si="60"/>
        <v>1.3099807125352997E-2</v>
      </c>
      <c r="AG455">
        <f t="shared" si="61"/>
        <v>0.17366013341936151</v>
      </c>
      <c r="AH455">
        <f t="shared" si="62"/>
        <v>0.14297529756712291</v>
      </c>
      <c r="AI455">
        <f t="shared" si="63"/>
        <v>3.0684835852238607E-2</v>
      </c>
      <c r="AJ455" s="12"/>
    </row>
    <row r="456" spans="1:36" x14ac:dyDescent="0.25">
      <c r="A456" s="9">
        <v>52</v>
      </c>
      <c r="B456" s="9">
        <v>2010</v>
      </c>
      <c r="C456" s="9">
        <v>-1.712140667188591</v>
      </c>
      <c r="D456" s="9">
        <v>0.73553594705173186</v>
      </c>
      <c r="E456" s="9">
        <v>0.80848277923984968</v>
      </c>
      <c r="F456" s="9">
        <v>0.81933920579770469</v>
      </c>
      <c r="G456" s="9">
        <v>0.26941626364488841</v>
      </c>
      <c r="H456" s="9">
        <v>0.30792577892882339</v>
      </c>
      <c r="I456" s="9">
        <v>0.33732901234119472</v>
      </c>
      <c r="J456" s="9">
        <v>-8.0069520634659508</v>
      </c>
      <c r="K456" s="9">
        <v>2.05817408255127</v>
      </c>
      <c r="L456" s="9">
        <v>-1.226555268770485</v>
      </c>
      <c r="M456" s="9">
        <v>2.8783340440319498</v>
      </c>
      <c r="N456" s="9">
        <v>2.8196840395713911</v>
      </c>
      <c r="O456" s="9">
        <v>-11.51292546497023</v>
      </c>
      <c r="P456" s="9">
        <v>5.8650005608797073E-2</v>
      </c>
      <c r="Q456" s="9">
        <v>0</v>
      </c>
      <c r="R456" s="9">
        <v>0</v>
      </c>
      <c r="S456" s="9">
        <v>1</v>
      </c>
      <c r="T456" s="9">
        <v>0</v>
      </c>
      <c r="U456" s="9">
        <v>0</v>
      </c>
      <c r="V456" s="9">
        <v>0</v>
      </c>
      <c r="W456" s="9">
        <v>0</v>
      </c>
      <c r="X456" s="9">
        <v>-1.7212049961090088</v>
      </c>
      <c r="Y456">
        <f t="shared" si="56"/>
        <v>0.18047903325855477</v>
      </c>
      <c r="Z456">
        <f t="shared" si="57"/>
        <v>0.17885050385122467</v>
      </c>
      <c r="AA456">
        <f t="shared" si="58"/>
        <v>1.6285294073301038E-3</v>
      </c>
      <c r="AB456">
        <f t="shared" si="59"/>
        <v>2.6521080305389392E-6</v>
      </c>
      <c r="AC456" t="str">
        <f>VLOOKUP(A456, 'state-ids'!$A$1:$B$28, 2)</f>
        <v>GO</v>
      </c>
      <c r="AD456">
        <f>VLOOKUP(A456, 'state-ids'!$A$1:$C$28, 3)</f>
        <v>6.8600796000000006E-2</v>
      </c>
      <c r="AE456">
        <f>VLOOKUP(A456, 'state-ids'!$A$1:$D$28, 4)</f>
        <v>0.70854371999999999</v>
      </c>
      <c r="AF456">
        <f t="shared" si="60"/>
        <v>6.4224733325763785E-3</v>
      </c>
      <c r="AG456">
        <f t="shared" si="61"/>
        <v>0.19711048592877797</v>
      </c>
      <c r="AH456">
        <f t="shared" si="62"/>
        <v>0.162282095633385</v>
      </c>
      <c r="AI456">
        <f t="shared" si="63"/>
        <v>3.4828390295392975E-2</v>
      </c>
      <c r="AJ456" s="12"/>
    </row>
    <row r="457" spans="1:36" x14ac:dyDescent="0.25">
      <c r="A457" s="9">
        <v>52</v>
      </c>
      <c r="B457" s="9">
        <v>2011</v>
      </c>
      <c r="C457" s="9">
        <v>-1.57674716233004</v>
      </c>
      <c r="D457" s="9">
        <v>0.78376454814355934</v>
      </c>
      <c r="E457" s="9">
        <v>0.73553594705173186</v>
      </c>
      <c r="F457" s="9">
        <v>0.80848277923984968</v>
      </c>
      <c r="G457" s="9">
        <v>0.41449091931547682</v>
      </c>
      <c r="H457" s="9">
        <v>0.26941626364488841</v>
      </c>
      <c r="I457" s="9">
        <v>0.30792577892882339</v>
      </c>
      <c r="J457" s="9">
        <v>-6.5156531538483913</v>
      </c>
      <c r="K457" s="9">
        <v>2.05817408255127</v>
      </c>
      <c r="L457" s="9">
        <v>-1.146732879284716</v>
      </c>
      <c r="M457" s="9">
        <v>2.913210704642244</v>
      </c>
      <c r="N457" s="9">
        <v>2.865555556873272</v>
      </c>
      <c r="O457" s="9">
        <v>-11.51292546497023</v>
      </c>
      <c r="P457" s="9">
        <v>4.7655146569013596E-2</v>
      </c>
      <c r="Q457" s="9">
        <v>0</v>
      </c>
      <c r="R457" s="9">
        <v>0</v>
      </c>
      <c r="S457" s="9">
        <v>1</v>
      </c>
      <c r="T457" s="9">
        <v>0</v>
      </c>
      <c r="U457" s="9">
        <v>0</v>
      </c>
      <c r="V457" s="9">
        <v>0</v>
      </c>
      <c r="W457" s="9">
        <v>0</v>
      </c>
      <c r="X457" s="9">
        <v>-1.6503390073776245</v>
      </c>
      <c r="Y457">
        <f t="shared" si="56"/>
        <v>0.20664619265231257</v>
      </c>
      <c r="Z457">
        <f t="shared" si="57"/>
        <v>0.1919848133193767</v>
      </c>
      <c r="AA457">
        <f t="shared" si="58"/>
        <v>1.4661379332935875E-2</v>
      </c>
      <c r="AB457">
        <f t="shared" si="59"/>
        <v>2.149560439442392E-4</v>
      </c>
      <c r="AC457" t="str">
        <f>VLOOKUP(A457, 'state-ids'!$A$1:$B$28, 2)</f>
        <v>GO</v>
      </c>
      <c r="AD457">
        <f>VLOOKUP(A457, 'state-ids'!$A$1:$C$28, 3)</f>
        <v>6.8600796000000006E-2</v>
      </c>
      <c r="AE457">
        <f>VLOOKUP(A457, 'state-ids'!$A$1:$D$28, 4)</f>
        <v>0.70854371999999999</v>
      </c>
      <c r="AF457">
        <f t="shared" si="60"/>
        <v>5.2143039651679123E-2</v>
      </c>
      <c r="AG457">
        <f t="shared" si="61"/>
        <v>0.21158576033873969</v>
      </c>
      <c r="AH457">
        <f t="shared" si="62"/>
        <v>0.17419966488419439</v>
      </c>
      <c r="AI457">
        <f t="shared" si="63"/>
        <v>3.7386095454545298E-2</v>
      </c>
      <c r="AJ457" s="12"/>
    </row>
    <row r="458" spans="1:36" x14ac:dyDescent="0.25">
      <c r="A458" s="9">
        <v>52</v>
      </c>
      <c r="B458" s="9">
        <v>2012</v>
      </c>
      <c r="C458" s="9">
        <v>-1.448318342264364</v>
      </c>
      <c r="D458" s="9">
        <v>0.69853265283628319</v>
      </c>
      <c r="E458" s="9">
        <v>0.78376454814355934</v>
      </c>
      <c r="F458" s="9">
        <v>0.73553594705173186</v>
      </c>
      <c r="G458" s="9">
        <v>0.32157612409933711</v>
      </c>
      <c r="H458" s="9">
        <v>0.41449091931547682</v>
      </c>
      <c r="I458" s="9">
        <v>0.26941626364488841</v>
      </c>
      <c r="J458" s="9">
        <v>-6.085962059124963</v>
      </c>
      <c r="K458" s="9">
        <v>2.05817408255127</v>
      </c>
      <c r="L458" s="9">
        <v>-1.0747697773179961</v>
      </c>
      <c r="M458" s="9">
        <v>2.9591251110415029</v>
      </c>
      <c r="N458" s="9">
        <v>2.9010690470866201</v>
      </c>
      <c r="O458" s="9">
        <v>-11.51292546497023</v>
      </c>
      <c r="P458" s="9">
        <v>5.8056063950061798E-2</v>
      </c>
      <c r="Q458" s="9">
        <v>0</v>
      </c>
      <c r="R458" s="9">
        <v>0</v>
      </c>
      <c r="S458" s="9">
        <v>1</v>
      </c>
      <c r="T458" s="9">
        <v>0</v>
      </c>
      <c r="U458" s="9">
        <v>0</v>
      </c>
      <c r="V458" s="9">
        <v>0</v>
      </c>
      <c r="W458" s="9">
        <v>0</v>
      </c>
      <c r="X458" s="9">
        <v>-1.5255780220031738</v>
      </c>
      <c r="Y458">
        <f t="shared" si="56"/>
        <v>0.23496508689851292</v>
      </c>
      <c r="Z458">
        <f t="shared" si="57"/>
        <v>0.21749530345363155</v>
      </c>
      <c r="AA458">
        <f t="shared" si="58"/>
        <v>1.746978344488137E-2</v>
      </c>
      <c r="AB458">
        <f t="shared" si="59"/>
        <v>3.0519333361105121E-4</v>
      </c>
      <c r="AC458" t="str">
        <f>VLOOKUP(A458, 'state-ids'!$A$1:$B$28, 2)</f>
        <v>GO</v>
      </c>
      <c r="AD458">
        <f>VLOOKUP(A458, 'state-ids'!$A$1:$C$28, 3)</f>
        <v>6.8600796000000006E-2</v>
      </c>
      <c r="AE458">
        <f>VLOOKUP(A458, 'state-ids'!$A$1:$D$28, 4)</f>
        <v>0.70854371999999999</v>
      </c>
      <c r="AF458">
        <f t="shared" si="60"/>
        <v>5.4741860888144978E-2</v>
      </c>
      <c r="AG458">
        <f t="shared" si="61"/>
        <v>0.23970077817971314</v>
      </c>
      <c r="AH458">
        <f t="shared" si="62"/>
        <v>0.1973469063538936</v>
      </c>
      <c r="AI458">
        <f t="shared" si="63"/>
        <v>4.2353871825819539E-2</v>
      </c>
      <c r="AJ458" s="12"/>
    </row>
    <row r="459" spans="1:36" x14ac:dyDescent="0.25">
      <c r="A459" s="9">
        <v>52</v>
      </c>
      <c r="B459" s="9">
        <v>2013</v>
      </c>
      <c r="C459" s="9">
        <v>-1.4365780065249001</v>
      </c>
      <c r="D459" s="9">
        <v>0.68697819141441629</v>
      </c>
      <c r="E459" s="9">
        <v>0.69853265283628319</v>
      </c>
      <c r="F459" s="9">
        <v>0.78376454814355934</v>
      </c>
      <c r="G459" s="9">
        <v>0.29012907609483268</v>
      </c>
      <c r="H459" s="9">
        <v>0.32157612409933711</v>
      </c>
      <c r="I459" s="9">
        <v>0.41449091931547682</v>
      </c>
      <c r="J459" s="9">
        <v>-5.2728516066714688</v>
      </c>
      <c r="K459" s="9">
        <v>2.05817408255127</v>
      </c>
      <c r="L459" s="9">
        <v>-1.0479609113622159</v>
      </c>
      <c r="M459" s="9">
        <v>2.9289578402063898</v>
      </c>
      <c r="N459" s="9">
        <v>2.914785331643754</v>
      </c>
      <c r="O459" s="9">
        <v>-11.51292546497023</v>
      </c>
      <c r="P459" s="9">
        <v>1.4172508381307125E-2</v>
      </c>
      <c r="Q459" s="9">
        <v>0</v>
      </c>
      <c r="R459" s="9">
        <v>0</v>
      </c>
      <c r="S459" s="9">
        <v>1</v>
      </c>
      <c r="T459" s="9">
        <v>0</v>
      </c>
      <c r="U459" s="9">
        <v>0</v>
      </c>
      <c r="V459" s="9">
        <v>0</v>
      </c>
      <c r="W459" s="9">
        <v>0</v>
      </c>
      <c r="X459" s="9">
        <v>-1.5130736827850342</v>
      </c>
      <c r="Y459">
        <f t="shared" si="56"/>
        <v>0.23773991272679335</v>
      </c>
      <c r="Z459">
        <f t="shared" si="57"/>
        <v>0.22023201322111197</v>
      </c>
      <c r="AA459">
        <f t="shared" si="58"/>
        <v>1.7507899505681379E-2</v>
      </c>
      <c r="AB459">
        <f t="shared" si="59"/>
        <v>3.0652654510103825E-4</v>
      </c>
      <c r="AC459" t="str">
        <f>VLOOKUP(A459, 'state-ids'!$A$1:$B$28, 2)</f>
        <v>GO</v>
      </c>
      <c r="AD459">
        <f>VLOOKUP(A459, 'state-ids'!$A$1:$C$28, 3)</f>
        <v>6.8600796000000006E-2</v>
      </c>
      <c r="AE459">
        <f>VLOOKUP(A459, 'state-ids'!$A$1:$D$28, 4)</f>
        <v>0.70854371999999999</v>
      </c>
      <c r="AF459">
        <f t="shared" si="60"/>
        <v>5.4200531021271099E-2</v>
      </c>
      <c r="AG459">
        <f t="shared" si="61"/>
        <v>0.2427168960015719</v>
      </c>
      <c r="AH459">
        <f t="shared" si="62"/>
        <v>0.19983009195663876</v>
      </c>
      <c r="AI459">
        <f t="shared" si="63"/>
        <v>4.2886804044933141E-2</v>
      </c>
      <c r="AJ459" s="12"/>
    </row>
    <row r="460" spans="1:36" x14ac:dyDescent="0.25">
      <c r="A460" s="9">
        <v>52</v>
      </c>
      <c r="B460" s="9">
        <v>2014</v>
      </c>
      <c r="C460" s="9">
        <v>-1.3807401617391359</v>
      </c>
      <c r="D460" s="9">
        <v>0.69154589919297138</v>
      </c>
      <c r="E460" s="9">
        <v>0.68697819141441629</v>
      </c>
      <c r="F460" s="9">
        <v>0.69853265283628319</v>
      </c>
      <c r="G460" s="9">
        <v>0.32092340623158289</v>
      </c>
      <c r="H460" s="9">
        <v>0.29012907609483268</v>
      </c>
      <c r="I460" s="9">
        <v>0.32157612409933711</v>
      </c>
      <c r="J460" s="9">
        <v>-4.6087364347415463</v>
      </c>
      <c r="K460" s="9">
        <v>2.05817408255127</v>
      </c>
      <c r="L460" s="9">
        <v>-1.0035831305194249</v>
      </c>
      <c r="M460" s="9">
        <v>2.9264251535538919</v>
      </c>
      <c r="N460" s="9">
        <v>2.9151933037071571</v>
      </c>
      <c r="O460" s="9">
        <v>-11.51292546497023</v>
      </c>
      <c r="P460" s="9">
        <v>1.1231849901378155E-2</v>
      </c>
      <c r="Q460" s="9">
        <v>0</v>
      </c>
      <c r="R460" s="9">
        <v>0</v>
      </c>
      <c r="S460" s="9">
        <v>1</v>
      </c>
      <c r="T460" s="9">
        <v>0</v>
      </c>
      <c r="U460" s="9">
        <v>0</v>
      </c>
      <c r="V460" s="9">
        <v>0</v>
      </c>
      <c r="W460" s="9">
        <v>0</v>
      </c>
      <c r="X460" s="9">
        <v>-1.4674587249755859</v>
      </c>
      <c r="Y460">
        <f t="shared" si="56"/>
        <v>0.25139241313571736</v>
      </c>
      <c r="Z460">
        <f t="shared" si="57"/>
        <v>0.23051053214746328</v>
      </c>
      <c r="AA460">
        <f t="shared" si="58"/>
        <v>2.0881880988254081E-2</v>
      </c>
      <c r="AB460">
        <f t="shared" si="59"/>
        <v>4.3605295360760725E-4</v>
      </c>
      <c r="AC460" t="str">
        <f>VLOOKUP(A460, 'state-ids'!$A$1:$B$28, 2)</f>
        <v>GO</v>
      </c>
      <c r="AD460">
        <f>VLOOKUP(A460, 'state-ids'!$A$1:$C$28, 3)</f>
        <v>6.8600796000000006E-2</v>
      </c>
      <c r="AE460">
        <f>VLOOKUP(A460, 'state-ids'!$A$1:$D$28, 4)</f>
        <v>0.70854371999999999</v>
      </c>
      <c r="AF460">
        <f t="shared" si="60"/>
        <v>6.1443893388609519E-2</v>
      </c>
      <c r="AG460">
        <f t="shared" si="61"/>
        <v>0.25404481410398083</v>
      </c>
      <c r="AH460">
        <f t="shared" si="62"/>
        <v>0.20915642627193501</v>
      </c>
      <c r="AI460">
        <f t="shared" si="63"/>
        <v>4.4888387832045823E-2</v>
      </c>
      <c r="AJ460" s="12"/>
    </row>
    <row r="461" spans="1:36" x14ac:dyDescent="0.25">
      <c r="A461" s="9">
        <v>52</v>
      </c>
      <c r="B461" s="9">
        <v>2015</v>
      </c>
      <c r="C461" s="9">
        <v>-1.5035055965192929</v>
      </c>
      <c r="D461" s="9">
        <v>0.68546776921607577</v>
      </c>
      <c r="E461" s="9">
        <v>0.69154589919297138</v>
      </c>
      <c r="F461" s="9">
        <v>0.68697819141441629</v>
      </c>
      <c r="G461" s="9">
        <v>0.28728199243044122</v>
      </c>
      <c r="H461" s="9">
        <v>0.32092340623158289</v>
      </c>
      <c r="I461" s="9">
        <v>0.29012907609483268</v>
      </c>
      <c r="J461" s="9">
        <v>-4.2114744745869892</v>
      </c>
      <c r="K461" s="9">
        <v>2.05817408255127</v>
      </c>
      <c r="L461" s="9">
        <v>-0.97614255218666246</v>
      </c>
      <c r="M461" s="9">
        <v>2.8910732539968542</v>
      </c>
      <c r="N461" s="9">
        <v>2.9131069049335139</v>
      </c>
      <c r="O461" s="9">
        <v>-11.51292546497023</v>
      </c>
      <c r="P461" s="9">
        <v>-2.2033650428056717E-2</v>
      </c>
      <c r="Q461" s="9">
        <v>1</v>
      </c>
      <c r="R461" s="9">
        <v>0</v>
      </c>
      <c r="S461" s="9">
        <v>1</v>
      </c>
      <c r="T461" s="9">
        <v>0</v>
      </c>
      <c r="U461" s="9">
        <v>0</v>
      </c>
      <c r="V461" s="9">
        <v>0</v>
      </c>
      <c r="W461" s="9">
        <v>0</v>
      </c>
      <c r="X461" s="9">
        <v>-1.4940208196640015</v>
      </c>
      <c r="Y461">
        <f t="shared" si="56"/>
        <v>0.22234932528131365</v>
      </c>
      <c r="Z461">
        <f t="shared" si="57"/>
        <v>0.2244682920938828</v>
      </c>
      <c r="AA461">
        <f t="shared" si="58"/>
        <v>-2.1189668125691508E-3</v>
      </c>
      <c r="AB461">
        <f t="shared" si="59"/>
        <v>4.4900203527694662E-6</v>
      </c>
      <c r="AC461" t="str">
        <f>VLOOKUP(A461, 'state-ids'!$A$1:$B$28, 2)</f>
        <v>GO</v>
      </c>
      <c r="AD461">
        <f>VLOOKUP(A461, 'state-ids'!$A$1:$C$28, 3)</f>
        <v>6.8600796000000006E-2</v>
      </c>
      <c r="AE461">
        <f>VLOOKUP(A461, 'state-ids'!$A$1:$D$28, 4)</f>
        <v>0.70854371999999999</v>
      </c>
      <c r="AF461">
        <f t="shared" si="60"/>
        <v>-6.7203790764181247E-3</v>
      </c>
      <c r="AG461">
        <f t="shared" si="61"/>
        <v>0.24738568344785314</v>
      </c>
      <c r="AH461">
        <f t="shared" si="62"/>
        <v>0.20367392911872217</v>
      </c>
      <c r="AI461">
        <f t="shared" si="63"/>
        <v>4.3711754329130964E-2</v>
      </c>
      <c r="AJ461" s="12"/>
    </row>
    <row r="462" spans="1:36" x14ac:dyDescent="0.25">
      <c r="A462" s="9">
        <v>52</v>
      </c>
      <c r="B462" s="9">
        <v>2016</v>
      </c>
      <c r="C462" s="9">
        <v>-1.475509365994625</v>
      </c>
      <c r="D462" s="9">
        <v>0.7353921621536913</v>
      </c>
      <c r="E462" s="9">
        <v>0.68546776921607577</v>
      </c>
      <c r="F462" s="9">
        <v>0.69154589919297138</v>
      </c>
      <c r="G462" s="9">
        <v>0.41660285251862028</v>
      </c>
      <c r="H462" s="9">
        <v>0.28728199243044122</v>
      </c>
      <c r="I462" s="9">
        <v>0.32092340623158289</v>
      </c>
      <c r="J462" s="9">
        <v>-3.8747700240849192</v>
      </c>
      <c r="K462" s="9">
        <v>2.05817408255127</v>
      </c>
      <c r="L462" s="9">
        <v>-0.96055762781918241</v>
      </c>
      <c r="M462" s="9">
        <v>2.8460956172467662</v>
      </c>
      <c r="N462" s="9">
        <v>2.8782712500388001</v>
      </c>
      <c r="O462" s="9">
        <v>-11.51292546497023</v>
      </c>
      <c r="P462" s="9">
        <v>-3.2175634056329727E-2</v>
      </c>
      <c r="Q462" s="9">
        <v>1</v>
      </c>
      <c r="R462" s="9">
        <v>0</v>
      </c>
      <c r="S462" s="9">
        <v>1</v>
      </c>
      <c r="T462" s="9">
        <v>0</v>
      </c>
      <c r="U462" s="9">
        <v>0</v>
      </c>
      <c r="V462" s="9">
        <v>0</v>
      </c>
      <c r="W462" s="9">
        <v>0</v>
      </c>
      <c r="X462" s="9">
        <v>-1.4786365032196045</v>
      </c>
      <c r="Y462">
        <f t="shared" si="56"/>
        <v>0.22866222461507901</v>
      </c>
      <c r="Z462">
        <f t="shared" si="57"/>
        <v>0.22794828333851158</v>
      </c>
      <c r="AA462">
        <f t="shared" si="58"/>
        <v>7.1394127656743134E-4</v>
      </c>
      <c r="AB462">
        <f t="shared" si="59"/>
        <v>5.0971214638673352E-7</v>
      </c>
      <c r="AC462" t="str">
        <f>VLOOKUP(A462, 'state-ids'!$A$1:$B$28, 2)</f>
        <v>GO</v>
      </c>
      <c r="AD462">
        <f>VLOOKUP(A462, 'state-ids'!$A$1:$C$28, 3)</f>
        <v>6.8600796000000006E-2</v>
      </c>
      <c r="AE462">
        <f>VLOOKUP(A462, 'state-ids'!$A$1:$D$28, 4)</f>
        <v>0.70854371999999999</v>
      </c>
      <c r="AF462">
        <f t="shared" si="60"/>
        <v>2.2157134423374386E-3</v>
      </c>
      <c r="AG462">
        <f t="shared" si="61"/>
        <v>0.25122096906621111</v>
      </c>
      <c r="AH462">
        <f t="shared" si="62"/>
        <v>0.20683153985955613</v>
      </c>
      <c r="AI462">
        <f t="shared" si="63"/>
        <v>4.4389429206654979E-2</v>
      </c>
      <c r="AJ462" s="12"/>
    </row>
    <row r="463" spans="1:36" x14ac:dyDescent="0.25">
      <c r="A463" s="9">
        <v>52</v>
      </c>
      <c r="B463" s="9">
        <v>2017</v>
      </c>
      <c r="C463" s="9">
        <v>-1.4696235507545861</v>
      </c>
      <c r="D463" s="9">
        <v>0.73476885525076474</v>
      </c>
      <c r="E463" s="9">
        <v>0.7353921621536913</v>
      </c>
      <c r="F463" s="9">
        <v>0.68546776921607577</v>
      </c>
      <c r="G463" s="9">
        <v>0.39474114474518868</v>
      </c>
      <c r="H463" s="9">
        <v>0.41660285251862028</v>
      </c>
      <c r="I463" s="9">
        <v>0.28728199243044122</v>
      </c>
      <c r="J463" s="9">
        <v>-3.2418214175998878</v>
      </c>
      <c r="K463" s="9">
        <v>2.05817408255127</v>
      </c>
      <c r="L463" s="9">
        <v>-0.94435316692870053</v>
      </c>
      <c r="M463" s="9">
        <v>2.8522734979292972</v>
      </c>
      <c r="N463" s="9">
        <v>2.8337883308762648</v>
      </c>
      <c r="O463" s="9">
        <v>-11.51292546497023</v>
      </c>
      <c r="P463" s="9">
        <v>1.8485166132450104E-2</v>
      </c>
      <c r="Q463" s="9">
        <v>1</v>
      </c>
      <c r="R463" s="9">
        <v>0</v>
      </c>
      <c r="S463" s="9">
        <v>1</v>
      </c>
      <c r="T463" s="9">
        <v>0</v>
      </c>
      <c r="U463" s="9">
        <v>0</v>
      </c>
      <c r="V463" s="9">
        <v>0</v>
      </c>
      <c r="W463" s="9">
        <v>0</v>
      </c>
      <c r="X463" s="9">
        <v>-1.4624741077423096</v>
      </c>
      <c r="Y463">
        <f t="shared" si="56"/>
        <v>0.23001205675600242</v>
      </c>
      <c r="Z463">
        <f t="shared" si="57"/>
        <v>0.23166240736198379</v>
      </c>
      <c r="AA463">
        <f t="shared" si="58"/>
        <v>-1.6503506059813711E-3</v>
      </c>
      <c r="AB463">
        <f t="shared" si="59"/>
        <v>2.7236571226630785E-6</v>
      </c>
      <c r="AC463" t="str">
        <f>VLOOKUP(A463, 'state-ids'!$A$1:$B$28, 2)</f>
        <v>GO</v>
      </c>
      <c r="AD463">
        <f>VLOOKUP(A463, 'state-ids'!$A$1:$C$28, 3)</f>
        <v>6.8600796000000006E-2</v>
      </c>
      <c r="AE463">
        <f>VLOOKUP(A463, 'state-ids'!$A$1:$D$28, 4)</f>
        <v>0.70854371999999999</v>
      </c>
      <c r="AF463">
        <f t="shared" si="60"/>
        <v>-5.06569294784639E-3</v>
      </c>
      <c r="AG463">
        <f t="shared" si="61"/>
        <v>0.25531429156350377</v>
      </c>
      <c r="AH463">
        <f t="shared" si="62"/>
        <v>0.21020159371454974</v>
      </c>
      <c r="AI463">
        <f t="shared" si="63"/>
        <v>4.5112697848954025E-2</v>
      </c>
      <c r="AJ463" s="12"/>
    </row>
    <row r="464" spans="1:36" x14ac:dyDescent="0.25">
      <c r="A464" s="9">
        <v>52</v>
      </c>
      <c r="B464" s="9">
        <v>2018</v>
      </c>
      <c r="C464" s="9">
        <v>-1.733218604785566</v>
      </c>
      <c r="D464" s="9">
        <v>0.86010126022277811</v>
      </c>
      <c r="E464" s="9">
        <v>0.73476885525076474</v>
      </c>
      <c r="F464" s="9">
        <v>0.7353921621536913</v>
      </c>
      <c r="G464" s="9">
        <v>0.41025362483996158</v>
      </c>
      <c r="H464" s="9">
        <v>0.39474114474518868</v>
      </c>
      <c r="I464" s="9">
        <v>0.41660285251862028</v>
      </c>
      <c r="J464" s="9">
        <v>-2.8710769693151481</v>
      </c>
      <c r="K464" s="9">
        <v>2.05817408255127</v>
      </c>
      <c r="L464" s="9">
        <v>-0.9332166258941994</v>
      </c>
      <c r="M464" s="9">
        <v>2.806794333389377</v>
      </c>
      <c r="N464" s="9">
        <v>2.831485932409795</v>
      </c>
      <c r="O464" s="9">
        <v>3.2580965380214821</v>
      </c>
      <c r="P464" s="9">
        <v>-2.4691598489880562E-2</v>
      </c>
      <c r="Q464" s="9">
        <v>1</v>
      </c>
      <c r="R464" s="9">
        <v>0</v>
      </c>
      <c r="S464" s="9">
        <v>1</v>
      </c>
      <c r="T464" s="9">
        <v>0</v>
      </c>
      <c r="U464" s="9">
        <v>0</v>
      </c>
      <c r="V464" s="9">
        <v>0</v>
      </c>
      <c r="W464" s="9">
        <v>0</v>
      </c>
      <c r="X464" s="9">
        <v>-1.5788117647171021</v>
      </c>
      <c r="Y464">
        <f t="shared" si="56"/>
        <v>0.17671471881668407</v>
      </c>
      <c r="Z464">
        <f t="shared" si="57"/>
        <v>0.20621999055001769</v>
      </c>
      <c r="AA464">
        <f t="shared" si="58"/>
        <v>-2.9505271733333616E-2</v>
      </c>
      <c r="AB464">
        <f t="shared" si="59"/>
        <v>8.7056106005785566E-4</v>
      </c>
      <c r="AC464" t="str">
        <f>VLOOKUP(A464, 'state-ids'!$A$1:$B$28, 2)</f>
        <v>GO</v>
      </c>
      <c r="AD464">
        <f>VLOOKUP(A464, 'state-ids'!$A$1:$C$28, 3)</f>
        <v>6.8600796000000006E-2</v>
      </c>
      <c r="AE464">
        <f>VLOOKUP(A464, 'state-ids'!$A$1:$D$28, 4)</f>
        <v>0.70854371999999999</v>
      </c>
      <c r="AF464">
        <f t="shared" si="60"/>
        <v>-0.10940399685555449</v>
      </c>
      <c r="AG464">
        <f t="shared" si="61"/>
        <v>0.22727429708196289</v>
      </c>
      <c r="AH464">
        <f t="shared" si="62"/>
        <v>0.18711611936968309</v>
      </c>
      <c r="AI464">
        <f t="shared" si="63"/>
        <v>4.0158177712279808E-2</v>
      </c>
      <c r="AJ464" s="12"/>
    </row>
    <row r="465" spans="1:36" x14ac:dyDescent="0.25">
      <c r="A465" s="9">
        <v>52</v>
      </c>
      <c r="B465" s="9">
        <v>2019</v>
      </c>
      <c r="C465" s="9">
        <v>-1.816508491222407</v>
      </c>
      <c r="D465" s="9">
        <v>0.79818264339382605</v>
      </c>
      <c r="E465" s="9">
        <v>0.86010126022277811</v>
      </c>
      <c r="F465" s="9">
        <v>0.73476885525076474</v>
      </c>
      <c r="G465" s="9">
        <v>0.38158216764483233</v>
      </c>
      <c r="H465" s="9">
        <v>0.41025362483996158</v>
      </c>
      <c r="I465" s="9">
        <v>0.39474114474518868</v>
      </c>
      <c r="J465" s="9">
        <v>-2.137270842207049</v>
      </c>
      <c r="K465" s="9">
        <v>2.05817408255127</v>
      </c>
      <c r="L465" s="9">
        <v>-0.91537341618496637</v>
      </c>
      <c r="M465" s="9">
        <v>2.815750935788969</v>
      </c>
      <c r="N465" s="9">
        <v>2.792849145902681</v>
      </c>
      <c r="O465" s="9">
        <v>5.393627546352362</v>
      </c>
      <c r="P465" s="9">
        <v>2.2901790216565132E-2</v>
      </c>
      <c r="Q465" s="9">
        <v>1</v>
      </c>
      <c r="R465" s="9">
        <v>0</v>
      </c>
      <c r="S465" s="9">
        <v>1</v>
      </c>
      <c r="T465" s="9">
        <v>0</v>
      </c>
      <c r="U465" s="9">
        <v>0</v>
      </c>
      <c r="V465" s="9">
        <v>0</v>
      </c>
      <c r="W465" s="9">
        <v>0</v>
      </c>
      <c r="X465" s="9">
        <v>-1.5413827896118164</v>
      </c>
      <c r="Y465">
        <f t="shared" si="56"/>
        <v>0.16259245401414635</v>
      </c>
      <c r="Z465">
        <f t="shared" si="57"/>
        <v>0.21408486233232973</v>
      </c>
      <c r="AA465">
        <f t="shared" si="58"/>
        <v>-5.1492408318183386E-2</v>
      </c>
      <c r="AB465">
        <f t="shared" si="59"/>
        <v>2.6514681144065217E-3</v>
      </c>
      <c r="AC465" t="str">
        <f>VLOOKUP(A465, 'state-ids'!$A$1:$B$28, 2)</f>
        <v>GO</v>
      </c>
      <c r="AD465">
        <f>VLOOKUP(A465, 'state-ids'!$A$1:$C$28, 3)</f>
        <v>6.8600796000000006E-2</v>
      </c>
      <c r="AE465">
        <f>VLOOKUP(A465, 'state-ids'!$A$1:$D$28, 4)</f>
        <v>0.70854371999999999</v>
      </c>
      <c r="AF465">
        <f t="shared" si="60"/>
        <v>-0.19493858808677783</v>
      </c>
      <c r="AG465">
        <f t="shared" si="61"/>
        <v>0.23594214349780873</v>
      </c>
      <c r="AH465">
        <f t="shared" si="62"/>
        <v>0.1942524027305797</v>
      </c>
      <c r="AI465">
        <f t="shared" si="63"/>
        <v>4.1689740767229033E-2</v>
      </c>
      <c r="AJ465" s="12"/>
    </row>
    <row r="466" spans="1:36" x14ac:dyDescent="0.25">
      <c r="A466" s="9">
        <v>52</v>
      </c>
      <c r="B466" s="9">
        <v>2020</v>
      </c>
      <c r="C466" s="9">
        <v>-1.8383913807628991</v>
      </c>
      <c r="D466" s="9">
        <v>0.73385716880773211</v>
      </c>
      <c r="E466" s="9">
        <v>0.79818264339382605</v>
      </c>
      <c r="F466" s="9">
        <v>0.86010126022277811</v>
      </c>
      <c r="G466" s="9">
        <v>0.34741217665954732</v>
      </c>
      <c r="H466" s="9">
        <v>0.38158216764483233</v>
      </c>
      <c r="I466" s="9">
        <v>0.41025362483996158</v>
      </c>
      <c r="J466" s="9">
        <v>-1.5096513161972469</v>
      </c>
      <c r="K466" s="9">
        <v>2.05817408255127</v>
      </c>
      <c r="L466" s="9">
        <v>-0.89931511695172039</v>
      </c>
      <c r="M466" s="9">
        <v>2.811005991483424</v>
      </c>
      <c r="N466" s="9">
        <v>2.8022796431948782</v>
      </c>
      <c r="O466" s="9">
        <v>5.9914645471079817</v>
      </c>
      <c r="P466" s="9">
        <v>8.7263481691479683E-3</v>
      </c>
      <c r="Q466" s="9">
        <v>1</v>
      </c>
      <c r="R466" s="9">
        <v>1</v>
      </c>
      <c r="S466" s="9">
        <v>1</v>
      </c>
      <c r="T466" s="9">
        <v>0</v>
      </c>
      <c r="U466" s="9">
        <v>0</v>
      </c>
      <c r="V466" s="9">
        <v>0</v>
      </c>
      <c r="W466" s="9">
        <v>0</v>
      </c>
      <c r="X466" s="9">
        <v>-1.6129294633865356</v>
      </c>
      <c r="Y466">
        <f t="shared" si="56"/>
        <v>0.15907310846638933</v>
      </c>
      <c r="Z466">
        <f t="shared" si="57"/>
        <v>0.19930290748471438</v>
      </c>
      <c r="AA466">
        <f t="shared" si="58"/>
        <v>-4.0229799018325046E-2</v>
      </c>
      <c r="AB466">
        <f t="shared" si="59"/>
        <v>1.6184367290548269E-3</v>
      </c>
      <c r="AC466" t="str">
        <f>VLOOKUP(A466, 'state-ids'!$A$1:$B$28, 2)</f>
        <v>GO</v>
      </c>
      <c r="AD466">
        <f>VLOOKUP(A466, 'state-ids'!$A$1:$C$28, 3)</f>
        <v>6.8600796000000006E-2</v>
      </c>
      <c r="AE466">
        <f>VLOOKUP(A466, 'state-ids'!$A$1:$D$28, 4)</f>
        <v>0.70854371999999999</v>
      </c>
      <c r="AF466">
        <f t="shared" si="60"/>
        <v>-0.1597496256561812</v>
      </c>
      <c r="AG466">
        <f t="shared" si="61"/>
        <v>0.21965100514342961</v>
      </c>
      <c r="AH466">
        <f t="shared" si="62"/>
        <v>0.18083982318188269</v>
      </c>
      <c r="AI466">
        <f t="shared" si="63"/>
        <v>3.8811181961546926E-2</v>
      </c>
      <c r="AJ466" s="12"/>
    </row>
    <row r="467" spans="1:36" x14ac:dyDescent="0.25">
      <c r="A467" s="9">
        <v>52</v>
      </c>
      <c r="B467" s="9">
        <v>2021</v>
      </c>
      <c r="C467" s="9">
        <v>-1.7292290550868969</v>
      </c>
      <c r="D467" s="9">
        <v>0.95296975613264678</v>
      </c>
      <c r="E467" s="9">
        <v>0.73385716880773211</v>
      </c>
      <c r="F467" s="9">
        <v>0.79818264339382605</v>
      </c>
      <c r="G467" s="9">
        <v>0.63350332763243034</v>
      </c>
      <c r="H467" s="9">
        <v>0.34741217665954732</v>
      </c>
      <c r="I467" s="9">
        <v>0.38158216764483233</v>
      </c>
      <c r="J467" s="9">
        <v>-0.90821818127850906</v>
      </c>
      <c r="K467" s="9">
        <v>2.05817408255127</v>
      </c>
      <c r="L467" s="9">
        <v>-0.88316070483754894</v>
      </c>
      <c r="M467" s="9">
        <v>2.8601841126256451</v>
      </c>
      <c r="N467" s="9">
        <v>2.7980102552610839</v>
      </c>
      <c r="O467" s="9">
        <v>6.6846117276679271</v>
      </c>
      <c r="P467" s="9">
        <v>6.2173858284950256E-2</v>
      </c>
      <c r="Q467" s="9">
        <v>1</v>
      </c>
      <c r="R467" s="9">
        <v>0</v>
      </c>
      <c r="S467" s="9">
        <v>1</v>
      </c>
      <c r="T467" s="9">
        <v>0</v>
      </c>
      <c r="U467" s="9">
        <v>0</v>
      </c>
      <c r="V467" s="9">
        <v>0</v>
      </c>
      <c r="W467" s="9">
        <v>0</v>
      </c>
      <c r="X467" s="9">
        <v>-1.5678328275680542</v>
      </c>
      <c r="Y467">
        <f t="shared" si="56"/>
        <v>0.17742113918248986</v>
      </c>
      <c r="Z467">
        <f t="shared" si="57"/>
        <v>0.20849654105022652</v>
      </c>
      <c r="AA467">
        <f t="shared" si="58"/>
        <v>-3.1075401867736663E-2</v>
      </c>
      <c r="AB467">
        <f t="shared" si="59"/>
        <v>9.6568060124133125E-4</v>
      </c>
      <c r="AC467" t="str">
        <f>VLOOKUP(A467, 'state-ids'!$A$1:$B$28, 2)</f>
        <v>GO</v>
      </c>
      <c r="AD467">
        <f>VLOOKUP(A467, 'state-ids'!$A$1:$C$28, 3)</f>
        <v>6.8600796000000006E-2</v>
      </c>
      <c r="AE467">
        <f>VLOOKUP(A467, 'state-ids'!$A$1:$D$28, 4)</f>
        <v>0.70854371999999999</v>
      </c>
      <c r="AF467">
        <f t="shared" si="60"/>
        <v>-0.11435628344016721</v>
      </c>
      <c r="AG467">
        <f t="shared" si="61"/>
        <v>0.22978327505896007</v>
      </c>
      <c r="AH467">
        <f t="shared" si="62"/>
        <v>0.18918177408148887</v>
      </c>
      <c r="AI467">
        <f t="shared" si="63"/>
        <v>4.06015009774712E-2</v>
      </c>
      <c r="AJ467" s="12"/>
    </row>
    <row r="468" spans="1:36" x14ac:dyDescent="0.25">
      <c r="A468" s="9">
        <v>52</v>
      </c>
      <c r="B468" s="9">
        <v>2022</v>
      </c>
      <c r="C468" s="9">
        <v>-1.6142570925529649</v>
      </c>
      <c r="D468" s="9">
        <v>0.91464938560202946</v>
      </c>
      <c r="E468" s="9">
        <v>0.95296975613264678</v>
      </c>
      <c r="F468" s="9">
        <v>0.73385716880773211</v>
      </c>
      <c r="G468" s="9">
        <v>0.55658262110371903</v>
      </c>
      <c r="H468" s="9">
        <v>0.63350332763243034</v>
      </c>
      <c r="I468" s="9">
        <v>0.34741217665954732</v>
      </c>
      <c r="J468" s="9">
        <v>-0.35997345569859929</v>
      </c>
      <c r="K468" s="9">
        <v>2.05817408255127</v>
      </c>
      <c r="L468" s="9">
        <v>-0.85553986918257652</v>
      </c>
      <c r="M468" s="9">
        <v>2.944830875983496</v>
      </c>
      <c r="N468" s="9">
        <v>2.8601841126256451</v>
      </c>
      <c r="O468" s="9">
        <v>8.0551577318196781</v>
      </c>
      <c r="P468" s="9">
        <v>8.4646761417388916E-2</v>
      </c>
      <c r="Q468" s="9">
        <v>1</v>
      </c>
      <c r="R468" s="9">
        <v>0</v>
      </c>
      <c r="S468" s="9">
        <v>1</v>
      </c>
      <c r="T468" s="9">
        <v>0</v>
      </c>
      <c r="U468" s="9">
        <v>0</v>
      </c>
      <c r="V468" s="9">
        <v>0</v>
      </c>
      <c r="W468" s="9">
        <v>0</v>
      </c>
      <c r="X468" s="9">
        <v>-1.5196880102157593</v>
      </c>
      <c r="Y468">
        <f t="shared" si="56"/>
        <v>0.19903848269965158</v>
      </c>
      <c r="Z468">
        <f t="shared" si="57"/>
        <v>0.2187801334721908</v>
      </c>
      <c r="AA468">
        <f t="shared" si="58"/>
        <v>-1.9741650772539227E-2</v>
      </c>
      <c r="AB468">
        <f t="shared" si="59"/>
        <v>3.8973277522489865E-4</v>
      </c>
      <c r="AC468" t="str">
        <f>VLOOKUP(A468, 'state-ids'!$A$1:$B$28, 2)</f>
        <v>GO</v>
      </c>
      <c r="AD468">
        <f>VLOOKUP(A468, 'state-ids'!$A$1:$C$28, 3)</f>
        <v>6.8600796000000006E-2</v>
      </c>
      <c r="AE468">
        <f>VLOOKUP(A468, 'state-ids'!$A$1:$D$28, 4)</f>
        <v>0.70854371999999999</v>
      </c>
      <c r="AF468">
        <f t="shared" si="60"/>
        <v>-6.7006329396189959E-2</v>
      </c>
      <c r="AG468">
        <f t="shared" si="61"/>
        <v>0.2411167846423215</v>
      </c>
      <c r="AH468">
        <f t="shared" si="62"/>
        <v>0.19851271189234443</v>
      </c>
      <c r="AI468">
        <f t="shared" si="63"/>
        <v>4.2604072749977073E-2</v>
      </c>
      <c r="AJ468" s="12"/>
    </row>
    <row r="469" spans="1:36" x14ac:dyDescent="0.25">
      <c r="A469" s="9">
        <v>52</v>
      </c>
      <c r="B469" s="9">
        <v>2023</v>
      </c>
      <c r="C469" s="9">
        <v>-1.481450227393704</v>
      </c>
      <c r="D469" s="9">
        <v>0.74193734472937733</v>
      </c>
      <c r="E469" s="9">
        <v>0.91464938560202946</v>
      </c>
      <c r="F469" s="9">
        <v>0.95296975613264678</v>
      </c>
      <c r="G469" s="9">
        <v>0.36186147062603241</v>
      </c>
      <c r="H469" s="9">
        <v>0.55658262110371903</v>
      </c>
      <c r="I469" s="9">
        <v>0.63350332763243034</v>
      </c>
      <c r="J469" s="9">
        <v>0.15275965553178639</v>
      </c>
      <c r="K469" s="9">
        <v>2.05817408255127</v>
      </c>
      <c r="L469" s="9">
        <v>-0.8245319525329371</v>
      </c>
      <c r="M469" s="9">
        <v>2.9499617173955852</v>
      </c>
      <c r="N469" s="9">
        <v>2.944830875983496</v>
      </c>
      <c r="O469" s="9">
        <v>8.4658998970286863</v>
      </c>
      <c r="P469" s="9">
        <v>5.1308413967490196E-3</v>
      </c>
      <c r="Q469" s="9">
        <v>1</v>
      </c>
      <c r="R469" s="9">
        <v>0</v>
      </c>
      <c r="S469" s="9">
        <v>1</v>
      </c>
      <c r="T469" s="9">
        <v>0</v>
      </c>
      <c r="U469" s="9">
        <v>0</v>
      </c>
      <c r="V469" s="9">
        <v>0</v>
      </c>
      <c r="W469" s="9">
        <v>0</v>
      </c>
      <c r="X469" s="9">
        <v>-1.4609644412994385</v>
      </c>
      <c r="Y469">
        <f t="shared" si="56"/>
        <v>0.22730780123578562</v>
      </c>
      <c r="Z469">
        <f t="shared" si="57"/>
        <v>0.23201240444740739</v>
      </c>
      <c r="AA469">
        <f t="shared" si="58"/>
        <v>-4.7046032116217773E-3</v>
      </c>
      <c r="AB469">
        <f t="shared" si="59"/>
        <v>2.2133291378801942E-5</v>
      </c>
      <c r="AC469" t="str">
        <f>VLOOKUP(A469, 'state-ids'!$A$1:$B$28, 2)</f>
        <v>GO</v>
      </c>
      <c r="AD469">
        <f>VLOOKUP(A469, 'state-ids'!$A$1:$C$28, 3)</f>
        <v>6.8600796000000006E-2</v>
      </c>
      <c r="AE469">
        <f>VLOOKUP(A469, 'state-ids'!$A$1:$D$28, 4)</f>
        <v>0.70854371999999999</v>
      </c>
      <c r="AF469">
        <f t="shared" si="60"/>
        <v>-1.451507508635518E-2</v>
      </c>
      <c r="AG469">
        <f t="shared" si="61"/>
        <v>0.25570002207080439</v>
      </c>
      <c r="AH469">
        <f t="shared" si="62"/>
        <v>0.21051916766186929</v>
      </c>
      <c r="AI469">
        <f t="shared" si="63"/>
        <v>4.5180854408935101E-2</v>
      </c>
      <c r="AJ469" s="12"/>
    </row>
    <row r="470" spans="1:36" x14ac:dyDescent="0.25">
      <c r="A470" s="9">
        <v>53</v>
      </c>
      <c r="B470" s="9">
        <v>2006</v>
      </c>
      <c r="C470" s="9">
        <v>-1.175193201003861</v>
      </c>
      <c r="D470" s="9">
        <v>0.95551144502743635</v>
      </c>
      <c r="E470" s="9">
        <v>0.87680118258767858</v>
      </c>
      <c r="F470" s="9">
        <v>0.82342955082286751</v>
      </c>
      <c r="G470" s="9">
        <v>0.64710324205853842</v>
      </c>
      <c r="H470" s="9">
        <v>0.53772068722863497</v>
      </c>
      <c r="I470" s="9">
        <v>0.47828177068996119</v>
      </c>
      <c r="J470" s="9">
        <v>-11.51292546497023</v>
      </c>
      <c r="K470" s="9">
        <v>0.607173681386733</v>
      </c>
      <c r="L470" s="9">
        <v>-1.1475238008918609</v>
      </c>
      <c r="M470" s="9">
        <v>3.8679742163097819</v>
      </c>
      <c r="N470" s="9">
        <v>3.822070990820412</v>
      </c>
      <c r="O470" s="9">
        <v>-11.51292546497023</v>
      </c>
      <c r="P470" s="9">
        <v>4.5903224498033524E-2</v>
      </c>
      <c r="Q470" s="9">
        <v>0</v>
      </c>
      <c r="R470" s="9">
        <v>0</v>
      </c>
      <c r="S470" s="9">
        <v>1</v>
      </c>
      <c r="T470" s="9">
        <v>0</v>
      </c>
      <c r="U470" s="9">
        <v>0</v>
      </c>
      <c r="V470" s="9">
        <v>0</v>
      </c>
      <c r="W470" s="9">
        <v>0</v>
      </c>
      <c r="X470" s="9">
        <v>-1.5036317110061646</v>
      </c>
      <c r="Y470">
        <f t="shared" si="56"/>
        <v>0.30875932131434719</v>
      </c>
      <c r="Z470">
        <f t="shared" si="57"/>
        <v>0.22232128557839309</v>
      </c>
      <c r="AA470">
        <f t="shared" si="58"/>
        <v>8.64380357359541E-2</v>
      </c>
      <c r="AB470">
        <f t="shared" si="59"/>
        <v>7.4715340218900776E-3</v>
      </c>
      <c r="AC470" t="str">
        <f>VLOOKUP(A470, 'state-ids'!$A$1:$B$28, 2)</f>
        <v>DF</v>
      </c>
      <c r="AD470">
        <f>VLOOKUP(A470, 'state-ids'!$A$1:$C$28, 3)</f>
        <v>4.5714076999999999E-2</v>
      </c>
      <c r="AE470">
        <f>VLOOKUP(A470, 'state-ids'!$A$1:$D$28, 4)</f>
        <v>0.90451353999999995</v>
      </c>
      <c r="AF470">
        <f t="shared" si="60"/>
        <v>0.14006092879432158</v>
      </c>
      <c r="AG470">
        <f t="shared" si="61"/>
        <v>0.24747799101817425</v>
      </c>
      <c r="AH470">
        <f t="shared" si="62"/>
        <v>0.1997218169497732</v>
      </c>
      <c r="AI470">
        <f t="shared" si="63"/>
        <v>4.7756174068401047E-2</v>
      </c>
      <c r="AJ470" s="12"/>
    </row>
    <row r="471" spans="1:36" x14ac:dyDescent="0.25">
      <c r="A471" s="9">
        <v>53</v>
      </c>
      <c r="B471" s="9">
        <v>2007</v>
      </c>
      <c r="C471" s="9">
        <v>-1.21680722214853</v>
      </c>
      <c r="D471" s="9">
        <v>0.90028329372833826</v>
      </c>
      <c r="E471" s="9">
        <v>0.95551144502743635</v>
      </c>
      <c r="F471" s="9">
        <v>0.87680118258767858</v>
      </c>
      <c r="G471" s="9">
        <v>0.48106720160171512</v>
      </c>
      <c r="H471" s="9">
        <v>0.64710324205853842</v>
      </c>
      <c r="I471" s="9">
        <v>0.53772068722863497</v>
      </c>
      <c r="J471" s="9">
        <v>-11.51292546497023</v>
      </c>
      <c r="K471" s="9">
        <v>0.607173681386733</v>
      </c>
      <c r="L471" s="9">
        <v>-1.093394133190827</v>
      </c>
      <c r="M471" s="9">
        <v>3.8681262479319329</v>
      </c>
      <c r="N471" s="9">
        <v>3.832254131879917</v>
      </c>
      <c r="O471" s="9">
        <v>-11.51292546497023</v>
      </c>
      <c r="P471" s="9">
        <v>3.5872116684913635E-2</v>
      </c>
      <c r="Q471" s="9">
        <v>0</v>
      </c>
      <c r="R471" s="9">
        <v>0</v>
      </c>
      <c r="S471" s="9">
        <v>1</v>
      </c>
      <c r="T471" s="9">
        <v>0</v>
      </c>
      <c r="U471" s="9">
        <v>0</v>
      </c>
      <c r="V471" s="9">
        <v>0</v>
      </c>
      <c r="W471" s="9">
        <v>0</v>
      </c>
      <c r="X471" s="9">
        <v>-1.4924640655517578</v>
      </c>
      <c r="Y471">
        <f t="shared" si="56"/>
        <v>0.29617427762791881</v>
      </c>
      <c r="Z471">
        <f t="shared" si="57"/>
        <v>0.22481800616945372</v>
      </c>
      <c r="AA471">
        <f t="shared" si="58"/>
        <v>7.1356271458465098E-2</v>
      </c>
      <c r="AB471">
        <f t="shared" si="59"/>
        <v>5.0917174764541608E-3</v>
      </c>
      <c r="AC471" t="str">
        <f>VLOOKUP(A471, 'state-ids'!$A$1:$B$28, 2)</f>
        <v>DF</v>
      </c>
      <c r="AD471">
        <f>VLOOKUP(A471, 'state-ids'!$A$1:$C$28, 3)</f>
        <v>4.5714076999999999E-2</v>
      </c>
      <c r="AE471">
        <f>VLOOKUP(A471, 'state-ids'!$A$1:$D$28, 4)</f>
        <v>0.90451353999999995</v>
      </c>
      <c r="AF471">
        <f t="shared" si="60"/>
        <v>0.24933534725187922</v>
      </c>
      <c r="AG471">
        <f t="shared" si="61"/>
        <v>0.25025722735805911</v>
      </c>
      <c r="AH471">
        <f t="shared" si="62"/>
        <v>0.20196474016589822</v>
      </c>
      <c r="AI471">
        <f t="shared" si="63"/>
        <v>4.8292487192160893E-2</v>
      </c>
      <c r="AJ471" s="12"/>
    </row>
    <row r="472" spans="1:36" x14ac:dyDescent="0.25">
      <c r="A472" s="9">
        <v>53</v>
      </c>
      <c r="B472" s="9">
        <v>2008</v>
      </c>
      <c r="C472" s="9">
        <v>-1.196257408663381</v>
      </c>
      <c r="D472" s="9">
        <v>0.83512405945549484</v>
      </c>
      <c r="E472" s="9">
        <v>0.90028329372833826</v>
      </c>
      <c r="F472" s="9">
        <v>0.95551144502743635</v>
      </c>
      <c r="G472" s="9">
        <v>0.50337795863083334</v>
      </c>
      <c r="H472" s="9">
        <v>0.48106720160171512</v>
      </c>
      <c r="I472" s="9">
        <v>0.64710324205853842</v>
      </c>
      <c r="J472" s="9">
        <v>-7.8466521556029942</v>
      </c>
      <c r="K472" s="9">
        <v>0.607173681386733</v>
      </c>
      <c r="L472" s="9">
        <v>-1.047699977848771</v>
      </c>
      <c r="M472" s="9">
        <v>3.9157603218814678</v>
      </c>
      <c r="N472" s="9">
        <v>3.833638596812631</v>
      </c>
      <c r="O472" s="9">
        <v>-11.51292546497023</v>
      </c>
      <c r="P472" s="9">
        <v>8.2121722400188446E-2</v>
      </c>
      <c r="Q472" s="9">
        <v>0</v>
      </c>
      <c r="R472" s="9">
        <v>0</v>
      </c>
      <c r="S472" s="9">
        <v>1</v>
      </c>
      <c r="T472" s="9">
        <v>0</v>
      </c>
      <c r="U472" s="9">
        <v>0</v>
      </c>
      <c r="V472" s="9">
        <v>0</v>
      </c>
      <c r="W472" s="9">
        <v>0</v>
      </c>
      <c r="X472" s="9">
        <v>-1.4257817268371582</v>
      </c>
      <c r="Y472">
        <f t="shared" si="56"/>
        <v>0.30232357080650846</v>
      </c>
      <c r="Z472">
        <f t="shared" si="57"/>
        <v>0.24032052475592522</v>
      </c>
      <c r="AA472">
        <f t="shared" si="58"/>
        <v>6.2003046050583238E-2</v>
      </c>
      <c r="AB472">
        <f t="shared" si="59"/>
        <v>3.8443777195507458E-3</v>
      </c>
      <c r="AC472" t="str">
        <f>VLOOKUP(A472, 'state-ids'!$A$1:$B$28, 2)</f>
        <v>DF</v>
      </c>
      <c r="AD472">
        <f>VLOOKUP(A472, 'state-ids'!$A$1:$C$28, 3)</f>
        <v>4.5714076999999999E-2</v>
      </c>
      <c r="AE472">
        <f>VLOOKUP(A472, 'state-ids'!$A$1:$D$28, 4)</f>
        <v>0.90451353999999995</v>
      </c>
      <c r="AF472">
        <f t="shared" si="60"/>
        <v>0.20760785354744951</v>
      </c>
      <c r="AG472">
        <f t="shared" si="61"/>
        <v>0.2675139292771791</v>
      </c>
      <c r="AH472">
        <f t="shared" si="62"/>
        <v>0.21589139217914399</v>
      </c>
      <c r="AI472">
        <f t="shared" si="63"/>
        <v>5.1622537098035104E-2</v>
      </c>
      <c r="AJ472" s="12"/>
    </row>
    <row r="473" spans="1:36" x14ac:dyDescent="0.25">
      <c r="A473" s="9">
        <v>53</v>
      </c>
      <c r="B473" s="9">
        <v>2009</v>
      </c>
      <c r="C473" s="9">
        <v>-1.230396623290547</v>
      </c>
      <c r="D473" s="9">
        <v>0.84264419170585647</v>
      </c>
      <c r="E473" s="9">
        <v>0.83512405945549484</v>
      </c>
      <c r="F473" s="9">
        <v>0.90028329372833826</v>
      </c>
      <c r="G473" s="9">
        <v>0.46662292108625802</v>
      </c>
      <c r="H473" s="9">
        <v>0.50337795863083334</v>
      </c>
      <c r="I473" s="9">
        <v>0.48106720160171512</v>
      </c>
      <c r="J473" s="9">
        <v>-6.7672990122863412</v>
      </c>
      <c r="K473" s="9">
        <v>0.607173681386733</v>
      </c>
      <c r="L473" s="9">
        <v>-0.98570914692988709</v>
      </c>
      <c r="M473" s="9">
        <v>3.9456062305620181</v>
      </c>
      <c r="N473" s="9">
        <v>3.8965011765298359</v>
      </c>
      <c r="O473" s="9">
        <v>-11.51292546497023</v>
      </c>
      <c r="P473" s="9">
        <v>4.9105055630207062E-2</v>
      </c>
      <c r="Q473" s="9">
        <v>0</v>
      </c>
      <c r="R473" s="9">
        <v>0</v>
      </c>
      <c r="S473" s="9">
        <v>1</v>
      </c>
      <c r="T473" s="9">
        <v>0</v>
      </c>
      <c r="U473" s="9">
        <v>0</v>
      </c>
      <c r="V473" s="9">
        <v>0</v>
      </c>
      <c r="W473" s="9">
        <v>0</v>
      </c>
      <c r="X473" s="9">
        <v>-1.4059520959854126</v>
      </c>
      <c r="Y473">
        <f t="shared" si="56"/>
        <v>0.29217667062413571</v>
      </c>
      <c r="Z473">
        <f t="shared" si="57"/>
        <v>0.24513355463923356</v>
      </c>
      <c r="AA473">
        <f t="shared" si="58"/>
        <v>4.7043115984902156E-2</v>
      </c>
      <c r="AB473">
        <f t="shared" si="59"/>
        <v>2.2130547615689567E-3</v>
      </c>
      <c r="AC473" t="str">
        <f>VLOOKUP(A473, 'state-ids'!$A$1:$B$28, 2)</f>
        <v>DF</v>
      </c>
      <c r="AD473">
        <f>VLOOKUP(A473, 'state-ids'!$A$1:$C$28, 3)</f>
        <v>4.5714076999999999E-2</v>
      </c>
      <c r="AE473">
        <f>VLOOKUP(A473, 'state-ids'!$A$1:$D$28, 4)</f>
        <v>0.90451353999999995</v>
      </c>
      <c r="AF473">
        <f t="shared" si="60"/>
        <v>0.1587923020736062</v>
      </c>
      <c r="AG473">
        <f t="shared" si="61"/>
        <v>0.27287157626600772</v>
      </c>
      <c r="AH473">
        <f t="shared" si="62"/>
        <v>0.22021516653492401</v>
      </c>
      <c r="AI473">
        <f t="shared" si="63"/>
        <v>5.2656409731083709E-2</v>
      </c>
      <c r="AJ473" s="12"/>
    </row>
    <row r="474" spans="1:36" x14ac:dyDescent="0.25">
      <c r="A474" s="9">
        <v>53</v>
      </c>
      <c r="B474" s="9">
        <v>2010</v>
      </c>
      <c r="C474" s="9">
        <v>-1.0645949508203121</v>
      </c>
      <c r="D474" s="9">
        <v>0.7963804352015974</v>
      </c>
      <c r="E474" s="9">
        <v>0.84264419170585647</v>
      </c>
      <c r="F474" s="9">
        <v>0.83512405945549484</v>
      </c>
      <c r="G474" s="9">
        <v>0.49755799676508627</v>
      </c>
      <c r="H474" s="9">
        <v>0.46662292108625802</v>
      </c>
      <c r="I474" s="9">
        <v>0.50337795863083334</v>
      </c>
      <c r="J474" s="9">
        <v>-6.0747489179862413</v>
      </c>
      <c r="K474" s="9">
        <v>0.607173681386733</v>
      </c>
      <c r="L474" s="9">
        <v>-0.91128095511495621</v>
      </c>
      <c r="M474" s="9">
        <v>4.012268502708225</v>
      </c>
      <c r="N474" s="9">
        <v>3.9450091443021318</v>
      </c>
      <c r="O474" s="9">
        <v>-11.51292546497023</v>
      </c>
      <c r="P474" s="9">
        <v>6.7259356379508972E-2</v>
      </c>
      <c r="Q474" s="9">
        <v>0</v>
      </c>
      <c r="R474" s="9">
        <v>0</v>
      </c>
      <c r="S474" s="9">
        <v>1</v>
      </c>
      <c r="T474" s="9">
        <v>0</v>
      </c>
      <c r="U474" s="9">
        <v>0</v>
      </c>
      <c r="V474" s="9">
        <v>0</v>
      </c>
      <c r="W474" s="9">
        <v>0</v>
      </c>
      <c r="X474" s="9">
        <v>-1.2822446823120117</v>
      </c>
      <c r="Y474">
        <f t="shared" si="56"/>
        <v>0.34486751478468752</v>
      </c>
      <c r="Z474">
        <f t="shared" si="57"/>
        <v>0.27741389497816632</v>
      </c>
      <c r="AA474">
        <f t="shared" si="58"/>
        <v>6.7453619806521203E-2</v>
      </c>
      <c r="AB474">
        <f t="shared" si="59"/>
        <v>4.5499908250027097E-3</v>
      </c>
      <c r="AC474" t="str">
        <f>VLOOKUP(A474, 'state-ids'!$A$1:$B$28, 2)</f>
        <v>DF</v>
      </c>
      <c r="AD474">
        <f>VLOOKUP(A474, 'state-ids'!$A$1:$C$28, 3)</f>
        <v>4.5714076999999999E-2</v>
      </c>
      <c r="AE474">
        <f>VLOOKUP(A474, 'state-ids'!$A$1:$D$28, 4)</f>
        <v>0.90451353999999995</v>
      </c>
      <c r="AF474">
        <f t="shared" si="60"/>
        <v>0.1968671291116067</v>
      </c>
      <c r="AG474">
        <f t="shared" si="61"/>
        <v>0.30880458985792991</v>
      </c>
      <c r="AH474">
        <f t="shared" si="62"/>
        <v>0.24921413623535513</v>
      </c>
      <c r="AI474">
        <f t="shared" si="63"/>
        <v>5.9590453622574785E-2</v>
      </c>
      <c r="AJ474" s="12"/>
    </row>
    <row r="475" spans="1:36" x14ac:dyDescent="0.25">
      <c r="A475" s="9">
        <v>53</v>
      </c>
      <c r="B475" s="9">
        <v>2011</v>
      </c>
      <c r="C475" s="9">
        <v>-0.95733340863872451</v>
      </c>
      <c r="D475" s="9">
        <v>0.77670677365887608</v>
      </c>
      <c r="E475" s="9">
        <v>0.7963804352015974</v>
      </c>
      <c r="F475" s="9">
        <v>0.84264419170585647</v>
      </c>
      <c r="G475" s="9">
        <v>0.52490602797399499</v>
      </c>
      <c r="H475" s="9">
        <v>0.49755799676508627</v>
      </c>
      <c r="I475" s="9">
        <v>0.46662292108625802</v>
      </c>
      <c r="J475" s="9">
        <v>-4.4998089040464491</v>
      </c>
      <c r="K475" s="9">
        <v>0.607173681386733</v>
      </c>
      <c r="L475" s="9">
        <v>-0.85041971665346983</v>
      </c>
      <c r="M475" s="9">
        <v>4.0013842193416096</v>
      </c>
      <c r="N475" s="9">
        <v>4.0116721558895927</v>
      </c>
      <c r="O475" s="9">
        <v>-11.51292546497023</v>
      </c>
      <c r="P475" s="9">
        <v>-1.028793677687645E-2</v>
      </c>
      <c r="Q475" s="9">
        <v>0</v>
      </c>
      <c r="R475" s="9">
        <v>0</v>
      </c>
      <c r="S475" s="9">
        <v>1</v>
      </c>
      <c r="T475" s="9">
        <v>0</v>
      </c>
      <c r="U475" s="9">
        <v>0</v>
      </c>
      <c r="V475" s="9">
        <v>0</v>
      </c>
      <c r="W475" s="9">
        <v>0</v>
      </c>
      <c r="X475" s="9">
        <v>-1.2162517309188843</v>
      </c>
      <c r="Y475">
        <f t="shared" si="56"/>
        <v>0.3839152673680209</v>
      </c>
      <c r="Z475">
        <f t="shared" si="57"/>
        <v>0.29633884554537343</v>
      </c>
      <c r="AA475">
        <f t="shared" si="58"/>
        <v>8.7576421822647466E-2</v>
      </c>
      <c r="AB475">
        <f t="shared" si="59"/>
        <v>7.6696296592582832E-3</v>
      </c>
      <c r="AC475" t="str">
        <f>VLOOKUP(A475, 'state-ids'!$A$1:$B$28, 2)</f>
        <v>DF</v>
      </c>
      <c r="AD475">
        <f>VLOOKUP(A475, 'state-ids'!$A$1:$C$28, 3)</f>
        <v>4.5714076999999999E-2</v>
      </c>
      <c r="AE475">
        <f>VLOOKUP(A475, 'state-ids'!$A$1:$D$28, 4)</f>
        <v>0.90451353999999995</v>
      </c>
      <c r="AF475">
        <f t="shared" si="60"/>
        <v>0.23419512825648817</v>
      </c>
      <c r="AG475">
        <f t="shared" si="61"/>
        <v>0.32987098813061899</v>
      </c>
      <c r="AH475">
        <f t="shared" si="62"/>
        <v>0.26621532216828941</v>
      </c>
      <c r="AI475">
        <f t="shared" si="63"/>
        <v>6.3655665962329577E-2</v>
      </c>
      <c r="AJ475" s="12"/>
    </row>
    <row r="476" spans="1:36" x14ac:dyDescent="0.25">
      <c r="A476" s="9">
        <v>53</v>
      </c>
      <c r="B476" s="9">
        <v>2012</v>
      </c>
      <c r="C476" s="9">
        <v>-0.89789855142030683</v>
      </c>
      <c r="D476" s="9">
        <v>0.7234823803560182</v>
      </c>
      <c r="E476" s="9">
        <v>0.77670677365887608</v>
      </c>
      <c r="F476" s="9">
        <v>0.7963804352015974</v>
      </c>
      <c r="G476" s="9">
        <v>0.49506202858651249</v>
      </c>
      <c r="H476" s="9">
        <v>0.52490602797399499</v>
      </c>
      <c r="I476" s="9">
        <v>0.49755799676508627</v>
      </c>
      <c r="J476" s="9">
        <v>-4.1928813491084016</v>
      </c>
      <c r="K476" s="9">
        <v>0.607173681386733</v>
      </c>
      <c r="L476" s="9">
        <v>-0.80402902169534696</v>
      </c>
      <c r="M476" s="9">
        <v>3.970137688567176</v>
      </c>
      <c r="N476" s="9">
        <v>3.9867281501521989</v>
      </c>
      <c r="O476" s="9">
        <v>-11.51292546497023</v>
      </c>
      <c r="P476" s="9">
        <v>-1.6590461134910583E-2</v>
      </c>
      <c r="Q476" s="9">
        <v>0</v>
      </c>
      <c r="R476" s="9">
        <v>0</v>
      </c>
      <c r="S476" s="9">
        <v>1</v>
      </c>
      <c r="T476" s="9">
        <v>0</v>
      </c>
      <c r="U476" s="9">
        <v>0</v>
      </c>
      <c r="V476" s="9">
        <v>0</v>
      </c>
      <c r="W476" s="9">
        <v>0</v>
      </c>
      <c r="X476" s="9">
        <v>-1.1200118064880371</v>
      </c>
      <c r="Y476">
        <f t="shared" si="56"/>
        <v>0.40742494332709589</v>
      </c>
      <c r="Z476">
        <f t="shared" si="57"/>
        <v>0.32627594242728802</v>
      </c>
      <c r="AA476">
        <f t="shared" si="58"/>
        <v>8.1149000899807866E-2</v>
      </c>
      <c r="AB476">
        <f t="shared" si="59"/>
        <v>6.5851603470370177E-3</v>
      </c>
      <c r="AC476" t="str">
        <f>VLOOKUP(A476, 'state-ids'!$A$1:$B$28, 2)</f>
        <v>DF</v>
      </c>
      <c r="AD476">
        <f>VLOOKUP(A476, 'state-ids'!$A$1:$C$28, 3)</f>
        <v>4.5714076999999999E-2</v>
      </c>
      <c r="AE476">
        <f>VLOOKUP(A476, 'state-ids'!$A$1:$D$28, 4)</f>
        <v>0.90451353999999995</v>
      </c>
      <c r="AF476">
        <f t="shared" si="60"/>
        <v>0.20090444662223564</v>
      </c>
      <c r="AG476">
        <f t="shared" si="61"/>
        <v>0.36319560918063643</v>
      </c>
      <c r="AH476">
        <f t="shared" si="62"/>
        <v>0.29310924448392423</v>
      </c>
      <c r="AI476">
        <f t="shared" si="63"/>
        <v>7.00863646967122E-2</v>
      </c>
      <c r="AJ476" s="12"/>
    </row>
    <row r="477" spans="1:36" x14ac:dyDescent="0.25">
      <c r="A477" s="9">
        <v>53</v>
      </c>
      <c r="B477" s="9">
        <v>2013</v>
      </c>
      <c r="C477" s="9">
        <v>-0.90989681407840772</v>
      </c>
      <c r="D477" s="9">
        <v>0.71417454775202094</v>
      </c>
      <c r="E477" s="9">
        <v>0.7234823803560182</v>
      </c>
      <c r="F477" s="9">
        <v>0.77670677365887608</v>
      </c>
      <c r="G477" s="9">
        <v>0.44647908419877852</v>
      </c>
      <c r="H477" s="9">
        <v>0.49506202858651249</v>
      </c>
      <c r="I477" s="9">
        <v>0.52490602797399499</v>
      </c>
      <c r="J477" s="9">
        <v>-3.4450748383315428</v>
      </c>
      <c r="K477" s="9">
        <v>0.607173681386733</v>
      </c>
      <c r="L477" s="9">
        <v>-0.79969165230043016</v>
      </c>
      <c r="M477" s="9">
        <v>3.9152939114917999</v>
      </c>
      <c r="N477" s="9">
        <v>3.9181872837258269</v>
      </c>
      <c r="O477" s="9">
        <v>-11.51292546497023</v>
      </c>
      <c r="P477" s="9">
        <v>-2.893372206017375E-3</v>
      </c>
      <c r="Q477" s="9">
        <v>0</v>
      </c>
      <c r="R477" s="9">
        <v>0</v>
      </c>
      <c r="S477" s="9">
        <v>1</v>
      </c>
      <c r="T477" s="9">
        <v>0</v>
      </c>
      <c r="U477" s="9">
        <v>0</v>
      </c>
      <c r="V477" s="9">
        <v>0</v>
      </c>
      <c r="W477" s="9">
        <v>0</v>
      </c>
      <c r="X477" s="9">
        <v>-1.1164413690567017</v>
      </c>
      <c r="Y477">
        <f t="shared" si="56"/>
        <v>0.40256576100963481</v>
      </c>
      <c r="Z477">
        <f t="shared" si="57"/>
        <v>0.32744297242909876</v>
      </c>
      <c r="AA477">
        <f t="shared" si="58"/>
        <v>7.512278858053606E-2</v>
      </c>
      <c r="AB477">
        <f t="shared" si="59"/>
        <v>5.6434333641159186E-3</v>
      </c>
      <c r="AC477" t="str">
        <f>VLOOKUP(A477, 'state-ids'!$A$1:$B$28, 2)</f>
        <v>DF</v>
      </c>
      <c r="AD477">
        <f>VLOOKUP(A477, 'state-ids'!$A$1:$C$28, 3)</f>
        <v>4.5714076999999999E-2</v>
      </c>
      <c r="AE477">
        <f>VLOOKUP(A477, 'state-ids'!$A$1:$D$28, 4)</f>
        <v>0.90451353999999995</v>
      </c>
      <c r="AF477">
        <f t="shared" si="60"/>
        <v>0.18682234659114128</v>
      </c>
      <c r="AG477">
        <f t="shared" si="61"/>
        <v>0.36449469414928742</v>
      </c>
      <c r="AH477">
        <f t="shared" si="62"/>
        <v>0.29415764320917515</v>
      </c>
      <c r="AI477">
        <f t="shared" si="63"/>
        <v>7.0337050940112278E-2</v>
      </c>
      <c r="AJ477" s="12"/>
    </row>
    <row r="478" spans="1:36" x14ac:dyDescent="0.25">
      <c r="A478" s="9">
        <v>53</v>
      </c>
      <c r="B478" s="9">
        <v>2014</v>
      </c>
      <c r="C478" s="9">
        <v>-0.8890735366326501</v>
      </c>
      <c r="D478" s="9">
        <v>0.69798545720019456</v>
      </c>
      <c r="E478" s="9">
        <v>0.71417454775202094</v>
      </c>
      <c r="F478" s="9">
        <v>0.7234823803560182</v>
      </c>
      <c r="G478" s="9">
        <v>0.46837730750115147</v>
      </c>
      <c r="H478" s="9">
        <v>0.44647908419877852</v>
      </c>
      <c r="I478" s="9">
        <v>0.49506202858651249</v>
      </c>
      <c r="J478" s="9">
        <v>-2.7685204019701639</v>
      </c>
      <c r="K478" s="9">
        <v>0.607173681386733</v>
      </c>
      <c r="L478" s="9">
        <v>-0.77890042899833789</v>
      </c>
      <c r="M478" s="9">
        <v>3.932998864519416</v>
      </c>
      <c r="N478" s="9">
        <v>3.893098911744564</v>
      </c>
      <c r="O478" s="9">
        <v>-11.51292546497023</v>
      </c>
      <c r="P478" s="9">
        <v>3.9899952709674835E-2</v>
      </c>
      <c r="Q478" s="9">
        <v>0</v>
      </c>
      <c r="R478" s="9">
        <v>0</v>
      </c>
      <c r="S478" s="9">
        <v>1</v>
      </c>
      <c r="T478" s="9">
        <v>0</v>
      </c>
      <c r="U478" s="9">
        <v>0</v>
      </c>
      <c r="V478" s="9">
        <v>0</v>
      </c>
      <c r="W478" s="9">
        <v>0</v>
      </c>
      <c r="X478" s="9">
        <v>-1.0698933601379395</v>
      </c>
      <c r="Y478">
        <f t="shared" si="56"/>
        <v>0.4110363865582749</v>
      </c>
      <c r="Z478">
        <f t="shared" si="57"/>
        <v>0.34304509775011588</v>
      </c>
      <c r="AA478">
        <f t="shared" si="58"/>
        <v>6.7991288808159023E-2</v>
      </c>
      <c r="AB478">
        <f t="shared" si="59"/>
        <v>4.62281535379449E-3</v>
      </c>
      <c r="AC478" t="str">
        <f>VLOOKUP(A478, 'state-ids'!$A$1:$B$28, 2)</f>
        <v>DF</v>
      </c>
      <c r="AD478">
        <f>VLOOKUP(A478, 'state-ids'!$A$1:$C$28, 3)</f>
        <v>4.5714076999999999E-2</v>
      </c>
      <c r="AE478">
        <f>VLOOKUP(A478, 'state-ids'!$A$1:$D$28, 4)</f>
        <v>0.90451353999999995</v>
      </c>
      <c r="AF478">
        <f t="shared" si="60"/>
        <v>0.16355397866094448</v>
      </c>
      <c r="AG478">
        <f t="shared" si="61"/>
        <v>0.38186227377628457</v>
      </c>
      <c r="AH478">
        <f t="shared" si="62"/>
        <v>0.30817377670392698</v>
      </c>
      <c r="AI478">
        <f t="shared" si="63"/>
        <v>7.3688497072357584E-2</v>
      </c>
      <c r="AJ478" s="12"/>
    </row>
    <row r="479" spans="1:36" x14ac:dyDescent="0.25">
      <c r="A479" s="9">
        <v>53</v>
      </c>
      <c r="B479" s="9">
        <v>2015</v>
      </c>
      <c r="C479" s="9">
        <v>-0.954460618699289</v>
      </c>
      <c r="D479" s="9">
        <v>0.72290013870929315</v>
      </c>
      <c r="E479" s="9">
        <v>0.69798545720019456</v>
      </c>
      <c r="F479" s="9">
        <v>0.71417454775202094</v>
      </c>
      <c r="G479" s="9">
        <v>0.47037855895080882</v>
      </c>
      <c r="H479" s="9">
        <v>0.46837730750115147</v>
      </c>
      <c r="I479" s="9">
        <v>0.44647908419877852</v>
      </c>
      <c r="J479" s="9">
        <v>-2.349945664353883</v>
      </c>
      <c r="K479" s="9">
        <v>0.607173681386733</v>
      </c>
      <c r="L479" s="9">
        <v>-0.76575915369728154</v>
      </c>
      <c r="M479" s="9">
        <v>3.9264922191542988</v>
      </c>
      <c r="N479" s="9">
        <v>3.911338294285815</v>
      </c>
      <c r="O479" s="9">
        <v>-11.51292546497023</v>
      </c>
      <c r="P479" s="9">
        <v>1.5153924934566021E-2</v>
      </c>
      <c r="Q479" s="9">
        <v>1</v>
      </c>
      <c r="R479" s="9">
        <v>0</v>
      </c>
      <c r="S479" s="9">
        <v>1</v>
      </c>
      <c r="T479" s="9">
        <v>0</v>
      </c>
      <c r="U479" s="9">
        <v>0</v>
      </c>
      <c r="V479" s="9">
        <v>0</v>
      </c>
      <c r="W479" s="9">
        <v>0</v>
      </c>
      <c r="X479" s="9">
        <v>-1.1203857660293579</v>
      </c>
      <c r="Y479">
        <f t="shared" si="56"/>
        <v>0.38501976101522212</v>
      </c>
      <c r="Z479">
        <f t="shared" si="57"/>
        <v>0.32615395123682039</v>
      </c>
      <c r="AA479">
        <f t="shared" si="58"/>
        <v>5.8865809778401723E-2</v>
      </c>
      <c r="AB479">
        <f t="shared" si="59"/>
        <v>3.4651835608669758E-3</v>
      </c>
      <c r="AC479" t="str">
        <f>VLOOKUP(A479, 'state-ids'!$A$1:$B$28, 2)</f>
        <v>DF</v>
      </c>
      <c r="AD479">
        <f>VLOOKUP(A479, 'state-ids'!$A$1:$C$28, 3)</f>
        <v>4.5714076999999999E-2</v>
      </c>
      <c r="AE479">
        <f>VLOOKUP(A479, 'state-ids'!$A$1:$D$28, 4)</f>
        <v>0.90451353999999995</v>
      </c>
      <c r="AF479">
        <f t="shared" si="60"/>
        <v>0.15008154238654217</v>
      </c>
      <c r="AG479">
        <f t="shared" si="61"/>
        <v>0.36305981410973126</v>
      </c>
      <c r="AH479">
        <f t="shared" si="62"/>
        <v>0.29299965397778499</v>
      </c>
      <c r="AI479">
        <f t="shared" si="63"/>
        <v>7.006016013194627E-2</v>
      </c>
      <c r="AJ479" s="12"/>
    </row>
    <row r="480" spans="1:36" x14ac:dyDescent="0.25">
      <c r="A480" s="9">
        <v>53</v>
      </c>
      <c r="B480" s="9">
        <v>2016</v>
      </c>
      <c r="C480" s="9">
        <v>-0.90900988762450885</v>
      </c>
      <c r="D480" s="9">
        <v>0.70339449701149481</v>
      </c>
      <c r="E480" s="9">
        <v>0.72290013870929315</v>
      </c>
      <c r="F480" s="9">
        <v>0.69798545720019456</v>
      </c>
      <c r="G480" s="9">
        <v>0.54197539275820672</v>
      </c>
      <c r="H480" s="9">
        <v>0.47037855895080882</v>
      </c>
      <c r="I480" s="9">
        <v>0.46837730750115147</v>
      </c>
      <c r="J480" s="9">
        <v>-1.992390755046662</v>
      </c>
      <c r="K480" s="9">
        <v>0.607173681386733</v>
      </c>
      <c r="L480" s="9">
        <v>-0.76100094980120447</v>
      </c>
      <c r="M480" s="9">
        <v>3.9157916444440328</v>
      </c>
      <c r="N480" s="9">
        <v>3.905315082550425</v>
      </c>
      <c r="O480" s="9">
        <v>-11.51292546497023</v>
      </c>
      <c r="P480" s="9">
        <v>1.0476562194526196E-2</v>
      </c>
      <c r="Q480" s="9">
        <v>1</v>
      </c>
      <c r="R480" s="9">
        <v>0</v>
      </c>
      <c r="S480" s="9">
        <v>1</v>
      </c>
      <c r="T480" s="9">
        <v>0</v>
      </c>
      <c r="U480" s="9">
        <v>0</v>
      </c>
      <c r="V480" s="9">
        <v>0</v>
      </c>
      <c r="W480" s="9">
        <v>0</v>
      </c>
      <c r="X480" s="9">
        <v>-1.0633258819580078</v>
      </c>
      <c r="Y480">
        <f t="shared" si="56"/>
        <v>0.40292296561619978</v>
      </c>
      <c r="Z480">
        <f t="shared" si="57"/>
        <v>0.34530545323757184</v>
      </c>
      <c r="AA480">
        <f t="shared" si="58"/>
        <v>5.7617512378627944E-2</v>
      </c>
      <c r="AB480">
        <f t="shared" si="59"/>
        <v>3.3197777327013444E-3</v>
      </c>
      <c r="AC480" t="str">
        <f>VLOOKUP(A480, 'state-ids'!$A$1:$B$28, 2)</f>
        <v>DF</v>
      </c>
      <c r="AD480">
        <f>VLOOKUP(A480, 'state-ids'!$A$1:$C$28, 3)</f>
        <v>4.5714076999999999E-2</v>
      </c>
      <c r="AE480">
        <f>VLOOKUP(A480, 'state-ids'!$A$1:$D$28, 4)</f>
        <v>0.90451353999999995</v>
      </c>
      <c r="AF480">
        <f t="shared" si="60"/>
        <v>0.13958090631321307</v>
      </c>
      <c r="AG480">
        <f t="shared" si="61"/>
        <v>0.38437839918266292</v>
      </c>
      <c r="AH480">
        <f t="shared" si="62"/>
        <v>0.31020436187139133</v>
      </c>
      <c r="AI480">
        <f t="shared" si="63"/>
        <v>7.417403731127159E-2</v>
      </c>
      <c r="AJ480" s="12"/>
    </row>
    <row r="481" spans="1:36" x14ac:dyDescent="0.25">
      <c r="A481" s="9">
        <v>53</v>
      </c>
      <c r="B481" s="9">
        <v>2017</v>
      </c>
      <c r="C481" s="9">
        <v>-0.87571362001221353</v>
      </c>
      <c r="D481" s="9">
        <v>0.69044352898563044</v>
      </c>
      <c r="E481" s="9">
        <v>0.70339449701149481</v>
      </c>
      <c r="F481" s="9">
        <v>0.72290013870929315</v>
      </c>
      <c r="G481" s="9">
        <v>0.54731183233640068</v>
      </c>
      <c r="H481" s="9">
        <v>0.54197539275820672</v>
      </c>
      <c r="I481" s="9">
        <v>0.47037855895080882</v>
      </c>
      <c r="J481" s="9">
        <v>-1.3940375149281869</v>
      </c>
      <c r="K481" s="9">
        <v>0.607173681386733</v>
      </c>
      <c r="L481" s="9">
        <v>-0.75467591242718013</v>
      </c>
      <c r="M481" s="9">
        <v>3.8972926783296979</v>
      </c>
      <c r="N481" s="9">
        <v>3.8951056761562839</v>
      </c>
      <c r="O481" s="9">
        <v>-11.51292546497023</v>
      </c>
      <c r="P481" s="9">
        <v>2.1870022173970938E-3</v>
      </c>
      <c r="Q481" s="9">
        <v>1</v>
      </c>
      <c r="R481" s="9">
        <v>0</v>
      </c>
      <c r="S481" s="9">
        <v>1</v>
      </c>
      <c r="T481" s="9">
        <v>0</v>
      </c>
      <c r="U481" s="9">
        <v>0</v>
      </c>
      <c r="V481" s="9">
        <v>0</v>
      </c>
      <c r="W481" s="9">
        <v>0</v>
      </c>
      <c r="X481" s="9">
        <v>-1.0368249416351318</v>
      </c>
      <c r="Y481">
        <f t="shared" si="56"/>
        <v>0.41656464471791549</v>
      </c>
      <c r="Z481">
        <f t="shared" si="57"/>
        <v>0.3545787046779314</v>
      </c>
      <c r="AA481">
        <f t="shared" si="58"/>
        <v>6.1985940039984089E-2</v>
      </c>
      <c r="AB481">
        <f t="shared" si="59"/>
        <v>3.8422567626405025E-3</v>
      </c>
      <c r="AC481" t="str">
        <f>VLOOKUP(A481, 'state-ids'!$A$1:$B$28, 2)</f>
        <v>DF</v>
      </c>
      <c r="AD481">
        <f>VLOOKUP(A481, 'state-ids'!$A$1:$C$28, 3)</f>
        <v>4.5714076999999999E-2</v>
      </c>
      <c r="AE481">
        <f>VLOOKUP(A481, 'state-ids'!$A$1:$D$28, 4)</f>
        <v>0.90451353999999995</v>
      </c>
      <c r="AF481">
        <f t="shared" si="60"/>
        <v>0.14572737185522436</v>
      </c>
      <c r="AG481">
        <f t="shared" si="61"/>
        <v>0.39470096290253381</v>
      </c>
      <c r="AH481">
        <f t="shared" si="62"/>
        <v>0.31853496603231257</v>
      </c>
      <c r="AI481">
        <f t="shared" si="63"/>
        <v>7.6165996870221242E-2</v>
      </c>
      <c r="AJ481" s="12"/>
    </row>
    <row r="482" spans="1:36" x14ac:dyDescent="0.25">
      <c r="A482" s="9">
        <v>53</v>
      </c>
      <c r="B482" s="9">
        <v>2018</v>
      </c>
      <c r="C482" s="9">
        <v>-1.003241420154549</v>
      </c>
      <c r="D482" s="9">
        <v>0.82478928961166054</v>
      </c>
      <c r="E482" s="9">
        <v>0.69044352898563044</v>
      </c>
      <c r="F482" s="9">
        <v>0.70339449701149481</v>
      </c>
      <c r="G482" s="9">
        <v>0.56149972649394564</v>
      </c>
      <c r="H482" s="9">
        <v>0.54731183233640068</v>
      </c>
      <c r="I482" s="9">
        <v>0.54197539275820672</v>
      </c>
      <c r="J482" s="9">
        <v>-0.9170315843726361</v>
      </c>
      <c r="K482" s="9">
        <v>0.607173681386733</v>
      </c>
      <c r="L482" s="9">
        <v>-0.70271883606492602</v>
      </c>
      <c r="M482" s="9">
        <v>3.9152906241954182</v>
      </c>
      <c r="N482" s="9">
        <v>3.918823080202424</v>
      </c>
      <c r="O482" s="9">
        <v>3.2580965380214821</v>
      </c>
      <c r="P482" s="9">
        <v>-3.5324560012668371E-3</v>
      </c>
      <c r="Q482" s="9">
        <v>1</v>
      </c>
      <c r="R482" s="9">
        <v>0</v>
      </c>
      <c r="S482" s="9">
        <v>1</v>
      </c>
      <c r="T482" s="9">
        <v>0</v>
      </c>
      <c r="U482" s="9">
        <v>0</v>
      </c>
      <c r="V482" s="9">
        <v>0</v>
      </c>
      <c r="W482" s="9">
        <v>0</v>
      </c>
      <c r="X482" s="9">
        <v>-1.111213207244873</v>
      </c>
      <c r="Y482">
        <f t="shared" si="56"/>
        <v>0.36668891986863872</v>
      </c>
      <c r="Z482">
        <f t="shared" si="57"/>
        <v>0.32915938019222185</v>
      </c>
      <c r="AA482">
        <f t="shared" si="58"/>
        <v>3.7529539676416868E-2</v>
      </c>
      <c r="AB482">
        <f t="shared" si="59"/>
        <v>1.4084663483237478E-3</v>
      </c>
      <c r="AC482" t="str">
        <f>VLOOKUP(A482, 'state-ids'!$A$1:$B$28, 2)</f>
        <v>DF</v>
      </c>
      <c r="AD482">
        <f>VLOOKUP(A482, 'state-ids'!$A$1:$C$28, 3)</f>
        <v>4.5714076999999999E-2</v>
      </c>
      <c r="AE482">
        <f>VLOOKUP(A482, 'state-ids'!$A$1:$D$28, 4)</f>
        <v>0.90451353999999995</v>
      </c>
      <c r="AF482">
        <f t="shared" si="60"/>
        <v>9.7661943361195311E-2</v>
      </c>
      <c r="AG482">
        <f t="shared" si="61"/>
        <v>0.3664053215724809</v>
      </c>
      <c r="AH482">
        <f t="shared" si="62"/>
        <v>0.29569957418616555</v>
      </c>
      <c r="AI482">
        <f t="shared" si="63"/>
        <v>7.0705747386315354E-2</v>
      </c>
      <c r="AJ482" s="12"/>
    </row>
    <row r="483" spans="1:36" x14ac:dyDescent="0.25">
      <c r="A483" s="9">
        <v>53</v>
      </c>
      <c r="B483" s="9">
        <v>2019</v>
      </c>
      <c r="C483" s="9">
        <v>-0.98758315675102371</v>
      </c>
      <c r="D483" s="9">
        <v>0.74597679420447738</v>
      </c>
      <c r="E483" s="9">
        <v>0.82478928961166054</v>
      </c>
      <c r="F483" s="9">
        <v>0.69044352898563044</v>
      </c>
      <c r="G483" s="9">
        <v>0.46524231214402512</v>
      </c>
      <c r="H483" s="9">
        <v>0.56149972649394564</v>
      </c>
      <c r="I483" s="9">
        <v>0.54731183233640068</v>
      </c>
      <c r="J483" s="9">
        <v>-0.17665588671159729</v>
      </c>
      <c r="K483" s="9">
        <v>0.607173681386733</v>
      </c>
      <c r="L483" s="9">
        <v>-0.6817684061643543</v>
      </c>
      <c r="M483" s="9">
        <v>3.9315422371031872</v>
      </c>
      <c r="N483" s="9">
        <v>3.9017461111590448</v>
      </c>
      <c r="O483" s="9">
        <v>5.393627546352362</v>
      </c>
      <c r="P483" s="9">
        <v>2.9796125367283821E-2</v>
      </c>
      <c r="Q483" s="9">
        <v>1</v>
      </c>
      <c r="R483" s="9">
        <v>0</v>
      </c>
      <c r="S483" s="9">
        <v>1</v>
      </c>
      <c r="T483" s="9">
        <v>0</v>
      </c>
      <c r="U483" s="9">
        <v>0</v>
      </c>
      <c r="V483" s="9">
        <v>0</v>
      </c>
      <c r="W483" s="9">
        <v>0</v>
      </c>
      <c r="X483" s="9">
        <v>-1.0815011262893677</v>
      </c>
      <c r="Y483">
        <f t="shared" si="56"/>
        <v>0.37247581972813021</v>
      </c>
      <c r="Z483">
        <f t="shared" si="57"/>
        <v>0.33908613230116663</v>
      </c>
      <c r="AA483">
        <f t="shared" si="58"/>
        <v>3.3389687426963577E-2</v>
      </c>
      <c r="AB483">
        <f t="shared" si="59"/>
        <v>1.1148712264703296E-3</v>
      </c>
      <c r="AC483" t="str">
        <f>VLOOKUP(A483, 'state-ids'!$A$1:$B$28, 2)</f>
        <v>DF</v>
      </c>
      <c r="AD483">
        <f>VLOOKUP(A483, 'state-ids'!$A$1:$C$28, 3)</f>
        <v>4.5714076999999999E-2</v>
      </c>
      <c r="AE483">
        <f>VLOOKUP(A483, 'state-ids'!$A$1:$D$28, 4)</f>
        <v>0.90451353999999995</v>
      </c>
      <c r="AF483">
        <f t="shared" si="60"/>
        <v>8.4950075096739672E-2</v>
      </c>
      <c r="AG483">
        <f t="shared" si="61"/>
        <v>0.37745533265381226</v>
      </c>
      <c r="AH483">
        <f t="shared" si="62"/>
        <v>0.30461724917374272</v>
      </c>
      <c r="AI483">
        <f t="shared" si="63"/>
        <v>7.2838083480069538E-2</v>
      </c>
      <c r="AJ483" s="12"/>
    </row>
    <row r="484" spans="1:36" x14ac:dyDescent="0.25">
      <c r="A484" s="9">
        <v>53</v>
      </c>
      <c r="B484" s="9">
        <v>2020</v>
      </c>
      <c r="C484" s="9">
        <v>-1.1716802140604221</v>
      </c>
      <c r="D484" s="9">
        <v>0.68056839835308525</v>
      </c>
      <c r="E484" s="9">
        <v>0.74597679420447738</v>
      </c>
      <c r="F484" s="9">
        <v>0.82478928961166054</v>
      </c>
      <c r="G484" s="9">
        <v>0.42716136618992462</v>
      </c>
      <c r="H484" s="9">
        <v>0.46524231214402512</v>
      </c>
      <c r="I484" s="9">
        <v>0.56149972649394564</v>
      </c>
      <c r="J484" s="9">
        <v>0.35173698961437438</v>
      </c>
      <c r="K484" s="9">
        <v>0.607173681386733</v>
      </c>
      <c r="L484" s="9">
        <v>-0.67335289023666267</v>
      </c>
      <c r="M484" s="9">
        <v>3.8268909560079698</v>
      </c>
      <c r="N484" s="9">
        <v>3.9184025882825311</v>
      </c>
      <c r="O484" s="9">
        <v>5.9914645471079817</v>
      </c>
      <c r="P484" s="9">
        <v>-9.1511629521846771E-2</v>
      </c>
      <c r="Q484" s="9">
        <v>1</v>
      </c>
      <c r="R484" s="9">
        <v>1</v>
      </c>
      <c r="S484" s="9">
        <v>1</v>
      </c>
      <c r="T484" s="9">
        <v>0</v>
      </c>
      <c r="U484" s="9">
        <v>0</v>
      </c>
      <c r="V484" s="9">
        <v>0</v>
      </c>
      <c r="W484" s="9">
        <v>0</v>
      </c>
      <c r="X484" s="9">
        <v>-1.1820311546325684</v>
      </c>
      <c r="Y484">
        <f t="shared" si="56"/>
        <v>0.30984589622306474</v>
      </c>
      <c r="Z484">
        <f t="shared" si="57"/>
        <v>0.30665524139171219</v>
      </c>
      <c r="AA484">
        <f t="shared" si="58"/>
        <v>3.1906548313525573E-3</v>
      </c>
      <c r="AB484">
        <f t="shared" si="59"/>
        <v>1.0180278252833417E-5</v>
      </c>
      <c r="AC484" t="str">
        <f>VLOOKUP(A484, 'state-ids'!$A$1:$B$28, 2)</f>
        <v>DF</v>
      </c>
      <c r="AD484">
        <f>VLOOKUP(A484, 'state-ids'!$A$1:$C$28, 3)</f>
        <v>4.5714076999999999E-2</v>
      </c>
      <c r="AE484">
        <f>VLOOKUP(A484, 'state-ids'!$A$1:$D$28, 4)</f>
        <v>0.90451353999999995</v>
      </c>
      <c r="AF484">
        <f t="shared" si="60"/>
        <v>9.3625658992416289E-3</v>
      </c>
      <c r="AG484">
        <f t="shared" si="61"/>
        <v>0.34135473298194091</v>
      </c>
      <c r="AH484">
        <f t="shared" si="62"/>
        <v>0.27548303271360897</v>
      </c>
      <c r="AI484">
        <f t="shared" si="63"/>
        <v>6.5871700268331945E-2</v>
      </c>
      <c r="AJ484" s="12"/>
    </row>
    <row r="485" spans="1:36" x14ac:dyDescent="0.25">
      <c r="A485" s="9">
        <v>53</v>
      </c>
      <c r="B485" s="9">
        <v>2021</v>
      </c>
      <c r="C485" s="9">
        <v>-1.144364340318764</v>
      </c>
      <c r="D485" s="9">
        <v>0.93969470965317126</v>
      </c>
      <c r="E485" s="9">
        <v>0.68056839835308525</v>
      </c>
      <c r="F485" s="9">
        <v>0.74597679420447738</v>
      </c>
      <c r="G485" s="9">
        <v>0.74900753005656717</v>
      </c>
      <c r="H485" s="9">
        <v>0.42716136618992462</v>
      </c>
      <c r="I485" s="9">
        <v>0.46524231214402512</v>
      </c>
      <c r="J485" s="9">
        <v>0.84506663866255494</v>
      </c>
      <c r="K485" s="9">
        <v>0.607173681386733</v>
      </c>
      <c r="L485" s="9">
        <v>-0.67031623496915371</v>
      </c>
      <c r="M485" s="9">
        <v>3.7678536220038539</v>
      </c>
      <c r="N485" s="9">
        <v>3.8141495312951261</v>
      </c>
      <c r="O485" s="9">
        <v>6.6846117276679271</v>
      </c>
      <c r="P485" s="9">
        <v>-4.6295911073684692E-2</v>
      </c>
      <c r="Q485" s="9">
        <v>1</v>
      </c>
      <c r="R485" s="9">
        <v>0</v>
      </c>
      <c r="S485" s="9">
        <v>1</v>
      </c>
      <c r="T485" s="9">
        <v>0</v>
      </c>
      <c r="U485" s="9">
        <v>0</v>
      </c>
      <c r="V485" s="9">
        <v>0</v>
      </c>
      <c r="W485" s="9">
        <v>0</v>
      </c>
      <c r="X485" s="9">
        <v>-1.1744996309280396</v>
      </c>
      <c r="Y485">
        <f t="shared" si="56"/>
        <v>0.31842626420948011</v>
      </c>
      <c r="Z485">
        <f t="shared" si="57"/>
        <v>0.3089735418201206</v>
      </c>
      <c r="AA485">
        <f t="shared" si="58"/>
        <v>9.4527223893595136E-3</v>
      </c>
      <c r="AB485">
        <f t="shared" si="59"/>
        <v>8.9353960570298633E-5</v>
      </c>
      <c r="AC485" t="str">
        <f>VLOOKUP(A485, 'state-ids'!$A$1:$B$28, 2)</f>
        <v>DF</v>
      </c>
      <c r="AD485">
        <f>VLOOKUP(A485, 'state-ids'!$A$1:$C$28, 3)</f>
        <v>4.5714076999999999E-2</v>
      </c>
      <c r="AE485">
        <f>VLOOKUP(A485, 'state-ids'!$A$1:$D$28, 4)</f>
        <v>0.90451353999999995</v>
      </c>
      <c r="AF485">
        <f t="shared" si="60"/>
        <v>2.7257778387924588E-2</v>
      </c>
      <c r="AG485">
        <f t="shared" si="61"/>
        <v>0.3439353600735236</v>
      </c>
      <c r="AH485">
        <f t="shared" si="62"/>
        <v>0.27756567258586673</v>
      </c>
      <c r="AI485">
        <f t="shared" si="63"/>
        <v>6.636968748765687E-2</v>
      </c>
      <c r="AJ485" s="12"/>
    </row>
    <row r="486" spans="1:36" x14ac:dyDescent="0.25">
      <c r="A486" s="9">
        <v>53</v>
      </c>
      <c r="B486" s="9">
        <v>2022</v>
      </c>
      <c r="C486" s="9">
        <v>-1.084968088625851</v>
      </c>
      <c r="D486" s="9">
        <v>0.92271008367633833</v>
      </c>
      <c r="E486" s="9">
        <v>0.93969470965317126</v>
      </c>
      <c r="F486" s="9">
        <v>0.68056839835308525</v>
      </c>
      <c r="G486" s="9">
        <v>0.70275091670264</v>
      </c>
      <c r="H486" s="9">
        <v>0.74900753005656717</v>
      </c>
      <c r="I486" s="9">
        <v>0.42716136618992462</v>
      </c>
      <c r="J486" s="9">
        <v>1.362395225504291</v>
      </c>
      <c r="K486" s="9">
        <v>0.60717368138673311</v>
      </c>
      <c r="L486" s="9">
        <v>-0.65767170501785543</v>
      </c>
      <c r="M486" s="9">
        <v>3.8217818308483569</v>
      </c>
      <c r="N486" s="9">
        <v>3.7678536220038539</v>
      </c>
      <c r="O486" s="9">
        <v>8.0551577318196781</v>
      </c>
      <c r="P486" s="9">
        <v>5.3928207606077194E-2</v>
      </c>
      <c r="Q486" s="9">
        <v>1</v>
      </c>
      <c r="R486" s="9">
        <v>0</v>
      </c>
      <c r="S486" s="9">
        <v>1</v>
      </c>
      <c r="T486" s="9">
        <v>0</v>
      </c>
      <c r="U486" s="9">
        <v>0</v>
      </c>
      <c r="V486" s="9">
        <v>0</v>
      </c>
      <c r="W486" s="9">
        <v>0</v>
      </c>
      <c r="X486" s="9">
        <v>-1.1366767883300781</v>
      </c>
      <c r="Y486">
        <f t="shared" si="56"/>
        <v>0.33791256897707889</v>
      </c>
      <c r="Z486">
        <f t="shared" si="57"/>
        <v>0.32088361607814619</v>
      </c>
      <c r="AA486">
        <f t="shared" si="58"/>
        <v>1.7028952898932692E-2</v>
      </c>
      <c r="AB486">
        <f t="shared" si="59"/>
        <v>2.8998523683406813E-4</v>
      </c>
      <c r="AC486" t="str">
        <f>VLOOKUP(A486, 'state-ids'!$A$1:$B$28, 2)</f>
        <v>DF</v>
      </c>
      <c r="AD486">
        <f>VLOOKUP(A486, 'state-ids'!$A$1:$C$28, 3)</f>
        <v>4.5714076999999999E-2</v>
      </c>
      <c r="AE486">
        <f>VLOOKUP(A486, 'state-ids'!$A$1:$D$28, 4)</f>
        <v>0.90451353999999995</v>
      </c>
      <c r="AF486">
        <f t="shared" si="60"/>
        <v>4.6771219018267397E-2</v>
      </c>
      <c r="AG486">
        <f t="shared" si="61"/>
        <v>0.3571931155897588</v>
      </c>
      <c r="AH486">
        <f t="shared" si="62"/>
        <v>0.28826506047682432</v>
      </c>
      <c r="AI486">
        <f t="shared" si="63"/>
        <v>6.8928055112934483E-2</v>
      </c>
      <c r="AJ486" s="12"/>
    </row>
    <row r="487" spans="1:36" x14ac:dyDescent="0.25">
      <c r="A487" s="9">
        <v>53</v>
      </c>
      <c r="B487" s="9">
        <v>2023</v>
      </c>
      <c r="C487" s="9">
        <v>-1.0745403104985669</v>
      </c>
      <c r="D487" s="9">
        <v>0.7437927652288373</v>
      </c>
      <c r="E487" s="9">
        <v>0.92271008367633833</v>
      </c>
      <c r="F487" s="9">
        <v>0.93969470965317126</v>
      </c>
      <c r="G487" s="9">
        <v>0.39366239598901293</v>
      </c>
      <c r="H487" s="9">
        <v>0.70275091670264</v>
      </c>
      <c r="I487" s="9">
        <v>0.74900753005656717</v>
      </c>
      <c r="J487" s="9">
        <v>1.926033881940227</v>
      </c>
      <c r="K487" s="9">
        <v>0.60717368138673311</v>
      </c>
      <c r="L487" s="9">
        <v>-0.63910198627306525</v>
      </c>
      <c r="M487" s="9">
        <v>3.877784690820953</v>
      </c>
      <c r="N487" s="9">
        <v>3.8217818308483569</v>
      </c>
      <c r="O487" s="9">
        <v>8.4658998970286863</v>
      </c>
      <c r="P487" s="9">
        <v>5.6002859026193619E-2</v>
      </c>
      <c r="Q487" s="9">
        <v>1</v>
      </c>
      <c r="R487" s="9">
        <v>0</v>
      </c>
      <c r="S487" s="9">
        <v>1</v>
      </c>
      <c r="T487" s="9">
        <v>0</v>
      </c>
      <c r="U487" s="9">
        <v>0</v>
      </c>
      <c r="V487" s="9">
        <v>0</v>
      </c>
      <c r="W487" s="9">
        <v>0</v>
      </c>
      <c r="X487" s="9">
        <v>-1.129732608795166</v>
      </c>
      <c r="Y487">
        <f t="shared" si="56"/>
        <v>0.34145468236206605</v>
      </c>
      <c r="Z487">
        <f t="shared" si="57"/>
        <v>0.32311964422304346</v>
      </c>
      <c r="AA487">
        <f t="shared" si="58"/>
        <v>1.8335038139022597E-2</v>
      </c>
      <c r="AB487">
        <f t="shared" si="59"/>
        <v>3.3617362355941319E-4</v>
      </c>
      <c r="AC487" t="str">
        <f>VLOOKUP(A487, 'state-ids'!$A$1:$B$28, 2)</f>
        <v>DF</v>
      </c>
      <c r="AD487">
        <f>VLOOKUP(A487, 'state-ids'!$A$1:$C$28, 3)</f>
        <v>4.5714076999999999E-2</v>
      </c>
      <c r="AE487">
        <f>VLOOKUP(A487, 'state-ids'!$A$1:$D$28, 4)</f>
        <v>0.90451353999999995</v>
      </c>
      <c r="AF487">
        <f t="shared" si="60"/>
        <v>4.9922181112992826E-2</v>
      </c>
      <c r="AG487">
        <f t="shared" si="61"/>
        <v>0.35968216089965627</v>
      </c>
      <c r="AH487">
        <f t="shared" si="62"/>
        <v>0.29027379123190195</v>
      </c>
      <c r="AI487">
        <f t="shared" si="63"/>
        <v>6.9408369667754322E-2</v>
      </c>
      <c r="AJ48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069A-7C79-4FD0-832F-D916E1AF4D41}">
  <dimension ref="A2:E23"/>
  <sheetViews>
    <sheetView workbookViewId="0">
      <selection activeCell="B2" sqref="B2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5.28515625" bestFit="1" customWidth="1"/>
    <col min="4" max="5" width="12" bestFit="1" customWidth="1"/>
    <col min="6" max="6" width="14.28515625" bestFit="1" customWidth="1"/>
  </cols>
  <sheetData>
    <row r="2" spans="1:5" x14ac:dyDescent="0.25">
      <c r="A2" s="3" t="s">
        <v>52</v>
      </c>
      <c r="B2" t="s">
        <v>48</v>
      </c>
    </row>
    <row r="4" spans="1:5" x14ac:dyDescent="0.25">
      <c r="A4" s="3" t="s">
        <v>21</v>
      </c>
      <c r="B4" t="s">
        <v>94</v>
      </c>
      <c r="C4" t="s">
        <v>106</v>
      </c>
      <c r="D4" t="s">
        <v>23</v>
      </c>
      <c r="E4" t="s">
        <v>22</v>
      </c>
    </row>
    <row r="5" spans="1:5" x14ac:dyDescent="0.25">
      <c r="A5" s="4">
        <v>2006</v>
      </c>
      <c r="B5">
        <v>0.13521948459651553</v>
      </c>
      <c r="C5">
        <v>1.6451374196213037E-2</v>
      </c>
      <c r="D5">
        <v>0.14320913153239789</v>
      </c>
      <c r="E5">
        <v>0.13869006314673626</v>
      </c>
    </row>
    <row r="6" spans="1:5" x14ac:dyDescent="0.25">
      <c r="A6" s="4">
        <v>2007</v>
      </c>
      <c r="B6">
        <v>0.14295512765968779</v>
      </c>
      <c r="C6">
        <v>1.7392525237132389E-2</v>
      </c>
      <c r="D6">
        <v>0.15140184671857948</v>
      </c>
      <c r="E6">
        <v>0.14197603818698154</v>
      </c>
    </row>
    <row r="7" spans="1:5" x14ac:dyDescent="0.25">
      <c r="A7" s="4">
        <v>2008</v>
      </c>
      <c r="B7">
        <v>0.15591455266708479</v>
      </c>
      <c r="C7">
        <v>1.8969223675235597E-2</v>
      </c>
      <c r="D7">
        <v>0.16512699887402843</v>
      </c>
      <c r="E7">
        <v>0.15254680530465814</v>
      </c>
    </row>
    <row r="8" spans="1:5" x14ac:dyDescent="0.25">
      <c r="A8" s="4">
        <v>2009</v>
      </c>
      <c r="B8">
        <v>0.16681286334546683</v>
      </c>
      <c r="C8">
        <v>2.0295158229798105E-2</v>
      </c>
      <c r="D8">
        <v>0.17666925265556349</v>
      </c>
      <c r="E8">
        <v>0.1578218494571908</v>
      </c>
    </row>
    <row r="9" spans="1:5" x14ac:dyDescent="0.25">
      <c r="A9" s="4">
        <v>2010</v>
      </c>
      <c r="B9">
        <v>0.18930414848483226</v>
      </c>
      <c r="C9">
        <v>2.3031543071712818E-2</v>
      </c>
      <c r="D9">
        <v>0.20048946925723993</v>
      </c>
      <c r="E9">
        <v>0.18655126456168197</v>
      </c>
    </row>
    <row r="10" spans="1:5" x14ac:dyDescent="0.25">
      <c r="A10" s="4">
        <v>2011</v>
      </c>
      <c r="B10">
        <v>0.214036232075279</v>
      </c>
      <c r="C10">
        <v>2.6040552927152988E-2</v>
      </c>
      <c r="D10">
        <v>0.22668288526191693</v>
      </c>
      <c r="E10">
        <v>0.22282756054185968</v>
      </c>
    </row>
    <row r="11" spans="1:5" x14ac:dyDescent="0.25">
      <c r="A11" s="4">
        <v>2012</v>
      </c>
      <c r="B11">
        <v>0.23765459486124182</v>
      </c>
      <c r="C11">
        <v>2.8914062800772217E-2</v>
      </c>
      <c r="D11">
        <v>0.2516967745907186</v>
      </c>
      <c r="E11">
        <v>0.25726454337666699</v>
      </c>
    </row>
    <row r="12" spans="1:5" x14ac:dyDescent="0.25">
      <c r="A12" s="4">
        <v>2013</v>
      </c>
      <c r="B12">
        <v>0.23924048564626582</v>
      </c>
      <c r="C12">
        <v>2.9107008978733195E-2</v>
      </c>
      <c r="D12">
        <v>0.25337637012168968</v>
      </c>
      <c r="E12">
        <v>0.25939191866017797</v>
      </c>
    </row>
    <row r="13" spans="1:5" x14ac:dyDescent="0.25">
      <c r="A13" s="4">
        <v>2014</v>
      </c>
      <c r="B13">
        <v>0.24896135455121032</v>
      </c>
      <c r="C13">
        <v>3.0289690988983209E-2</v>
      </c>
      <c r="D13">
        <v>0.26367161120895877</v>
      </c>
      <c r="E13">
        <v>0.27398252137589008</v>
      </c>
    </row>
    <row r="14" spans="1:5" x14ac:dyDescent="0.25">
      <c r="A14" s="4">
        <v>2015</v>
      </c>
      <c r="B14">
        <v>0.24164016600621074</v>
      </c>
      <c r="C14">
        <v>2.9398964237034642E-2</v>
      </c>
      <c r="D14">
        <v>0.25591783921047162</v>
      </c>
      <c r="E14">
        <v>0.25035631696171773</v>
      </c>
    </row>
    <row r="15" spans="1:5" x14ac:dyDescent="0.25">
      <c r="A15" s="4">
        <v>2016</v>
      </c>
      <c r="B15">
        <v>0.26421595645480656</v>
      </c>
      <c r="C15">
        <v>3.2145630352153842E-2</v>
      </c>
      <c r="D15">
        <v>0.27982755424486921</v>
      </c>
      <c r="E15">
        <v>0.27657168655070519</v>
      </c>
    </row>
    <row r="16" spans="1:5" x14ac:dyDescent="0.25">
      <c r="A16" s="4">
        <v>2017</v>
      </c>
      <c r="B16">
        <v>0.27469776379357086</v>
      </c>
      <c r="C16">
        <v>3.3420891349466297E-2</v>
      </c>
      <c r="D16">
        <v>0.29092869495956347</v>
      </c>
      <c r="E16">
        <v>0.28255871871299265</v>
      </c>
    </row>
    <row r="17" spans="1:5" x14ac:dyDescent="0.25">
      <c r="A17" s="4">
        <v>2018</v>
      </c>
      <c r="B17">
        <v>0.26627832393145356</v>
      </c>
      <c r="C17">
        <v>3.2396546698933826E-2</v>
      </c>
      <c r="D17">
        <v>0.28201177981053077</v>
      </c>
      <c r="E17">
        <v>0.25934531479540024</v>
      </c>
    </row>
    <row r="18" spans="1:5" x14ac:dyDescent="0.25">
      <c r="A18" s="4">
        <v>2019</v>
      </c>
      <c r="B18">
        <v>0.27955536087510974</v>
      </c>
      <c r="C18">
        <v>3.4011887148047315E-2</v>
      </c>
      <c r="D18">
        <v>0.29607331048192898</v>
      </c>
      <c r="E18">
        <v>0.27641312334786861</v>
      </c>
    </row>
    <row r="19" spans="1:5" x14ac:dyDescent="0.25">
      <c r="A19" s="4">
        <v>2020</v>
      </c>
      <c r="B19">
        <v>0.24729625559719862</v>
      </c>
      <c r="C19">
        <v>3.0087108010295543E-2</v>
      </c>
      <c r="D19">
        <v>0.26190812737501973</v>
      </c>
      <c r="E19">
        <v>0.24843897296000483</v>
      </c>
    </row>
    <row r="20" spans="1:5" x14ac:dyDescent="0.25">
      <c r="A20" s="4">
        <v>2021</v>
      </c>
      <c r="B20">
        <v>0.24787657140568325</v>
      </c>
      <c r="C20">
        <v>3.0157711685097677E-2</v>
      </c>
      <c r="D20">
        <v>0.2625227320172101</v>
      </c>
      <c r="E20">
        <v>0.23823413595718218</v>
      </c>
    </row>
    <row r="21" spans="1:5" x14ac:dyDescent="0.25">
      <c r="A21" s="4">
        <v>2022</v>
      </c>
      <c r="B21">
        <v>0.25479345889560306</v>
      </c>
      <c r="C21">
        <v>3.0999249461323652E-2</v>
      </c>
      <c r="D21">
        <v>0.26984831422375732</v>
      </c>
      <c r="E21">
        <v>0.27103581376083574</v>
      </c>
    </row>
    <row r="22" spans="1:5" x14ac:dyDescent="0.25">
      <c r="A22" s="4">
        <v>2023</v>
      </c>
      <c r="B22">
        <v>0.2619190951253299</v>
      </c>
      <c r="C22">
        <v>3.1866184491812166E-2</v>
      </c>
      <c r="D22">
        <v>0.27739497940385272</v>
      </c>
      <c r="E22">
        <v>0.28710324219459921</v>
      </c>
    </row>
    <row r="23" spans="1:5" x14ac:dyDescent="0.25">
      <c r="A23" s="4" t="s">
        <v>20</v>
      </c>
      <c r="B23">
        <v>0.22602065533180835</v>
      </c>
      <c r="C23">
        <v>2.7498628529994362E-2</v>
      </c>
      <c r="D23">
        <v>0.23937542621934982</v>
      </c>
      <c r="E23">
        <v>0.23228388276961948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66B9-0F31-4C7F-8D29-8411F5F30172}">
  <dimension ref="A1:P685"/>
  <sheetViews>
    <sheetView topLeftCell="A13" workbookViewId="0">
      <selection activeCell="R26" sqref="R26"/>
    </sheetView>
  </sheetViews>
  <sheetFormatPr defaultRowHeight="15" x14ac:dyDescent="0.25"/>
  <cols>
    <col min="10" max="10" width="11.28515625" bestFit="1" customWidth="1"/>
    <col min="11" max="11" width="23.28515625" bestFit="1" customWidth="1"/>
    <col min="12" max="12" width="13.85546875" bestFit="1" customWidth="1"/>
    <col min="13" max="13" width="12.5703125" bestFit="1" customWidth="1"/>
    <col min="14" max="14" width="14.140625" bestFit="1" customWidth="1"/>
    <col min="15" max="15" width="18.28515625" bestFit="1" customWidth="1"/>
    <col min="16" max="16" width="22.5703125" bestFit="1" customWidth="1"/>
  </cols>
  <sheetData>
    <row r="1" spans="1:16" x14ac:dyDescent="0.25">
      <c r="A1" s="1" t="s">
        <v>0</v>
      </c>
      <c r="B1" s="1" t="s">
        <v>1</v>
      </c>
      <c r="C1" s="1" t="s">
        <v>82</v>
      </c>
      <c r="D1" s="1" t="s">
        <v>78</v>
      </c>
      <c r="E1" s="1" t="s">
        <v>79</v>
      </c>
      <c r="F1" s="1" t="s">
        <v>83</v>
      </c>
      <c r="G1" s="1" t="s">
        <v>80</v>
      </c>
      <c r="H1" s="1" t="s">
        <v>81</v>
      </c>
      <c r="J1" s="3" t="s">
        <v>21</v>
      </c>
      <c r="K1" t="s">
        <v>89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</row>
    <row r="2" spans="1:16" x14ac:dyDescent="0.25">
      <c r="A2" s="11">
        <f>dataset!A2</f>
        <v>11</v>
      </c>
      <c r="B2" s="11">
        <f>dataset!B2</f>
        <v>2006</v>
      </c>
      <c r="C2">
        <f>EXP(dataset!C2)</f>
        <v>0.11570644072613127</v>
      </c>
      <c r="D2">
        <f>EXP(dataset!D2)</f>
        <v>2.7299999999999986</v>
      </c>
      <c r="E2">
        <f>EXP(dataset!G2)</f>
        <v>2.14</v>
      </c>
      <c r="F2">
        <f>1000*EXP(dataset!M2)</f>
        <v>11256.196213878882</v>
      </c>
      <c r="G2">
        <f>EXP(dataset!L2)</f>
        <v>0.14210802877848869</v>
      </c>
      <c r="H2">
        <f>EXP(dataset!J2)</f>
        <v>9.9999999999999805E-6</v>
      </c>
      <c r="J2" s="4">
        <v>2006</v>
      </c>
      <c r="K2" s="2">
        <v>0.11751240070935599</v>
      </c>
      <c r="L2" s="2">
        <v>2.6540740740740736</v>
      </c>
      <c r="M2" s="2">
        <v>1.9696296296296294</v>
      </c>
      <c r="N2" s="2">
        <v>14461.964759502394</v>
      </c>
      <c r="O2" s="2">
        <v>0.15173145760238355</v>
      </c>
      <c r="P2" s="2">
        <v>9.9999999999999788E-6</v>
      </c>
    </row>
    <row r="3" spans="1:16" x14ac:dyDescent="0.25">
      <c r="A3" s="11">
        <f>dataset!A3</f>
        <v>11</v>
      </c>
      <c r="B3" s="11">
        <f>dataset!B3</f>
        <v>2007</v>
      </c>
      <c r="C3">
        <f>EXP(dataset!C3)</f>
        <v>0.12572774970533199</v>
      </c>
      <c r="D3">
        <f>EXP(dataset!D3)</f>
        <v>2.5655999999999999</v>
      </c>
      <c r="E3">
        <f>EXP(dataset!G3)</f>
        <v>1.8189</v>
      </c>
      <c r="F3">
        <f>1000*EXP(dataset!M3)</f>
        <v>11959.634082530594</v>
      </c>
      <c r="G3">
        <f>EXP(dataset!L3)</f>
        <v>0.1654394561224509</v>
      </c>
      <c r="H3">
        <f>EXP(dataset!J3)</f>
        <v>9.9999999999999805E-6</v>
      </c>
      <c r="J3" s="4">
        <v>2007</v>
      </c>
      <c r="K3" s="2">
        <v>0.11945993254065038</v>
      </c>
      <c r="L3" s="2">
        <v>2.4921851851851851</v>
      </c>
      <c r="M3" s="2">
        <v>1.6777518518518519</v>
      </c>
      <c r="N3" s="2">
        <v>15193.314713226013</v>
      </c>
      <c r="O3" s="2">
        <v>0.16726530857476252</v>
      </c>
      <c r="P3" s="2">
        <v>9.9999999999999788E-6</v>
      </c>
    </row>
    <row r="4" spans="1:16" x14ac:dyDescent="0.25">
      <c r="A4" s="11">
        <f>dataset!A4</f>
        <v>11</v>
      </c>
      <c r="B4" s="11">
        <f>dataset!B4</f>
        <v>2008</v>
      </c>
      <c r="C4">
        <f>EXP(dataset!C4)</f>
        <v>0.14141422703397571</v>
      </c>
      <c r="D4">
        <f>EXP(dataset!D4)</f>
        <v>2.4498000000000002</v>
      </c>
      <c r="E4">
        <f>EXP(dataset!G4)</f>
        <v>1.6814</v>
      </c>
      <c r="F4">
        <f>1000*EXP(dataset!M4)</f>
        <v>13465.917162025096</v>
      </c>
      <c r="G4">
        <f>EXP(dataset!L4)</f>
        <v>0.19774767084124215</v>
      </c>
      <c r="H4">
        <f>EXP(dataset!J4)</f>
        <v>9.9999999999999805E-6</v>
      </c>
      <c r="J4" s="4">
        <v>2008</v>
      </c>
      <c r="K4" s="2">
        <v>0.12737279115493544</v>
      </c>
      <c r="L4" s="2">
        <v>2.3550111111111121</v>
      </c>
      <c r="M4" s="2">
        <v>1.6010259259259259</v>
      </c>
      <c r="N4" s="2">
        <v>16119.569314780159</v>
      </c>
      <c r="O4" s="2">
        <v>0.18520087946973046</v>
      </c>
      <c r="P4" s="2">
        <v>2.411329569694443E-5</v>
      </c>
    </row>
    <row r="5" spans="1:16" x14ac:dyDescent="0.25">
      <c r="A5" s="11">
        <f>dataset!A5</f>
        <v>11</v>
      </c>
      <c r="B5" s="11">
        <f>dataset!B5</f>
        <v>2009</v>
      </c>
      <c r="C5">
        <f>EXP(dataset!C5)</f>
        <v>0.15533764914277812</v>
      </c>
      <c r="D5">
        <f>EXP(dataset!D5)</f>
        <v>2.3224999999999998</v>
      </c>
      <c r="E5">
        <f>EXP(dataset!G5)</f>
        <v>1.6119000000000001</v>
      </c>
      <c r="F5">
        <f>1000*EXP(dataset!M5)</f>
        <v>14220.437633384056</v>
      </c>
      <c r="G5">
        <f>EXP(dataset!L5)</f>
        <v>0.22830946694256646</v>
      </c>
      <c r="H5">
        <f>EXP(dataset!J5)</f>
        <v>6.6492544855870008E-4</v>
      </c>
      <c r="J5" s="4">
        <v>2009</v>
      </c>
      <c r="K5" s="2">
        <v>0.13110086472181412</v>
      </c>
      <c r="L5" s="2">
        <v>2.2647518518518521</v>
      </c>
      <c r="M5" s="2">
        <v>1.5358444444444443</v>
      </c>
      <c r="N5" s="2">
        <v>16058.947667230574</v>
      </c>
      <c r="O5" s="2">
        <v>0.20306488314057566</v>
      </c>
      <c r="P5" s="2">
        <v>2.3461209929805422E-4</v>
      </c>
    </row>
    <row r="6" spans="1:16" x14ac:dyDescent="0.25">
      <c r="A6" s="11">
        <f>dataset!A6</f>
        <v>11</v>
      </c>
      <c r="B6" s="11">
        <f>dataset!B6</f>
        <v>2010</v>
      </c>
      <c r="C6">
        <f>EXP(dataset!C6)</f>
        <v>0.18578586306122863</v>
      </c>
      <c r="D6">
        <f>EXP(dataset!D6)</f>
        <v>2.2665999999999999</v>
      </c>
      <c r="E6">
        <f>EXP(dataset!G6)</f>
        <v>1.6856</v>
      </c>
      <c r="F6">
        <f>1000*EXP(dataset!M6)</f>
        <v>15522.666654546962</v>
      </c>
      <c r="G6">
        <f>EXP(dataset!L6)</f>
        <v>0.25599405788369228</v>
      </c>
      <c r="H6">
        <f>EXP(dataset!J6)</f>
        <v>6.4926970143980019E-4</v>
      </c>
      <c r="J6" s="4">
        <v>2010</v>
      </c>
      <c r="K6" s="2">
        <v>0.15492585273281434</v>
      </c>
      <c r="L6" s="2">
        <v>2.1783888888888887</v>
      </c>
      <c r="M6" s="2">
        <v>1.5843962962962961</v>
      </c>
      <c r="N6" s="2">
        <v>17150.121684567472</v>
      </c>
      <c r="O6" s="2">
        <v>0.22281866554185129</v>
      </c>
      <c r="P6" s="2">
        <v>5.4565174490068939E-4</v>
      </c>
    </row>
    <row r="7" spans="1:16" x14ac:dyDescent="0.25">
      <c r="A7" s="11">
        <f>dataset!A7</f>
        <v>11</v>
      </c>
      <c r="B7" s="11">
        <f>dataset!B7</f>
        <v>2011</v>
      </c>
      <c r="C7">
        <f>EXP(dataset!C7)</f>
        <v>0.20629204132055792</v>
      </c>
      <c r="D7">
        <f>EXP(dataset!D7)</f>
        <v>2.2742</v>
      </c>
      <c r="E7">
        <f>EXP(dataset!G7)</f>
        <v>1.8209</v>
      </c>
      <c r="F7">
        <f>1000*EXP(dataset!M7)</f>
        <v>16148.285958432056</v>
      </c>
      <c r="G7">
        <f>EXP(dataset!L7)</f>
        <v>0.28334776444617837</v>
      </c>
      <c r="H7">
        <f>EXP(dataset!J7)</f>
        <v>5.0746770443812006E-3</v>
      </c>
      <c r="J7" s="4">
        <v>2011</v>
      </c>
      <c r="K7" s="2">
        <v>0.17681577128797871</v>
      </c>
      <c r="L7" s="2">
        <v>2.1364888888888887</v>
      </c>
      <c r="M7" s="2">
        <v>1.6923074074074069</v>
      </c>
      <c r="N7" s="2">
        <v>17767.955610828139</v>
      </c>
      <c r="O7" s="2">
        <v>0.24231467792257935</v>
      </c>
      <c r="P7" s="2">
        <v>3.1126515470803664E-3</v>
      </c>
    </row>
    <row r="8" spans="1:16" x14ac:dyDescent="0.25">
      <c r="A8" s="11">
        <f>dataset!A8</f>
        <v>11</v>
      </c>
      <c r="B8" s="11">
        <f>dataset!B8</f>
        <v>2012</v>
      </c>
      <c r="C8">
        <f>EXP(dataset!C8)</f>
        <v>0.22979104547075463</v>
      </c>
      <c r="D8">
        <f>EXP(dataset!D8)</f>
        <v>2.1415000000000002</v>
      </c>
      <c r="E8">
        <f>EXP(dataset!G8)</f>
        <v>1.7495000000000001</v>
      </c>
      <c r="F8">
        <f>1000*EXP(dataset!M8)</f>
        <v>16197.64421390795</v>
      </c>
      <c r="G8">
        <f>EXP(dataset!L8)</f>
        <v>0.31000477355188122</v>
      </c>
      <c r="H8">
        <f>EXP(dataset!J8)</f>
        <v>7.5471175985574006E-3</v>
      </c>
      <c r="J8" s="4">
        <v>2012</v>
      </c>
      <c r="K8" s="2">
        <v>0.19892608328744141</v>
      </c>
      <c r="L8" s="2">
        <v>2.020488888888889</v>
      </c>
      <c r="M8" s="2">
        <v>1.6150518518518515</v>
      </c>
      <c r="N8" s="2">
        <v>17992.06454104666</v>
      </c>
      <c r="O8" s="2">
        <v>0.26084556093479655</v>
      </c>
      <c r="P8" s="2">
        <v>4.6207476421021819E-3</v>
      </c>
    </row>
    <row r="9" spans="1:16" x14ac:dyDescent="0.25">
      <c r="A9" s="11">
        <f>dataset!A9</f>
        <v>11</v>
      </c>
      <c r="B9" s="11">
        <f>dataset!B9</f>
        <v>2013</v>
      </c>
      <c r="C9">
        <f>EXP(dataset!C9)</f>
        <v>0.21899079049238118</v>
      </c>
      <c r="D9">
        <f>EXP(dataset!D9)</f>
        <v>2.0973999999999999</v>
      </c>
      <c r="E9">
        <f>EXP(dataset!G9)</f>
        <v>1.6793</v>
      </c>
      <c r="F9">
        <f>1000*EXP(dataset!M9)</f>
        <v>14326.39370668216</v>
      </c>
      <c r="G9">
        <f>EXP(dataset!L9)</f>
        <v>0.30781141687314173</v>
      </c>
      <c r="H9">
        <f>EXP(dataset!J9)</f>
        <v>1.4465801110279102E-2</v>
      </c>
      <c r="J9" s="4">
        <v>2013</v>
      </c>
      <c r="K9" s="2">
        <v>0.20145769793886284</v>
      </c>
      <c r="L9" s="2">
        <v>1.9976148148148145</v>
      </c>
      <c r="M9" s="2">
        <v>1.5855999999999999</v>
      </c>
      <c r="N9" s="2">
        <v>17769.658186347977</v>
      </c>
      <c r="O9" s="2">
        <v>0.26988587894466026</v>
      </c>
      <c r="P9" s="2">
        <v>1.0505889356475924E-2</v>
      </c>
    </row>
    <row r="10" spans="1:16" x14ac:dyDescent="0.25">
      <c r="A10" s="11">
        <f>dataset!A10</f>
        <v>11</v>
      </c>
      <c r="B10" s="11">
        <f>dataset!B10</f>
        <v>2014</v>
      </c>
      <c r="C10">
        <f>EXP(dataset!C10)</f>
        <v>0.23273672013821892</v>
      </c>
      <c r="D10">
        <f>EXP(dataset!D10)</f>
        <v>2.0611999999999999</v>
      </c>
      <c r="E10">
        <f>EXP(dataset!G10)</f>
        <v>1.6940999999999999</v>
      </c>
      <c r="F10">
        <f>1000*EXP(dataset!M10)</f>
        <v>14357.186401728071</v>
      </c>
      <c r="G10">
        <f>EXP(dataset!L10)</f>
        <v>0.3258300825092606</v>
      </c>
      <c r="H10">
        <f>EXP(dataset!J10)</f>
        <v>2.859543239439271E-2</v>
      </c>
      <c r="J10" s="4">
        <v>2014</v>
      </c>
      <c r="K10" s="2">
        <v>0.21624676435374515</v>
      </c>
      <c r="L10" s="2">
        <v>1.9543259259259258</v>
      </c>
      <c r="M10" s="2">
        <v>1.5733444444444447</v>
      </c>
      <c r="N10" s="2">
        <v>17841.430679778077</v>
      </c>
      <c r="O10" s="2">
        <v>0.28456799162394814</v>
      </c>
      <c r="P10" s="2">
        <v>2.0774184273672044E-2</v>
      </c>
    </row>
    <row r="11" spans="1:16" x14ac:dyDescent="0.25">
      <c r="A11" s="11">
        <f>dataset!A11</f>
        <v>11</v>
      </c>
      <c r="B11" s="11">
        <f>dataset!B11</f>
        <v>2015</v>
      </c>
      <c r="C11">
        <f>EXP(dataset!C11)</f>
        <v>0.23575052991623138</v>
      </c>
      <c r="D11">
        <f>EXP(dataset!D11)</f>
        <v>2.0895000000000001</v>
      </c>
      <c r="E11">
        <f>EXP(dataset!G11)</f>
        <v>1.6122000000000003</v>
      </c>
      <c r="F11">
        <f>1000*EXP(dataset!M11)</f>
        <v>14180.968015285573</v>
      </c>
      <c r="G11">
        <f>EXP(dataset!L11)</f>
        <v>0.3399952720387468</v>
      </c>
      <c r="H11">
        <f>EXP(dataset!J11)</f>
        <v>4.354701154391679E-2</v>
      </c>
      <c r="J11" s="4">
        <v>2015</v>
      </c>
      <c r="K11" s="2">
        <v>0.20535220648697183</v>
      </c>
      <c r="L11" s="2">
        <v>1.9900962962962965</v>
      </c>
      <c r="M11" s="2">
        <v>1.5240481481481483</v>
      </c>
      <c r="N11" s="2">
        <v>17114.823941160186</v>
      </c>
      <c r="O11" s="2">
        <v>0.29564717417338099</v>
      </c>
      <c r="P11" s="2">
        <v>3.0673599848699287E-2</v>
      </c>
    </row>
    <row r="12" spans="1:16" x14ac:dyDescent="0.25">
      <c r="A12" s="11">
        <f>dataset!A12</f>
        <v>11</v>
      </c>
      <c r="B12" s="11">
        <f>dataset!B12</f>
        <v>2016</v>
      </c>
      <c r="C12">
        <f>EXP(dataset!C12)</f>
        <v>0.24146970898220138</v>
      </c>
      <c r="D12">
        <f>EXP(dataset!D12)</f>
        <v>2.1246</v>
      </c>
      <c r="E12">
        <f>EXP(dataset!G12)</f>
        <v>1.8563000000000001</v>
      </c>
      <c r="F12">
        <f>1000*EXP(dataset!M12)</f>
        <v>14006.220963319101</v>
      </c>
      <c r="G12">
        <f>EXP(dataset!L12)</f>
        <v>0.35003152837357787</v>
      </c>
      <c r="H12">
        <f>EXP(dataset!J12)</f>
        <v>6.3224600076428994E-2</v>
      </c>
      <c r="J12" s="4">
        <v>2016</v>
      </c>
      <c r="K12" s="2">
        <v>0.21182590805501023</v>
      </c>
      <c r="L12" s="2">
        <v>2.0526222222222223</v>
      </c>
      <c r="M12" s="2">
        <v>1.714537037037037</v>
      </c>
      <c r="N12" s="2">
        <v>16493.656598246613</v>
      </c>
      <c r="O12" s="2">
        <v>0.30318374649154523</v>
      </c>
      <c r="P12" s="2">
        <v>4.330773500239337E-2</v>
      </c>
    </row>
    <row r="13" spans="1:16" x14ac:dyDescent="0.25">
      <c r="A13" s="11">
        <f>dataset!A13</f>
        <v>11</v>
      </c>
      <c r="B13" s="11">
        <f>dataset!B13</f>
        <v>2017</v>
      </c>
      <c r="C13">
        <f>EXP(dataset!C13)</f>
        <v>0.24153136470061815</v>
      </c>
      <c r="D13">
        <f>EXP(dataset!D13)</f>
        <v>2.101</v>
      </c>
      <c r="E13">
        <f>EXP(dataset!G13)</f>
        <v>1.835</v>
      </c>
      <c r="F13">
        <f>1000*EXP(dataset!M13)</f>
        <v>14746.096377647869</v>
      </c>
      <c r="G13">
        <f>EXP(dataset!L13)</f>
        <v>0.35897181728973704</v>
      </c>
      <c r="H13">
        <f>EXP(dataset!J13)</f>
        <v>0.12459934388754382</v>
      </c>
      <c r="J13" s="4">
        <v>2017</v>
      </c>
      <c r="K13" s="2">
        <v>0.21485130506979916</v>
      </c>
      <c r="L13" s="2">
        <v>2.0292592592592595</v>
      </c>
      <c r="M13" s="2">
        <v>1.6957481481481482</v>
      </c>
      <c r="N13" s="2">
        <v>16631.748223528281</v>
      </c>
      <c r="O13" s="2">
        <v>0.3107346997246746</v>
      </c>
      <c r="P13" s="2">
        <v>8.1952898408661656E-2</v>
      </c>
    </row>
    <row r="14" spans="1:16" x14ac:dyDescent="0.25">
      <c r="A14" s="11">
        <f>dataset!A14</f>
        <v>11</v>
      </c>
      <c r="B14" s="11">
        <f>dataset!B14</f>
        <v>2018</v>
      </c>
      <c r="C14">
        <f>EXP(dataset!C14)</f>
        <v>0.24338430088035376</v>
      </c>
      <c r="D14">
        <f>EXP(dataset!D14)</f>
        <v>2.3018999999999998</v>
      </c>
      <c r="E14">
        <f>EXP(dataset!G14)</f>
        <v>1.9121999999999999</v>
      </c>
      <c r="F14">
        <f>1000*EXP(dataset!M14)</f>
        <v>14964.705443877952</v>
      </c>
      <c r="G14">
        <f>EXP(dataset!L14)</f>
        <v>0.38468151541685791</v>
      </c>
      <c r="H14">
        <f>EXP(dataset!J14)</f>
        <v>0.20141227556613051</v>
      </c>
      <c r="J14" s="4">
        <v>2018</v>
      </c>
      <c r="K14" s="2">
        <v>0.19485206873482686</v>
      </c>
      <c r="L14" s="2">
        <v>2.2745407407407403</v>
      </c>
      <c r="M14" s="2">
        <v>1.7584518518518517</v>
      </c>
      <c r="N14" s="2">
        <v>16902.095975271721</v>
      </c>
      <c r="O14" s="2">
        <v>0.32010830840252663</v>
      </c>
      <c r="P14" s="2">
        <v>0.12440441938950178</v>
      </c>
    </row>
    <row r="15" spans="1:16" x14ac:dyDescent="0.25">
      <c r="A15" s="11">
        <f>dataset!A15</f>
        <v>11</v>
      </c>
      <c r="B15" s="11">
        <f>dataset!B15</f>
        <v>2019</v>
      </c>
      <c r="C15">
        <f>EXP(dataset!C15)</f>
        <v>0.24761461266862669</v>
      </c>
      <c r="D15">
        <f>EXP(dataset!D15)</f>
        <v>2.2166000000000001</v>
      </c>
      <c r="E15">
        <f>EXP(dataset!G15)</f>
        <v>1.8577999999999999</v>
      </c>
      <c r="F15">
        <f>1000*EXP(dataset!M15)</f>
        <v>14887.910837344742</v>
      </c>
      <c r="G15">
        <f>EXP(dataset!L15)</f>
        <v>0.39615636737047921</v>
      </c>
      <c r="H15">
        <f>EXP(dataset!J15)</f>
        <v>0.4152541180773397</v>
      </c>
      <c r="J15" s="4">
        <v>2019</v>
      </c>
      <c r="K15" s="2">
        <v>0.19701985853751416</v>
      </c>
      <c r="L15" s="2">
        <v>2.1669</v>
      </c>
      <c r="M15" s="2">
        <v>1.7010888888888884</v>
      </c>
      <c r="N15" s="2">
        <v>16903.704600099059</v>
      </c>
      <c r="O15" s="2">
        <v>0.32913968347367084</v>
      </c>
      <c r="P15" s="2">
        <v>0.25398022406588922</v>
      </c>
    </row>
    <row r="16" spans="1:16" x14ac:dyDescent="0.25">
      <c r="A16" s="11">
        <f>dataset!A16</f>
        <v>11</v>
      </c>
      <c r="B16" s="11">
        <f>dataset!B16</f>
        <v>2020</v>
      </c>
      <c r="C16">
        <f>EXP(dataset!C16)</f>
        <v>0.23940236910368162</v>
      </c>
      <c r="D16">
        <f>EXP(dataset!D16)</f>
        <v>2.0596000000000001</v>
      </c>
      <c r="E16">
        <f>EXP(dataset!G16)</f>
        <v>1.7257</v>
      </c>
      <c r="F16">
        <f>1000*EXP(dataset!M16)</f>
        <v>15157.209895071408</v>
      </c>
      <c r="G16">
        <f>EXP(dataset!L16)</f>
        <v>0.40472484775614259</v>
      </c>
      <c r="H16">
        <f>EXP(dataset!J16)</f>
        <v>0.79767988154481595</v>
      </c>
      <c r="J16" s="4">
        <v>2020</v>
      </c>
      <c r="K16" s="2">
        <v>0.18508960194746288</v>
      </c>
      <c r="L16" s="2">
        <v>2.0238999999999998</v>
      </c>
      <c r="M16" s="2">
        <v>1.6278666666666666</v>
      </c>
      <c r="N16" s="2">
        <v>16541.869676691607</v>
      </c>
      <c r="O16" s="2">
        <v>0.33582122307551759</v>
      </c>
      <c r="P16" s="2">
        <v>0.47214444279646345</v>
      </c>
    </row>
    <row r="17" spans="1:16" x14ac:dyDescent="0.25">
      <c r="A17" s="11">
        <f>dataset!A17</f>
        <v>11</v>
      </c>
      <c r="B17" s="11">
        <f>dataset!B17</f>
        <v>2021</v>
      </c>
      <c r="C17">
        <f>EXP(dataset!C17)</f>
        <v>0.24232125327360329</v>
      </c>
      <c r="D17">
        <f>EXP(dataset!D17)</f>
        <v>2.5036999999999998</v>
      </c>
      <c r="E17">
        <f>EXP(dataset!G17)</f>
        <v>2.1362000000000001</v>
      </c>
      <c r="F17">
        <f>1000*EXP(dataset!M17)</f>
        <v>14958.353031932296</v>
      </c>
      <c r="G17">
        <f>EXP(dataset!L17)</f>
        <v>0.41273953631344618</v>
      </c>
      <c r="H17">
        <f>EXP(dataset!J17)</f>
        <v>1.3711398474503629</v>
      </c>
      <c r="J17" s="4">
        <v>2021</v>
      </c>
      <c r="K17" s="2">
        <v>0.19463780746161902</v>
      </c>
      <c r="L17" s="2">
        <v>2.4867481481481484</v>
      </c>
      <c r="M17" s="2">
        <v>2.0713592592592587</v>
      </c>
      <c r="N17" s="2">
        <v>17123.440096660288</v>
      </c>
      <c r="O17" s="2">
        <v>0.34254491260068121</v>
      </c>
      <c r="P17" s="2">
        <v>0.8338325104596428</v>
      </c>
    </row>
    <row r="18" spans="1:16" x14ac:dyDescent="0.25">
      <c r="A18" s="11">
        <f>dataset!A18</f>
        <v>11</v>
      </c>
      <c r="B18" s="11">
        <f>dataset!B18</f>
        <v>2022</v>
      </c>
      <c r="C18">
        <f>EXP(dataset!C18)</f>
        <v>0.25407629024314743</v>
      </c>
      <c r="D18">
        <f>EXP(dataset!D18)</f>
        <v>2.508</v>
      </c>
      <c r="E18">
        <f>EXP(dataset!G18)</f>
        <v>2.2132000000000001</v>
      </c>
      <c r="F18">
        <f>1000*EXP(dataset!M18)</f>
        <v>15820.872182222231</v>
      </c>
      <c r="G18">
        <f>EXP(dataset!L18)</f>
        <v>0.42434492127376627</v>
      </c>
      <c r="H18">
        <f>EXP(dataset!J18)</f>
        <v>2.3054320054559136</v>
      </c>
      <c r="J18" s="4">
        <v>2022</v>
      </c>
      <c r="K18" s="2">
        <v>0.20858144759465849</v>
      </c>
      <c r="L18" s="2">
        <v>2.4885555555555556</v>
      </c>
      <c r="M18" s="2">
        <v>2.0371222222222225</v>
      </c>
      <c r="N18" s="2">
        <v>17516.10078629071</v>
      </c>
      <c r="O18" s="2">
        <v>0.3522334093422021</v>
      </c>
      <c r="P18" s="2">
        <v>1.3729210873271041</v>
      </c>
    </row>
    <row r="19" spans="1:16" x14ac:dyDescent="0.25">
      <c r="A19" s="11">
        <f>dataset!A19</f>
        <v>11</v>
      </c>
      <c r="B19" s="11">
        <f>dataset!B19</f>
        <v>2023</v>
      </c>
      <c r="C19">
        <f>EXP(dataset!C19)</f>
        <v>0.26344116989243532</v>
      </c>
      <c r="D19">
        <f>EXP(dataset!D19)</f>
        <v>2.3355000000000001</v>
      </c>
      <c r="E19">
        <f>EXP(dataset!G19)</f>
        <v>1.8761000000000001</v>
      </c>
      <c r="F19">
        <f>1000*EXP(dataset!M19)</f>
        <v>17220.572775024004</v>
      </c>
      <c r="G19">
        <f>EXP(dataset!L19)</f>
        <v>0.43556248684774451</v>
      </c>
      <c r="H19">
        <f>EXP(dataset!J19)</f>
        <v>4.1690584031757112</v>
      </c>
      <c r="J19" s="4">
        <v>2023</v>
      </c>
      <c r="K19" s="2">
        <v>0.22057918620045336</v>
      </c>
      <c r="L19" s="2">
        <v>2.1583370370370369</v>
      </c>
      <c r="M19" s="2">
        <v>1.6597814814814815</v>
      </c>
      <c r="N19" s="2">
        <v>18311.345225823854</v>
      </c>
      <c r="O19" s="2">
        <v>0.36307323681516562</v>
      </c>
      <c r="P19" s="2">
        <v>2.4417684954950083</v>
      </c>
    </row>
    <row r="20" spans="1:16" x14ac:dyDescent="0.25">
      <c r="A20" s="11">
        <f>dataset!A20</f>
        <v>12</v>
      </c>
      <c r="B20" s="11">
        <f>dataset!B20</f>
        <v>2006</v>
      </c>
      <c r="C20">
        <f>EXP(dataset!C20)</f>
        <v>7.8825183644699176E-2</v>
      </c>
      <c r="D20">
        <f>EXP(dataset!D20)</f>
        <v>2.9399999999999995</v>
      </c>
      <c r="E20">
        <f>EXP(dataset!G20)</f>
        <v>2.2599999999999998</v>
      </c>
      <c r="F20">
        <f>1000*EXP(dataset!M20)</f>
        <v>9146.1618501074772</v>
      </c>
      <c r="G20">
        <f>EXP(dataset!L20)</f>
        <v>8.5469786733308795E-2</v>
      </c>
      <c r="H20">
        <f>EXP(dataset!J20)</f>
        <v>9.9999999999999805E-6</v>
      </c>
      <c r="J20" s="4" t="s">
        <v>20</v>
      </c>
      <c r="K20" s="2">
        <v>0.18203375271199515</v>
      </c>
      <c r="L20" s="2">
        <v>2.2069049382716064</v>
      </c>
      <c r="M20" s="2">
        <v>1.701386419753087</v>
      </c>
      <c r="N20" s="2">
        <v>16882.9895711711</v>
      </c>
      <c r="O20" s="2">
        <v>0.27445453876970316</v>
      </c>
      <c r="P20" s="2">
        <v>0.31637907015292166</v>
      </c>
    </row>
    <row r="21" spans="1:16" x14ac:dyDescent="0.25">
      <c r="A21" s="11">
        <f>dataset!A21</f>
        <v>12</v>
      </c>
      <c r="B21" s="11">
        <f>dataset!B21</f>
        <v>2007</v>
      </c>
      <c r="C21">
        <f>EXP(dataset!C21)</f>
        <v>8.7781519073290279E-2</v>
      </c>
      <c r="D21">
        <f>EXP(dataset!D21)</f>
        <v>2.795300000000001</v>
      </c>
      <c r="E21">
        <f>EXP(dataset!G21)</f>
        <v>1.9816</v>
      </c>
      <c r="F21">
        <f>1000*EXP(dataset!M21)</f>
        <v>10109.169118215175</v>
      </c>
      <c r="G21">
        <f>EXP(dataset!L21)</f>
        <v>0.10025111068186207</v>
      </c>
      <c r="H21">
        <f>EXP(dataset!J21)</f>
        <v>9.9999999999999805E-6</v>
      </c>
    </row>
    <row r="22" spans="1:16" x14ac:dyDescent="0.25">
      <c r="A22" s="11">
        <f>dataset!A22</f>
        <v>12</v>
      </c>
      <c r="B22" s="11">
        <f>dataset!B22</f>
        <v>2008</v>
      </c>
      <c r="C22">
        <f>EXP(dataset!C22)</f>
        <v>0.10287387420505091</v>
      </c>
      <c r="D22">
        <f>EXP(dataset!D22)</f>
        <v>2.6848000000000001</v>
      </c>
      <c r="E22">
        <f>EXP(dataset!G22)</f>
        <v>1.8983000000000001</v>
      </c>
      <c r="F22">
        <f>1000*EXP(dataset!M22)</f>
        <v>10967.194877623788</v>
      </c>
      <c r="G22">
        <f>EXP(dataset!L22)</f>
        <v>0.11867073484542139</v>
      </c>
      <c r="H22">
        <f>EXP(dataset!J22)</f>
        <v>9.9999999999999805E-6</v>
      </c>
      <c r="J22" t="s">
        <v>21</v>
      </c>
      <c r="K22" s="1" t="s">
        <v>101</v>
      </c>
      <c r="L22" s="1" t="s">
        <v>84</v>
      </c>
      <c r="M22" t="s">
        <v>85</v>
      </c>
      <c r="N22" t="s">
        <v>86</v>
      </c>
      <c r="O22" s="1" t="s">
        <v>102</v>
      </c>
      <c r="P22" s="1" t="s">
        <v>103</v>
      </c>
    </row>
    <row r="23" spans="1:16" x14ac:dyDescent="0.25">
      <c r="A23" s="11">
        <f>dataset!A23</f>
        <v>12</v>
      </c>
      <c r="B23" s="11">
        <f>dataset!B23</f>
        <v>2009</v>
      </c>
      <c r="C23">
        <f>EXP(dataset!C23)</f>
        <v>0.10956546651001542</v>
      </c>
      <c r="D23">
        <f>EXP(dataset!D23)</f>
        <v>2.5739000000000001</v>
      </c>
      <c r="E23">
        <f>EXP(dataset!G23)</f>
        <v>1.8286</v>
      </c>
      <c r="F23">
        <f>1000*EXP(dataset!M23)</f>
        <v>11621.234187101732</v>
      </c>
      <c r="G23">
        <f>EXP(dataset!L23)</f>
        <v>0.13887650984182462</v>
      </c>
      <c r="H23">
        <f>EXP(dataset!J23)</f>
        <v>9.9999999999999805E-6</v>
      </c>
      <c r="J23">
        <v>2006</v>
      </c>
      <c r="K23">
        <v>0.11751240070935599</v>
      </c>
      <c r="L23">
        <v>2.6540740740740736</v>
      </c>
      <c r="M23">
        <v>1.9696296296296294</v>
      </c>
      <c r="N23" s="2">
        <v>14461.964759502394</v>
      </c>
      <c r="O23">
        <v>0.15173145760238355</v>
      </c>
      <c r="P23" s="2">
        <v>9.9999999999999788E-6</v>
      </c>
    </row>
    <row r="24" spans="1:16" x14ac:dyDescent="0.25">
      <c r="A24" s="11">
        <f>dataset!A24</f>
        <v>12</v>
      </c>
      <c r="B24" s="11">
        <f>dataset!B24</f>
        <v>2010</v>
      </c>
      <c r="C24">
        <f>EXP(dataset!C24)</f>
        <v>0.13214971916873389</v>
      </c>
      <c r="D24">
        <f>EXP(dataset!D24)</f>
        <v>2.4466000000000001</v>
      </c>
      <c r="E24">
        <f>EXP(dataset!G24)</f>
        <v>1.972</v>
      </c>
      <c r="F24">
        <f>1000*EXP(dataset!M24)</f>
        <v>11606.61083895993</v>
      </c>
      <c r="G24">
        <f>EXP(dataset!L24)</f>
        <v>0.1570595985580702</v>
      </c>
      <c r="H24">
        <f>EXP(dataset!J24)</f>
        <v>1.3912869264941004E-3</v>
      </c>
      <c r="J24">
        <v>2007</v>
      </c>
      <c r="K24">
        <v>0.11945993254065038</v>
      </c>
      <c r="L24">
        <v>2.4921851851851851</v>
      </c>
      <c r="M24">
        <v>1.6777518518518519</v>
      </c>
      <c r="N24" s="2">
        <v>15193.314713226013</v>
      </c>
      <c r="O24">
        <v>0.16726530857476252</v>
      </c>
      <c r="P24" s="2">
        <v>9.9999999999999788E-6</v>
      </c>
    </row>
    <row r="25" spans="1:16" x14ac:dyDescent="0.25">
      <c r="A25" s="11">
        <f>dataset!A25</f>
        <v>12</v>
      </c>
      <c r="B25" s="11">
        <f>dataset!B25</f>
        <v>2011</v>
      </c>
      <c r="C25">
        <f>EXP(dataset!C25)</f>
        <v>0.14328883446366894</v>
      </c>
      <c r="D25">
        <f>EXP(dataset!D25)</f>
        <v>2.3895</v>
      </c>
      <c r="E25">
        <f>EXP(dataset!G25)</f>
        <v>1.9131</v>
      </c>
      <c r="F25">
        <f>1000*EXP(dataset!M25)</f>
        <v>11069.527355148679</v>
      </c>
      <c r="G25">
        <f>EXP(dataset!L25)</f>
        <v>0.17096917680663895</v>
      </c>
      <c r="H25">
        <f>EXP(dataset!J25)</f>
        <v>6.6989466576274992E-3</v>
      </c>
      <c r="J25">
        <v>2008</v>
      </c>
      <c r="K25">
        <v>0.12737279115493544</v>
      </c>
      <c r="L25">
        <v>2.3550111111111121</v>
      </c>
      <c r="M25">
        <v>1.6010259259259259</v>
      </c>
      <c r="N25" s="2">
        <v>16119.569314780159</v>
      </c>
      <c r="O25">
        <v>0.18520087946973046</v>
      </c>
      <c r="P25" s="2">
        <v>2.411329569694443E-5</v>
      </c>
    </row>
    <row r="26" spans="1:16" x14ac:dyDescent="0.25">
      <c r="A26" s="11">
        <f>dataset!A26</f>
        <v>12</v>
      </c>
      <c r="B26" s="11">
        <f>dataset!B26</f>
        <v>2012</v>
      </c>
      <c r="C26">
        <f>EXP(dataset!C26)</f>
        <v>0.15668679970373728</v>
      </c>
      <c r="D26">
        <f>EXP(dataset!D26)</f>
        <v>2.2721</v>
      </c>
      <c r="E26">
        <f>EXP(dataset!G26)</f>
        <v>1.8292999999999999</v>
      </c>
      <c r="F26">
        <f>1000*EXP(dataset!M26)</f>
        <v>11426.98777995377</v>
      </c>
      <c r="G26">
        <f>EXP(dataset!L26)</f>
        <v>0.18606168274058815</v>
      </c>
      <c r="H26">
        <f>EXP(dataset!J26)</f>
        <v>1.0543157095676501E-2</v>
      </c>
      <c r="J26">
        <v>2009</v>
      </c>
      <c r="K26">
        <v>0.13110086472181412</v>
      </c>
      <c r="L26">
        <v>2.2647518518518521</v>
      </c>
      <c r="M26">
        <v>1.5358444444444443</v>
      </c>
      <c r="N26" s="2">
        <v>16058.947667230574</v>
      </c>
      <c r="O26">
        <v>0.20306488314057566</v>
      </c>
      <c r="P26" s="2">
        <v>2.3461209929805422E-4</v>
      </c>
    </row>
    <row r="27" spans="1:16" x14ac:dyDescent="0.25">
      <c r="A27" s="11">
        <f>dataset!A27</f>
        <v>12</v>
      </c>
      <c r="B27" s="11">
        <f>dataset!B27</f>
        <v>2013</v>
      </c>
      <c r="C27">
        <f>EXP(dataset!C27)</f>
        <v>0.16141141303577897</v>
      </c>
      <c r="D27">
        <f>EXP(dataset!D27)</f>
        <v>2.2275999999999998</v>
      </c>
      <c r="E27">
        <f>EXP(dataset!G27)</f>
        <v>1.8095000000000001</v>
      </c>
      <c r="F27">
        <f>1000*EXP(dataset!M27)</f>
        <v>11756.188050686251</v>
      </c>
      <c r="G27">
        <f>EXP(dataset!L27)</f>
        <v>0.19767715911769124</v>
      </c>
      <c r="H27">
        <f>EXP(dataset!J27)</f>
        <v>2.5757827481798799E-2</v>
      </c>
      <c r="J27">
        <v>2010</v>
      </c>
      <c r="K27">
        <v>0.15492585273281434</v>
      </c>
      <c r="L27">
        <v>2.1783888888888887</v>
      </c>
      <c r="M27">
        <v>1.5843962962962961</v>
      </c>
      <c r="N27" s="2">
        <v>17150.121684567472</v>
      </c>
      <c r="O27">
        <v>0.22281866554185129</v>
      </c>
      <c r="P27" s="2">
        <v>5.4565174490068939E-4</v>
      </c>
    </row>
    <row r="28" spans="1:16" x14ac:dyDescent="0.25">
      <c r="A28" s="11">
        <f>dataset!A28</f>
        <v>12</v>
      </c>
      <c r="B28" s="11">
        <f>dataset!B28</f>
        <v>2014</v>
      </c>
      <c r="C28">
        <f>EXP(dataset!C28)</f>
        <v>0.17485327825176775</v>
      </c>
      <c r="D28">
        <f>EXP(dataset!D28)</f>
        <v>2.1964999999999999</v>
      </c>
      <c r="E28">
        <f>EXP(dataset!G28)</f>
        <v>1.8358000000000001</v>
      </c>
      <c r="F28">
        <f>1000*EXP(dataset!M28)</f>
        <v>12565.756238885913</v>
      </c>
      <c r="G28">
        <f>EXP(dataset!L28)</f>
        <v>0.21030855548847555</v>
      </c>
      <c r="H28">
        <f>EXP(dataset!J28)</f>
        <v>5.568908278814981E-2</v>
      </c>
      <c r="J28">
        <v>2011</v>
      </c>
      <c r="K28">
        <v>0.17681577128797871</v>
      </c>
      <c r="L28">
        <v>2.1364888888888887</v>
      </c>
      <c r="M28">
        <v>1.6923074074074069</v>
      </c>
      <c r="N28" s="2">
        <v>17767.955610828139</v>
      </c>
      <c r="O28">
        <v>0.24231467792257935</v>
      </c>
      <c r="P28" s="2">
        <v>3.1126515470803664E-3</v>
      </c>
    </row>
    <row r="29" spans="1:16" x14ac:dyDescent="0.25">
      <c r="A29" s="11">
        <f>dataset!A29</f>
        <v>12</v>
      </c>
      <c r="B29" s="11">
        <f>dataset!B29</f>
        <v>2015</v>
      </c>
      <c r="C29">
        <f>EXP(dataset!C29)</f>
        <v>0.17455702645756813</v>
      </c>
      <c r="D29">
        <f>EXP(dataset!D29)</f>
        <v>2.2349999999999999</v>
      </c>
      <c r="E29">
        <f>EXP(dataset!G29)</f>
        <v>1.7809999999999999</v>
      </c>
      <c r="F29">
        <f>1000*EXP(dataset!M29)</f>
        <v>11626.955364256708</v>
      </c>
      <c r="G29">
        <f>EXP(dataset!L29)</f>
        <v>0.22112025567725724</v>
      </c>
      <c r="H29">
        <f>EXP(dataset!J29)</f>
        <v>7.8405700965634637E-2</v>
      </c>
      <c r="J29">
        <v>2012</v>
      </c>
      <c r="K29">
        <v>0.19892608328744141</v>
      </c>
      <c r="L29">
        <v>2.020488888888889</v>
      </c>
      <c r="M29">
        <v>1.6150518518518515</v>
      </c>
      <c r="N29" s="2">
        <v>17992.06454104666</v>
      </c>
      <c r="O29">
        <v>0.26084556093479655</v>
      </c>
      <c r="P29" s="2">
        <v>4.6207476421021819E-3</v>
      </c>
    </row>
    <row r="30" spans="1:16" x14ac:dyDescent="0.25">
      <c r="A30" s="11">
        <f>dataset!A30</f>
        <v>12</v>
      </c>
      <c r="B30" s="11">
        <f>dataset!B30</f>
        <v>2016</v>
      </c>
      <c r="C30">
        <f>EXP(dataset!C30)</f>
        <v>0.16752775543139531</v>
      </c>
      <c r="D30">
        <f>EXP(dataset!D30)</f>
        <v>2.2395999999999998</v>
      </c>
      <c r="E30">
        <f>EXP(dataset!G30)</f>
        <v>1.8344</v>
      </c>
      <c r="F30">
        <f>1000*EXP(dataset!M30)</f>
        <v>10683.984508997943</v>
      </c>
      <c r="G30">
        <f>EXP(dataset!L30)</f>
        <v>0.22779228762059389</v>
      </c>
      <c r="H30">
        <f>EXP(dataset!J30)</f>
        <v>0.10530350060671945</v>
      </c>
      <c r="J30">
        <v>2013</v>
      </c>
      <c r="K30">
        <v>0.20145769793886284</v>
      </c>
      <c r="L30">
        <v>1.9976148148148145</v>
      </c>
      <c r="M30">
        <v>1.5855999999999999</v>
      </c>
      <c r="N30" s="2">
        <v>17769.658186347977</v>
      </c>
      <c r="O30">
        <v>0.26988587894466026</v>
      </c>
      <c r="P30" s="2">
        <v>1.0505889356475924E-2</v>
      </c>
    </row>
    <row r="31" spans="1:16" x14ac:dyDescent="0.25">
      <c r="A31" s="11">
        <f>dataset!A31</f>
        <v>12</v>
      </c>
      <c r="B31" s="11">
        <f>dataset!B31</f>
        <v>2017</v>
      </c>
      <c r="C31">
        <f>EXP(dataset!C31)</f>
        <v>0.16464492737027464</v>
      </c>
      <c r="D31">
        <f>EXP(dataset!D31)</f>
        <v>2.3243999999999998</v>
      </c>
      <c r="E31">
        <f>EXP(dataset!G31)</f>
        <v>1.9414</v>
      </c>
      <c r="F31">
        <f>1000*EXP(dataset!M31)</f>
        <v>10527.570934730278</v>
      </c>
      <c r="G31">
        <f>EXP(dataset!L31)</f>
        <v>0.23460648803848505</v>
      </c>
      <c r="H31">
        <f>EXP(dataset!J31)</f>
        <v>0.19406498645763889</v>
      </c>
      <c r="J31">
        <v>2014</v>
      </c>
      <c r="K31">
        <v>0.21624676435374515</v>
      </c>
      <c r="L31">
        <v>1.9543259259259258</v>
      </c>
      <c r="M31">
        <v>1.5733444444444447</v>
      </c>
      <c r="N31" s="2">
        <v>17841.430679778077</v>
      </c>
      <c r="O31">
        <v>0.28456799162394814</v>
      </c>
      <c r="P31" s="2">
        <v>2.0774184273672044E-2</v>
      </c>
    </row>
    <row r="32" spans="1:16" x14ac:dyDescent="0.25">
      <c r="A32" s="11">
        <f>dataset!A32</f>
        <v>12</v>
      </c>
      <c r="B32" s="11">
        <f>dataset!B32</f>
        <v>2018</v>
      </c>
      <c r="C32">
        <f>EXP(dataset!C32)</f>
        <v>0.15400633868843214</v>
      </c>
      <c r="D32">
        <f>EXP(dataset!D32)</f>
        <v>2.5531000000000001</v>
      </c>
      <c r="E32">
        <f>EXP(dataset!G32)</f>
        <v>2.0148000000000001</v>
      </c>
      <c r="F32">
        <f>1000*EXP(dataset!M32)</f>
        <v>10328.226443949769</v>
      </c>
      <c r="G32">
        <f>EXP(dataset!L32)</f>
        <v>0.23516073924522446</v>
      </c>
      <c r="H32">
        <f>EXP(dataset!J32)</f>
        <v>0.28069691060838758</v>
      </c>
      <c r="J32">
        <v>2015</v>
      </c>
      <c r="K32">
        <v>0.20535220648697183</v>
      </c>
      <c r="L32">
        <v>1.9900962962962965</v>
      </c>
      <c r="M32">
        <v>1.5240481481481483</v>
      </c>
      <c r="N32" s="2">
        <v>17114.823941160186</v>
      </c>
      <c r="O32">
        <v>0.29564717417338099</v>
      </c>
      <c r="P32" s="2">
        <v>3.0673599848699287E-2</v>
      </c>
    </row>
    <row r="33" spans="1:16" x14ac:dyDescent="0.25">
      <c r="A33" s="11">
        <f>dataset!A33</f>
        <v>12</v>
      </c>
      <c r="B33" s="11">
        <f>dataset!B33</f>
        <v>2019</v>
      </c>
      <c r="C33">
        <f>EXP(dataset!C33)</f>
        <v>0.15647570399179073</v>
      </c>
      <c r="D33">
        <f>EXP(dataset!D33)</f>
        <v>2.3837000000000002</v>
      </c>
      <c r="E33">
        <f>EXP(dataset!G33)</f>
        <v>1.9414</v>
      </c>
      <c r="F33">
        <f>1000*EXP(dataset!M33)</f>
        <v>9957.6769689376251</v>
      </c>
      <c r="G33">
        <f>EXP(dataset!L33)</f>
        <v>0.24317211585887846</v>
      </c>
      <c r="H33">
        <f>EXP(dataset!J33)</f>
        <v>0.55899811210576744</v>
      </c>
      <c r="J33">
        <v>2016</v>
      </c>
      <c r="K33">
        <v>0.21182590805501023</v>
      </c>
      <c r="L33">
        <v>2.0526222222222223</v>
      </c>
      <c r="M33">
        <v>1.714537037037037</v>
      </c>
      <c r="N33" s="2">
        <v>16493.656598246613</v>
      </c>
      <c r="O33">
        <v>0.30318374649154523</v>
      </c>
      <c r="P33" s="2">
        <v>4.330773500239337E-2</v>
      </c>
    </row>
    <row r="34" spans="1:16" x14ac:dyDescent="0.25">
      <c r="A34" s="11">
        <f>dataset!A34</f>
        <v>12</v>
      </c>
      <c r="B34" s="11">
        <f>dataset!B34</f>
        <v>2020</v>
      </c>
      <c r="C34">
        <f>EXP(dataset!C34)</f>
        <v>0.15251234809440223</v>
      </c>
      <c r="D34">
        <f>EXP(dataset!D34)</f>
        <v>2.2665000000000002</v>
      </c>
      <c r="E34">
        <f>EXP(dataset!G34)</f>
        <v>1.8573999999999999</v>
      </c>
      <c r="F34">
        <f>1000*EXP(dataset!M34)</f>
        <v>9720.6094493946184</v>
      </c>
      <c r="G34">
        <f>EXP(dataset!L34)</f>
        <v>0.24965622100238125</v>
      </c>
      <c r="H34">
        <f>EXP(dataset!J34)</f>
        <v>1.0274240611758918</v>
      </c>
      <c r="J34">
        <v>2017</v>
      </c>
      <c r="K34">
        <v>0.21485130506979916</v>
      </c>
      <c r="L34">
        <v>2.0292592592592595</v>
      </c>
      <c r="M34">
        <v>1.6957481481481482</v>
      </c>
      <c r="N34" s="2">
        <v>16631.748223528281</v>
      </c>
      <c r="O34">
        <v>0.3107346997246746</v>
      </c>
      <c r="P34" s="2">
        <v>8.1952898408661656E-2</v>
      </c>
    </row>
    <row r="35" spans="1:16" x14ac:dyDescent="0.25">
      <c r="A35" s="11">
        <f>dataset!A35</f>
        <v>12</v>
      </c>
      <c r="B35" s="11">
        <f>dataset!B35</f>
        <v>2021</v>
      </c>
      <c r="C35">
        <f>EXP(dataset!C35)</f>
        <v>0.1527971850616843</v>
      </c>
      <c r="D35">
        <f>EXP(dataset!D35)</f>
        <v>2.7002000000000002</v>
      </c>
      <c r="E35">
        <f>EXP(dataset!G35)</f>
        <v>2.2644000000000002</v>
      </c>
      <c r="F35">
        <f>1000*EXP(dataset!M35)</f>
        <v>11002.059298735439</v>
      </c>
      <c r="G35">
        <f>EXP(dataset!L35)</f>
        <v>0.25551233024140002</v>
      </c>
      <c r="H35">
        <f>EXP(dataset!J35)</f>
        <v>2.0190191382283795</v>
      </c>
      <c r="J35">
        <v>2018</v>
      </c>
      <c r="K35">
        <v>0.19485206873482686</v>
      </c>
      <c r="L35">
        <v>2.2745407407407403</v>
      </c>
      <c r="M35">
        <v>1.7584518518518517</v>
      </c>
      <c r="N35" s="2">
        <v>16902.095975271721</v>
      </c>
      <c r="O35">
        <v>0.32010830840252663</v>
      </c>
      <c r="P35" s="2">
        <v>0.12440441938950178</v>
      </c>
    </row>
    <row r="36" spans="1:16" x14ac:dyDescent="0.25">
      <c r="A36" s="11">
        <f>dataset!A36</f>
        <v>12</v>
      </c>
      <c r="B36" s="11">
        <f>dataset!B36</f>
        <v>2022</v>
      </c>
      <c r="C36">
        <f>EXP(dataset!C36)</f>
        <v>0.16468607615594638</v>
      </c>
      <c r="D36">
        <f>EXP(dataset!D36)</f>
        <v>2.6292</v>
      </c>
      <c r="E36">
        <f>EXP(dataset!G36)</f>
        <v>2.1768000000000001</v>
      </c>
      <c r="F36">
        <f>1000*EXP(dataset!M36)</f>
        <v>11225.083537771423</v>
      </c>
      <c r="G36">
        <f>EXP(dataset!L36)</f>
        <v>0.26408461575783232</v>
      </c>
      <c r="H36">
        <f>EXP(dataset!J36)</f>
        <v>3.2738764726379355</v>
      </c>
      <c r="J36">
        <v>2019</v>
      </c>
      <c r="K36">
        <v>0.19701985853751416</v>
      </c>
      <c r="L36">
        <v>2.1669</v>
      </c>
      <c r="M36">
        <v>1.7010888888888884</v>
      </c>
      <c r="N36" s="2">
        <v>16903.704600099059</v>
      </c>
      <c r="O36">
        <v>0.32913968347367084</v>
      </c>
      <c r="P36" s="2">
        <v>0.25398022406588922</v>
      </c>
    </row>
    <row r="37" spans="1:16" x14ac:dyDescent="0.25">
      <c r="A37" s="11">
        <f>dataset!A37</f>
        <v>12</v>
      </c>
      <c r="B37" s="11">
        <f>dataset!B37</f>
        <v>2023</v>
      </c>
      <c r="C37">
        <f>EXP(dataset!C37)</f>
        <v>0.17150029331463176</v>
      </c>
      <c r="D37">
        <f>EXP(dataset!D37)</f>
        <v>2.4165000000000001</v>
      </c>
      <c r="E37">
        <f>EXP(dataset!G37)</f>
        <v>1.7873000000000001</v>
      </c>
      <c r="F37">
        <f>1000*EXP(dataset!M37)</f>
        <v>11853.391970677358</v>
      </c>
      <c r="G37">
        <f>EXP(dataset!L37)</f>
        <v>0.27248157410715468</v>
      </c>
      <c r="H37">
        <f>EXP(dataset!J37)</f>
        <v>5.7438944243755508</v>
      </c>
      <c r="J37">
        <v>2020</v>
      </c>
      <c r="K37">
        <v>0.18508960194746288</v>
      </c>
      <c r="L37">
        <v>2.0238999999999998</v>
      </c>
      <c r="M37">
        <v>1.6278666666666666</v>
      </c>
      <c r="N37" s="2">
        <v>16541.869676691607</v>
      </c>
      <c r="O37">
        <v>0.33582122307551759</v>
      </c>
      <c r="P37" s="2">
        <v>0.47214444279646345</v>
      </c>
    </row>
    <row r="38" spans="1:16" x14ac:dyDescent="0.25">
      <c r="A38" s="11">
        <f>dataset!A38</f>
        <v>13</v>
      </c>
      <c r="B38" s="11">
        <f>dataset!B38</f>
        <v>2006</v>
      </c>
      <c r="C38">
        <f>EXP(dataset!C38)</f>
        <v>0.10028961717606556</v>
      </c>
      <c r="D38">
        <f>EXP(dataset!D38)</f>
        <v>2.56</v>
      </c>
      <c r="E38">
        <f>EXP(dataset!G38)</f>
        <v>2.0499999999999998</v>
      </c>
      <c r="F38">
        <f>1000*EXP(dataset!M38)</f>
        <v>16247.7394336982</v>
      </c>
      <c r="G38">
        <f>EXP(dataset!L38)</f>
        <v>7.4172175029733889E-2</v>
      </c>
      <c r="H38">
        <f>EXP(dataset!J38)</f>
        <v>9.9999999999999805E-6</v>
      </c>
      <c r="J38">
        <v>2021</v>
      </c>
      <c r="K38">
        <v>0.19463780746161902</v>
      </c>
      <c r="L38">
        <v>2.4867481481481484</v>
      </c>
      <c r="M38">
        <v>2.0713592592592587</v>
      </c>
      <c r="N38" s="2">
        <v>17123.440096660288</v>
      </c>
      <c r="O38">
        <v>0.34254491260068121</v>
      </c>
      <c r="P38" s="2">
        <v>0.8338325104596428</v>
      </c>
    </row>
    <row r="39" spans="1:16" x14ac:dyDescent="0.25">
      <c r="A39" s="11">
        <f>dataset!A39</f>
        <v>13</v>
      </c>
      <c r="B39" s="11">
        <f>dataset!B39</f>
        <v>2007</v>
      </c>
      <c r="C39">
        <f>EXP(dataset!C39)</f>
        <v>0.10652283181902907</v>
      </c>
      <c r="D39">
        <f>EXP(dataset!D39)</f>
        <v>2.3645</v>
      </c>
      <c r="E39">
        <f>EXP(dataset!G39)</f>
        <v>1.6943999999999999</v>
      </c>
      <c r="F39">
        <f>1000*EXP(dataset!M39)</f>
        <v>16545.409851776585</v>
      </c>
      <c r="G39">
        <f>EXP(dataset!L39)</f>
        <v>8.2855991774050869E-2</v>
      </c>
      <c r="H39">
        <f>EXP(dataset!J39)</f>
        <v>9.9999999999999805E-6</v>
      </c>
      <c r="J39">
        <v>2022</v>
      </c>
      <c r="K39">
        <v>0.20858144759465849</v>
      </c>
      <c r="L39">
        <v>2.4885555555555556</v>
      </c>
      <c r="M39">
        <v>2.0371222222222225</v>
      </c>
      <c r="N39" s="2">
        <v>17516.10078629071</v>
      </c>
      <c r="O39">
        <v>0.3522334093422021</v>
      </c>
      <c r="P39" s="2">
        <v>1.3729210873271041</v>
      </c>
    </row>
    <row r="40" spans="1:16" x14ac:dyDescent="0.25">
      <c r="A40" s="11">
        <f>dataset!A40</f>
        <v>13</v>
      </c>
      <c r="B40" s="11">
        <f>dataset!B40</f>
        <v>2008</v>
      </c>
      <c r="C40">
        <f>EXP(dataset!C40)</f>
        <v>0.11629521947002977</v>
      </c>
      <c r="D40">
        <f>EXP(dataset!D40)</f>
        <v>2.2057000000000002</v>
      </c>
      <c r="E40">
        <f>EXP(dataset!G40)</f>
        <v>1.6091</v>
      </c>
      <c r="F40">
        <f>1000*EXP(dataset!M40)</f>
        <v>16756.03474610412</v>
      </c>
      <c r="G40">
        <f>EXP(dataset!L40)</f>
        <v>9.2544837110239864E-2</v>
      </c>
      <c r="H40">
        <f>EXP(dataset!J40)</f>
        <v>9.9999999999999805E-6</v>
      </c>
      <c r="J40">
        <v>2023</v>
      </c>
      <c r="K40">
        <v>0.22057918620045336</v>
      </c>
      <c r="L40">
        <v>2.1583370370370369</v>
      </c>
      <c r="M40">
        <v>1.6597814814814815</v>
      </c>
      <c r="N40" s="2">
        <v>18311.345225823854</v>
      </c>
      <c r="O40">
        <v>0.36307323681516562</v>
      </c>
      <c r="P40" s="2">
        <v>2.4417684954950083</v>
      </c>
    </row>
    <row r="41" spans="1:16" x14ac:dyDescent="0.25">
      <c r="A41" s="11">
        <f>dataset!A41</f>
        <v>13</v>
      </c>
      <c r="B41" s="11">
        <f>dataset!B41</f>
        <v>2009</v>
      </c>
      <c r="C41">
        <f>EXP(dataset!C41)</f>
        <v>0.11885306608270414</v>
      </c>
      <c r="D41">
        <f>EXP(dataset!D41)</f>
        <v>2.2271999999999998</v>
      </c>
      <c r="E41">
        <f>EXP(dataset!G41)</f>
        <v>1.5686</v>
      </c>
      <c r="F41">
        <f>1000*EXP(dataset!M41)</f>
        <v>16154.643478295477</v>
      </c>
      <c r="G41">
        <f>EXP(dataset!L41)</f>
        <v>0.10153272455780665</v>
      </c>
      <c r="H41">
        <f>EXP(dataset!J41)</f>
        <v>2.9469238388160022E-4</v>
      </c>
    </row>
    <row r="42" spans="1:16" x14ac:dyDescent="0.25">
      <c r="A42" s="11">
        <f>dataset!A42</f>
        <v>13</v>
      </c>
      <c r="B42" s="11">
        <f>dataset!B42</f>
        <v>2010</v>
      </c>
      <c r="C42">
        <f>EXP(dataset!C42)</f>
        <v>0.13522928389285485</v>
      </c>
      <c r="D42">
        <f>EXP(dataset!D42)</f>
        <v>2.1356999999999999</v>
      </c>
      <c r="E42">
        <f>EXP(dataset!G42)</f>
        <v>1.6611</v>
      </c>
      <c r="F42">
        <f>1000*EXP(dataset!M42)</f>
        <v>17564.704527972423</v>
      </c>
      <c r="G42">
        <f>EXP(dataset!L42)</f>
        <v>0.11136081535472389</v>
      </c>
      <c r="H42">
        <f>EXP(dataset!J42)</f>
        <v>5.7705435678919999E-4</v>
      </c>
    </row>
    <row r="43" spans="1:16" x14ac:dyDescent="0.25">
      <c r="A43" s="11">
        <f>dataset!A43</f>
        <v>13</v>
      </c>
      <c r="B43" s="11">
        <f>dataset!B43</f>
        <v>2011</v>
      </c>
      <c r="C43">
        <f>EXP(dataset!C43)</f>
        <v>0.14734258858626828</v>
      </c>
      <c r="D43">
        <f>EXP(dataset!D43)</f>
        <v>2.1358999999999999</v>
      </c>
      <c r="E43">
        <f>EXP(dataset!G43)</f>
        <v>1.7595000000000001</v>
      </c>
      <c r="F43">
        <f>1000*EXP(dataset!M43)</f>
        <v>18455.352401390806</v>
      </c>
      <c r="G43">
        <f>EXP(dataset!L43)</f>
        <v>0.12084885005512389</v>
      </c>
      <c r="H43">
        <f>EXP(dataset!J43)</f>
        <v>2.5435318409206997E-3</v>
      </c>
    </row>
    <row r="44" spans="1:16" x14ac:dyDescent="0.25">
      <c r="A44" s="11">
        <f>dataset!A44</f>
        <v>13</v>
      </c>
      <c r="B44" s="11">
        <f>dataset!B44</f>
        <v>2012</v>
      </c>
      <c r="C44">
        <f>EXP(dataset!C44)</f>
        <v>0.1585628316464702</v>
      </c>
      <c r="D44">
        <f>EXP(dataset!D44)</f>
        <v>2.0979000000000001</v>
      </c>
      <c r="E44">
        <f>EXP(dataset!G44)</f>
        <v>1.6914</v>
      </c>
      <c r="F44">
        <f>1000*EXP(dataset!M44)</f>
        <v>17206.097604918992</v>
      </c>
      <c r="G44">
        <f>EXP(dataset!L44)</f>
        <v>0.13010246492257693</v>
      </c>
      <c r="H44">
        <f>EXP(dataset!J44)</f>
        <v>3.6201766367722986E-3</v>
      </c>
    </row>
    <row r="45" spans="1:16" x14ac:dyDescent="0.25">
      <c r="A45" s="11">
        <f>dataset!A45</f>
        <v>13</v>
      </c>
      <c r="B45" s="11">
        <f>dataset!B45</f>
        <v>2013</v>
      </c>
      <c r="C45">
        <f>EXP(dataset!C45)</f>
        <v>0.15513693955310523</v>
      </c>
      <c r="D45">
        <f>EXP(dataset!D45)</f>
        <v>2.0493999999999999</v>
      </c>
      <c r="E45">
        <f>EXP(dataset!G45)</f>
        <v>1.6656</v>
      </c>
      <c r="F45">
        <f>1000*EXP(dataset!M45)</f>
        <v>17351.349137180096</v>
      </c>
      <c r="G45">
        <f>EXP(dataset!L45)</f>
        <v>0.13384074932226786</v>
      </c>
      <c r="H45">
        <f>EXP(dataset!J45)</f>
        <v>7.8783147024321029E-3</v>
      </c>
    </row>
    <row r="46" spans="1:16" x14ac:dyDescent="0.25">
      <c r="A46" s="11">
        <f>dataset!A46</f>
        <v>13</v>
      </c>
      <c r="B46" s="11">
        <f>dataset!B46</f>
        <v>2014</v>
      </c>
      <c r="C46">
        <f>EXP(dataset!C46)</f>
        <v>0.16195033330812081</v>
      </c>
      <c r="D46">
        <f>EXP(dataset!D46)</f>
        <v>2.0354000000000001</v>
      </c>
      <c r="E46">
        <f>EXP(dataset!G46)</f>
        <v>1.6361000000000001</v>
      </c>
      <c r="F46">
        <f>1000*EXP(dataset!M46)</f>
        <v>16504.386724158012</v>
      </c>
      <c r="G46">
        <f>EXP(dataset!L46)</f>
        <v>0.14219502945858822</v>
      </c>
      <c r="H46">
        <f>EXP(dataset!J46)</f>
        <v>1.4972598853357E-2</v>
      </c>
    </row>
    <row r="47" spans="1:16" x14ac:dyDescent="0.25">
      <c r="A47" s="11">
        <f>dataset!A47</f>
        <v>13</v>
      </c>
      <c r="B47" s="11">
        <f>dataset!B47</f>
        <v>2015</v>
      </c>
      <c r="C47">
        <f>EXP(dataset!C47)</f>
        <v>0.15671680374655689</v>
      </c>
      <c r="D47">
        <f>EXP(dataset!D47)</f>
        <v>2.1011000000000002</v>
      </c>
      <c r="E47">
        <f>EXP(dataset!G47)</f>
        <v>1.6238999999999999</v>
      </c>
      <c r="F47">
        <f>1000*EXP(dataset!M47)</f>
        <v>15074.329714453013</v>
      </c>
      <c r="G47">
        <f>EXP(dataset!L47)</f>
        <v>0.14730256636305272</v>
      </c>
      <c r="H47">
        <f>EXP(dataset!J47)</f>
        <v>2.0820976168615304E-2</v>
      </c>
    </row>
    <row r="48" spans="1:16" x14ac:dyDescent="0.25">
      <c r="A48" s="11">
        <f>dataset!A48</f>
        <v>13</v>
      </c>
      <c r="B48" s="11">
        <f>dataset!B48</f>
        <v>2016</v>
      </c>
      <c r="C48">
        <f>EXP(dataset!C48)</f>
        <v>0.15847713465413288</v>
      </c>
      <c r="D48">
        <f>EXP(dataset!D48)</f>
        <v>2.0425</v>
      </c>
      <c r="E48">
        <f>EXP(dataset!G48)</f>
        <v>1.8015000000000001</v>
      </c>
      <c r="F48">
        <f>1000*EXP(dataset!M48)</f>
        <v>14115.473019419149</v>
      </c>
      <c r="G48">
        <f>EXP(dataset!L48)</f>
        <v>0.14985454811707222</v>
      </c>
      <c r="H48">
        <f>EXP(dataset!J48)</f>
        <v>2.8488127572834011E-2</v>
      </c>
    </row>
    <row r="49" spans="1:8" x14ac:dyDescent="0.25">
      <c r="A49" s="11">
        <f>dataset!A49</f>
        <v>13</v>
      </c>
      <c r="B49" s="11">
        <f>dataset!B49</f>
        <v>2017</v>
      </c>
      <c r="C49">
        <f>EXP(dataset!C49)</f>
        <v>0.15858408795717313</v>
      </c>
      <c r="D49">
        <f>EXP(dataset!D49)</f>
        <v>2.0265</v>
      </c>
      <c r="E49">
        <f>EXP(dataset!G49)</f>
        <v>1.7445999999999999</v>
      </c>
      <c r="F49">
        <f>1000*EXP(dataset!M49)</f>
        <v>14040.549409761858</v>
      </c>
      <c r="G49">
        <f>EXP(dataset!L49)</f>
        <v>0.1530494776324719</v>
      </c>
      <c r="H49">
        <f>EXP(dataset!J49)</f>
        <v>5.2908568579594396E-2</v>
      </c>
    </row>
    <row r="50" spans="1:8" x14ac:dyDescent="0.25">
      <c r="A50" s="11">
        <f>dataset!A50</f>
        <v>13</v>
      </c>
      <c r="B50" s="11">
        <f>dataset!B50</f>
        <v>2018</v>
      </c>
      <c r="C50">
        <f>EXP(dataset!C50)</f>
        <v>0.15051160965845559</v>
      </c>
      <c r="D50">
        <f>EXP(dataset!D50)</f>
        <v>2.3069999999999999</v>
      </c>
      <c r="E50">
        <f>EXP(dataset!G50)</f>
        <v>1.8046</v>
      </c>
      <c r="F50">
        <f>1000*EXP(dataset!M50)</f>
        <v>14366.564384573776</v>
      </c>
      <c r="G50">
        <f>EXP(dataset!L50)</f>
        <v>0.15929722289137577</v>
      </c>
      <c r="H50">
        <f>EXP(dataset!J50)</f>
        <v>8.3320855626767595E-2</v>
      </c>
    </row>
    <row r="51" spans="1:8" x14ac:dyDescent="0.25">
      <c r="A51" s="11">
        <f>dataset!A51</f>
        <v>13</v>
      </c>
      <c r="B51" s="11">
        <f>dataset!B51</f>
        <v>2019</v>
      </c>
      <c r="C51">
        <f>EXP(dataset!C51)</f>
        <v>0.15628552788123903</v>
      </c>
      <c r="D51">
        <f>EXP(dataset!D51)</f>
        <v>2.0741000000000001</v>
      </c>
      <c r="E51">
        <f>EXP(dataset!G51)</f>
        <v>1.6514</v>
      </c>
      <c r="F51">
        <f>1000*EXP(dataset!M51)</f>
        <v>14665.747716171198</v>
      </c>
      <c r="G51">
        <f>EXP(dataset!L51)</f>
        <v>0.16505561336844088</v>
      </c>
      <c r="H51">
        <f>EXP(dataset!J51)</f>
        <v>0.17540909285028197</v>
      </c>
    </row>
    <row r="52" spans="1:8" x14ac:dyDescent="0.25">
      <c r="A52" s="11">
        <f>dataset!A52</f>
        <v>13</v>
      </c>
      <c r="B52" s="11">
        <f>dataset!B52</f>
        <v>2020</v>
      </c>
      <c r="C52">
        <f>EXP(dataset!C52)</f>
        <v>0.14876169815724163</v>
      </c>
      <c r="D52">
        <f>EXP(dataset!D52)</f>
        <v>2.0078999999999998</v>
      </c>
      <c r="E52">
        <f>EXP(dataset!G52)</f>
        <v>1.5893999999999999</v>
      </c>
      <c r="F52">
        <f>1000*EXP(dataset!M52)</f>
        <v>14550.607855975952</v>
      </c>
      <c r="G52">
        <f>EXP(dataset!L52)</f>
        <v>0.16988012968562025</v>
      </c>
      <c r="H52">
        <f>EXP(dataset!J52)</f>
        <v>0.32701842378070367</v>
      </c>
    </row>
    <row r="53" spans="1:8" x14ac:dyDescent="0.25">
      <c r="A53" s="11">
        <f>dataset!A53</f>
        <v>13</v>
      </c>
      <c r="B53" s="11">
        <f>dataset!B53</f>
        <v>2021</v>
      </c>
      <c r="C53">
        <f>EXP(dataset!C53)</f>
        <v>0.14244387639798167</v>
      </c>
      <c r="D53">
        <f>EXP(dataset!D53)</f>
        <v>2.4097</v>
      </c>
      <c r="E53">
        <f>EXP(dataset!G53)</f>
        <v>1.9097999999999999</v>
      </c>
      <c r="F53">
        <f>1000*EXP(dataset!M53)</f>
        <v>14378.978183791774</v>
      </c>
      <c r="G53">
        <f>EXP(dataset!L53)</f>
        <v>0.17417748732726848</v>
      </c>
      <c r="H53">
        <f>EXP(dataset!J53)</f>
        <v>0.56042220189953385</v>
      </c>
    </row>
    <row r="54" spans="1:8" x14ac:dyDescent="0.25">
      <c r="A54" s="11">
        <f>dataset!A54</f>
        <v>13</v>
      </c>
      <c r="B54" s="11">
        <f>dataset!B54</f>
        <v>2022</v>
      </c>
      <c r="C54">
        <f>EXP(dataset!C54)</f>
        <v>0.15081879252786007</v>
      </c>
      <c r="D54">
        <f>EXP(dataset!D54)</f>
        <v>2.504</v>
      </c>
      <c r="E54">
        <f>EXP(dataset!G54)</f>
        <v>1.9587000000000001</v>
      </c>
      <c r="F54">
        <f>1000*EXP(dataset!M54)</f>
        <v>14614.629411884562</v>
      </c>
      <c r="G54">
        <f>EXP(dataset!L54)</f>
        <v>0.18304119794051288</v>
      </c>
      <c r="H54">
        <f>EXP(dataset!J54)</f>
        <v>0.90538747703451639</v>
      </c>
    </row>
    <row r="55" spans="1:8" x14ac:dyDescent="0.25">
      <c r="A55" s="11">
        <f>dataset!A55</f>
        <v>13</v>
      </c>
      <c r="B55" s="11">
        <f>dataset!B55</f>
        <v>2023</v>
      </c>
      <c r="C55">
        <f>EXP(dataset!C55)</f>
        <v>0.14502002227168886</v>
      </c>
      <c r="D55">
        <f>EXP(dataset!D55)</f>
        <v>2.4011</v>
      </c>
      <c r="E55">
        <f>EXP(dataset!G55)</f>
        <v>1.7333000000000001</v>
      </c>
      <c r="F55">
        <f>1000*EXP(dataset!M55)</f>
        <v>15492.296938427329</v>
      </c>
      <c r="G55">
        <f>EXP(dataset!L55)</f>
        <v>0.19230163032977793</v>
      </c>
      <c r="H55">
        <f>EXP(dataset!J55)</f>
        <v>1.5943812580576793</v>
      </c>
    </row>
    <row r="56" spans="1:8" x14ac:dyDescent="0.25">
      <c r="A56" s="11">
        <f>dataset!A56</f>
        <v>14</v>
      </c>
      <c r="B56" s="11">
        <f>dataset!B56</f>
        <v>2006</v>
      </c>
      <c r="C56">
        <f>EXP(dataset!C56)</f>
        <v>0.11986034253639577</v>
      </c>
      <c r="D56">
        <f>EXP(dataset!D56)</f>
        <v>2.8599999999999994</v>
      </c>
      <c r="E56">
        <f>EXP(dataset!G56)</f>
        <v>2.23</v>
      </c>
      <c r="F56">
        <f>1000*EXP(dataset!M56)</f>
        <v>12700.166704847483</v>
      </c>
      <c r="G56">
        <f>EXP(dataset!L56)</f>
        <v>0.12671565710658891</v>
      </c>
      <c r="H56">
        <f>EXP(dataset!J56)</f>
        <v>9.9999999999999805E-6</v>
      </c>
    </row>
    <row r="57" spans="1:8" x14ac:dyDescent="0.25">
      <c r="A57" s="11">
        <f>dataset!A57</f>
        <v>14</v>
      </c>
      <c r="B57" s="11">
        <f>dataset!B57</f>
        <v>2007</v>
      </c>
      <c r="C57">
        <f>EXP(dataset!C57)</f>
        <v>0.12888159700439134</v>
      </c>
      <c r="D57">
        <f>EXP(dataset!D57)</f>
        <v>2.5272999999999999</v>
      </c>
      <c r="E57">
        <f>EXP(dataset!G57)</f>
        <v>1.972</v>
      </c>
      <c r="F57">
        <f>1000*EXP(dataset!M57)</f>
        <v>13037.149720141942</v>
      </c>
      <c r="G57">
        <f>EXP(dataset!L57)</f>
        <v>0.14607512547051432</v>
      </c>
      <c r="H57">
        <f>EXP(dataset!J57)</f>
        <v>9.9999999999999805E-6</v>
      </c>
    </row>
    <row r="58" spans="1:8" x14ac:dyDescent="0.25">
      <c r="A58" s="11">
        <f>dataset!A58</f>
        <v>14</v>
      </c>
      <c r="B58" s="11">
        <f>dataset!B58</f>
        <v>2008</v>
      </c>
      <c r="C58">
        <f>EXP(dataset!C58)</f>
        <v>0.15081577971961052</v>
      </c>
      <c r="D58">
        <f>EXP(dataset!D58)</f>
        <v>2.4317000000000002</v>
      </c>
      <c r="E58">
        <f>EXP(dataset!G58)</f>
        <v>1.9345000000000001</v>
      </c>
      <c r="F58">
        <f>1000*EXP(dataset!M58)</f>
        <v>13647.957734209022</v>
      </c>
      <c r="G58">
        <f>EXP(dataset!L58)</f>
        <v>0.16756746280733467</v>
      </c>
      <c r="H58">
        <f>EXP(dataset!J58)</f>
        <v>9.9999999999999805E-6</v>
      </c>
    </row>
    <row r="59" spans="1:8" x14ac:dyDescent="0.25">
      <c r="A59" s="11">
        <f>dataset!A59</f>
        <v>14</v>
      </c>
      <c r="B59" s="11">
        <f>dataset!B59</f>
        <v>2009</v>
      </c>
      <c r="C59">
        <f>EXP(dataset!C59)</f>
        <v>0.17705145207936435</v>
      </c>
      <c r="D59">
        <f>EXP(dataset!D59)</f>
        <v>2.3399000000000001</v>
      </c>
      <c r="E59">
        <f>EXP(dataset!G59)</f>
        <v>1.8718999999999999</v>
      </c>
      <c r="F59">
        <f>1000*EXP(dataset!M59)</f>
        <v>14590.176120465299</v>
      </c>
      <c r="G59">
        <f>EXP(dataset!L59)</f>
        <v>0.187725237782296</v>
      </c>
      <c r="H59">
        <f>EXP(dataset!J59)</f>
        <v>2.3724848694776993E-3</v>
      </c>
    </row>
    <row r="60" spans="1:8" x14ac:dyDescent="0.25">
      <c r="A60" s="11">
        <f>dataset!A60</f>
        <v>14</v>
      </c>
      <c r="B60" s="11">
        <f>dataset!B60</f>
        <v>2010</v>
      </c>
      <c r="C60">
        <f>EXP(dataset!C60)</f>
        <v>0.19456028600464564</v>
      </c>
      <c r="D60">
        <f>EXP(dataset!D60)</f>
        <v>2.3157000000000001</v>
      </c>
      <c r="E60">
        <f>EXP(dataset!G60)</f>
        <v>1.8902000000000001</v>
      </c>
      <c r="F60">
        <f>1000*EXP(dataset!M60)</f>
        <v>15060.499237804883</v>
      </c>
      <c r="G60">
        <f>EXP(dataset!L60)</f>
        <v>0.20560440258420437</v>
      </c>
      <c r="H60">
        <f>EXP(dataset!J60)</f>
        <v>2.26843786295E-3</v>
      </c>
    </row>
    <row r="61" spans="1:8" x14ac:dyDescent="0.25">
      <c r="A61" s="11">
        <f>dataset!A61</f>
        <v>14</v>
      </c>
      <c r="B61" s="11">
        <f>dataset!B61</f>
        <v>2011</v>
      </c>
      <c r="C61">
        <f>EXP(dataset!C61)</f>
        <v>0.19182956113567948</v>
      </c>
      <c r="D61">
        <f>EXP(dataset!D61)</f>
        <v>2.1819999999999999</v>
      </c>
      <c r="E61">
        <f>EXP(dataset!G61)</f>
        <v>1.8824000000000001</v>
      </c>
      <c r="F61">
        <f>1000*EXP(dataset!M61)</f>
        <v>14653.030909130426</v>
      </c>
      <c r="G61">
        <f>EXP(dataset!L61)</f>
        <v>0.21783273391066249</v>
      </c>
      <c r="H61">
        <f>EXP(dataset!J61)</f>
        <v>1.5211934849456103E-2</v>
      </c>
    </row>
    <row r="62" spans="1:8" x14ac:dyDescent="0.25">
      <c r="A62" s="11">
        <f>dataset!A62</f>
        <v>14</v>
      </c>
      <c r="B62" s="11">
        <f>dataset!B62</f>
        <v>2012</v>
      </c>
      <c r="C62">
        <f>EXP(dataset!C62)</f>
        <v>0.21176766256889953</v>
      </c>
      <c r="D62">
        <f>EXP(dataset!D62)</f>
        <v>2.0834000000000001</v>
      </c>
      <c r="E62">
        <f>EXP(dataset!G62)</f>
        <v>1.8584000000000001</v>
      </c>
      <c r="F62">
        <f>1000*EXP(dataset!M62)</f>
        <v>14046.923146207639</v>
      </c>
      <c r="G62">
        <f>EXP(dataset!L62)</f>
        <v>0.23279747148175606</v>
      </c>
      <c r="H62">
        <f>EXP(dataset!J62)</f>
        <v>2.1298165801961099E-2</v>
      </c>
    </row>
    <row r="63" spans="1:8" x14ac:dyDescent="0.25">
      <c r="A63" s="11">
        <f>dataset!A63</f>
        <v>14</v>
      </c>
      <c r="B63" s="11">
        <f>dataset!B63</f>
        <v>2013</v>
      </c>
      <c r="C63">
        <f>EXP(dataset!C63)</f>
        <v>0.22304352636496247</v>
      </c>
      <c r="D63">
        <f>EXP(dataset!D63)</f>
        <v>2.0630999999999999</v>
      </c>
      <c r="E63">
        <f>EXP(dataset!G63)</f>
        <v>1.8506</v>
      </c>
      <c r="F63">
        <f>1000*EXP(dataset!M63)</f>
        <v>14687.603364872393</v>
      </c>
      <c r="G63">
        <f>EXP(dataset!L63)</f>
        <v>0.24249291088200101</v>
      </c>
      <c r="H63">
        <f>EXP(dataset!J63)</f>
        <v>5.3270828894097497E-2</v>
      </c>
    </row>
    <row r="64" spans="1:8" x14ac:dyDescent="0.25">
      <c r="A64" s="11">
        <f>dataset!A64</f>
        <v>14</v>
      </c>
      <c r="B64" s="11">
        <f>dataset!B64</f>
        <v>2014</v>
      </c>
      <c r="C64">
        <f>EXP(dataset!C64)</f>
        <v>0.24714466249174949</v>
      </c>
      <c r="D64">
        <f>EXP(dataset!D64)</f>
        <v>1.9967999999999999</v>
      </c>
      <c r="E64">
        <f>EXP(dataset!G64)</f>
        <v>1.7778</v>
      </c>
      <c r="F64">
        <f>1000*EXP(dataset!M64)</f>
        <v>14464.733847215739</v>
      </c>
      <c r="G64">
        <f>EXP(dataset!L64)</f>
        <v>0.25655013925334447</v>
      </c>
      <c r="H64">
        <f>EXP(dataset!J64)</f>
        <v>0.10061657839238848</v>
      </c>
    </row>
    <row r="65" spans="1:8" x14ac:dyDescent="0.25">
      <c r="A65" s="11">
        <f>dataset!A65</f>
        <v>14</v>
      </c>
      <c r="B65" s="11">
        <f>dataset!B65</f>
        <v>2015</v>
      </c>
      <c r="C65">
        <f>EXP(dataset!C65)</f>
        <v>0.24500457812978951</v>
      </c>
      <c r="D65">
        <f>EXP(dataset!D65)</f>
        <v>2.0720000000000001</v>
      </c>
      <c r="E65">
        <f>EXP(dataset!G65)</f>
        <v>1.7751999999999999</v>
      </c>
      <c r="F65">
        <f>1000*EXP(dataset!M65)</f>
        <v>13891.614359902307</v>
      </c>
      <c r="G65">
        <f>EXP(dataset!L65)</f>
        <v>0.26825862972521319</v>
      </c>
      <c r="H65">
        <f>EXP(dataset!J65)</f>
        <v>0.15029713347769769</v>
      </c>
    </row>
    <row r="66" spans="1:8" x14ac:dyDescent="0.25">
      <c r="A66" s="11">
        <f>dataset!A66</f>
        <v>14</v>
      </c>
      <c r="B66" s="11">
        <f>dataset!B66</f>
        <v>2016</v>
      </c>
      <c r="C66">
        <f>EXP(dataset!C66)</f>
        <v>0.25269597786200315</v>
      </c>
      <c r="D66">
        <f>EXP(dataset!D66)</f>
        <v>2.1246</v>
      </c>
      <c r="E66">
        <f>EXP(dataset!G66)</f>
        <v>2.0150999999999999</v>
      </c>
      <c r="F66">
        <f>1000*EXP(dataset!M66)</f>
        <v>13586.597638211762</v>
      </c>
      <c r="G66">
        <f>EXP(dataset!L66)</f>
        <v>0.2764138156346686</v>
      </c>
      <c r="H66">
        <f>EXP(dataset!J66)</f>
        <v>0.21391247868167682</v>
      </c>
    </row>
    <row r="67" spans="1:8" x14ac:dyDescent="0.25">
      <c r="A67" s="11">
        <f>dataset!A67</f>
        <v>14</v>
      </c>
      <c r="B67" s="11">
        <f>dataset!B67</f>
        <v>2017</v>
      </c>
      <c r="C67">
        <f>EXP(dataset!C67)</f>
        <v>0.26294355918842177</v>
      </c>
      <c r="D67">
        <f>EXP(dataset!D67)</f>
        <v>1.9999</v>
      </c>
      <c r="E67">
        <f>EXP(dataset!G67)</f>
        <v>1.9467000000000001</v>
      </c>
      <c r="F67">
        <f>1000*EXP(dataset!M67)</f>
        <v>14172.564025057596</v>
      </c>
      <c r="G67">
        <f>EXP(dataset!L67)</f>
        <v>0.28282207884646282</v>
      </c>
      <c r="H67">
        <f>EXP(dataset!J67)</f>
        <v>0.4152029328251402</v>
      </c>
    </row>
    <row r="68" spans="1:8" x14ac:dyDescent="0.25">
      <c r="A68" s="11">
        <f>dataset!A68</f>
        <v>14</v>
      </c>
      <c r="B68" s="11">
        <f>dataset!B68</f>
        <v>2018</v>
      </c>
      <c r="C68">
        <f>EXP(dataset!C68)</f>
        <v>0.24449598312774889</v>
      </c>
      <c r="D68">
        <f>EXP(dataset!D68)</f>
        <v>2.1840000000000002</v>
      </c>
      <c r="E68">
        <f>EXP(dataset!G68)</f>
        <v>1.9276</v>
      </c>
      <c r="F68">
        <f>1000*EXP(dataset!M68)</f>
        <v>13579.52125681619</v>
      </c>
      <c r="G68">
        <f>EXP(dataset!L68)</f>
        <v>0.26596515935674553</v>
      </c>
      <c r="H68">
        <f>EXP(dataset!J68)</f>
        <v>0.55674265654701616</v>
      </c>
    </row>
    <row r="69" spans="1:8" x14ac:dyDescent="0.25">
      <c r="A69" s="11">
        <f>dataset!A69</f>
        <v>14</v>
      </c>
      <c r="B69" s="11">
        <f>dataset!B69</f>
        <v>2019</v>
      </c>
      <c r="C69">
        <f>EXP(dataset!C69)</f>
        <v>0.25369102665902882</v>
      </c>
      <c r="D69">
        <f>EXP(dataset!D69)</f>
        <v>2.02</v>
      </c>
      <c r="E69">
        <f>EXP(dataset!G69)</f>
        <v>1.8627</v>
      </c>
      <c r="F69">
        <f>1000*EXP(dataset!M69)</f>
        <v>13256.648996386366</v>
      </c>
      <c r="G69">
        <f>EXP(dataset!L69)</f>
        <v>0.26323417981679231</v>
      </c>
      <c r="H69">
        <f>EXP(dataset!J69)</f>
        <v>1.0845861651707522</v>
      </c>
    </row>
    <row r="70" spans="1:8" x14ac:dyDescent="0.25">
      <c r="A70" s="11">
        <f>dataset!A70</f>
        <v>14</v>
      </c>
      <c r="B70" s="11">
        <f>dataset!B70</f>
        <v>2020</v>
      </c>
      <c r="C70">
        <f>EXP(dataset!C70)</f>
        <v>0.24803530207658339</v>
      </c>
      <c r="D70">
        <f>EXP(dataset!D70)</f>
        <v>1.8762000000000001</v>
      </c>
      <c r="E70">
        <f>EXP(dataset!G70)</f>
        <v>1.7399</v>
      </c>
      <c r="F70">
        <f>1000*EXP(dataset!M70)</f>
        <v>13397.452031033885</v>
      </c>
      <c r="G70">
        <f>EXP(dataset!L70)</f>
        <v>0.26205953601264931</v>
      </c>
      <c r="H70">
        <f>EXP(dataset!J70)</f>
        <v>2.0073481299342029</v>
      </c>
    </row>
    <row r="71" spans="1:8" x14ac:dyDescent="0.25">
      <c r="A71" s="11">
        <f>dataset!A71</f>
        <v>14</v>
      </c>
      <c r="B71" s="11">
        <f>dataset!B71</f>
        <v>2021</v>
      </c>
      <c r="C71">
        <f>EXP(dataset!C71)</f>
        <v>0.25717581846845394</v>
      </c>
      <c r="D71">
        <f>EXP(dataset!D71)</f>
        <v>2.3498999999999999</v>
      </c>
      <c r="E71">
        <f>EXP(dataset!G71)</f>
        <v>2.1021000000000001</v>
      </c>
      <c r="F71">
        <f>1000*EXP(dataset!M71)</f>
        <v>13017.806695898505</v>
      </c>
      <c r="G71">
        <f>EXP(dataset!L71)</f>
        <v>0.26222551105922509</v>
      </c>
      <c r="H71">
        <f>EXP(dataset!J71)</f>
        <v>3.3184569634739916</v>
      </c>
    </row>
    <row r="72" spans="1:8" x14ac:dyDescent="0.25">
      <c r="A72" s="11">
        <f>dataset!A72</f>
        <v>14</v>
      </c>
      <c r="B72" s="11">
        <f>dataset!B72</f>
        <v>2022</v>
      </c>
      <c r="C72">
        <f>EXP(dataset!C72)</f>
        <v>0.28476154144317628</v>
      </c>
      <c r="D72">
        <f>EXP(dataset!D72)</f>
        <v>2.4998999999999998</v>
      </c>
      <c r="E72">
        <f>EXP(dataset!G72)</f>
        <v>2.2898999999999998</v>
      </c>
      <c r="F72">
        <f>1000*EXP(dataset!M72)</f>
        <v>13896.037187094476</v>
      </c>
      <c r="G72">
        <f>EXP(dataset!L72)</f>
        <v>0.27196026431218601</v>
      </c>
      <c r="H72">
        <f>EXP(dataset!J72)</f>
        <v>5.630345956032742</v>
      </c>
    </row>
    <row r="73" spans="1:8" x14ac:dyDescent="0.25">
      <c r="A73" s="11">
        <f>dataset!A73</f>
        <v>14</v>
      </c>
      <c r="B73" s="11">
        <f>dataset!B73</f>
        <v>2023</v>
      </c>
      <c r="C73">
        <f>EXP(dataset!C73)</f>
        <v>0.28075448167877753</v>
      </c>
      <c r="D73">
        <f>EXP(dataset!D73)</f>
        <v>2.266</v>
      </c>
      <c r="E73">
        <f>EXP(dataset!G73)</f>
        <v>1.9108000000000001</v>
      </c>
      <c r="F73">
        <f>1000*EXP(dataset!M73)</f>
        <v>15738.32771279261</v>
      </c>
      <c r="G73">
        <f>EXP(dataset!L73)</f>
        <v>0.2787703018018638</v>
      </c>
      <c r="H73">
        <f>EXP(dataset!J73)</f>
        <v>10.595774865829233</v>
      </c>
    </row>
    <row r="74" spans="1:8" x14ac:dyDescent="0.25">
      <c r="A74" s="11">
        <f>dataset!A74</f>
        <v>15</v>
      </c>
      <c r="B74" s="11">
        <f>dataset!B74</f>
        <v>2006</v>
      </c>
      <c r="C74">
        <f>EXP(dataset!C74)</f>
        <v>6.1309545859518297E-2</v>
      </c>
      <c r="D74">
        <f>EXP(dataset!D74)</f>
        <v>2.66</v>
      </c>
      <c r="E74">
        <f>EXP(dataset!G74)</f>
        <v>2.3199999999999998</v>
      </c>
      <c r="F74">
        <f>1000*EXP(dataset!M74)</f>
        <v>8712.0595624758771</v>
      </c>
      <c r="G74">
        <f>EXP(dataset!L74)</f>
        <v>5.577609903149789E-2</v>
      </c>
      <c r="H74">
        <f>EXP(dataset!J74)</f>
        <v>9.9999999999999805E-6</v>
      </c>
    </row>
    <row r="75" spans="1:8" x14ac:dyDescent="0.25">
      <c r="A75" s="11">
        <f>dataset!A75</f>
        <v>15</v>
      </c>
      <c r="B75" s="11">
        <f>dataset!B75</f>
        <v>2007</v>
      </c>
      <c r="C75">
        <f>EXP(dataset!C75)</f>
        <v>6.8374097038544066E-2</v>
      </c>
      <c r="D75">
        <f>EXP(dataset!D75)</f>
        <v>2.5177</v>
      </c>
      <c r="E75">
        <f>EXP(dataset!G75)</f>
        <v>2.0390999999999999</v>
      </c>
      <c r="F75">
        <f>1000*EXP(dataset!M75)</f>
        <v>9093.8489009528585</v>
      </c>
      <c r="G75">
        <f>EXP(dataset!L75)</f>
        <v>6.3187554064050605E-2</v>
      </c>
      <c r="H75">
        <f>EXP(dataset!J75)</f>
        <v>9.9999999999999805E-6</v>
      </c>
    </row>
    <row r="76" spans="1:8" x14ac:dyDescent="0.25">
      <c r="A76" s="11">
        <f>dataset!A76</f>
        <v>15</v>
      </c>
      <c r="B76" s="11">
        <f>dataset!B76</f>
        <v>2008</v>
      </c>
      <c r="C76">
        <f>EXP(dataset!C76)</f>
        <v>7.6361408675010067E-2</v>
      </c>
      <c r="D76">
        <f>EXP(dataset!D76)</f>
        <v>2.4859</v>
      </c>
      <c r="E76">
        <f>EXP(dataset!G76)</f>
        <v>1.9435</v>
      </c>
      <c r="F76">
        <f>1000*EXP(dataset!M76)</f>
        <v>9687.2614131549744</v>
      </c>
      <c r="G76">
        <f>EXP(dataset!L76)</f>
        <v>7.269531201982106E-2</v>
      </c>
      <c r="H76">
        <f>EXP(dataset!J76)</f>
        <v>9.9999999999999805E-6</v>
      </c>
    </row>
    <row r="77" spans="1:8" x14ac:dyDescent="0.25">
      <c r="A77" s="11">
        <f>dataset!A77</f>
        <v>15</v>
      </c>
      <c r="B77" s="11">
        <f>dataset!B77</f>
        <v>2009</v>
      </c>
      <c r="C77">
        <f>EXP(dataset!C77)</f>
        <v>7.8774738864920271E-2</v>
      </c>
      <c r="D77">
        <f>EXP(dataset!D77)</f>
        <v>2.3919000000000001</v>
      </c>
      <c r="E77">
        <f>EXP(dataset!G77)</f>
        <v>1.8199000000000001</v>
      </c>
      <c r="F77">
        <f>1000*EXP(dataset!M77)</f>
        <v>8997.3322197087327</v>
      </c>
      <c r="G77">
        <f>EXP(dataset!L77)</f>
        <v>8.3181985783916626E-2</v>
      </c>
      <c r="H77">
        <f>EXP(dataset!J77)</f>
        <v>9.9999999999999805E-6</v>
      </c>
    </row>
    <row r="78" spans="1:8" x14ac:dyDescent="0.25">
      <c r="A78" s="11">
        <f>dataset!A78</f>
        <v>15</v>
      </c>
      <c r="B78" s="11">
        <f>dataset!B78</f>
        <v>2010</v>
      </c>
      <c r="C78">
        <f>EXP(dataset!C78)</f>
        <v>8.928015348542015E-2</v>
      </c>
      <c r="D78">
        <f>EXP(dataset!D78)</f>
        <v>2.2665999999999999</v>
      </c>
      <c r="E78">
        <f>EXP(dataset!G78)</f>
        <v>1.7428999999999999</v>
      </c>
      <c r="F78">
        <f>1000*EXP(dataset!M78)</f>
        <v>10937.386223932199</v>
      </c>
      <c r="G78">
        <f>EXP(dataset!L78)</f>
        <v>9.4010348942816707E-2</v>
      </c>
      <c r="H78">
        <f>EXP(dataset!J78)</f>
        <v>1.3227852672399994E-4</v>
      </c>
    </row>
    <row r="79" spans="1:8" x14ac:dyDescent="0.25">
      <c r="A79" s="11">
        <f>dataset!A79</f>
        <v>15</v>
      </c>
      <c r="B79" s="11">
        <f>dataset!B79</f>
        <v>2011</v>
      </c>
      <c r="C79">
        <f>EXP(dataset!C79)</f>
        <v>9.9965307046425853E-2</v>
      </c>
      <c r="D79">
        <f>EXP(dataset!D79)</f>
        <v>2.1667000000000001</v>
      </c>
      <c r="E79">
        <f>EXP(dataset!G79)</f>
        <v>1.7979000000000001</v>
      </c>
      <c r="F79">
        <f>1000*EXP(dataset!M79)</f>
        <v>11852.624100066158</v>
      </c>
      <c r="G79">
        <f>EXP(dataset!L79)</f>
        <v>0.10595111485287362</v>
      </c>
      <c r="H79">
        <f>EXP(dataset!J79)</f>
        <v>7.8037685178540008E-4</v>
      </c>
    </row>
    <row r="80" spans="1:8" x14ac:dyDescent="0.25">
      <c r="A80" s="11">
        <f>dataset!A80</f>
        <v>15</v>
      </c>
      <c r="B80" s="11">
        <f>dataset!B80</f>
        <v>2012</v>
      </c>
      <c r="C80">
        <f>EXP(dataset!C80)</f>
        <v>0.11693994234425953</v>
      </c>
      <c r="D80">
        <f>EXP(dataset!D80)</f>
        <v>2.0615999999999999</v>
      </c>
      <c r="E80">
        <f>EXP(dataset!G80)</f>
        <v>1.6987000000000001</v>
      </c>
      <c r="F80">
        <f>1000*EXP(dataset!M80)</f>
        <v>11775.28732567599</v>
      </c>
      <c r="G80">
        <f>EXP(dataset!L80)</f>
        <v>0.11957015216759326</v>
      </c>
      <c r="H80">
        <f>EXP(dataset!J80)</f>
        <v>1.1571777873808984E-3</v>
      </c>
    </row>
    <row r="81" spans="1:8" x14ac:dyDescent="0.25">
      <c r="A81" s="11">
        <f>dataset!A81</f>
        <v>15</v>
      </c>
      <c r="B81" s="11">
        <f>dataset!B81</f>
        <v>2013</v>
      </c>
      <c r="C81">
        <f>EXP(dataset!C81)</f>
        <v>0.12499580031956206</v>
      </c>
      <c r="D81">
        <f>EXP(dataset!D81)</f>
        <v>2.0425</v>
      </c>
      <c r="E81">
        <f>EXP(dataset!G81)</f>
        <v>1.7341</v>
      </c>
      <c r="F81">
        <f>1000*EXP(dataset!M81)</f>
        <v>12101.167478061152</v>
      </c>
      <c r="G81">
        <f>EXP(dataset!L81)</f>
        <v>0.13168150085311103</v>
      </c>
      <c r="H81">
        <f>EXP(dataset!J81)</f>
        <v>2.6349951955253995E-3</v>
      </c>
    </row>
    <row r="82" spans="1:8" x14ac:dyDescent="0.25">
      <c r="A82" s="11">
        <f>dataset!A82</f>
        <v>15</v>
      </c>
      <c r="B82" s="11">
        <f>dataset!B82</f>
        <v>2014</v>
      </c>
      <c r="C82">
        <f>EXP(dataset!C82)</f>
        <v>0.13608182960354839</v>
      </c>
      <c r="D82">
        <f>EXP(dataset!D82)</f>
        <v>2.0097</v>
      </c>
      <c r="E82">
        <f>EXP(dataset!G82)</f>
        <v>1.7326999999999999</v>
      </c>
      <c r="F82">
        <f>1000*EXP(dataset!M82)</f>
        <v>11382.799909820795</v>
      </c>
      <c r="G82">
        <f>EXP(dataset!L82)</f>
        <v>0.14407789818185063</v>
      </c>
      <c r="H82">
        <f>EXP(dataset!J82)</f>
        <v>4.9542205252365024E-3</v>
      </c>
    </row>
    <row r="83" spans="1:8" x14ac:dyDescent="0.25">
      <c r="A83" s="11">
        <f>dataset!A83</f>
        <v>15</v>
      </c>
      <c r="B83" s="11">
        <f>dataset!B83</f>
        <v>2015</v>
      </c>
      <c r="C83">
        <f>EXP(dataset!C83)</f>
        <v>0.13846490684593599</v>
      </c>
      <c r="D83">
        <f>EXP(dataset!D83)</f>
        <v>2.0604</v>
      </c>
      <c r="E83">
        <f>EXP(dataset!G83)</f>
        <v>1.7112000000000001</v>
      </c>
      <c r="F83">
        <f>1000*EXP(dataset!M83)</f>
        <v>10980.86894270453</v>
      </c>
      <c r="G83">
        <f>EXP(dataset!L83)</f>
        <v>0.15450171759093714</v>
      </c>
      <c r="H83">
        <f>EXP(dataset!J83)</f>
        <v>7.3393480921915026E-3</v>
      </c>
    </row>
    <row r="84" spans="1:8" x14ac:dyDescent="0.25">
      <c r="A84" s="11">
        <f>dataset!A84</f>
        <v>15</v>
      </c>
      <c r="B84" s="11">
        <f>dataset!B84</f>
        <v>2016</v>
      </c>
      <c r="C84">
        <f>EXP(dataset!C84)</f>
        <v>0.13956533059727363</v>
      </c>
      <c r="D84">
        <f>EXP(dataset!D84)</f>
        <v>2.1793999999999998</v>
      </c>
      <c r="E84">
        <f>EXP(dataset!G84)</f>
        <v>1.9383999999999999</v>
      </c>
      <c r="F84">
        <f>1000*EXP(dataset!M84)</f>
        <v>10590.6122224433</v>
      </c>
      <c r="G84">
        <f>EXP(dataset!L84)</f>
        <v>0.16201507508288673</v>
      </c>
      <c r="H84">
        <f>EXP(dataset!J84)</f>
        <v>1.0274729339453299E-2</v>
      </c>
    </row>
    <row r="85" spans="1:8" x14ac:dyDescent="0.25">
      <c r="A85" s="11">
        <f>dataset!A85</f>
        <v>15</v>
      </c>
      <c r="B85" s="11">
        <f>dataset!B85</f>
        <v>2017</v>
      </c>
      <c r="C85">
        <f>EXP(dataset!C85)</f>
        <v>0.13793587571958507</v>
      </c>
      <c r="D85">
        <f>EXP(dataset!D85)</f>
        <v>2.1381999999999999</v>
      </c>
      <c r="E85">
        <f>EXP(dataset!G85)</f>
        <v>1.9148000000000001</v>
      </c>
      <c r="F85">
        <f>1000*EXP(dataset!M85)</f>
        <v>11353.383793255784</v>
      </c>
      <c r="G85">
        <f>EXP(dataset!L85)</f>
        <v>0.16804990015093288</v>
      </c>
      <c r="H85">
        <f>EXP(dataset!J85)</f>
        <v>2.0677386397482893E-2</v>
      </c>
    </row>
    <row r="86" spans="1:8" x14ac:dyDescent="0.25">
      <c r="A86" s="11">
        <f>dataset!A86</f>
        <v>15</v>
      </c>
      <c r="B86" s="11">
        <f>dataset!B86</f>
        <v>2018</v>
      </c>
      <c r="C86">
        <f>EXP(dataset!C86)</f>
        <v>0.1334995172958891</v>
      </c>
      <c r="D86">
        <f>EXP(dataset!D86)</f>
        <v>2.3018999999999998</v>
      </c>
      <c r="E86">
        <f>EXP(dataset!G86)</f>
        <v>1.8916999999999999</v>
      </c>
      <c r="F86">
        <f>1000*EXP(dataset!M86)</f>
        <v>11098.489817897389</v>
      </c>
      <c r="G86">
        <f>EXP(dataset!L86)</f>
        <v>0.17317783749732923</v>
      </c>
      <c r="H86">
        <f>EXP(dataset!J86)</f>
        <v>3.089212341297581E-2</v>
      </c>
    </row>
    <row r="87" spans="1:8" x14ac:dyDescent="0.25">
      <c r="A87" s="11">
        <f>dataset!A87</f>
        <v>15</v>
      </c>
      <c r="B87" s="11">
        <f>dataset!B87</f>
        <v>2019</v>
      </c>
      <c r="C87">
        <f>EXP(dataset!C87)</f>
        <v>0.13676443022179224</v>
      </c>
      <c r="D87">
        <f>EXP(dataset!D87)</f>
        <v>2.2313000000000001</v>
      </c>
      <c r="E87">
        <f>EXP(dataset!G87)</f>
        <v>1.8480000000000001</v>
      </c>
      <c r="F87">
        <f>1000*EXP(dataset!M87)</f>
        <v>11650.132641439795</v>
      </c>
      <c r="G87">
        <f>EXP(dataset!L87)</f>
        <v>0.17992738465615807</v>
      </c>
      <c r="H87">
        <f>EXP(dataset!J87)</f>
        <v>6.7070679360887286E-2</v>
      </c>
    </row>
    <row r="88" spans="1:8" x14ac:dyDescent="0.25">
      <c r="A88" s="11">
        <f>dataset!A88</f>
        <v>15</v>
      </c>
      <c r="B88" s="11">
        <f>dataset!B88</f>
        <v>2020</v>
      </c>
      <c r="C88">
        <f>EXP(dataset!C88)</f>
        <v>0.13908763402907337</v>
      </c>
      <c r="D88">
        <f>EXP(dataset!D88)</f>
        <v>2.0596000000000001</v>
      </c>
      <c r="E88">
        <f>EXP(dataset!G88)</f>
        <v>1.8057000000000001</v>
      </c>
      <c r="F88">
        <f>1000*EXP(dataset!M88)</f>
        <v>13111.879817184838</v>
      </c>
      <c r="G88">
        <f>EXP(dataset!L88)</f>
        <v>0.18647630323982586</v>
      </c>
      <c r="H88">
        <f>EXP(dataset!J88)</f>
        <v>0.14268051818342384</v>
      </c>
    </row>
    <row r="89" spans="1:8" x14ac:dyDescent="0.25">
      <c r="A89" s="11">
        <f>dataset!A89</f>
        <v>15</v>
      </c>
      <c r="B89" s="11">
        <f>dataset!B89</f>
        <v>2021</v>
      </c>
      <c r="C89">
        <f>EXP(dataset!C89)</f>
        <v>0.14184330083521651</v>
      </c>
      <c r="D89">
        <f>EXP(dataset!D89)</f>
        <v>2.4950999999999999</v>
      </c>
      <c r="E89">
        <f>EXP(dataset!G89)</f>
        <v>2.2302</v>
      </c>
      <c r="F89">
        <f>1000*EXP(dataset!M89)</f>
        <v>13982.14243320477</v>
      </c>
      <c r="G89">
        <f>EXP(dataset!L89)</f>
        <v>0.19329315616368192</v>
      </c>
      <c r="H89">
        <f>EXP(dataset!J89)</f>
        <v>0.26512101230425816</v>
      </c>
    </row>
    <row r="90" spans="1:8" x14ac:dyDescent="0.25">
      <c r="A90" s="11">
        <f>dataset!A90</f>
        <v>15</v>
      </c>
      <c r="B90" s="11">
        <f>dataset!B90</f>
        <v>2022</v>
      </c>
      <c r="C90">
        <f>EXP(dataset!C90)</f>
        <v>0.1482898259156416</v>
      </c>
      <c r="D90">
        <f>EXP(dataset!D90)</f>
        <v>2.4958999999999998</v>
      </c>
      <c r="E90">
        <f>EXP(dataset!G90)</f>
        <v>2.2132000000000001</v>
      </c>
      <c r="F90">
        <f>1000*EXP(dataset!M90)</f>
        <v>11567.711120533339</v>
      </c>
      <c r="G90">
        <f>EXP(dataset!L90)</f>
        <v>0.20203713653811883</v>
      </c>
      <c r="H90">
        <f>EXP(dataset!J90)</f>
        <v>0.34863356151741737</v>
      </c>
    </row>
    <row r="91" spans="1:8" x14ac:dyDescent="0.25">
      <c r="A91" s="11">
        <f>dataset!A91</f>
        <v>15</v>
      </c>
      <c r="B91" s="11">
        <f>dataset!B91</f>
        <v>2023</v>
      </c>
      <c r="C91">
        <f>EXP(dataset!C91)</f>
        <v>0.15769679908817513</v>
      </c>
      <c r="D91">
        <f>EXP(dataset!D91)</f>
        <v>2.1347</v>
      </c>
      <c r="E91">
        <f>EXP(dataset!G91)</f>
        <v>1.7564</v>
      </c>
      <c r="F91">
        <f>1000*EXP(dataset!M91)</f>
        <v>11857.498044667014</v>
      </c>
      <c r="G91">
        <f>EXP(dataset!L91)</f>
        <v>0.21257897233763587</v>
      </c>
      <c r="H91">
        <f>EXP(dataset!J91)</f>
        <v>0.59370244740760181</v>
      </c>
    </row>
    <row r="92" spans="1:8" x14ac:dyDescent="0.25">
      <c r="A92" s="11">
        <f>dataset!A92</f>
        <v>16</v>
      </c>
      <c r="B92" s="11">
        <f>dataset!B92</f>
        <v>2006</v>
      </c>
      <c r="C92">
        <f>EXP(dataset!C92)</f>
        <v>0.10499136775943416</v>
      </c>
      <c r="D92">
        <f>EXP(dataset!D92)</f>
        <v>2.58</v>
      </c>
      <c r="E92">
        <f>EXP(dataset!G92)</f>
        <v>2.19</v>
      </c>
      <c r="F92">
        <f>1000*EXP(dataset!M92)</f>
        <v>11554.28503755796</v>
      </c>
      <c r="G92">
        <f>EXP(dataset!L92)</f>
        <v>7.8143296817521093E-2</v>
      </c>
      <c r="H92">
        <f>EXP(dataset!J92)</f>
        <v>9.9999999999999805E-6</v>
      </c>
    </row>
    <row r="93" spans="1:8" x14ac:dyDescent="0.25">
      <c r="A93" s="11">
        <f>dataset!A93</f>
        <v>16</v>
      </c>
      <c r="B93" s="11">
        <f>dataset!B93</f>
        <v>2007</v>
      </c>
      <c r="C93">
        <f>EXP(dataset!C93)</f>
        <v>0.11773336696829627</v>
      </c>
      <c r="D93">
        <f>EXP(dataset!D93)</f>
        <v>2.3357999999999999</v>
      </c>
      <c r="E93">
        <f>EXP(dataset!G93)</f>
        <v>1.9146000000000001</v>
      </c>
      <c r="F93">
        <f>1000*EXP(dataset!M93)</f>
        <v>12385.045636351799</v>
      </c>
      <c r="G93">
        <f>EXP(dataset!L93)</f>
        <v>9.0830675086257459E-2</v>
      </c>
      <c r="H93">
        <f>EXP(dataset!J93)</f>
        <v>9.9999999999999805E-6</v>
      </c>
    </row>
    <row r="94" spans="1:8" x14ac:dyDescent="0.25">
      <c r="A94" s="11">
        <f>dataset!A94</f>
        <v>16</v>
      </c>
      <c r="B94" s="11">
        <f>dataset!B94</f>
        <v>2008</v>
      </c>
      <c r="C94">
        <f>EXP(dataset!C94)</f>
        <v>0.13456328302612999</v>
      </c>
      <c r="D94">
        <f>EXP(dataset!D94)</f>
        <v>2.3593999999999999</v>
      </c>
      <c r="E94">
        <f>EXP(dataset!G94)</f>
        <v>1.9345000000000001</v>
      </c>
      <c r="F94">
        <f>1000*EXP(dataset!M94)</f>
        <v>13188.931448416914</v>
      </c>
      <c r="G94">
        <f>EXP(dataset!L94)</f>
        <v>0.10570710052416475</v>
      </c>
      <c r="H94">
        <f>EXP(dataset!J94)</f>
        <v>9.9999999999999805E-6</v>
      </c>
    </row>
    <row r="95" spans="1:8" x14ac:dyDescent="0.25">
      <c r="A95" s="11">
        <f>dataset!A95</f>
        <v>16</v>
      </c>
      <c r="B95" s="11">
        <f>dataset!B95</f>
        <v>2009</v>
      </c>
      <c r="C95">
        <f>EXP(dataset!C95)</f>
        <v>0.1372529759387433</v>
      </c>
      <c r="D95">
        <f>EXP(dataset!D95)</f>
        <v>2.3485</v>
      </c>
      <c r="E95">
        <f>EXP(dataset!G95)</f>
        <v>1.7505999999999999</v>
      </c>
      <c r="F95">
        <f>1000*EXP(dataset!M95)</f>
        <v>12961.223503811792</v>
      </c>
      <c r="G95">
        <f>EXP(dataset!L95)</f>
        <v>0.11996635860640363</v>
      </c>
      <c r="H95">
        <f>EXP(dataset!J95)</f>
        <v>9.9999999999999805E-6</v>
      </c>
    </row>
    <row r="96" spans="1:8" x14ac:dyDescent="0.25">
      <c r="A96" s="11">
        <f>dataset!A96</f>
        <v>16</v>
      </c>
      <c r="B96" s="11">
        <f>dataset!B96</f>
        <v>2010</v>
      </c>
      <c r="C96">
        <f>EXP(dataset!C96)</f>
        <v>0.15164411503999473</v>
      </c>
      <c r="D96">
        <f>EXP(dataset!D96)</f>
        <v>2.3319999999999999</v>
      </c>
      <c r="E96">
        <f>EXP(dataset!G96)</f>
        <v>1.7838000000000001</v>
      </c>
      <c r="F96">
        <f>1000*EXP(dataset!M96)</f>
        <v>12567.979080308609</v>
      </c>
      <c r="G96">
        <f>EXP(dataset!L96)</f>
        <v>0.13349118709179361</v>
      </c>
      <c r="H96">
        <f>EXP(dataset!J96)</f>
        <v>1.5256484387276004E-3</v>
      </c>
    </row>
    <row r="97" spans="1:8" x14ac:dyDescent="0.25">
      <c r="A97" s="11">
        <f>dataset!A97</f>
        <v>16</v>
      </c>
      <c r="B97" s="11">
        <f>dataset!B97</f>
        <v>2011</v>
      </c>
      <c r="C97">
        <f>EXP(dataset!C97)</f>
        <v>0.16003822834421283</v>
      </c>
      <c r="D97">
        <f>EXP(dataset!D97)</f>
        <v>2.1513</v>
      </c>
      <c r="E97">
        <f>EXP(dataset!G97)</f>
        <v>1.7518</v>
      </c>
      <c r="F97">
        <f>1000*EXP(dataset!M97)</f>
        <v>12694.00699903114</v>
      </c>
      <c r="G97">
        <f>EXP(dataset!L97)</f>
        <v>0.14430177010677928</v>
      </c>
      <c r="H97">
        <f>EXP(dataset!J97)</f>
        <v>8.7679688561745992E-3</v>
      </c>
    </row>
    <row r="98" spans="1:8" x14ac:dyDescent="0.25">
      <c r="A98" s="11">
        <f>dataset!A98</f>
        <v>16</v>
      </c>
      <c r="B98" s="11">
        <f>dataset!B98</f>
        <v>2012</v>
      </c>
      <c r="C98">
        <f>EXP(dataset!C98)</f>
        <v>0.18320087832557019</v>
      </c>
      <c r="D98">
        <f>EXP(dataset!D98)</f>
        <v>1.9673</v>
      </c>
      <c r="E98">
        <f>EXP(dataset!G98)</f>
        <v>1.6551</v>
      </c>
      <c r="F98">
        <f>1000*EXP(dataset!M98)</f>
        <v>13627.02981611848</v>
      </c>
      <c r="G98">
        <f>EXP(dataset!L98)</f>
        <v>0.1526248135562164</v>
      </c>
      <c r="H98">
        <f>EXP(dataset!J98)</f>
        <v>1.43143019916919E-2</v>
      </c>
    </row>
    <row r="99" spans="1:8" x14ac:dyDescent="0.25">
      <c r="A99" s="11">
        <f>dataset!A99</f>
        <v>16</v>
      </c>
      <c r="B99" s="11">
        <f>dataset!B99</f>
        <v>2013</v>
      </c>
      <c r="C99">
        <f>EXP(dataset!C99)</f>
        <v>0.18761979657032152</v>
      </c>
      <c r="D99">
        <f>EXP(dataset!D99)</f>
        <v>1.9534</v>
      </c>
      <c r="E99">
        <f>EXP(dataset!G99)</f>
        <v>1.6587000000000001</v>
      </c>
      <c r="F99">
        <f>1000*EXP(dataset!M99)</f>
        <v>13815.271517259951</v>
      </c>
      <c r="G99">
        <f>EXP(dataset!L99)</f>
        <v>0.15603894442962948</v>
      </c>
      <c r="H99">
        <f>EXP(dataset!J99)</f>
        <v>3.2653238929191405E-2</v>
      </c>
    </row>
    <row r="100" spans="1:8" x14ac:dyDescent="0.25">
      <c r="A100" s="11">
        <f>dataset!A100</f>
        <v>16</v>
      </c>
      <c r="B100" s="11">
        <f>dataset!B100</f>
        <v>2014</v>
      </c>
      <c r="C100">
        <f>EXP(dataset!C100)</f>
        <v>0.20563980865933701</v>
      </c>
      <c r="D100">
        <f>EXP(dataset!D100)</f>
        <v>1.9066000000000001</v>
      </c>
      <c r="E100">
        <f>EXP(dataset!G100)</f>
        <v>1.8036000000000001</v>
      </c>
      <c r="F100">
        <f>1000*EXP(dataset!M100)</f>
        <v>13164.159997709456</v>
      </c>
      <c r="G100">
        <f>EXP(dataset!L100)</f>
        <v>0.16404851700332385</v>
      </c>
      <c r="H100">
        <f>EXP(dataset!J100)</f>
        <v>6.1258842580755118E-2</v>
      </c>
    </row>
    <row r="101" spans="1:8" x14ac:dyDescent="0.25">
      <c r="A101" s="11">
        <f>dataset!A101</f>
        <v>16</v>
      </c>
      <c r="B101" s="11">
        <f>dataset!B101</f>
        <v>2015</v>
      </c>
      <c r="C101">
        <f>EXP(dataset!C101)</f>
        <v>0.20054445211098773</v>
      </c>
      <c r="D101">
        <f>EXP(dataset!D101)</f>
        <v>1.944</v>
      </c>
      <c r="E101">
        <f>EXP(dataset!G101)</f>
        <v>1.6588000000000001</v>
      </c>
      <c r="F101">
        <f>1000*EXP(dataset!M101)</f>
        <v>12398.885355800792</v>
      </c>
      <c r="G101">
        <f>EXP(dataset!L101)</f>
        <v>0.16955335935900151</v>
      </c>
      <c r="H101">
        <f>EXP(dataset!J101)</f>
        <v>8.7389898510328343E-2</v>
      </c>
    </row>
    <row r="102" spans="1:8" x14ac:dyDescent="0.25">
      <c r="A102" s="11">
        <f>dataset!A102</f>
        <v>16</v>
      </c>
      <c r="B102" s="11">
        <f>dataset!B102</f>
        <v>2016</v>
      </c>
      <c r="C102">
        <f>EXP(dataset!C102)</f>
        <v>0.19370913785720215</v>
      </c>
      <c r="D102">
        <f>EXP(dataset!D102)</f>
        <v>1.9986999999999999</v>
      </c>
      <c r="E102">
        <f>EXP(dataset!G102)</f>
        <v>2.0042</v>
      </c>
      <c r="F102">
        <f>1000*EXP(dataset!M102)</f>
        <v>11630.423946465216</v>
      </c>
      <c r="G102">
        <f>EXP(dataset!L102)</f>
        <v>0.17094574297419762</v>
      </c>
      <c r="H102">
        <f>EXP(dataset!J102)</f>
        <v>0.12015927495382178</v>
      </c>
    </row>
    <row r="103" spans="1:8" x14ac:dyDescent="0.25">
      <c r="A103" s="11">
        <f>dataset!A103</f>
        <v>16</v>
      </c>
      <c r="B103" s="11">
        <f>dataset!B103</f>
        <v>2017</v>
      </c>
      <c r="C103">
        <f>EXP(dataset!C103)</f>
        <v>0.19396273388473664</v>
      </c>
      <c r="D103">
        <f>EXP(dataset!D103)</f>
        <v>1.968</v>
      </c>
      <c r="E103">
        <f>EXP(dataset!G103)</f>
        <v>1.9893000000000001</v>
      </c>
      <c r="F103">
        <f>1000*EXP(dataset!M103)</f>
        <v>11875.893888723145</v>
      </c>
      <c r="G103">
        <f>EXP(dataset!L103)</f>
        <v>0.17371089176429885</v>
      </c>
      <c r="H103">
        <f>EXP(dataset!J103)</f>
        <v>0.22689608660661223</v>
      </c>
    </row>
    <row r="104" spans="1:8" x14ac:dyDescent="0.25">
      <c r="A104" s="11">
        <f>dataset!A104</f>
        <v>16</v>
      </c>
      <c r="B104" s="11">
        <f>dataset!B104</f>
        <v>2018</v>
      </c>
      <c r="C104">
        <f>EXP(dataset!C104)</f>
        <v>0.19048986490559303</v>
      </c>
      <c r="D104">
        <f>EXP(dataset!D104)</f>
        <v>2.0865999999999998</v>
      </c>
      <c r="E104">
        <f>EXP(dataset!G104)</f>
        <v>1.9685999999999999</v>
      </c>
      <c r="F104">
        <f>1000*EXP(dataset!M104)</f>
        <v>11857.03464111856</v>
      </c>
      <c r="G104">
        <f>EXP(dataset!L104)</f>
        <v>0.17447383585655826</v>
      </c>
      <c r="H104">
        <f>EXP(dataset!J104)</f>
        <v>0.33876073847429883</v>
      </c>
    </row>
    <row r="105" spans="1:8" x14ac:dyDescent="0.25">
      <c r="A105" s="11">
        <f>dataset!A105</f>
        <v>16</v>
      </c>
      <c r="B105" s="11">
        <f>dataset!B105</f>
        <v>2019</v>
      </c>
      <c r="C105">
        <f>EXP(dataset!C105)</f>
        <v>0.20109598678539628</v>
      </c>
      <c r="D105">
        <f>EXP(dataset!D105)</f>
        <v>1.9414</v>
      </c>
      <c r="E105">
        <f>EXP(dataset!G105)</f>
        <v>1.8233999999999999</v>
      </c>
      <c r="F105">
        <f>1000*EXP(dataset!M105)</f>
        <v>11624.066579207814</v>
      </c>
      <c r="G105">
        <f>EXP(dataset!L105)</f>
        <v>0.18021687747049583</v>
      </c>
      <c r="H105">
        <f>EXP(dataset!J105)</f>
        <v>0.68106762079195393</v>
      </c>
    </row>
    <row r="106" spans="1:8" x14ac:dyDescent="0.25">
      <c r="A106" s="11">
        <f>dataset!A106</f>
        <v>16</v>
      </c>
      <c r="B106" s="11">
        <f>dataset!B106</f>
        <v>2020</v>
      </c>
      <c r="C106">
        <f>EXP(dataset!C106)</f>
        <v>0.20115224078730712</v>
      </c>
      <c r="D106">
        <f>EXP(dataset!D106)</f>
        <v>1.6598999999999999</v>
      </c>
      <c r="E106">
        <f>EXP(dataset!G106)</f>
        <v>1.7822</v>
      </c>
      <c r="F106">
        <f>1000*EXP(dataset!M106)</f>
        <v>11309.695535715324</v>
      </c>
      <c r="G106">
        <f>EXP(dataset!L106)</f>
        <v>0.184730781771998</v>
      </c>
      <c r="H106">
        <f>EXP(dataset!J106)</f>
        <v>1.240465876744804</v>
      </c>
    </row>
    <row r="107" spans="1:8" x14ac:dyDescent="0.25">
      <c r="A107" s="11">
        <f>dataset!A107</f>
        <v>16</v>
      </c>
      <c r="B107" s="11">
        <f>dataset!B107</f>
        <v>2021</v>
      </c>
      <c r="C107">
        <f>EXP(dataset!C107)</f>
        <v>0.21690275782149993</v>
      </c>
      <c r="D107">
        <f>EXP(dataset!D107)</f>
        <v>2.1490999999999998</v>
      </c>
      <c r="E107">
        <f>EXP(dataset!G107)</f>
        <v>2.2686999999999999</v>
      </c>
      <c r="F107">
        <f>1000*EXP(dataset!M107)</f>
        <v>10690.965410038367</v>
      </c>
      <c r="G107">
        <f>EXP(dataset!L107)</f>
        <v>0.18713715498744882</v>
      </c>
      <c r="H107">
        <f>EXP(dataset!J107)</f>
        <v>2.0270893890587307</v>
      </c>
    </row>
    <row r="108" spans="1:8" x14ac:dyDescent="0.25">
      <c r="A108" s="11">
        <f>dataset!A108</f>
        <v>16</v>
      </c>
      <c r="B108" s="11">
        <f>dataset!B108</f>
        <v>2022</v>
      </c>
      <c r="C108">
        <f>EXP(dataset!C108)</f>
        <v>0.22318572081316021</v>
      </c>
      <c r="D108">
        <f>EXP(dataset!D108)</f>
        <v>2.2172000000000001</v>
      </c>
      <c r="E108">
        <f>EXP(dataset!G108)</f>
        <v>2.3504999999999998</v>
      </c>
      <c r="F108">
        <f>1000*EXP(dataset!M108)</f>
        <v>11569.072293026655</v>
      </c>
      <c r="G108">
        <f>EXP(dataset!L108)</f>
        <v>0.19170522770287132</v>
      </c>
      <c r="H108">
        <f>EXP(dataset!J108)</f>
        <v>3.4867304837097897</v>
      </c>
    </row>
    <row r="109" spans="1:8" x14ac:dyDescent="0.25">
      <c r="A109" s="11">
        <f>dataset!A109</f>
        <v>16</v>
      </c>
      <c r="B109" s="11">
        <f>dataset!B109</f>
        <v>2023</v>
      </c>
      <c r="C109">
        <f>EXP(dataset!C109)</f>
        <v>0.22707424570966919</v>
      </c>
      <c r="D109">
        <f>EXP(dataset!D109)</f>
        <v>2.0188999999999999</v>
      </c>
      <c r="E109">
        <f>EXP(dataset!G109)</f>
        <v>2.0613999999999999</v>
      </c>
      <c r="F109">
        <f>1000*EXP(dataset!M109)</f>
        <v>13054.044538310167</v>
      </c>
      <c r="G109">
        <f>EXP(dataset!L109)</f>
        <v>0.19570471266947961</v>
      </c>
      <c r="H109">
        <f>EXP(dataset!J109)</f>
        <v>6.5370499297526381</v>
      </c>
    </row>
    <row r="110" spans="1:8" x14ac:dyDescent="0.25">
      <c r="A110" s="11">
        <f>dataset!A110</f>
        <v>17</v>
      </c>
      <c r="B110" s="11">
        <f>dataset!B110</f>
        <v>2006</v>
      </c>
      <c r="C110">
        <f>EXP(dataset!C110)</f>
        <v>0.10001168532040056</v>
      </c>
      <c r="D110">
        <f>EXP(dataset!D110)</f>
        <v>2.7500000000000004</v>
      </c>
      <c r="E110">
        <f>EXP(dataset!G110)</f>
        <v>2.02</v>
      </c>
      <c r="F110">
        <f>1000*EXP(dataset!M110)</f>
        <v>8751.2708396844646</v>
      </c>
      <c r="G110">
        <f>EXP(dataset!L110)</f>
        <v>0.12117459609843875</v>
      </c>
      <c r="H110">
        <f>EXP(dataset!J110)</f>
        <v>9.9999999999999805E-6</v>
      </c>
    </row>
    <row r="111" spans="1:8" x14ac:dyDescent="0.25">
      <c r="A111" s="11">
        <f>dataset!A111</f>
        <v>17</v>
      </c>
      <c r="B111" s="11">
        <f>dataset!B111</f>
        <v>2007</v>
      </c>
      <c r="C111">
        <f>EXP(dataset!C111)</f>
        <v>0.1202076959640315</v>
      </c>
      <c r="D111">
        <f>EXP(dataset!D111)</f>
        <v>2.6133999999999999</v>
      </c>
      <c r="E111">
        <f>EXP(dataset!G111)</f>
        <v>1.6657</v>
      </c>
      <c r="F111">
        <f>1000*EXP(dataset!M111)</f>
        <v>9874.4735281983485</v>
      </c>
      <c r="G111">
        <f>EXP(dataset!L111)</f>
        <v>0.13881377169288092</v>
      </c>
      <c r="H111">
        <f>EXP(dataset!J111)</f>
        <v>9.9999999999999805E-6</v>
      </c>
    </row>
    <row r="112" spans="1:8" x14ac:dyDescent="0.25">
      <c r="A112" s="11">
        <f>dataset!A112</f>
        <v>17</v>
      </c>
      <c r="B112" s="11">
        <f>dataset!B112</f>
        <v>2008</v>
      </c>
      <c r="C112">
        <f>EXP(dataset!C112)</f>
        <v>0.13595523044279897</v>
      </c>
      <c r="D112">
        <f>EXP(dataset!D112)</f>
        <v>2.4769000000000001</v>
      </c>
      <c r="E112">
        <f>EXP(dataset!G112)</f>
        <v>1.5729</v>
      </c>
      <c r="F112">
        <f>1000*EXP(dataset!M112)</f>
        <v>11009.470299950099</v>
      </c>
      <c r="G112">
        <f>EXP(dataset!L112)</f>
        <v>0.15852709031458484</v>
      </c>
      <c r="H112">
        <f>EXP(dataset!J112)</f>
        <v>9.9999999999999805E-6</v>
      </c>
    </row>
    <row r="113" spans="1:8" x14ac:dyDescent="0.25">
      <c r="A113" s="11">
        <f>dataset!A113</f>
        <v>17</v>
      </c>
      <c r="B113" s="11">
        <f>dataset!B113</f>
        <v>2009</v>
      </c>
      <c r="C113">
        <f>EXP(dataset!C113)</f>
        <v>0.13747613677788259</v>
      </c>
      <c r="D113">
        <f>EXP(dataset!D113)</f>
        <v>2.3744999999999998</v>
      </c>
      <c r="E113">
        <f>EXP(dataset!G113)</f>
        <v>1.4993000000000001</v>
      </c>
      <c r="F113">
        <f>1000*EXP(dataset!M113)</f>
        <v>11487.892125388247</v>
      </c>
      <c r="G113">
        <f>EXP(dataset!L113)</f>
        <v>0.17506894077710541</v>
      </c>
      <c r="H113">
        <f>EXP(dataset!J113)</f>
        <v>9.9999999999999805E-6</v>
      </c>
    </row>
    <row r="114" spans="1:8" x14ac:dyDescent="0.25">
      <c r="A114" s="11">
        <f>dataset!A114</f>
        <v>17</v>
      </c>
      <c r="B114" s="11">
        <f>dataset!B114</f>
        <v>2010</v>
      </c>
      <c r="C114">
        <f>EXP(dataset!C114)</f>
        <v>0.16135566131341755</v>
      </c>
      <c r="D114">
        <f>EXP(dataset!D114)</f>
        <v>2.3075000000000001</v>
      </c>
      <c r="E114">
        <f>EXP(dataset!G114)</f>
        <v>1.5465</v>
      </c>
      <c r="F114">
        <f>1000*EXP(dataset!M114)</f>
        <v>12183.555246599999</v>
      </c>
      <c r="G114">
        <f>EXP(dataset!L114)</f>
        <v>0.18999355352357861</v>
      </c>
      <c r="H114">
        <f>EXP(dataset!J114)</f>
        <v>7.4268161536220035E-4</v>
      </c>
    </row>
    <row r="115" spans="1:8" x14ac:dyDescent="0.25">
      <c r="A115" s="11">
        <f>dataset!A115</f>
        <v>17</v>
      </c>
      <c r="B115" s="11">
        <f>dataset!B115</f>
        <v>2011</v>
      </c>
      <c r="C115">
        <f>EXP(dataset!C115)</f>
        <v>0.17822513798351336</v>
      </c>
      <c r="D115">
        <f>EXP(dataset!D115)</f>
        <v>2.2357999999999998</v>
      </c>
      <c r="E115">
        <f>EXP(dataset!G115)</f>
        <v>1.6212</v>
      </c>
      <c r="F115">
        <f>1000*EXP(dataset!M115)</f>
        <v>12090.001120857289</v>
      </c>
      <c r="G115">
        <f>EXP(dataset!L115)</f>
        <v>0.20326905999891492</v>
      </c>
      <c r="H115">
        <f>EXP(dataset!J115)</f>
        <v>4.282985412151598E-3</v>
      </c>
    </row>
    <row r="116" spans="1:8" x14ac:dyDescent="0.25">
      <c r="A116" s="11">
        <f>dataset!A116</f>
        <v>17</v>
      </c>
      <c r="B116" s="11">
        <f>dataset!B116</f>
        <v>2012</v>
      </c>
      <c r="C116">
        <f>EXP(dataset!C116)</f>
        <v>0.20893237891956928</v>
      </c>
      <c r="D116">
        <f>EXP(dataset!D116)</f>
        <v>2.1124000000000001</v>
      </c>
      <c r="E116">
        <f>EXP(dataset!G116)</f>
        <v>1.5752999999999999</v>
      </c>
      <c r="F116">
        <f>1000*EXP(dataset!M116)</f>
        <v>12478.519283851105</v>
      </c>
      <c r="G116">
        <f>EXP(dataset!L116)</f>
        <v>0.22169099960922456</v>
      </c>
      <c r="H116">
        <f>EXP(dataset!J116)</f>
        <v>6.3483375114798974E-3</v>
      </c>
    </row>
    <row r="117" spans="1:8" x14ac:dyDescent="0.25">
      <c r="A117" s="11">
        <f>dataset!A117</f>
        <v>17</v>
      </c>
      <c r="B117" s="11">
        <f>dataset!B117</f>
        <v>2013</v>
      </c>
      <c r="C117">
        <f>EXP(dataset!C117)</f>
        <v>0.21125821627370164</v>
      </c>
      <c r="D117">
        <f>EXP(dataset!D117)</f>
        <v>2.0836999999999999</v>
      </c>
      <c r="E117">
        <f>EXP(dataset!G117)</f>
        <v>1.5422</v>
      </c>
      <c r="F117">
        <f>1000*EXP(dataset!M117)</f>
        <v>12807.619168847292</v>
      </c>
      <c r="G117">
        <f>EXP(dataset!L117)</f>
        <v>0.23191946225182045</v>
      </c>
      <c r="H117">
        <f>EXP(dataset!J117)</f>
        <v>1.4883328236920896E-2</v>
      </c>
    </row>
    <row r="118" spans="1:8" x14ac:dyDescent="0.25">
      <c r="A118" s="11">
        <f>dataset!A118</f>
        <v>17</v>
      </c>
      <c r="B118" s="11">
        <f>dataset!B118</f>
        <v>2014</v>
      </c>
      <c r="C118">
        <f>EXP(dataset!C118)</f>
        <v>0.23405045160600713</v>
      </c>
      <c r="D118">
        <f>EXP(dataset!D118)</f>
        <v>2.0097</v>
      </c>
      <c r="E118">
        <f>EXP(dataset!G118)</f>
        <v>1.5073000000000003</v>
      </c>
      <c r="F118">
        <f>1000*EXP(dataset!M118)</f>
        <v>12906.410681417345</v>
      </c>
      <c r="G118">
        <f>EXP(dataset!L118)</f>
        <v>0.24749612527390297</v>
      </c>
      <c r="H118">
        <f>EXP(dataset!J118)</f>
        <v>3.0062530062530009E-2</v>
      </c>
    </row>
    <row r="119" spans="1:8" x14ac:dyDescent="0.25">
      <c r="A119" s="11">
        <f>dataset!A119</f>
        <v>17</v>
      </c>
      <c r="B119" s="11">
        <f>dataset!B119</f>
        <v>2015</v>
      </c>
      <c r="C119">
        <f>EXP(dataset!C119)</f>
        <v>0.22980494031519494</v>
      </c>
      <c r="D119">
        <f>EXP(dataset!D119)</f>
        <v>2.0487000000000002</v>
      </c>
      <c r="E119">
        <f>EXP(dataset!G119)</f>
        <v>1.5365</v>
      </c>
      <c r="F119">
        <f>1000*EXP(dataset!M119)</f>
        <v>13094.729138896701</v>
      </c>
      <c r="G119">
        <f>EXP(dataset!L119)</f>
        <v>0.26112745738638221</v>
      </c>
      <c r="H119">
        <f>EXP(dataset!J119)</f>
        <v>4.6860789135689002E-2</v>
      </c>
    </row>
    <row r="120" spans="1:8" x14ac:dyDescent="0.25">
      <c r="A120" s="11">
        <f>dataset!A120</f>
        <v>17</v>
      </c>
      <c r="B120" s="11">
        <f>dataset!B120</f>
        <v>2016</v>
      </c>
      <c r="C120">
        <f>EXP(dataset!C120)</f>
        <v>0.23716994954667683</v>
      </c>
      <c r="D120">
        <f>EXP(dataset!D120)</f>
        <v>2.1137000000000001</v>
      </c>
      <c r="E120">
        <f>EXP(dataset!G120)</f>
        <v>1.7742</v>
      </c>
      <c r="F120">
        <f>1000*EXP(dataset!M120)</f>
        <v>13071.223917575942</v>
      </c>
      <c r="G120">
        <f>EXP(dataset!L120)</f>
        <v>0.26889585896554385</v>
      </c>
      <c r="H120">
        <f>EXP(dataset!J120)</f>
        <v>6.849752952243518E-2</v>
      </c>
    </row>
    <row r="121" spans="1:8" x14ac:dyDescent="0.25">
      <c r="A121" s="11">
        <f>dataset!A121</f>
        <v>17</v>
      </c>
      <c r="B121" s="11">
        <f>dataset!B121</f>
        <v>2017</v>
      </c>
      <c r="C121">
        <f>EXP(dataset!C121)</f>
        <v>0.24470161799103857</v>
      </c>
      <c r="D121">
        <f>EXP(dataset!D121)</f>
        <v>2.0636999999999999</v>
      </c>
      <c r="E121">
        <f>EXP(dataset!G121)</f>
        <v>1.8030999999999999</v>
      </c>
      <c r="F121">
        <f>1000*EXP(dataset!M121)</f>
        <v>13463.726441787296</v>
      </c>
      <c r="G121">
        <f>EXP(dataset!L121)</f>
        <v>0.27609512099775885</v>
      </c>
      <c r="H121">
        <f>EXP(dataset!J121)</f>
        <v>0.13288659354893631</v>
      </c>
    </row>
    <row r="122" spans="1:8" x14ac:dyDescent="0.25">
      <c r="A122" s="11">
        <f>dataset!A122</f>
        <v>17</v>
      </c>
      <c r="B122" s="11">
        <f>dataset!B122</f>
        <v>2018</v>
      </c>
      <c r="C122">
        <f>EXP(dataset!C122)</f>
        <v>0.22438754035579317</v>
      </c>
      <c r="D122">
        <f>EXP(dataset!D122)</f>
        <v>2.3839000000000001</v>
      </c>
      <c r="E122">
        <f>EXP(dataset!G122)</f>
        <v>1.8815</v>
      </c>
      <c r="F122">
        <f>1000*EXP(dataset!M122)</f>
        <v>13429.698554425109</v>
      </c>
      <c r="G122">
        <f>EXP(dataset!L122)</f>
        <v>0.28617393322783974</v>
      </c>
      <c r="H122">
        <f>EXP(dataset!J122)</f>
        <v>0.20447149583759047</v>
      </c>
    </row>
    <row r="123" spans="1:8" x14ac:dyDescent="0.25">
      <c r="A123" s="11">
        <f>dataset!A123</f>
        <v>17</v>
      </c>
      <c r="B123" s="11">
        <f>dataset!B123</f>
        <v>2019</v>
      </c>
      <c r="C123">
        <f>EXP(dataset!C123)</f>
        <v>0.23231616679361106</v>
      </c>
      <c r="D123">
        <f>EXP(dataset!D123)</f>
        <v>2.2461000000000002</v>
      </c>
      <c r="E123">
        <f>EXP(dataset!G123)</f>
        <v>1.8087</v>
      </c>
      <c r="F123">
        <f>1000*EXP(dataset!M123)</f>
        <v>14058.977551806693</v>
      </c>
      <c r="G123">
        <f>EXP(dataset!L123)</f>
        <v>0.2943893503960287</v>
      </c>
      <c r="H123">
        <f>EXP(dataset!J123)</f>
        <v>0.44314010220832539</v>
      </c>
    </row>
    <row r="124" spans="1:8" x14ac:dyDescent="0.25">
      <c r="A124" s="11">
        <f>dataset!A124</f>
        <v>17</v>
      </c>
      <c r="B124" s="11">
        <f>dataset!B124</f>
        <v>2020</v>
      </c>
      <c r="C124">
        <f>EXP(dataset!C124)</f>
        <v>0.22196921486459981</v>
      </c>
      <c r="D124">
        <f>EXP(dataset!D124)</f>
        <v>2.1395</v>
      </c>
      <c r="E124">
        <f>EXP(dataset!G124)</f>
        <v>1.6975</v>
      </c>
      <c r="F124">
        <f>1000*EXP(dataset!M124)</f>
        <v>14484.887991244126</v>
      </c>
      <c r="G124">
        <f>EXP(dataset!L124)</f>
        <v>0.30249055493231236</v>
      </c>
      <c r="H124">
        <f>EXP(dataset!J124)</f>
        <v>0.86150084766652746</v>
      </c>
    </row>
    <row r="125" spans="1:8" x14ac:dyDescent="0.25">
      <c r="A125" s="11">
        <f>dataset!A125</f>
        <v>17</v>
      </c>
      <c r="B125" s="11">
        <f>dataset!B125</f>
        <v>2021</v>
      </c>
      <c r="C125">
        <f>EXP(dataset!C125)</f>
        <v>0.2294525256584854</v>
      </c>
      <c r="D125">
        <f>EXP(dataset!D125)</f>
        <v>2.5720000000000001</v>
      </c>
      <c r="E125">
        <f>EXP(dataset!G125)</f>
        <v>2.1362000000000001</v>
      </c>
      <c r="F125">
        <f>1000*EXP(dataset!M125)</f>
        <v>15037.707559337876</v>
      </c>
      <c r="G125">
        <f>EXP(dataset!L125)</f>
        <v>0.31078667357653489</v>
      </c>
      <c r="H125">
        <f>EXP(dataset!J125)</f>
        <v>1.5565867822016559</v>
      </c>
    </row>
    <row r="126" spans="1:8" x14ac:dyDescent="0.25">
      <c r="A126" s="11">
        <f>dataset!A126</f>
        <v>17</v>
      </c>
      <c r="B126" s="11">
        <f>dataset!B126</f>
        <v>2022</v>
      </c>
      <c r="C126">
        <f>EXP(dataset!C126)</f>
        <v>0.24644933969489149</v>
      </c>
      <c r="D126">
        <f>EXP(dataset!D126)</f>
        <v>2.5726</v>
      </c>
      <c r="E126">
        <f>EXP(dataset!G126)</f>
        <v>2.1202999999999999</v>
      </c>
      <c r="F126">
        <f>1000*EXP(dataset!M126)</f>
        <v>15570.455105349569</v>
      </c>
      <c r="G126">
        <f>EXP(dataset!L126)</f>
        <v>0.32234473482343445</v>
      </c>
      <c r="H126">
        <f>EXP(dataset!J126)</f>
        <v>2.5619601794989681</v>
      </c>
    </row>
    <row r="127" spans="1:8" x14ac:dyDescent="0.25">
      <c r="A127" s="11">
        <f>dataset!A127</f>
        <v>17</v>
      </c>
      <c r="B127" s="11">
        <f>dataset!B127</f>
        <v>2023</v>
      </c>
      <c r="C127">
        <f>EXP(dataset!C127)</f>
        <v>0.26652970113160479</v>
      </c>
      <c r="D127">
        <f>EXP(dataset!D127)</f>
        <v>2.2235</v>
      </c>
      <c r="E127">
        <f>EXP(dataset!G127)</f>
        <v>1.714</v>
      </c>
      <c r="F127">
        <f>1000*EXP(dataset!M127)</f>
        <v>16360.42867535211</v>
      </c>
      <c r="G127">
        <f>EXP(dataset!L127)</f>
        <v>0.33486959697342777</v>
      </c>
      <c r="H127">
        <f>EXP(dataset!J127)</f>
        <v>4.4731650535691072</v>
      </c>
    </row>
    <row r="128" spans="1:8" x14ac:dyDescent="0.25">
      <c r="A128" s="11">
        <f>dataset!A128</f>
        <v>21</v>
      </c>
      <c r="B128" s="11">
        <f>dataset!B128</f>
        <v>2006</v>
      </c>
      <c r="C128">
        <f>EXP(dataset!C128)</f>
        <v>4.9535105128305383E-2</v>
      </c>
      <c r="D128">
        <f>EXP(dataset!D128)</f>
        <v>2.7299999999999986</v>
      </c>
      <c r="E128">
        <f>EXP(dataset!G128)</f>
        <v>2.0699999999999998</v>
      </c>
      <c r="F128">
        <f>1000*EXP(dataset!M128)</f>
        <v>6471.814648725579</v>
      </c>
      <c r="G128">
        <f>EXP(dataset!L128)</f>
        <v>5.0370132740715626E-2</v>
      </c>
      <c r="H128">
        <f>EXP(dataset!J128)</f>
        <v>9.9999999999999805E-6</v>
      </c>
    </row>
    <row r="129" spans="1:8" x14ac:dyDescent="0.25">
      <c r="A129" s="11">
        <f>dataset!A129</f>
        <v>21</v>
      </c>
      <c r="B129" s="11">
        <f>dataset!B129</f>
        <v>2007</v>
      </c>
      <c r="C129">
        <f>EXP(dataset!C129)</f>
        <v>5.2462329292471792E-2</v>
      </c>
      <c r="D129">
        <f>EXP(dataset!D129)</f>
        <v>2.6133999999999999</v>
      </c>
      <c r="E129">
        <f>EXP(dataset!G129)</f>
        <v>1.7902</v>
      </c>
      <c r="F129">
        <f>1000*EXP(dataset!M129)</f>
        <v>6228.1642104499624</v>
      </c>
      <c r="G129">
        <f>EXP(dataset!L129)</f>
        <v>5.8742797081458936E-2</v>
      </c>
      <c r="H129">
        <f>EXP(dataset!J129)</f>
        <v>9.9999999999999805E-6</v>
      </c>
    </row>
    <row r="130" spans="1:8" x14ac:dyDescent="0.25">
      <c r="A130" s="11">
        <f>dataset!A130</f>
        <v>21</v>
      </c>
      <c r="B130" s="11">
        <f>dataset!B130</f>
        <v>2008</v>
      </c>
      <c r="C130">
        <f>EXP(dataset!C130)</f>
        <v>5.8933071045336807E-2</v>
      </c>
      <c r="D130">
        <f>EXP(dataset!D130)</f>
        <v>2.3955000000000002</v>
      </c>
      <c r="E130">
        <f>EXP(dataset!G130)</f>
        <v>1.6271</v>
      </c>
      <c r="F130">
        <f>1000*EXP(dataset!M130)</f>
        <v>6999.472808564914</v>
      </c>
      <c r="G130">
        <f>EXP(dataset!L130)</f>
        <v>6.843080930299833E-2</v>
      </c>
      <c r="H130">
        <f>EXP(dataset!J130)</f>
        <v>9.9999999999999805E-6</v>
      </c>
    </row>
    <row r="131" spans="1:8" x14ac:dyDescent="0.25">
      <c r="A131" s="11">
        <f>dataset!A131</f>
        <v>21</v>
      </c>
      <c r="B131" s="11">
        <f>dataset!B131</f>
        <v>2009</v>
      </c>
      <c r="C131">
        <f>EXP(dataset!C131)</f>
        <v>6.1618116334214795E-2</v>
      </c>
      <c r="D131">
        <f>EXP(dataset!D131)</f>
        <v>2.2532000000000001</v>
      </c>
      <c r="E131">
        <f>EXP(dataset!G131)</f>
        <v>1.5426</v>
      </c>
      <c r="F131">
        <f>1000*EXP(dataset!M131)</f>
        <v>6980.7945759460563</v>
      </c>
      <c r="G131">
        <f>EXP(dataset!L131)</f>
        <v>8.0503830763523493E-2</v>
      </c>
      <c r="H131">
        <f>EXP(dataset!J131)</f>
        <v>9.9999999999999805E-6</v>
      </c>
    </row>
    <row r="132" spans="1:8" x14ac:dyDescent="0.25">
      <c r="A132" s="11">
        <f>dataset!A132</f>
        <v>21</v>
      </c>
      <c r="B132" s="11">
        <f>dataset!B132</f>
        <v>2010</v>
      </c>
      <c r="C132">
        <f>EXP(dataset!C132)</f>
        <v>8.0272243696639406E-2</v>
      </c>
      <c r="D132">
        <f>EXP(dataset!D132)</f>
        <v>2.1111</v>
      </c>
      <c r="E132">
        <f>EXP(dataset!G132)</f>
        <v>1.5629</v>
      </c>
      <c r="F132">
        <f>1000*EXP(dataset!M132)</f>
        <v>7117.4961768706453</v>
      </c>
      <c r="G132">
        <f>EXP(dataset!L132)</f>
        <v>9.4680816728016037E-2</v>
      </c>
      <c r="H132">
        <f>EXP(dataset!J132)</f>
        <v>9.9999999999999805E-6</v>
      </c>
    </row>
    <row r="133" spans="1:8" x14ac:dyDescent="0.25">
      <c r="A133" s="11">
        <f>dataset!A133</f>
        <v>21</v>
      </c>
      <c r="B133" s="11">
        <f>dataset!B133</f>
        <v>2011</v>
      </c>
      <c r="C133">
        <f>EXP(dataset!C133)</f>
        <v>9.4630130394397174E-2</v>
      </c>
      <c r="D133">
        <f>EXP(dataset!D133)</f>
        <v>2.036</v>
      </c>
      <c r="E133">
        <f>EXP(dataset!G133)</f>
        <v>1.6826000000000001</v>
      </c>
      <c r="F133">
        <f>1000*EXP(dataset!M133)</f>
        <v>7243.5713853989</v>
      </c>
      <c r="G133">
        <f>EXP(dataset!L133)</f>
        <v>0.10987229303009835</v>
      </c>
      <c r="H133">
        <f>EXP(dataset!J133)</f>
        <v>4.5141557151989997E-4</v>
      </c>
    </row>
    <row r="134" spans="1:8" x14ac:dyDescent="0.25">
      <c r="A134" s="11">
        <f>dataset!A134</f>
        <v>21</v>
      </c>
      <c r="B134" s="11">
        <f>dataset!B134</f>
        <v>2012</v>
      </c>
      <c r="C134">
        <f>EXP(dataset!C134)</f>
        <v>0.11181528001222457</v>
      </c>
      <c r="D134">
        <f>EXP(dataset!D134)</f>
        <v>1.9164000000000001</v>
      </c>
      <c r="E134">
        <f>EXP(dataset!G134)</f>
        <v>1.5897999999999999</v>
      </c>
      <c r="F134">
        <f>1000*EXP(dataset!M134)</f>
        <v>7705.2142270230461</v>
      </c>
      <c r="G134">
        <f>EXP(dataset!L134)</f>
        <v>0.12443236941257141</v>
      </c>
      <c r="H134">
        <f>EXP(dataset!J134)</f>
        <v>7.4467771391090003E-4</v>
      </c>
    </row>
    <row r="135" spans="1:8" x14ac:dyDescent="0.25">
      <c r="A135" s="11">
        <f>dataset!A135</f>
        <v>21</v>
      </c>
      <c r="B135" s="11">
        <f>dataset!B135</f>
        <v>2013</v>
      </c>
      <c r="C135">
        <f>EXP(dataset!C135)</f>
        <v>0.11821799475766515</v>
      </c>
      <c r="D135">
        <f>EXP(dataset!D135)</f>
        <v>1.9329000000000001</v>
      </c>
      <c r="E135">
        <f>EXP(dataset!G135)</f>
        <v>1.6107</v>
      </c>
      <c r="F135">
        <f>1000*EXP(dataset!M135)</f>
        <v>7926.5811307888798</v>
      </c>
      <c r="G135">
        <f>EXP(dataset!L135)</f>
        <v>0.13801302002958055</v>
      </c>
      <c r="H135">
        <f>EXP(dataset!J135)</f>
        <v>2.0605504525041994E-3</v>
      </c>
    </row>
    <row r="136" spans="1:8" x14ac:dyDescent="0.25">
      <c r="A136" s="11">
        <f>dataset!A136</f>
        <v>21</v>
      </c>
      <c r="B136" s="11">
        <f>dataset!B136</f>
        <v>2014</v>
      </c>
      <c r="C136">
        <f>EXP(dataset!C136)</f>
        <v>0.12947617854863699</v>
      </c>
      <c r="D136">
        <f>EXP(dataset!D136)</f>
        <v>1.9258999999999999</v>
      </c>
      <c r="E136">
        <f>EXP(dataset!G136)</f>
        <v>1.6361000000000001</v>
      </c>
      <c r="F136">
        <f>1000*EXP(dataset!M136)</f>
        <v>8274.0930021731529</v>
      </c>
      <c r="G136">
        <f>EXP(dataset!L136)</f>
        <v>0.15091775017647355</v>
      </c>
      <c r="H136">
        <f>EXP(dataset!J136)</f>
        <v>4.2330303651324005E-3</v>
      </c>
    </row>
    <row r="137" spans="1:8" x14ac:dyDescent="0.25">
      <c r="A137" s="11">
        <f>dataset!A137</f>
        <v>21</v>
      </c>
      <c r="B137" s="11">
        <f>dataset!B137</f>
        <v>2015</v>
      </c>
      <c r="C137">
        <f>EXP(dataset!C137)</f>
        <v>0.12889784988675793</v>
      </c>
      <c r="D137">
        <f>EXP(dataset!D137)</f>
        <v>1.9265000000000001</v>
      </c>
      <c r="E137">
        <f>EXP(dataset!G137)</f>
        <v>1.5889</v>
      </c>
      <c r="F137">
        <f>1000*EXP(dataset!M137)</f>
        <v>7794.9503122645892</v>
      </c>
      <c r="G137">
        <f>EXP(dataset!L137)</f>
        <v>0.1620430109551507</v>
      </c>
      <c r="H137">
        <f>EXP(dataset!J137)</f>
        <v>6.0832175470120009E-3</v>
      </c>
    </row>
    <row r="138" spans="1:8" x14ac:dyDescent="0.25">
      <c r="A138" s="11">
        <f>dataset!A138</f>
        <v>21</v>
      </c>
      <c r="B138" s="11">
        <f>dataset!B138</f>
        <v>2016</v>
      </c>
      <c r="C138">
        <f>EXP(dataset!C138)</f>
        <v>0.13349748980304377</v>
      </c>
      <c r="D138">
        <f>EXP(dataset!D138)</f>
        <v>1.9602999999999999</v>
      </c>
      <c r="E138">
        <f>EXP(dataset!G138)</f>
        <v>1.7632000000000001</v>
      </c>
      <c r="F138">
        <f>1000*EXP(dataset!M138)</f>
        <v>7782.4348702393818</v>
      </c>
      <c r="G138">
        <f>EXP(dataset!L138)</f>
        <v>0.16959762647187906</v>
      </c>
      <c r="H138">
        <f>EXP(dataset!J138)</f>
        <v>9.0594871812570039E-3</v>
      </c>
    </row>
    <row r="139" spans="1:8" x14ac:dyDescent="0.25">
      <c r="A139" s="11">
        <f>dataset!A139</f>
        <v>21</v>
      </c>
      <c r="B139" s="11">
        <f>dataset!B139</f>
        <v>2017</v>
      </c>
      <c r="C139">
        <f>EXP(dataset!C139)</f>
        <v>0.13642501838154156</v>
      </c>
      <c r="D139">
        <f>EXP(dataset!D139)</f>
        <v>1.9095</v>
      </c>
      <c r="E139">
        <f>EXP(dataset!G139)</f>
        <v>1.7445999999999999</v>
      </c>
      <c r="F139">
        <f>1000*EXP(dataset!M139)</f>
        <v>7827.2933442891654</v>
      </c>
      <c r="G139">
        <f>EXP(dataset!L139)</f>
        <v>0.17662065055300333</v>
      </c>
      <c r="H139">
        <f>EXP(dataset!J139)</f>
        <v>1.6999443875336001E-2</v>
      </c>
    </row>
    <row r="140" spans="1:8" x14ac:dyDescent="0.25">
      <c r="A140" s="11">
        <f>dataset!A140</f>
        <v>21</v>
      </c>
      <c r="B140" s="11">
        <f>dataset!B140</f>
        <v>2018</v>
      </c>
      <c r="C140">
        <f>EXP(dataset!C140)</f>
        <v>0.13409395520006584</v>
      </c>
      <c r="D140">
        <f>EXP(dataset!D140)</f>
        <v>2.1326999999999998</v>
      </c>
      <c r="E140">
        <f>EXP(dataset!G140)</f>
        <v>1.8148</v>
      </c>
      <c r="F140">
        <f>1000*EXP(dataset!M140)</f>
        <v>8172.5441993985851</v>
      </c>
      <c r="G140">
        <f>EXP(dataset!L140)</f>
        <v>0.18367176944601005</v>
      </c>
      <c r="H140">
        <f>EXP(dataset!J140)</f>
        <v>2.7434042804213986E-2</v>
      </c>
    </row>
    <row r="141" spans="1:8" x14ac:dyDescent="0.25">
      <c r="A141" s="11">
        <f>dataset!A141</f>
        <v>21</v>
      </c>
      <c r="B141" s="11">
        <f>dataset!B141</f>
        <v>2019</v>
      </c>
      <c r="C141">
        <f>EXP(dataset!C141)</f>
        <v>0.13418429153967934</v>
      </c>
      <c r="D141">
        <f>EXP(dataset!D141)</f>
        <v>2.1429</v>
      </c>
      <c r="E141">
        <f>EXP(dataset!G141)</f>
        <v>1.7939000000000001</v>
      </c>
      <c r="F141">
        <f>1000*EXP(dataset!M141)</f>
        <v>7730.1633601741078</v>
      </c>
      <c r="G141">
        <f>EXP(dataset!L141)</f>
        <v>0.19050749373054907</v>
      </c>
      <c r="H141">
        <f>EXP(dataset!J141)</f>
        <v>5.4132890734526692E-2</v>
      </c>
    </row>
    <row r="142" spans="1:8" x14ac:dyDescent="0.25">
      <c r="A142" s="11">
        <f>dataset!A142</f>
        <v>21</v>
      </c>
      <c r="B142" s="11">
        <f>dataset!B142</f>
        <v>2020</v>
      </c>
      <c r="C142">
        <f>EXP(dataset!C142)</f>
        <v>0.13024694719223764</v>
      </c>
      <c r="D142">
        <f>EXP(dataset!D142)</f>
        <v>1.9702999999999999</v>
      </c>
      <c r="E142">
        <f>EXP(dataset!G142)</f>
        <v>1.7021999999999999</v>
      </c>
      <c r="F142">
        <f>1000*EXP(dataset!M142)</f>
        <v>7930.3050493365927</v>
      </c>
      <c r="G142">
        <f>EXP(dataset!L142)</f>
        <v>0.19699918393140409</v>
      </c>
      <c r="H142">
        <f>EXP(dataset!J142)</f>
        <v>0.10541705940377792</v>
      </c>
    </row>
    <row r="143" spans="1:8" x14ac:dyDescent="0.25">
      <c r="A143" s="11">
        <f>dataset!A143</f>
        <v>21</v>
      </c>
      <c r="B143" s="11">
        <f>dataset!B143</f>
        <v>2021</v>
      </c>
      <c r="C143">
        <f>EXP(dataset!C143)</f>
        <v>0.13438440392648834</v>
      </c>
      <c r="D143">
        <f>EXP(dataset!D143)</f>
        <v>2.4054000000000002</v>
      </c>
      <c r="E143">
        <f>EXP(dataset!G143)</f>
        <v>2.085</v>
      </c>
      <c r="F143">
        <f>1000*EXP(dataset!M143)</f>
        <v>8155.7899971509487</v>
      </c>
      <c r="G143">
        <f>EXP(dataset!L143)</f>
        <v>0.20358026869419846</v>
      </c>
      <c r="H143">
        <f>EXP(dataset!J143)</f>
        <v>0.1897036624689547</v>
      </c>
    </row>
    <row r="144" spans="1:8" x14ac:dyDescent="0.25">
      <c r="A144" s="11">
        <f>dataset!A144</f>
        <v>21</v>
      </c>
      <c r="B144" s="11">
        <f>dataset!B144</f>
        <v>2022</v>
      </c>
      <c r="C144">
        <f>EXP(dataset!C144)</f>
        <v>0.14032422410922443</v>
      </c>
      <c r="D144">
        <f>EXP(dataset!D144)</f>
        <v>2.4474</v>
      </c>
      <c r="E144">
        <f>EXP(dataset!G144)</f>
        <v>2.1202999999999999</v>
      </c>
      <c r="F144">
        <f>1000*EXP(dataset!M144)</f>
        <v>8402.2574200413728</v>
      </c>
      <c r="G144">
        <f>EXP(dataset!L144)</f>
        <v>0.21150532442401809</v>
      </c>
      <c r="H144">
        <f>EXP(dataset!J144)</f>
        <v>0.31062751511128761</v>
      </c>
    </row>
    <row r="145" spans="1:8" x14ac:dyDescent="0.25">
      <c r="A145" s="11">
        <f>dataset!A145</f>
        <v>21</v>
      </c>
      <c r="B145" s="11">
        <f>dataset!B145</f>
        <v>2023</v>
      </c>
      <c r="C145">
        <f>EXP(dataset!C145)</f>
        <v>0.15063574911697622</v>
      </c>
      <c r="D145">
        <f>EXP(dataset!D145)</f>
        <v>2.0421</v>
      </c>
      <c r="E145">
        <f>EXP(dataset!G145)</f>
        <v>1.714</v>
      </c>
      <c r="F145">
        <f>1000*EXP(dataset!M145)</f>
        <v>8529.4689116797344</v>
      </c>
      <c r="G145">
        <f>EXP(dataset!L145)</f>
        <v>0.22046487322846542</v>
      </c>
      <c r="H145">
        <f>EXP(dataset!J145)</f>
        <v>0.52395676266296409</v>
      </c>
    </row>
    <row r="146" spans="1:8" x14ac:dyDescent="0.25">
      <c r="A146" s="11">
        <f>dataset!A146</f>
        <v>22</v>
      </c>
      <c r="B146" s="11">
        <f>dataset!B146</f>
        <v>2006</v>
      </c>
      <c r="C146">
        <f>EXP(dataset!C146)</f>
        <v>6.4460459969238715E-2</v>
      </c>
      <c r="D146">
        <f>EXP(dataset!D146)</f>
        <v>2.52</v>
      </c>
      <c r="E146">
        <f>EXP(dataset!G146)</f>
        <v>2.12</v>
      </c>
      <c r="F146">
        <f>1000*EXP(dataset!M146)</f>
        <v>5927.8885389076768</v>
      </c>
      <c r="G146">
        <f>EXP(dataset!L146)</f>
        <v>8.3309235942548299E-2</v>
      </c>
      <c r="H146">
        <f>EXP(dataset!J146)</f>
        <v>9.9999999999999805E-6</v>
      </c>
    </row>
    <row r="147" spans="1:8" x14ac:dyDescent="0.25">
      <c r="A147" s="11">
        <f>dataset!A147</f>
        <v>22</v>
      </c>
      <c r="B147" s="11">
        <f>dataset!B147</f>
        <v>2007</v>
      </c>
      <c r="C147">
        <f>EXP(dataset!C147)</f>
        <v>6.9394210181497801E-2</v>
      </c>
      <c r="D147">
        <f>EXP(dataset!D147)</f>
        <v>2.4506999999999999</v>
      </c>
      <c r="E147">
        <f>EXP(dataset!G147)</f>
        <v>1.8380000000000001</v>
      </c>
      <c r="F147">
        <f>1000*EXP(dataset!M147)</f>
        <v>5655.45169803317</v>
      </c>
      <c r="G147">
        <f>EXP(dataset!L147)</f>
        <v>9.397915347846475E-2</v>
      </c>
      <c r="H147">
        <f>EXP(dataset!J147)</f>
        <v>9.9999999999999805E-6</v>
      </c>
    </row>
    <row r="148" spans="1:8" x14ac:dyDescent="0.25">
      <c r="A148" s="11">
        <f>dataset!A148</f>
        <v>22</v>
      </c>
      <c r="B148" s="11">
        <f>dataset!B148</f>
        <v>2008</v>
      </c>
      <c r="C148">
        <f>EXP(dataset!C148)</f>
        <v>7.9098876210240573E-2</v>
      </c>
      <c r="D148">
        <f>EXP(dataset!D148)</f>
        <v>2.3502999999999998</v>
      </c>
      <c r="E148">
        <f>EXP(dataset!G148)</f>
        <v>1.7265999999999999</v>
      </c>
      <c r="F148">
        <f>1000*EXP(dataset!M148)</f>
        <v>6058.4095545105993</v>
      </c>
      <c r="G148">
        <f>EXP(dataset!L148)</f>
        <v>0.10801569854374252</v>
      </c>
      <c r="H148">
        <f>EXP(dataset!J148)</f>
        <v>9.9999999999999805E-6</v>
      </c>
    </row>
    <row r="149" spans="1:8" x14ac:dyDescent="0.25">
      <c r="A149" s="11">
        <f>dataset!A149</f>
        <v>22</v>
      </c>
      <c r="B149" s="11">
        <f>dataset!B149</f>
        <v>2009</v>
      </c>
      <c r="C149">
        <f>EXP(dataset!C149)</f>
        <v>8.8795288245252846E-2</v>
      </c>
      <c r="D149">
        <f>EXP(dataset!D149)</f>
        <v>2.2271999999999998</v>
      </c>
      <c r="E149">
        <f>EXP(dataset!G149)</f>
        <v>1.6379000000000001</v>
      </c>
      <c r="F149">
        <f>1000*EXP(dataset!M149)</f>
        <v>6531.0810494622974</v>
      </c>
      <c r="G149">
        <f>EXP(dataset!L149)</f>
        <v>0.1236632144531964</v>
      </c>
      <c r="H149">
        <f>EXP(dataset!J149)</f>
        <v>9.9999999999999805E-6</v>
      </c>
    </row>
    <row r="150" spans="1:8" x14ac:dyDescent="0.25">
      <c r="A150" s="11">
        <f>dataset!A150</f>
        <v>22</v>
      </c>
      <c r="B150" s="11">
        <f>dataset!B150</f>
        <v>2010</v>
      </c>
      <c r="C150">
        <f>EXP(dataset!C150)</f>
        <v>0.10989820944589365</v>
      </c>
      <c r="D150">
        <f>EXP(dataset!D150)</f>
        <v>2.0619999999999998</v>
      </c>
      <c r="E150">
        <f>EXP(dataset!G150)</f>
        <v>1.6365000000000001</v>
      </c>
      <c r="F150">
        <f>1000*EXP(dataset!M150)</f>
        <v>7085.708531111808</v>
      </c>
      <c r="G150">
        <f>EXP(dataset!L150)</f>
        <v>0.1449816184542192</v>
      </c>
      <c r="H150">
        <f>EXP(dataset!J150)</f>
        <v>9.9999999999999805E-6</v>
      </c>
    </row>
    <row r="151" spans="1:8" x14ac:dyDescent="0.25">
      <c r="A151" s="11">
        <f>dataset!A151</f>
        <v>22</v>
      </c>
      <c r="B151" s="11">
        <f>dataset!B151</f>
        <v>2011</v>
      </c>
      <c r="C151">
        <f>EXP(dataset!C151)</f>
        <v>0.11909134969340784</v>
      </c>
      <c r="D151">
        <f>EXP(dataset!D151)</f>
        <v>2.0436999999999999</v>
      </c>
      <c r="E151">
        <f>EXP(dataset!G151)</f>
        <v>1.7518</v>
      </c>
      <c r="F151">
        <f>1000*EXP(dataset!M151)</f>
        <v>7626.3152821616077</v>
      </c>
      <c r="G151">
        <f>EXP(dataset!L151)</f>
        <v>0.16735990635373119</v>
      </c>
      <c r="H151">
        <f>EXP(dataset!J151)</f>
        <v>1.2737522959385004E-3</v>
      </c>
    </row>
    <row r="152" spans="1:8" x14ac:dyDescent="0.25">
      <c r="A152" s="11">
        <f>dataset!A152</f>
        <v>22</v>
      </c>
      <c r="B152" s="11">
        <f>dataset!B152</f>
        <v>2012</v>
      </c>
      <c r="C152">
        <f>EXP(dataset!C152)</f>
        <v>0.14392486525341461</v>
      </c>
      <c r="D152">
        <f>EXP(dataset!D152)</f>
        <v>1.8729</v>
      </c>
      <c r="E152">
        <f>EXP(dataset!G152)</f>
        <v>1.6551</v>
      </c>
      <c r="F152">
        <f>1000*EXP(dataset!M152)</f>
        <v>7749.0780324783937</v>
      </c>
      <c r="G152">
        <f>EXP(dataset!L152)</f>
        <v>0.18835035251149412</v>
      </c>
      <c r="H152">
        <f>EXP(dataset!J152)</f>
        <v>1.5819040303117994E-3</v>
      </c>
    </row>
    <row r="153" spans="1:8" x14ac:dyDescent="0.25">
      <c r="A153" s="11">
        <f>dataset!A153</f>
        <v>22</v>
      </c>
      <c r="B153" s="11">
        <f>dataset!B153</f>
        <v>2013</v>
      </c>
      <c r="C153">
        <f>EXP(dataset!C153)</f>
        <v>0.1570274571112184</v>
      </c>
      <c r="D153">
        <f>EXP(dataset!D153)</f>
        <v>1.8643000000000001</v>
      </c>
      <c r="E153">
        <f>EXP(dataset!G153)</f>
        <v>1.6518999999999999</v>
      </c>
      <c r="F153">
        <f>1000*EXP(dataset!M153)</f>
        <v>7816.2064208963966</v>
      </c>
      <c r="G153">
        <f>EXP(dataset!L153)</f>
        <v>0.20911158526282855</v>
      </c>
      <c r="H153">
        <f>EXP(dataset!J153)</f>
        <v>4.0827017184404991E-3</v>
      </c>
    </row>
    <row r="154" spans="1:8" x14ac:dyDescent="0.25">
      <c r="A154" s="11">
        <f>dataset!A154</f>
        <v>22</v>
      </c>
      <c r="B154" s="11">
        <f>dataset!B154</f>
        <v>2014</v>
      </c>
      <c r="C154">
        <f>EXP(dataset!C154)</f>
        <v>0.17817227999466606</v>
      </c>
      <c r="D154">
        <f>EXP(dataset!D154)</f>
        <v>1.8229</v>
      </c>
      <c r="E154">
        <f>EXP(dataset!G154)</f>
        <v>1.6425000000000001</v>
      </c>
      <c r="F154">
        <f>1000*EXP(dataset!M154)</f>
        <v>8710.5907694513226</v>
      </c>
      <c r="G154">
        <f>EXP(dataset!L154)</f>
        <v>0.22985096024124813</v>
      </c>
      <c r="H154">
        <f>EXP(dataset!J154)</f>
        <v>9.3905001943833041E-3</v>
      </c>
    </row>
    <row r="155" spans="1:8" x14ac:dyDescent="0.25">
      <c r="A155" s="11">
        <f>dataset!A155</f>
        <v>22</v>
      </c>
      <c r="B155" s="11">
        <f>dataset!B155</f>
        <v>2015</v>
      </c>
      <c r="C155">
        <f>EXP(dataset!C155)</f>
        <v>0.18099667668322506</v>
      </c>
      <c r="D155">
        <f>EXP(dataset!D155)</f>
        <v>1.8974</v>
      </c>
      <c r="E155">
        <f>EXP(dataset!G155)</f>
        <v>1.5889</v>
      </c>
      <c r="F155">
        <f>1000*EXP(dataset!M155)</f>
        <v>8379.6223955283804</v>
      </c>
      <c r="G155">
        <f>EXP(dataset!L155)</f>
        <v>0.24716762774857154</v>
      </c>
      <c r="H155">
        <f>EXP(dataset!J155)</f>
        <v>1.4044821081463705E-2</v>
      </c>
    </row>
    <row r="156" spans="1:8" x14ac:dyDescent="0.25">
      <c r="A156" s="11">
        <f>dataset!A156</f>
        <v>22</v>
      </c>
      <c r="B156" s="11">
        <f>dataset!B156</f>
        <v>2016</v>
      </c>
      <c r="C156">
        <f>EXP(dataset!C156)</f>
        <v>0.18555219819561794</v>
      </c>
      <c r="D156">
        <f>EXP(dataset!D156)</f>
        <v>2.0042</v>
      </c>
      <c r="E156">
        <f>EXP(dataset!G156)</f>
        <v>1.6919999999999999</v>
      </c>
      <c r="F156">
        <f>1000*EXP(dataset!M156)</f>
        <v>8179.5685746128747</v>
      </c>
      <c r="G156">
        <f>EXP(dataset!L156)</f>
        <v>0.26066596517007135</v>
      </c>
      <c r="H156">
        <f>EXP(dataset!J156)</f>
        <v>2.0546793766227204E-2</v>
      </c>
    </row>
    <row r="157" spans="1:8" x14ac:dyDescent="0.25">
      <c r="A157" s="11">
        <f>dataset!A157</f>
        <v>22</v>
      </c>
      <c r="B157" s="11">
        <f>dataset!B157</f>
        <v>2017</v>
      </c>
      <c r="C157">
        <f>EXP(dataset!C157)</f>
        <v>0.1887947933327471</v>
      </c>
      <c r="D157">
        <f>EXP(dataset!D157)</f>
        <v>1.9414</v>
      </c>
      <c r="E157">
        <f>EXP(dataset!G157)</f>
        <v>1.6329</v>
      </c>
      <c r="F157">
        <f>1000*EXP(dataset!M157)</f>
        <v>8623.1083130983279</v>
      </c>
      <c r="G157">
        <f>EXP(dataset!L157)</f>
        <v>0.27290738204498749</v>
      </c>
      <c r="H157">
        <f>EXP(dataset!J157)</f>
        <v>4.1003250128833997E-2</v>
      </c>
    </row>
    <row r="158" spans="1:8" x14ac:dyDescent="0.25">
      <c r="A158" s="11">
        <f>dataset!A158</f>
        <v>22</v>
      </c>
      <c r="B158" s="11">
        <f>dataset!B158</f>
        <v>2018</v>
      </c>
      <c r="C158">
        <f>EXP(dataset!C158)</f>
        <v>0.17082448596750946</v>
      </c>
      <c r="D158">
        <f>EXP(dataset!D158)</f>
        <v>2.266</v>
      </c>
      <c r="E158">
        <f>EXP(dataset!G158)</f>
        <v>1.7431000000000001</v>
      </c>
      <c r="F158">
        <f>1000*EXP(dataset!M158)</f>
        <v>9037.0712279037907</v>
      </c>
      <c r="G158">
        <f>EXP(dataset!L158)</f>
        <v>0.28137211746495905</v>
      </c>
      <c r="H158">
        <f>EXP(dataset!J158)</f>
        <v>6.5553061067577523E-2</v>
      </c>
    </row>
    <row r="159" spans="1:8" x14ac:dyDescent="0.25">
      <c r="A159" s="11">
        <f>dataset!A159</f>
        <v>22</v>
      </c>
      <c r="B159" s="11">
        <f>dataset!B159</f>
        <v>2019</v>
      </c>
      <c r="C159">
        <f>EXP(dataset!C159)</f>
        <v>0.1713549717144579</v>
      </c>
      <c r="D159">
        <f>EXP(dataset!D159)</f>
        <v>2.2313000000000001</v>
      </c>
      <c r="E159">
        <f>EXP(dataset!G159)</f>
        <v>1.6907000000000001</v>
      </c>
      <c r="F159">
        <f>1000*EXP(dataset!M159)</f>
        <v>9060.1394339897597</v>
      </c>
      <c r="G159">
        <f>EXP(dataset!L159)</f>
        <v>0.29248506137826663</v>
      </c>
      <c r="H159">
        <f>EXP(dataset!J159)</f>
        <v>0.13717349881325058</v>
      </c>
    </row>
    <row r="160" spans="1:8" x14ac:dyDescent="0.25">
      <c r="A160" s="11">
        <f>dataset!A160</f>
        <v>22</v>
      </c>
      <c r="B160" s="11">
        <f>dataset!B160</f>
        <v>2020</v>
      </c>
      <c r="C160">
        <f>EXP(dataset!C160)</f>
        <v>0.1583861184587442</v>
      </c>
      <c r="D160">
        <f>EXP(dataset!D160)</f>
        <v>2.0642999999999998</v>
      </c>
      <c r="E160">
        <f>EXP(dataset!G160)</f>
        <v>1.6129</v>
      </c>
      <c r="F160">
        <f>1000*EXP(dataset!M160)</f>
        <v>9068.5891147896709</v>
      </c>
      <c r="G160">
        <f>EXP(dataset!L160)</f>
        <v>0.30042328461547829</v>
      </c>
      <c r="H160">
        <f>EXP(dataset!J160)</f>
        <v>0.26116264612309081</v>
      </c>
    </row>
    <row r="161" spans="1:8" x14ac:dyDescent="0.25">
      <c r="A161" s="11">
        <f>dataset!A161</f>
        <v>22</v>
      </c>
      <c r="B161" s="11">
        <f>dataset!B161</f>
        <v>2021</v>
      </c>
      <c r="C161">
        <f>EXP(dataset!C161)</f>
        <v>0.16294766043735884</v>
      </c>
      <c r="D161">
        <f>EXP(dataset!D161)</f>
        <v>2.6061999999999999</v>
      </c>
      <c r="E161">
        <f>EXP(dataset!G161)</f>
        <v>2.0977999999999999</v>
      </c>
      <c r="F161">
        <f>1000*EXP(dataset!M161)</f>
        <v>9086.5070973371112</v>
      </c>
      <c r="G161">
        <f>EXP(dataset!L161)</f>
        <v>0.3093713232946928</v>
      </c>
      <c r="H161">
        <f>EXP(dataset!J161)</f>
        <v>0.459673668177631</v>
      </c>
    </row>
    <row r="162" spans="1:8" x14ac:dyDescent="0.25">
      <c r="A162" s="11">
        <f>dataset!A162</f>
        <v>22</v>
      </c>
      <c r="B162" s="11">
        <f>dataset!B162</f>
        <v>2022</v>
      </c>
      <c r="C162">
        <f>EXP(dataset!C162)</f>
        <v>0.16793510757640703</v>
      </c>
      <c r="D162">
        <f>EXP(dataset!D162)</f>
        <v>2.6332</v>
      </c>
      <c r="E162">
        <f>EXP(dataset!G162)</f>
        <v>2.0354999999999999</v>
      </c>
      <c r="F162">
        <f>1000*EXP(dataset!M162)</f>
        <v>9520.5417746382973</v>
      </c>
      <c r="G162">
        <f>EXP(dataset!L162)</f>
        <v>0.3185751332354399</v>
      </c>
      <c r="H162">
        <f>EXP(dataset!J162)</f>
        <v>0.76551474634343575</v>
      </c>
    </row>
    <row r="163" spans="1:8" x14ac:dyDescent="0.25">
      <c r="A163" s="11">
        <f>dataset!A163</f>
        <v>22</v>
      </c>
      <c r="B163" s="11">
        <f>dataset!B163</f>
        <v>2023</v>
      </c>
      <c r="C163">
        <f>EXP(dataset!C163)</f>
        <v>0.18902999431488243</v>
      </c>
      <c r="D163">
        <f>EXP(dataset!D163)</f>
        <v>2.1038999999999999</v>
      </c>
      <c r="E163">
        <f>EXP(dataset!G163)</f>
        <v>1.6445000000000001</v>
      </c>
      <c r="F163">
        <f>1000*EXP(dataset!M163)</f>
        <v>10058.077608693671</v>
      </c>
      <c r="G163">
        <f>EXP(dataset!L163)</f>
        <v>0.33131800479738793</v>
      </c>
      <c r="H163">
        <f>EXP(dataset!J163)</f>
        <v>1.34375503528117</v>
      </c>
    </row>
    <row r="164" spans="1:8" x14ac:dyDescent="0.25">
      <c r="A164" s="11">
        <f>dataset!A164</f>
        <v>23</v>
      </c>
      <c r="B164" s="11">
        <f>dataset!B164</f>
        <v>2006</v>
      </c>
      <c r="C164">
        <f>EXP(dataset!C164)</f>
        <v>6.4568892739943567E-2</v>
      </c>
      <c r="D164">
        <f>EXP(dataset!D164)</f>
        <v>2.7</v>
      </c>
      <c r="E164">
        <f>EXP(dataset!G164)</f>
        <v>1.92</v>
      </c>
      <c r="F164">
        <f>1000*EXP(dataset!M164)</f>
        <v>7623.5886273782025</v>
      </c>
      <c r="G164">
        <f>EXP(dataset!L164)</f>
        <v>0.1026976111358225</v>
      </c>
      <c r="H164">
        <f>EXP(dataset!J164)</f>
        <v>9.9999999999999805E-6</v>
      </c>
    </row>
    <row r="165" spans="1:8" x14ac:dyDescent="0.25">
      <c r="A165" s="11">
        <f>dataset!A165</f>
        <v>23</v>
      </c>
      <c r="B165" s="11">
        <f>dataset!B165</f>
        <v>2007</v>
      </c>
      <c r="C165">
        <f>EXP(dataset!C165)</f>
        <v>6.6306410300407653E-2</v>
      </c>
      <c r="D165">
        <f>EXP(dataset!D165)</f>
        <v>2.4986000000000002</v>
      </c>
      <c r="E165">
        <f>EXP(dataset!G165)</f>
        <v>1.6560999999999999</v>
      </c>
      <c r="F165">
        <f>1000*EXP(dataset!M165)</f>
        <v>7717.9315836725727</v>
      </c>
      <c r="G165">
        <f>EXP(dataset!L165)</f>
        <v>0.11347696358662533</v>
      </c>
      <c r="H165">
        <f>EXP(dataset!J165)</f>
        <v>9.9999999999999805E-6</v>
      </c>
    </row>
    <row r="166" spans="1:8" x14ac:dyDescent="0.25">
      <c r="A166" s="11">
        <f>dataset!A166</f>
        <v>23</v>
      </c>
      <c r="B166" s="11">
        <f>dataset!B166</f>
        <v>2008</v>
      </c>
      <c r="C166">
        <f>EXP(dataset!C166)</f>
        <v>7.2840378731364397E-2</v>
      </c>
      <c r="D166">
        <f>EXP(dataset!D166)</f>
        <v>2.3231999999999999</v>
      </c>
      <c r="E166">
        <f>EXP(dataset!G166)</f>
        <v>1.6452</v>
      </c>
      <c r="F166">
        <f>1000*EXP(dataset!M166)</f>
        <v>8318.4445425303602</v>
      </c>
      <c r="G166">
        <f>EXP(dataset!L166)</f>
        <v>0.12532518678122828</v>
      </c>
      <c r="H166">
        <f>EXP(dataset!J166)</f>
        <v>9.9999999999999805E-6</v>
      </c>
    </row>
    <row r="167" spans="1:8" x14ac:dyDescent="0.25">
      <c r="A167" s="11">
        <f>dataset!A167</f>
        <v>23</v>
      </c>
      <c r="B167" s="11">
        <f>dataset!B167</f>
        <v>2009</v>
      </c>
      <c r="C167">
        <f>EXP(dataset!C167)</f>
        <v>7.7903906135478596E-2</v>
      </c>
      <c r="D167">
        <f>EXP(dataset!D167)</f>
        <v>2.2012</v>
      </c>
      <c r="E167">
        <f>EXP(dataset!G167)</f>
        <v>1.5599000000000001</v>
      </c>
      <c r="F167">
        <f>1000*EXP(dataset!M167)</f>
        <v>8523.8729391356246</v>
      </c>
      <c r="G167">
        <f>EXP(dataset!L167)</f>
        <v>0.14034274748067024</v>
      </c>
      <c r="H167">
        <f>EXP(dataset!J167)</f>
        <v>9.9999999999999805E-6</v>
      </c>
    </row>
    <row r="168" spans="1:8" x14ac:dyDescent="0.25">
      <c r="A168" s="11">
        <f>dataset!A168</f>
        <v>23</v>
      </c>
      <c r="B168" s="11">
        <f>dataset!B168</f>
        <v>2010</v>
      </c>
      <c r="C168">
        <f>EXP(dataset!C168)</f>
        <v>9.6049509180368281E-2</v>
      </c>
      <c r="D168">
        <f>EXP(dataset!D168)</f>
        <v>2.1520000000000001</v>
      </c>
      <c r="E168">
        <f>EXP(dataset!G168)</f>
        <v>1.5629</v>
      </c>
      <c r="F168">
        <f>1000*EXP(dataset!M168)</f>
        <v>9291.0722847290235</v>
      </c>
      <c r="G168">
        <f>EXP(dataset!L168)</f>
        <v>0.16168238790057171</v>
      </c>
      <c r="H168">
        <f>EXP(dataset!J168)</f>
        <v>1.1710997868359999E-4</v>
      </c>
    </row>
    <row r="169" spans="1:8" x14ac:dyDescent="0.25">
      <c r="A169" s="11">
        <f>dataset!A169</f>
        <v>23</v>
      </c>
      <c r="B169" s="11">
        <f>dataset!B169</f>
        <v>2011</v>
      </c>
      <c r="C169">
        <f>EXP(dataset!C169)</f>
        <v>0.11058744536295065</v>
      </c>
      <c r="D169">
        <f>EXP(dataset!D169)</f>
        <v>2.0897999999999999</v>
      </c>
      <c r="E169">
        <f>EXP(dataset!G169)</f>
        <v>1.6365000000000001</v>
      </c>
      <c r="F169">
        <f>1000*EXP(dataset!M169)</f>
        <v>9707.6098475936287</v>
      </c>
      <c r="G169">
        <f>EXP(dataset!L169)</f>
        <v>0.18456335201411922</v>
      </c>
      <c r="H169">
        <f>EXP(dataset!J169)</f>
        <v>5.8615582014619986E-4</v>
      </c>
    </row>
    <row r="170" spans="1:8" x14ac:dyDescent="0.25">
      <c r="A170" s="11">
        <f>dataset!A170</f>
        <v>23</v>
      </c>
      <c r="B170" s="11">
        <f>dataset!B170</f>
        <v>2012</v>
      </c>
      <c r="C170">
        <f>EXP(dataset!C170)</f>
        <v>0.13023089110452521</v>
      </c>
      <c r="D170">
        <f>EXP(dataset!D170)</f>
        <v>1.9673</v>
      </c>
      <c r="E170">
        <f>EXP(dataset!G170)</f>
        <v>1.5680000000000001</v>
      </c>
      <c r="F170">
        <f>1000*EXP(dataset!M170)</f>
        <v>9637.2829016715586</v>
      </c>
      <c r="G170">
        <f>EXP(dataset!L170)</f>
        <v>0.20357320266488346</v>
      </c>
      <c r="H170">
        <f>EXP(dataset!J170)</f>
        <v>8.1338553719169978E-4</v>
      </c>
    </row>
    <row r="171" spans="1:8" x14ac:dyDescent="0.25">
      <c r="A171" s="11">
        <f>dataset!A171</f>
        <v>23</v>
      </c>
      <c r="B171" s="11">
        <f>dataset!B171</f>
        <v>2013</v>
      </c>
      <c r="C171">
        <f>EXP(dataset!C171)</f>
        <v>0.13855724322486931</v>
      </c>
      <c r="D171">
        <f>EXP(dataset!D171)</f>
        <v>1.9466000000000001</v>
      </c>
      <c r="E171">
        <f>EXP(dataset!G171)</f>
        <v>1.597</v>
      </c>
      <c r="F171">
        <f>1000*EXP(dataset!M171)</f>
        <v>9881.5061687453672</v>
      </c>
      <c r="G171">
        <f>EXP(dataset!L171)</f>
        <v>0.21946976366098553</v>
      </c>
      <c r="H171">
        <f>EXP(dataset!J171)</f>
        <v>1.9365327588437998E-3</v>
      </c>
    </row>
    <row r="172" spans="1:8" x14ac:dyDescent="0.25">
      <c r="A172" s="11">
        <f>dataset!A172</f>
        <v>23</v>
      </c>
      <c r="B172" s="11">
        <f>dataset!B172</f>
        <v>2014</v>
      </c>
      <c r="C172">
        <f>EXP(dataset!C172)</f>
        <v>0.15251712270481119</v>
      </c>
      <c r="D172">
        <f>EXP(dataset!D172)</f>
        <v>1.9258999999999999</v>
      </c>
      <c r="E172">
        <f>EXP(dataset!G172)</f>
        <v>1.5846</v>
      </c>
      <c r="F172">
        <f>1000*EXP(dataset!M172)</f>
        <v>10515.673447252118</v>
      </c>
      <c r="G172">
        <f>EXP(dataset!L172)</f>
        <v>0.2367877969749595</v>
      </c>
      <c r="H172">
        <f>EXP(dataset!J172)</f>
        <v>4.1841993099237008E-3</v>
      </c>
    </row>
    <row r="173" spans="1:8" x14ac:dyDescent="0.25">
      <c r="A173" s="11">
        <f>dataset!A173</f>
        <v>23</v>
      </c>
      <c r="B173" s="11">
        <f>dataset!B173</f>
        <v>2015</v>
      </c>
      <c r="C173">
        <f>EXP(dataset!C173)</f>
        <v>0.14951996634495138</v>
      </c>
      <c r="D173">
        <f>EXP(dataset!D173)</f>
        <v>2.008</v>
      </c>
      <c r="E173">
        <f>EXP(dataset!G173)</f>
        <v>1.5598000000000001</v>
      </c>
      <c r="F173">
        <f>1000*EXP(dataset!M173)</f>
        <v>10060.680440473692</v>
      </c>
      <c r="G173">
        <f>EXP(dataset!L173)</f>
        <v>0.25146771971211274</v>
      </c>
      <c r="H173">
        <f>EXP(dataset!J173)</f>
        <v>6.1766806944700001E-3</v>
      </c>
    </row>
    <row r="174" spans="1:8" x14ac:dyDescent="0.25">
      <c r="A174" s="11">
        <f>dataset!A174</f>
        <v>23</v>
      </c>
      <c r="B174" s="11">
        <f>dataset!B174</f>
        <v>2016</v>
      </c>
      <c r="C174">
        <f>EXP(dataset!C174)</f>
        <v>0.15308211497911053</v>
      </c>
      <c r="D174">
        <f>EXP(dataset!D174)</f>
        <v>2.141</v>
      </c>
      <c r="E174">
        <f>EXP(dataset!G174)</f>
        <v>1.7632000000000001</v>
      </c>
      <c r="F174">
        <f>1000*EXP(dataset!M174)</f>
        <v>9796.5583201421141</v>
      </c>
      <c r="G174">
        <f>EXP(dataset!L174)</f>
        <v>0.26098660781870092</v>
      </c>
      <c r="H174">
        <f>EXP(dataset!J174)</f>
        <v>8.813361234129298E-3</v>
      </c>
    </row>
    <row r="175" spans="1:8" x14ac:dyDescent="0.25">
      <c r="A175" s="11">
        <f>dataset!A175</f>
        <v>23</v>
      </c>
      <c r="B175" s="11">
        <f>dataset!B175</f>
        <v>2017</v>
      </c>
      <c r="C175">
        <f>EXP(dataset!C175)</f>
        <v>0.15316725421985136</v>
      </c>
      <c r="D175">
        <f>EXP(dataset!D175)</f>
        <v>2.0903</v>
      </c>
      <c r="E175">
        <f>EXP(dataset!G175)</f>
        <v>1.7393000000000001</v>
      </c>
      <c r="F175">
        <f>1000*EXP(dataset!M175)</f>
        <v>10034.50866911443</v>
      </c>
      <c r="G175">
        <f>EXP(dataset!L175)</f>
        <v>0.26902175720528665</v>
      </c>
      <c r="H175">
        <f>EXP(dataset!J175)</f>
        <v>1.6961440990814206E-2</v>
      </c>
    </row>
    <row r="176" spans="1:8" x14ac:dyDescent="0.25">
      <c r="A176" s="11">
        <f>dataset!A176</f>
        <v>23</v>
      </c>
      <c r="B176" s="11">
        <f>dataset!B176</f>
        <v>2018</v>
      </c>
      <c r="C176">
        <f>EXP(dataset!C176)</f>
        <v>0.14652055296541316</v>
      </c>
      <c r="D176">
        <f>EXP(dataset!D176)</f>
        <v>2.3069999999999999</v>
      </c>
      <c r="E176">
        <f>EXP(dataset!G176)</f>
        <v>1.8405</v>
      </c>
      <c r="F176">
        <f>1000*EXP(dataset!M176)</f>
        <v>10059.65429016702</v>
      </c>
      <c r="G176">
        <f>EXP(dataset!L176)</f>
        <v>0.27764603941822769</v>
      </c>
      <c r="H176">
        <f>EXP(dataset!J176)</f>
        <v>2.6224019902047712E-2</v>
      </c>
    </row>
    <row r="177" spans="1:8" x14ac:dyDescent="0.25">
      <c r="A177" s="11">
        <f>dataset!A177</f>
        <v>23</v>
      </c>
      <c r="B177" s="11">
        <f>dataset!B177</f>
        <v>2019</v>
      </c>
      <c r="C177">
        <f>EXP(dataset!C177)</f>
        <v>0.15169163141182093</v>
      </c>
      <c r="D177">
        <f>EXP(dataset!D177)</f>
        <v>2.2214999999999998</v>
      </c>
      <c r="E177">
        <f>EXP(dataset!G177)</f>
        <v>1.8185</v>
      </c>
      <c r="F177">
        <f>1000*EXP(dataset!M177)</f>
        <v>10064.294721300013</v>
      </c>
      <c r="G177">
        <f>EXP(dataset!L177)</f>
        <v>0.28709248869753412</v>
      </c>
      <c r="H177">
        <f>EXP(dataset!J177)</f>
        <v>5.4533042753248377E-2</v>
      </c>
    </row>
    <row r="178" spans="1:8" x14ac:dyDescent="0.25">
      <c r="A178" s="11">
        <f>dataset!A178</f>
        <v>23</v>
      </c>
      <c r="B178" s="11">
        <f>dataset!B178</f>
        <v>2020</v>
      </c>
      <c r="C178">
        <f>EXP(dataset!C178)</f>
        <v>0.13913825065420501</v>
      </c>
      <c r="D178">
        <f>EXP(dataset!D178)</f>
        <v>2.069</v>
      </c>
      <c r="E178">
        <f>EXP(dataset!G178)</f>
        <v>1.7069000000000001</v>
      </c>
      <c r="F178">
        <f>1000*EXP(dataset!M178)</f>
        <v>9587.6745879196078</v>
      </c>
      <c r="G178">
        <f>EXP(dataset!L178)</f>
        <v>0.29432705826853139</v>
      </c>
      <c r="H178">
        <f>EXP(dataset!J178)</f>
        <v>9.8616506204404153E-2</v>
      </c>
    </row>
    <row r="179" spans="1:8" x14ac:dyDescent="0.25">
      <c r="A179" s="11">
        <f>dataset!A179</f>
        <v>23</v>
      </c>
      <c r="B179" s="11">
        <f>dataset!B179</f>
        <v>2021</v>
      </c>
      <c r="C179">
        <f>EXP(dataset!C179)</f>
        <v>0.14353322518716344</v>
      </c>
      <c r="D179">
        <f>EXP(dataset!D179)</f>
        <v>2.5036999999999998</v>
      </c>
      <c r="E179">
        <f>EXP(dataset!G179)</f>
        <v>2.1362000000000001</v>
      </c>
      <c r="F179">
        <f>1000*EXP(dataset!M179)</f>
        <v>9844.7770318096955</v>
      </c>
      <c r="G179">
        <f>EXP(dataset!L179)</f>
        <v>0.30146560064411526</v>
      </c>
      <c r="H179">
        <f>EXP(dataset!J179)</f>
        <v>0.17726160046230852</v>
      </c>
    </row>
    <row r="180" spans="1:8" x14ac:dyDescent="0.25">
      <c r="A180" s="11">
        <f>dataset!A180</f>
        <v>23</v>
      </c>
      <c r="B180" s="11">
        <f>dataset!B180</f>
        <v>2022</v>
      </c>
      <c r="C180">
        <f>EXP(dataset!C180)</f>
        <v>0.15485379705602884</v>
      </c>
      <c r="D180">
        <f>EXP(dataset!D180)</f>
        <v>2.5160999999999998</v>
      </c>
      <c r="E180">
        <f>EXP(dataset!G180)</f>
        <v>2.1324000000000001</v>
      </c>
      <c r="F180">
        <f>1000*EXP(dataset!M180)</f>
        <v>9938.7107287529561</v>
      </c>
      <c r="G180">
        <f>EXP(dataset!L180)</f>
        <v>0.30970458564289238</v>
      </c>
      <c r="H180">
        <f>EXP(dataset!J180)</f>
        <v>0.28450595092515835</v>
      </c>
    </row>
    <row r="181" spans="1:8" x14ac:dyDescent="0.25">
      <c r="A181" s="11">
        <f>dataset!A181</f>
        <v>23</v>
      </c>
      <c r="B181" s="11">
        <f>dataset!B181</f>
        <v>2023</v>
      </c>
      <c r="C181">
        <f>EXP(dataset!C181)</f>
        <v>0.16515497512060931</v>
      </c>
      <c r="D181">
        <f>EXP(dataset!D181)</f>
        <v>2.2235</v>
      </c>
      <c r="E181">
        <f>EXP(dataset!G181)</f>
        <v>1.768</v>
      </c>
      <c r="F181">
        <f>1000*EXP(dataset!M181)</f>
        <v>10275.774119947026</v>
      </c>
      <c r="G181">
        <f>EXP(dataset!L181)</f>
        <v>0.31919857844421029</v>
      </c>
      <c r="H181">
        <f>EXP(dataset!J181)</f>
        <v>0.48871391189730512</v>
      </c>
    </row>
    <row r="182" spans="1:8" x14ac:dyDescent="0.25">
      <c r="A182" s="11">
        <f>dataset!A182</f>
        <v>24</v>
      </c>
      <c r="B182" s="11">
        <f>dataset!B182</f>
        <v>2006</v>
      </c>
      <c r="C182">
        <f>EXP(dataset!C182)</f>
        <v>8.7602084264199451E-2</v>
      </c>
      <c r="D182">
        <f>EXP(dataset!D182)</f>
        <v>2.62</v>
      </c>
      <c r="E182">
        <f>EXP(dataset!G182)</f>
        <v>1.89</v>
      </c>
      <c r="F182">
        <f>1000*EXP(dataset!M182)</f>
        <v>10131.15645067285</v>
      </c>
      <c r="G182">
        <f>EXP(dataset!L182)</f>
        <v>0.1179925486897784</v>
      </c>
      <c r="H182">
        <f>EXP(dataset!J182)</f>
        <v>9.9999999999999805E-6</v>
      </c>
    </row>
    <row r="183" spans="1:8" x14ac:dyDescent="0.25">
      <c r="A183" s="11">
        <f>dataset!A183</f>
        <v>24</v>
      </c>
      <c r="B183" s="11">
        <f>dataset!B183</f>
        <v>2007</v>
      </c>
      <c r="C183">
        <f>EXP(dataset!C183)</f>
        <v>8.8560865377298487E-2</v>
      </c>
      <c r="D183">
        <f>EXP(dataset!D183)</f>
        <v>2.4411</v>
      </c>
      <c r="E183">
        <f>EXP(dataset!G183)</f>
        <v>1.5795999999999999</v>
      </c>
      <c r="F183">
        <f>1000*EXP(dataset!M183)</f>
        <v>10832.246559394198</v>
      </c>
      <c r="G183">
        <f>EXP(dataset!L183)</f>
        <v>0.13424580289798885</v>
      </c>
      <c r="H183">
        <f>EXP(dataset!J183)</f>
        <v>9.9999999999999805E-6</v>
      </c>
    </row>
    <row r="184" spans="1:8" x14ac:dyDescent="0.25">
      <c r="A184" s="11">
        <f>dataset!A184</f>
        <v>24</v>
      </c>
      <c r="B184" s="11">
        <f>dataset!B184</f>
        <v>2008</v>
      </c>
      <c r="C184">
        <f>EXP(dataset!C184)</f>
        <v>9.7878021629932074E-2</v>
      </c>
      <c r="D184">
        <f>EXP(dataset!D184)</f>
        <v>2.3412999999999999</v>
      </c>
      <c r="E184">
        <f>EXP(dataset!G184)</f>
        <v>1.6362000000000001</v>
      </c>
      <c r="F184">
        <f>1000*EXP(dataset!M184)</f>
        <v>10824.188959791858</v>
      </c>
      <c r="G184">
        <f>EXP(dataset!L184)</f>
        <v>0.15060249108624801</v>
      </c>
      <c r="H184">
        <f>EXP(dataset!J184)</f>
        <v>9.9999999999999805E-6</v>
      </c>
    </row>
    <row r="185" spans="1:8" x14ac:dyDescent="0.25">
      <c r="A185" s="11">
        <f>dataset!A185</f>
        <v>24</v>
      </c>
      <c r="B185" s="11">
        <f>dataset!B185</f>
        <v>2009</v>
      </c>
      <c r="C185">
        <f>EXP(dataset!C185)</f>
        <v>0.10654628258244267</v>
      </c>
      <c r="D185">
        <f>EXP(dataset!D185)</f>
        <v>2.2444999999999999</v>
      </c>
      <c r="E185">
        <f>EXP(dataset!G185)</f>
        <v>1.5859000000000001</v>
      </c>
      <c r="F185">
        <f>1000*EXP(dataset!M185)</f>
        <v>10692.234352666626</v>
      </c>
      <c r="G185">
        <f>EXP(dataset!L185)</f>
        <v>0.16632069509211184</v>
      </c>
      <c r="H185">
        <f>EXP(dataset!J185)</f>
        <v>9.9999999999999805E-6</v>
      </c>
    </row>
    <row r="186" spans="1:8" x14ac:dyDescent="0.25">
      <c r="A186" s="11">
        <f>dataset!A186</f>
        <v>24</v>
      </c>
      <c r="B186" s="11">
        <f>dataset!B186</f>
        <v>2010</v>
      </c>
      <c r="C186">
        <f>EXP(dataset!C186)</f>
        <v>0.12737914124527039</v>
      </c>
      <c r="D186">
        <f>EXP(dataset!D186)</f>
        <v>2.1928999999999998</v>
      </c>
      <c r="E186">
        <f>EXP(dataset!G186)</f>
        <v>1.6037999999999999</v>
      </c>
      <c r="F186">
        <f>1000*EXP(dataset!M186)</f>
        <v>11421.518708853475</v>
      </c>
      <c r="G186">
        <f>EXP(dataset!L186)</f>
        <v>0.18477200365266355</v>
      </c>
      <c r="H186">
        <f>EXP(dataset!J186)</f>
        <v>3.1564670169709983E-4</v>
      </c>
    </row>
    <row r="187" spans="1:8" x14ac:dyDescent="0.25">
      <c r="A187" s="11">
        <f>dataset!A187</f>
        <v>24</v>
      </c>
      <c r="B187" s="11">
        <f>dataset!B187</f>
        <v>2011</v>
      </c>
      <c r="C187">
        <f>EXP(dataset!C187)</f>
        <v>0.15147516598372382</v>
      </c>
      <c r="D187">
        <f>EXP(dataset!D187)</f>
        <v>2.0897999999999999</v>
      </c>
      <c r="E187">
        <f>EXP(dataset!G187)</f>
        <v>1.7057</v>
      </c>
      <c r="F187">
        <f>1000*EXP(dataset!M187)</f>
        <v>11831.45697844439</v>
      </c>
      <c r="G187">
        <f>EXP(dataset!L187)</f>
        <v>0.2021632829027932</v>
      </c>
      <c r="H187">
        <f>EXP(dataset!J187)</f>
        <v>1.8757872444590991E-3</v>
      </c>
    </row>
    <row r="188" spans="1:8" x14ac:dyDescent="0.25">
      <c r="A188" s="11">
        <f>dataset!A188</f>
        <v>24</v>
      </c>
      <c r="B188" s="11">
        <f>dataset!B188</f>
        <v>2012</v>
      </c>
      <c r="C188">
        <f>EXP(dataset!C188)</f>
        <v>0.1740610767988828</v>
      </c>
      <c r="D188">
        <f>EXP(dataset!D188)</f>
        <v>1.96</v>
      </c>
      <c r="E188">
        <f>EXP(dataset!G188)</f>
        <v>1.6188</v>
      </c>
      <c r="F188">
        <f>1000*EXP(dataset!M188)</f>
        <v>12296.289062566795</v>
      </c>
      <c r="G188">
        <f>EXP(dataset!L188)</f>
        <v>0.21985485400833529</v>
      </c>
      <c r="H188">
        <f>EXP(dataset!J188)</f>
        <v>2.7879330821714999E-3</v>
      </c>
    </row>
    <row r="189" spans="1:8" x14ac:dyDescent="0.25">
      <c r="A189" s="11">
        <f>dataset!A189</f>
        <v>24</v>
      </c>
      <c r="B189" s="11">
        <f>dataset!B189</f>
        <v>2013</v>
      </c>
      <c r="C189">
        <f>EXP(dataset!C189)</f>
        <v>0.17949260497830577</v>
      </c>
      <c r="D189">
        <f>EXP(dataset!D189)</f>
        <v>1.974</v>
      </c>
      <c r="E189">
        <f>EXP(dataset!G189)</f>
        <v>1.6587000000000001</v>
      </c>
      <c r="F189">
        <f>1000*EXP(dataset!M189)</f>
        <v>12147.814188702345</v>
      </c>
      <c r="G189">
        <f>EXP(dataset!L189)</f>
        <v>0.22857005671971722</v>
      </c>
      <c r="H189">
        <f>EXP(dataset!J189)</f>
        <v>6.2241420242509999E-3</v>
      </c>
    </row>
    <row r="190" spans="1:8" x14ac:dyDescent="0.25">
      <c r="A190" s="11">
        <f>dataset!A190</f>
        <v>24</v>
      </c>
      <c r="B190" s="11">
        <f>dataset!B190</f>
        <v>2014</v>
      </c>
      <c r="C190">
        <f>EXP(dataset!C190)</f>
        <v>0.19138739507878794</v>
      </c>
      <c r="D190">
        <f>EXP(dataset!D190)</f>
        <v>1.9517</v>
      </c>
      <c r="E190">
        <f>EXP(dataset!G190)</f>
        <v>1.6876</v>
      </c>
      <c r="F190">
        <f>1000*EXP(dataset!M190)</f>
        <v>11691.735316017845</v>
      </c>
      <c r="G190">
        <f>EXP(dataset!L190)</f>
        <v>0.24321125653144635</v>
      </c>
      <c r="H190">
        <f>EXP(dataset!J190)</f>
        <v>1.20287163599344E-2</v>
      </c>
    </row>
    <row r="191" spans="1:8" x14ac:dyDescent="0.25">
      <c r="A191" s="11">
        <f>dataset!A191</f>
        <v>24</v>
      </c>
      <c r="B191" s="11">
        <f>dataset!B191</f>
        <v>2015</v>
      </c>
      <c r="C191">
        <f>EXP(dataset!C191)</f>
        <v>0.18731870111194221</v>
      </c>
      <c r="D191">
        <f>EXP(dataset!D191)</f>
        <v>1.9614</v>
      </c>
      <c r="E191">
        <f>EXP(dataset!G191)</f>
        <v>1.5714999999999999</v>
      </c>
      <c r="F191">
        <f>1000*EXP(dataset!M191)</f>
        <v>11406.215965661249</v>
      </c>
      <c r="G191">
        <f>EXP(dataset!L191)</f>
        <v>0.25520404976504685</v>
      </c>
      <c r="H191">
        <f>EXP(dataset!J191)</f>
        <v>1.8011867496568308E-2</v>
      </c>
    </row>
    <row r="192" spans="1:8" x14ac:dyDescent="0.25">
      <c r="A192" s="11">
        <f>dataset!A192</f>
        <v>24</v>
      </c>
      <c r="B192" s="11">
        <f>dataset!B192</f>
        <v>2016</v>
      </c>
      <c r="C192">
        <f>EXP(dataset!C192)</f>
        <v>0.18753398994762011</v>
      </c>
      <c r="D192">
        <f>EXP(dataset!D192)</f>
        <v>2.0972</v>
      </c>
      <c r="E192">
        <f>EXP(dataset!G192)</f>
        <v>1.7467999999999999</v>
      </c>
      <c r="F192">
        <f>1000*EXP(dataset!M192)</f>
        <v>10894.506159485554</v>
      </c>
      <c r="G192">
        <f>EXP(dataset!L192)</f>
        <v>0.26401079943067601</v>
      </c>
      <c r="H192">
        <f>EXP(dataset!J192)</f>
        <v>2.5323755582017604E-2</v>
      </c>
    </row>
    <row r="193" spans="1:8" x14ac:dyDescent="0.25">
      <c r="A193" s="11">
        <f>dataset!A193</f>
        <v>24</v>
      </c>
      <c r="B193" s="11">
        <f>dataset!B193</f>
        <v>2017</v>
      </c>
      <c r="C193">
        <f>EXP(dataset!C193)</f>
        <v>0.18848576405551978</v>
      </c>
      <c r="D193">
        <f>EXP(dataset!D193)</f>
        <v>2.0531000000000001</v>
      </c>
      <c r="E193">
        <f>EXP(dataset!G193)</f>
        <v>1.7126999999999999</v>
      </c>
      <c r="F193">
        <f>1000*EXP(dataset!M193)</f>
        <v>11220.40984535799</v>
      </c>
      <c r="G193">
        <f>EXP(dataset!L193)</f>
        <v>0.27290167701595935</v>
      </c>
      <c r="H193">
        <f>EXP(dataset!J193)</f>
        <v>4.8759581899416621E-2</v>
      </c>
    </row>
    <row r="194" spans="1:8" x14ac:dyDescent="0.25">
      <c r="A194" s="11">
        <f>dataset!A194</f>
        <v>24</v>
      </c>
      <c r="B194" s="11">
        <f>dataset!B194</f>
        <v>2018</v>
      </c>
      <c r="C194">
        <f>EXP(dataset!C194)</f>
        <v>0.17478797703944515</v>
      </c>
      <c r="D194">
        <f>EXP(dataset!D194)</f>
        <v>2.266</v>
      </c>
      <c r="E194">
        <f>EXP(dataset!G194)</f>
        <v>1.7789999999999999</v>
      </c>
      <c r="F194">
        <f>1000*EXP(dataset!M194)</f>
        <v>11272.643128993592</v>
      </c>
      <c r="G194">
        <f>EXP(dataset!L194)</f>
        <v>0.28581435523324156</v>
      </c>
      <c r="H194">
        <f>EXP(dataset!J194)</f>
        <v>7.674597083653098E-2</v>
      </c>
    </row>
    <row r="195" spans="1:8" x14ac:dyDescent="0.25">
      <c r="A195" s="11">
        <f>dataset!A195</f>
        <v>24</v>
      </c>
      <c r="B195" s="11">
        <f>dataset!B195</f>
        <v>2019</v>
      </c>
      <c r="C195">
        <f>EXP(dataset!C195)</f>
        <v>0.17694643887268721</v>
      </c>
      <c r="D195">
        <f>EXP(dataset!D195)</f>
        <v>2.2067999999999999</v>
      </c>
      <c r="E195">
        <f>EXP(dataset!G195)</f>
        <v>1.7743</v>
      </c>
      <c r="F195">
        <f>1000*EXP(dataset!M195)</f>
        <v>11429.601848010168</v>
      </c>
      <c r="G195">
        <f>EXP(dataset!L195)</f>
        <v>0.29426611266568636</v>
      </c>
      <c r="H195">
        <f>EXP(dataset!J195)</f>
        <v>0.16139826790572637</v>
      </c>
    </row>
    <row r="196" spans="1:8" x14ac:dyDescent="0.25">
      <c r="A196" s="11">
        <f>dataset!A196</f>
        <v>24</v>
      </c>
      <c r="B196" s="11">
        <f>dataset!B196</f>
        <v>2020</v>
      </c>
      <c r="C196">
        <f>EXP(dataset!C196)</f>
        <v>0.16348495613532465</v>
      </c>
      <c r="D196">
        <f>EXP(dataset!D196)</f>
        <v>2.1065999999999998</v>
      </c>
      <c r="E196">
        <f>EXP(dataset!G196)</f>
        <v>1.6975</v>
      </c>
      <c r="F196">
        <f>1000*EXP(dataset!M196)</f>
        <v>10687.71909692955</v>
      </c>
      <c r="G196">
        <f>EXP(dataset!L196)</f>
        <v>0.30029158231152198</v>
      </c>
      <c r="H196">
        <f>EXP(dataset!J196)</f>
        <v>0.28578179004092902</v>
      </c>
    </row>
    <row r="197" spans="1:8" x14ac:dyDescent="0.25">
      <c r="A197" s="11">
        <f>dataset!A197</f>
        <v>24</v>
      </c>
      <c r="B197" s="11">
        <f>dataset!B197</f>
        <v>2021</v>
      </c>
      <c r="C197">
        <f>EXP(dataset!C197)</f>
        <v>0.16715900994775756</v>
      </c>
      <c r="D197">
        <f>EXP(dataset!D197)</f>
        <v>2.6019000000000001</v>
      </c>
      <c r="E197">
        <f>EXP(dataset!G197)</f>
        <v>2.1918000000000002</v>
      </c>
      <c r="F197">
        <f>1000*EXP(dataset!M197)</f>
        <v>10510.830286138087</v>
      </c>
      <c r="G197">
        <f>EXP(dataset!L197)</f>
        <v>0.30745094713335369</v>
      </c>
      <c r="H197">
        <f>EXP(dataset!J197)</f>
        <v>0.49116754935475632</v>
      </c>
    </row>
    <row r="198" spans="1:8" x14ac:dyDescent="0.25">
      <c r="A198" s="11">
        <f>dataset!A198</f>
        <v>24</v>
      </c>
      <c r="B198" s="11">
        <f>dataset!B198</f>
        <v>2022</v>
      </c>
      <c r="C198">
        <f>EXP(dataset!C198)</f>
        <v>0.17342400789911983</v>
      </c>
      <c r="D198">
        <f>EXP(dataset!D198)</f>
        <v>2.609</v>
      </c>
      <c r="E198">
        <f>EXP(dataset!G198)</f>
        <v>2.1364000000000001</v>
      </c>
      <c r="F198">
        <f>1000*EXP(dataset!M198)</f>
        <v>11328.141587091815</v>
      </c>
      <c r="G198">
        <f>EXP(dataset!L198)</f>
        <v>0.31660761329359433</v>
      </c>
      <c r="H198">
        <f>EXP(dataset!J198)</f>
        <v>0.84135962142186971</v>
      </c>
    </row>
    <row r="199" spans="1:8" x14ac:dyDescent="0.25">
      <c r="A199" s="11">
        <f>dataset!A199</f>
        <v>24</v>
      </c>
      <c r="B199" s="11">
        <f>dataset!B199</f>
        <v>2023</v>
      </c>
      <c r="C199">
        <f>EXP(dataset!C199)</f>
        <v>0.18868332835800358</v>
      </c>
      <c r="D199">
        <f>EXP(dataset!D199)</f>
        <v>2.2120000000000002</v>
      </c>
      <c r="E199">
        <f>EXP(dataset!G199)</f>
        <v>1.7564</v>
      </c>
      <c r="F199">
        <f>1000*EXP(dataset!M199)</f>
        <v>11681.830774048049</v>
      </c>
      <c r="G199">
        <f>EXP(dataset!L199)</f>
        <v>0.32703277792177987</v>
      </c>
      <c r="H199">
        <f>EXP(dataset!J199)</f>
        <v>1.4417691242923494</v>
      </c>
    </row>
    <row r="200" spans="1:8" x14ac:dyDescent="0.25">
      <c r="A200" s="11">
        <f>dataset!A200</f>
        <v>25</v>
      </c>
      <c r="B200" s="11">
        <f>dataset!B200</f>
        <v>2006</v>
      </c>
      <c r="C200">
        <f>EXP(dataset!C200)</f>
        <v>7.7557773965939047E-2</v>
      </c>
      <c r="D200">
        <f>EXP(dataset!D200)</f>
        <v>2.59</v>
      </c>
      <c r="E200">
        <f>EXP(dataset!G200)</f>
        <v>1.89</v>
      </c>
      <c r="F200">
        <f>1000*EXP(dataset!M200)</f>
        <v>7747.8917368138482</v>
      </c>
      <c r="G200">
        <f>EXP(dataset!L200)</f>
        <v>9.2233831003680392E-2</v>
      </c>
      <c r="H200">
        <f>EXP(dataset!J200)</f>
        <v>9.9999999999999805E-6</v>
      </c>
    </row>
    <row r="201" spans="1:8" x14ac:dyDescent="0.25">
      <c r="A201" s="11">
        <f>dataset!A201</f>
        <v>25</v>
      </c>
      <c r="B201" s="11">
        <f>dataset!B201</f>
        <v>2007</v>
      </c>
      <c r="C201">
        <f>EXP(dataset!C201)</f>
        <v>8.1734812960403594E-2</v>
      </c>
      <c r="D201">
        <f>EXP(dataset!D201)</f>
        <v>2.4220000000000002</v>
      </c>
      <c r="E201">
        <f>EXP(dataset!G201)</f>
        <v>1.6560999999999999</v>
      </c>
      <c r="F201">
        <f>1000*EXP(dataset!M201)</f>
        <v>7873.1901655484435</v>
      </c>
      <c r="G201">
        <f>EXP(dataset!L201)</f>
        <v>0.10331151182081566</v>
      </c>
      <c r="H201">
        <f>EXP(dataset!J201)</f>
        <v>9.9999999999999805E-6</v>
      </c>
    </row>
    <row r="202" spans="1:8" x14ac:dyDescent="0.25">
      <c r="A202" s="11">
        <f>dataset!A202</f>
        <v>25</v>
      </c>
      <c r="B202" s="11">
        <f>dataset!B202</f>
        <v>2008</v>
      </c>
      <c r="C202">
        <f>EXP(dataset!C202)</f>
        <v>9.1201567144159459E-2</v>
      </c>
      <c r="D202">
        <f>EXP(dataset!D202)</f>
        <v>2.2147000000000001</v>
      </c>
      <c r="E202">
        <f>EXP(dataset!G202)</f>
        <v>1.591</v>
      </c>
      <c r="F202">
        <f>1000*EXP(dataset!M202)</f>
        <v>8359.6307158865857</v>
      </c>
      <c r="G202">
        <f>EXP(dataset!L202)</f>
        <v>0.11637752751827329</v>
      </c>
      <c r="H202">
        <f>EXP(dataset!J202)</f>
        <v>9.9999999999999805E-6</v>
      </c>
    </row>
    <row r="203" spans="1:8" x14ac:dyDescent="0.25">
      <c r="A203" s="11">
        <f>dataset!A203</f>
        <v>25</v>
      </c>
      <c r="B203" s="11">
        <f>dataset!B203</f>
        <v>2009</v>
      </c>
      <c r="C203">
        <f>EXP(dataset!C203)</f>
        <v>9.524850682112912E-2</v>
      </c>
      <c r="D203">
        <f>EXP(dataset!D203)</f>
        <v>2.0972</v>
      </c>
      <c r="E203">
        <f>EXP(dataset!G203)</f>
        <v>1.4645999999999999</v>
      </c>
      <c r="F203">
        <f>1000*EXP(dataset!M203)</f>
        <v>8694.1685261475104</v>
      </c>
      <c r="G203">
        <f>EXP(dataset!L203)</f>
        <v>0.13102255000494695</v>
      </c>
      <c r="H203">
        <f>EXP(dataset!J203)</f>
        <v>9.9999999999999805E-6</v>
      </c>
    </row>
    <row r="204" spans="1:8" x14ac:dyDescent="0.25">
      <c r="A204" s="11">
        <f>dataset!A204</f>
        <v>25</v>
      </c>
      <c r="B204" s="11">
        <f>dataset!B204</f>
        <v>2010</v>
      </c>
      <c r="C204">
        <f>EXP(dataset!C204)</f>
        <v>0.11765863294262399</v>
      </c>
      <c r="D204">
        <f>EXP(dataset!D204)</f>
        <v>2.0047000000000001</v>
      </c>
      <c r="E204">
        <f>EXP(dataset!G204)</f>
        <v>1.5138</v>
      </c>
      <c r="F204">
        <f>1000*EXP(dataset!M204)</f>
        <v>8866.8687838004407</v>
      </c>
      <c r="G204">
        <f>EXP(dataset!L204)</f>
        <v>0.14954772279658024</v>
      </c>
      <c r="H204">
        <f>EXP(dataset!J204)</f>
        <v>2.6450506077530011E-4</v>
      </c>
    </row>
    <row r="205" spans="1:8" x14ac:dyDescent="0.25">
      <c r="A205" s="11">
        <f>dataset!A205</f>
        <v>25</v>
      </c>
      <c r="B205" s="11">
        <f>dataset!B205</f>
        <v>2011</v>
      </c>
      <c r="C205">
        <f>EXP(dataset!C205)</f>
        <v>0.1349635495863572</v>
      </c>
      <c r="D205">
        <f>EXP(dataset!D205)</f>
        <v>1.9669000000000001</v>
      </c>
      <c r="E205">
        <f>EXP(dataset!G205)</f>
        <v>1.6134999999999999</v>
      </c>
      <c r="F205">
        <f>1000*EXP(dataset!M205)</f>
        <v>9036.244606079943</v>
      </c>
      <c r="G205">
        <f>EXP(dataset!L205)</f>
        <v>0.16966250496199867</v>
      </c>
      <c r="H205">
        <f>EXP(dataset!J205)</f>
        <v>1.0550429072762003E-3</v>
      </c>
    </row>
    <row r="206" spans="1:8" x14ac:dyDescent="0.25">
      <c r="A206" s="11">
        <f>dataset!A206</f>
        <v>25</v>
      </c>
      <c r="B206" s="11">
        <f>dataset!B206</f>
        <v>2012</v>
      </c>
      <c r="C206">
        <f>EXP(dataset!C206)</f>
        <v>0.1542130641064319</v>
      </c>
      <c r="D206">
        <f>EXP(dataset!D206)</f>
        <v>1.8874</v>
      </c>
      <c r="E206">
        <f>EXP(dataset!G206)</f>
        <v>1.5752999999999999</v>
      </c>
      <c r="F206">
        <f>1000*EXP(dataset!M206)</f>
        <v>9524.8434362443986</v>
      </c>
      <c r="G206">
        <f>EXP(dataset!L206)</f>
        <v>0.18650094582916465</v>
      </c>
      <c r="H206">
        <f>EXP(dataset!J206)</f>
        <v>1.8347801448480002E-3</v>
      </c>
    </row>
    <row r="207" spans="1:8" x14ac:dyDescent="0.25">
      <c r="A207" s="11">
        <f>dataset!A207</f>
        <v>25</v>
      </c>
      <c r="B207" s="11">
        <f>dataset!B207</f>
        <v>2013</v>
      </c>
      <c r="C207">
        <f>EXP(dataset!C207)</f>
        <v>0.15971243001199928</v>
      </c>
      <c r="D207">
        <f>EXP(dataset!D207)</f>
        <v>1.9055</v>
      </c>
      <c r="E207">
        <f>EXP(dataset!G207)</f>
        <v>1.5489999999999999</v>
      </c>
      <c r="F207">
        <f>1000*EXP(dataset!M207)</f>
        <v>9425.6869815229384</v>
      </c>
      <c r="G207">
        <f>EXP(dataset!L207)</f>
        <v>0.19780882025719754</v>
      </c>
      <c r="H207">
        <f>EXP(dataset!J207)</f>
        <v>4.0874499702510054E-3</v>
      </c>
    </row>
    <row r="208" spans="1:8" x14ac:dyDescent="0.25">
      <c r="A208" s="11">
        <f>dataset!A208</f>
        <v>25</v>
      </c>
      <c r="B208" s="11">
        <f>dataset!B208</f>
        <v>2014</v>
      </c>
      <c r="C208">
        <f>EXP(dataset!C208)</f>
        <v>0.17400861079874277</v>
      </c>
      <c r="D208">
        <f>EXP(dataset!D208)</f>
        <v>1.8422000000000001</v>
      </c>
      <c r="E208">
        <f>EXP(dataset!G208)</f>
        <v>1.4751000000000001</v>
      </c>
      <c r="F208">
        <f>1000*EXP(dataset!M208)</f>
        <v>9901.4553961385791</v>
      </c>
      <c r="G208">
        <f>EXP(dataset!L208)</f>
        <v>0.21159567279471897</v>
      </c>
      <c r="H208">
        <f>EXP(dataset!J208)</f>
        <v>8.6209410264244009E-3</v>
      </c>
    </row>
    <row r="209" spans="1:8" x14ac:dyDescent="0.25">
      <c r="A209" s="11">
        <f>dataset!A209</f>
        <v>25</v>
      </c>
      <c r="B209" s="11">
        <f>dataset!B209</f>
        <v>2015</v>
      </c>
      <c r="C209">
        <f>EXP(dataset!C209)</f>
        <v>0.16675807272641224</v>
      </c>
      <c r="D209">
        <f>EXP(dataset!D209)</f>
        <v>1.8567</v>
      </c>
      <c r="E209">
        <f>EXP(dataset!G209)</f>
        <v>1.3969</v>
      </c>
      <c r="F209">
        <f>1000*EXP(dataset!M209)</f>
        <v>9692.7758942521068</v>
      </c>
      <c r="G209">
        <f>EXP(dataset!L209)</f>
        <v>0.22391434272476582</v>
      </c>
      <c r="H209">
        <f>EXP(dataset!J209)</f>
        <v>1.3342725269258698E-2</v>
      </c>
    </row>
    <row r="210" spans="1:8" x14ac:dyDescent="0.25">
      <c r="A210" s="11">
        <f>dataset!A210</f>
        <v>25</v>
      </c>
      <c r="B210" s="11">
        <f>dataset!B210</f>
        <v>2016</v>
      </c>
      <c r="C210">
        <f>EXP(dataset!C210)</f>
        <v>0.17367282465060513</v>
      </c>
      <c r="D210">
        <f>EXP(dataset!D210)</f>
        <v>2.0042</v>
      </c>
      <c r="E210">
        <f>EXP(dataset!G210)</f>
        <v>1.6536999999999999</v>
      </c>
      <c r="F210">
        <f>1000*EXP(dataset!M210)</f>
        <v>9375.1545415016917</v>
      </c>
      <c r="G210">
        <f>EXP(dataset!L210)</f>
        <v>0.23322285884310587</v>
      </c>
      <c r="H210">
        <f>EXP(dataset!J210)</f>
        <v>1.9002779156451606E-2</v>
      </c>
    </row>
    <row r="211" spans="1:8" x14ac:dyDescent="0.25">
      <c r="A211" s="11">
        <f>dataset!A211</f>
        <v>25</v>
      </c>
      <c r="B211" s="11">
        <f>dataset!B211</f>
        <v>2017</v>
      </c>
      <c r="C211">
        <f>EXP(dataset!C211)</f>
        <v>0.17712373042445284</v>
      </c>
      <c r="D211">
        <f>EXP(dataset!D211)</f>
        <v>1.9414</v>
      </c>
      <c r="E211">
        <f>EXP(dataset!G211)</f>
        <v>1.5956999999999999</v>
      </c>
      <c r="F211">
        <f>1000*EXP(dataset!M211)</f>
        <v>9484.8279585836299</v>
      </c>
      <c r="G211">
        <f>EXP(dataset!L211)</f>
        <v>0.24185491800142978</v>
      </c>
      <c r="H211">
        <f>EXP(dataset!J211)</f>
        <v>3.6019851161006713E-2</v>
      </c>
    </row>
    <row r="212" spans="1:8" x14ac:dyDescent="0.25">
      <c r="A212" s="11">
        <f>dataset!A212</f>
        <v>25</v>
      </c>
      <c r="B212" s="11">
        <f>dataset!B212</f>
        <v>2018</v>
      </c>
      <c r="C212">
        <f>EXP(dataset!C212)</f>
        <v>0.15958682055480591</v>
      </c>
      <c r="D212">
        <f>EXP(dataset!D212)</f>
        <v>2.1686000000000001</v>
      </c>
      <c r="E212">
        <f>EXP(dataset!G212)</f>
        <v>1.6252</v>
      </c>
      <c r="F212">
        <f>1000*EXP(dataset!M212)</f>
        <v>9432.6204042741465</v>
      </c>
      <c r="G212">
        <f>EXP(dataset!L212)</f>
        <v>0.25448317726328268</v>
      </c>
      <c r="H212">
        <f>EXP(dataset!J212)</f>
        <v>5.5798879818721177E-2</v>
      </c>
    </row>
    <row r="213" spans="1:8" x14ac:dyDescent="0.25">
      <c r="A213" s="11">
        <f>dataset!A213</f>
        <v>25</v>
      </c>
      <c r="B213" s="11">
        <f>dataset!B213</f>
        <v>2019</v>
      </c>
      <c r="C213">
        <f>EXP(dataset!C213)</f>
        <v>0.16253662216251494</v>
      </c>
      <c r="D213">
        <f>EXP(dataset!D213)</f>
        <v>2.0985999999999998</v>
      </c>
      <c r="E213">
        <f>EXP(dataset!G213)</f>
        <v>1.6121000000000001</v>
      </c>
      <c r="F213">
        <f>1000*EXP(dataset!M213)</f>
        <v>9506.7366737537104</v>
      </c>
      <c r="G213">
        <f>EXP(dataset!L213)</f>
        <v>0.26454315655030319</v>
      </c>
      <c r="H213">
        <f>EXP(dataset!J213)</f>
        <v>0.11721879373150715</v>
      </c>
    </row>
    <row r="214" spans="1:8" x14ac:dyDescent="0.25">
      <c r="A214" s="11">
        <f>dataset!A214</f>
        <v>25</v>
      </c>
      <c r="B214" s="11">
        <f>dataset!B214</f>
        <v>2020</v>
      </c>
      <c r="C214">
        <f>EXP(dataset!C214)</f>
        <v>0.15390322079916766</v>
      </c>
      <c r="D214">
        <f>EXP(dataset!D214)</f>
        <v>1.9137999999999999</v>
      </c>
      <c r="E214">
        <f>EXP(dataset!G214)</f>
        <v>1.4671000000000001</v>
      </c>
      <c r="F214">
        <f>1000*EXP(dataset!M214)</f>
        <v>9183.3298785153893</v>
      </c>
      <c r="G214">
        <f>EXP(dataset!L214)</f>
        <v>0.27346676150212046</v>
      </c>
      <c r="H214">
        <f>EXP(dataset!J214)</f>
        <v>0.21488994193762881</v>
      </c>
    </row>
    <row r="215" spans="1:8" x14ac:dyDescent="0.25">
      <c r="A215" s="11">
        <f>dataset!A215</f>
        <v>25</v>
      </c>
      <c r="B215" s="11">
        <f>dataset!B215</f>
        <v>2021</v>
      </c>
      <c r="C215">
        <f>EXP(dataset!C215)</f>
        <v>0.16332357037910988</v>
      </c>
      <c r="D215">
        <f>EXP(dataset!D215)</f>
        <v>2.3925999999999998</v>
      </c>
      <c r="E215">
        <f>EXP(dataset!G215)</f>
        <v>1.9739</v>
      </c>
      <c r="F215">
        <f>1000*EXP(dataset!M215)</f>
        <v>8907.3124134185455</v>
      </c>
      <c r="G215">
        <f>EXP(dataset!L215)</f>
        <v>0.28247335836675974</v>
      </c>
      <c r="H215">
        <f>EXP(dataset!J215)</f>
        <v>0.36503317195845697</v>
      </c>
    </row>
    <row r="216" spans="1:8" x14ac:dyDescent="0.25">
      <c r="A216" s="11">
        <f>dataset!A216</f>
        <v>25</v>
      </c>
      <c r="B216" s="11">
        <f>dataset!B216</f>
        <v>2022</v>
      </c>
      <c r="C216">
        <f>EXP(dataset!C216)</f>
        <v>0.17212808181472219</v>
      </c>
      <c r="D216">
        <f>EXP(dataset!D216)</f>
        <v>2.4232</v>
      </c>
      <c r="E216">
        <f>EXP(dataset!G216)</f>
        <v>1.8900999999999999</v>
      </c>
      <c r="F216">
        <f>1000*EXP(dataset!M216)</f>
        <v>9117.6843041647498</v>
      </c>
      <c r="G216">
        <f>EXP(dataset!L216)</f>
        <v>0.29099966624834822</v>
      </c>
      <c r="H216">
        <f>EXP(dataset!J216)</f>
        <v>0.59385626018342796</v>
      </c>
    </row>
    <row r="217" spans="1:8" x14ac:dyDescent="0.25">
      <c r="A217" s="11">
        <f>dataset!A217</f>
        <v>25</v>
      </c>
      <c r="B217" s="11">
        <f>dataset!B217</f>
        <v>2023</v>
      </c>
      <c r="C217">
        <f>EXP(dataset!C217)</f>
        <v>0.18719983841986457</v>
      </c>
      <c r="D217">
        <f>EXP(dataset!D217)</f>
        <v>2.073</v>
      </c>
      <c r="E217">
        <f>EXP(dataset!G217)</f>
        <v>1.5557000000000001</v>
      </c>
      <c r="F217">
        <f>1000*EXP(dataset!M217)</f>
        <v>9764.9292018409269</v>
      </c>
      <c r="G217">
        <f>EXP(dataset!L217)</f>
        <v>0.30224451064741664</v>
      </c>
      <c r="H217">
        <f>EXP(dataset!J217)</f>
        <v>1.0569212826408501</v>
      </c>
    </row>
    <row r="218" spans="1:8" x14ac:dyDescent="0.25">
      <c r="A218" s="11">
        <f>dataset!A218</f>
        <v>26</v>
      </c>
      <c r="B218" s="11">
        <f>dataset!B218</f>
        <v>2006</v>
      </c>
      <c r="C218">
        <f>EXP(dataset!C218)</f>
        <v>7.4994160023700893E-2</v>
      </c>
      <c r="D218">
        <f>EXP(dataset!D218)</f>
        <v>2.64</v>
      </c>
      <c r="E218">
        <f>EXP(dataset!G218)</f>
        <v>1.85</v>
      </c>
      <c r="F218">
        <f>1000*EXP(dataset!M218)</f>
        <v>8791.1818585320289</v>
      </c>
      <c r="G218">
        <f>EXP(dataset!L218)</f>
        <v>0.10713342725751156</v>
      </c>
      <c r="H218">
        <f>EXP(dataset!J218)</f>
        <v>9.9999999999999805E-6</v>
      </c>
    </row>
    <row r="219" spans="1:8" x14ac:dyDescent="0.25">
      <c r="A219" s="11">
        <f>dataset!A219</f>
        <v>26</v>
      </c>
      <c r="B219" s="11">
        <f>dataset!B219</f>
        <v>2007</v>
      </c>
      <c r="C219">
        <f>EXP(dataset!C219)</f>
        <v>7.2166552956465194E-2</v>
      </c>
      <c r="D219">
        <f>EXP(dataset!D219)</f>
        <v>2.4889999999999999</v>
      </c>
      <c r="E219">
        <f>EXP(dataset!G219)</f>
        <v>1.5508</v>
      </c>
      <c r="F219">
        <f>1000*EXP(dataset!M219)</f>
        <v>9172.5688572240724</v>
      </c>
      <c r="G219">
        <f>EXP(dataset!L219)</f>
        <v>0.11687761069340007</v>
      </c>
      <c r="H219">
        <f>EXP(dataset!J219)</f>
        <v>9.9999999999999805E-6</v>
      </c>
    </row>
    <row r="220" spans="1:8" x14ac:dyDescent="0.25">
      <c r="A220" s="11">
        <f>dataset!A220</f>
        <v>26</v>
      </c>
      <c r="B220" s="11">
        <f>dataset!B220</f>
        <v>2008</v>
      </c>
      <c r="C220">
        <f>EXP(dataset!C220)</f>
        <v>7.750456252641906E-2</v>
      </c>
      <c r="D220">
        <f>EXP(dataset!D220)</f>
        <v>2.3502999999999998</v>
      </c>
      <c r="E220">
        <f>EXP(dataset!G220)</f>
        <v>1.5367</v>
      </c>
      <c r="F220">
        <f>1000*EXP(dataset!M220)</f>
        <v>9380.2145270841211</v>
      </c>
      <c r="G220">
        <f>EXP(dataset!L220)</f>
        <v>0.12865545952941737</v>
      </c>
      <c r="H220">
        <f>EXP(dataset!J220)</f>
        <v>9.9999999999999805E-6</v>
      </c>
    </row>
    <row r="221" spans="1:8" x14ac:dyDescent="0.25">
      <c r="A221" s="11">
        <f>dataset!A221</f>
        <v>26</v>
      </c>
      <c r="B221" s="11">
        <f>dataset!B221</f>
        <v>2009</v>
      </c>
      <c r="C221">
        <f>EXP(dataset!C221)</f>
        <v>7.9603236273724606E-2</v>
      </c>
      <c r="D221">
        <f>EXP(dataset!D221)</f>
        <v>2.2271999999999998</v>
      </c>
      <c r="E221">
        <f>EXP(dataset!G221)</f>
        <v>1.4559</v>
      </c>
      <c r="F221">
        <f>1000*EXP(dataset!M221)</f>
        <v>9815.7753137252712</v>
      </c>
      <c r="G221">
        <f>EXP(dataset!L221)</f>
        <v>0.14303296067673851</v>
      </c>
      <c r="H221">
        <f>EXP(dataset!J221)</f>
        <v>9.9999999999999805E-6</v>
      </c>
    </row>
    <row r="222" spans="1:8" x14ac:dyDescent="0.25">
      <c r="A222" s="11">
        <f>dataset!A222</f>
        <v>26</v>
      </c>
      <c r="B222" s="11">
        <f>dataset!B222</f>
        <v>2010</v>
      </c>
      <c r="C222">
        <f>EXP(dataset!C222)</f>
        <v>0.10171706714767305</v>
      </c>
      <c r="D222">
        <f>EXP(dataset!D222)</f>
        <v>2.1438000000000001</v>
      </c>
      <c r="E222">
        <f>EXP(dataset!G222)</f>
        <v>1.522</v>
      </c>
      <c r="F222">
        <f>1000*EXP(dataset!M222)</f>
        <v>10997.326078256034</v>
      </c>
      <c r="G222">
        <f>EXP(dataset!L222)</f>
        <v>0.16157249364956316</v>
      </c>
      <c r="H222">
        <f>EXP(dataset!J222)</f>
        <v>1.1315313545640001E-4</v>
      </c>
    </row>
    <row r="223" spans="1:8" x14ac:dyDescent="0.25">
      <c r="A223" s="11">
        <f>dataset!A223</f>
        <v>26</v>
      </c>
      <c r="B223" s="11">
        <f>dataset!B223</f>
        <v>2011</v>
      </c>
      <c r="C223">
        <f>EXP(dataset!C223)</f>
        <v>0.12485930138458325</v>
      </c>
      <c r="D223">
        <f>EXP(dataset!D223)</f>
        <v>2.0514000000000001</v>
      </c>
      <c r="E223">
        <f>EXP(dataset!G223)</f>
        <v>1.6212</v>
      </c>
      <c r="F223">
        <f>1000*EXP(dataset!M223)</f>
        <v>11472.364357005028</v>
      </c>
      <c r="G223">
        <f>EXP(dataset!L223)</f>
        <v>0.18088561796368724</v>
      </c>
      <c r="H223">
        <f>EXP(dataset!J223)</f>
        <v>6.7682612765430005E-4</v>
      </c>
    </row>
    <row r="224" spans="1:8" x14ac:dyDescent="0.25">
      <c r="A224" s="11">
        <f>dataset!A224</f>
        <v>26</v>
      </c>
      <c r="B224" s="11">
        <f>dataset!B224</f>
        <v>2012</v>
      </c>
      <c r="C224">
        <f>EXP(dataset!C224)</f>
        <v>0.14446558223756534</v>
      </c>
      <c r="D224">
        <f>EXP(dataset!D224)</f>
        <v>1.9744999999999999</v>
      </c>
      <c r="E224">
        <f>EXP(dataset!G224)</f>
        <v>1.5535000000000001</v>
      </c>
      <c r="F224">
        <f>1000*EXP(dataset!M224)</f>
        <v>12256.693871243035</v>
      </c>
      <c r="G224">
        <f>EXP(dataset!L224)</f>
        <v>0.19783355286759827</v>
      </c>
      <c r="H224">
        <f>EXP(dataset!J224)</f>
        <v>1.0077227391964004E-3</v>
      </c>
    </row>
    <row r="225" spans="1:8" x14ac:dyDescent="0.25">
      <c r="A225" s="11">
        <f>dataset!A225</f>
        <v>26</v>
      </c>
      <c r="B225" s="11">
        <f>dataset!B225</f>
        <v>2013</v>
      </c>
      <c r="C225">
        <f>EXP(dataset!C225)</f>
        <v>0.14980589343599143</v>
      </c>
      <c r="D225">
        <f>EXP(dataset!D225)</f>
        <v>1.9397</v>
      </c>
      <c r="E225">
        <f>EXP(dataset!G225)</f>
        <v>1.5559000000000001</v>
      </c>
      <c r="F225">
        <f>1000*EXP(dataset!M225)</f>
        <v>12194.542208121806</v>
      </c>
      <c r="G225">
        <f>EXP(dataset!L225)</f>
        <v>0.20813352807988231</v>
      </c>
      <c r="H225">
        <f>EXP(dataset!J225)</f>
        <v>2.2804893278529008E-3</v>
      </c>
    </row>
    <row r="226" spans="1:8" x14ac:dyDescent="0.25">
      <c r="A226" s="11">
        <f>dataset!A226</f>
        <v>26</v>
      </c>
      <c r="B226" s="11">
        <f>dataset!B226</f>
        <v>2014</v>
      </c>
      <c r="C226">
        <f>EXP(dataset!C226)</f>
        <v>0.16137808107524615</v>
      </c>
      <c r="D226">
        <f>EXP(dataset!D226)</f>
        <v>1.8873</v>
      </c>
      <c r="E226">
        <f>EXP(dataset!G226)</f>
        <v>1.5394999999999999</v>
      </c>
      <c r="F226">
        <f>1000*EXP(dataset!M226)</f>
        <v>12335.529740323247</v>
      </c>
      <c r="G226">
        <f>EXP(dataset!L226)</f>
        <v>0.2207242140235427</v>
      </c>
      <c r="H226">
        <f>EXP(dataset!J226)</f>
        <v>4.634755905191002E-3</v>
      </c>
    </row>
    <row r="227" spans="1:8" x14ac:dyDescent="0.25">
      <c r="A227" s="11">
        <f>dataset!A227</f>
        <v>26</v>
      </c>
      <c r="B227" s="11">
        <f>dataset!B227</f>
        <v>2015</v>
      </c>
      <c r="C227">
        <f>EXP(dataset!C227)</f>
        <v>0.14742626701506745</v>
      </c>
      <c r="D227">
        <f>EXP(dataset!D227)</f>
        <v>1.9672000000000001</v>
      </c>
      <c r="E227">
        <f>EXP(dataset!G227)</f>
        <v>1.4492</v>
      </c>
      <c r="F227">
        <f>1000*EXP(dataset!M227)</f>
        <v>11518.721069090956</v>
      </c>
      <c r="G227">
        <f>EXP(dataset!L227)</f>
        <v>0.22966476918083806</v>
      </c>
      <c r="H227">
        <f>EXP(dataset!J227)</f>
        <v>6.7414482321515E-3</v>
      </c>
    </row>
    <row r="228" spans="1:8" x14ac:dyDescent="0.25">
      <c r="A228" s="11">
        <f>dataset!A228</f>
        <v>26</v>
      </c>
      <c r="B228" s="11">
        <f>dataset!B228</f>
        <v>2016</v>
      </c>
      <c r="C228">
        <f>EXP(dataset!C228)</f>
        <v>0.15314541266114193</v>
      </c>
      <c r="D228">
        <f>EXP(dataset!D228)</f>
        <v>2.0261</v>
      </c>
      <c r="E228">
        <f>EXP(dataset!G228)</f>
        <v>1.6208</v>
      </c>
      <c r="F228">
        <f>1000*EXP(dataset!M228)</f>
        <v>11281.321731083779</v>
      </c>
      <c r="G228">
        <f>EXP(dataset!L228)</f>
        <v>0.23511020222869825</v>
      </c>
      <c r="H228">
        <f>EXP(dataset!J228)</f>
        <v>9.6702179390830995E-3</v>
      </c>
    </row>
    <row r="229" spans="1:8" x14ac:dyDescent="0.25">
      <c r="A229" s="11">
        <f>dataset!A229</f>
        <v>26</v>
      </c>
      <c r="B229" s="11">
        <f>dataset!B229</f>
        <v>2017</v>
      </c>
      <c r="C229">
        <f>EXP(dataset!C229)</f>
        <v>0.15781062307339405</v>
      </c>
      <c r="D229">
        <f>EXP(dataset!D229)</f>
        <v>1.952</v>
      </c>
      <c r="E229">
        <f>EXP(dataset!G229)</f>
        <v>1.5744000000000002</v>
      </c>
      <c r="F229">
        <f>1000*EXP(dataset!M229)</f>
        <v>11730.924202043936</v>
      </c>
      <c r="G229">
        <f>EXP(dataset!L229)</f>
        <v>0.24084998774445893</v>
      </c>
      <c r="H229">
        <f>EXP(dataset!J229)</f>
        <v>1.8895278566019306E-2</v>
      </c>
    </row>
    <row r="230" spans="1:8" x14ac:dyDescent="0.25">
      <c r="A230" s="11">
        <f>dataset!A230</f>
        <v>26</v>
      </c>
      <c r="B230" s="11">
        <f>dataset!B230</f>
        <v>2018</v>
      </c>
      <c r="C230">
        <f>EXP(dataset!C230)</f>
        <v>0.13806835277003843</v>
      </c>
      <c r="D230">
        <f>EXP(dataset!D230)</f>
        <v>2.2044999999999999</v>
      </c>
      <c r="E230">
        <f>EXP(dataset!G230)</f>
        <v>1.6508</v>
      </c>
      <c r="F230">
        <f>1000*EXP(dataset!M230)</f>
        <v>11491.687963873068</v>
      </c>
      <c r="G230">
        <f>EXP(dataset!L230)</f>
        <v>0.24845692435385852</v>
      </c>
      <c r="H230">
        <f>EXP(dataset!J230)</f>
        <v>2.8642752635922999E-2</v>
      </c>
    </row>
    <row r="231" spans="1:8" x14ac:dyDescent="0.25">
      <c r="A231" s="11">
        <f>dataset!A231</f>
        <v>26</v>
      </c>
      <c r="B231" s="11">
        <f>dataset!B231</f>
        <v>2019</v>
      </c>
      <c r="C231">
        <f>EXP(dataset!C231)</f>
        <v>0.1431261251485941</v>
      </c>
      <c r="D231">
        <f>EXP(dataset!D231)</f>
        <v>2.1232000000000002</v>
      </c>
      <c r="E231">
        <f>EXP(dataset!G231)</f>
        <v>1.6563000000000001</v>
      </c>
      <c r="F231">
        <f>1000*EXP(dataset!M231)</f>
        <v>11631.984593344552</v>
      </c>
      <c r="G231">
        <f>EXP(dataset!L231)</f>
        <v>0.25621479635340155</v>
      </c>
      <c r="H231">
        <f>EXP(dataset!J231)</f>
        <v>6.0269511443411888E-2</v>
      </c>
    </row>
    <row r="232" spans="1:8" x14ac:dyDescent="0.25">
      <c r="A232" s="11">
        <f>dataset!A232</f>
        <v>26</v>
      </c>
      <c r="B232" s="11">
        <f>dataset!B232</f>
        <v>2020</v>
      </c>
      <c r="C232">
        <f>EXP(dataset!C232)</f>
        <v>0.13238267474615042</v>
      </c>
      <c r="D232">
        <f>EXP(dataset!D232)</f>
        <v>2.0078999999999998</v>
      </c>
      <c r="E232">
        <f>EXP(dataset!G232)</f>
        <v>1.5893999999999999</v>
      </c>
      <c r="F232">
        <f>1000*EXP(dataset!M232)</f>
        <v>10607.755571328013</v>
      </c>
      <c r="G232">
        <f>EXP(dataset!L232)</f>
        <v>0.26161465654100324</v>
      </c>
      <c r="H232">
        <f>EXP(dataset!J232)</f>
        <v>0.10429858887024872</v>
      </c>
    </row>
    <row r="233" spans="1:8" x14ac:dyDescent="0.25">
      <c r="A233" s="11">
        <f>dataset!A233</f>
        <v>26</v>
      </c>
      <c r="B233" s="11">
        <f>dataset!B233</f>
        <v>2021</v>
      </c>
      <c r="C233">
        <f>EXP(dataset!C233)</f>
        <v>0.13616073956310998</v>
      </c>
      <c r="D233">
        <f>EXP(dataset!D233)</f>
        <v>2.4567000000000001</v>
      </c>
      <c r="E233">
        <f>EXP(dataset!G233)</f>
        <v>2.0337000000000001</v>
      </c>
      <c r="F233">
        <f>1000*EXP(dataset!M233)</f>
        <v>10653.961638176659</v>
      </c>
      <c r="G233">
        <f>EXP(dataset!L233)</f>
        <v>0.26795488027495779</v>
      </c>
      <c r="H233">
        <f>EXP(dataset!J233)</f>
        <v>0.18325973485944344</v>
      </c>
    </row>
    <row r="234" spans="1:8" x14ac:dyDescent="0.25">
      <c r="A234" s="11">
        <f>dataset!A234</f>
        <v>26</v>
      </c>
      <c r="B234" s="11">
        <f>dataset!B234</f>
        <v>2022</v>
      </c>
      <c r="C234">
        <f>EXP(dataset!C234)</f>
        <v>0.13999541282175224</v>
      </c>
      <c r="D234">
        <f>EXP(dataset!D234)</f>
        <v>2.4716999999999998</v>
      </c>
      <c r="E234">
        <f>EXP(dataset!G234)</f>
        <v>1.9709000000000001</v>
      </c>
      <c r="F234">
        <f>1000*EXP(dataset!M234)</f>
        <v>10924.872042864386</v>
      </c>
      <c r="G234">
        <f>EXP(dataset!L234)</f>
        <v>0.27512268221139186</v>
      </c>
      <c r="H234">
        <f>EXP(dataset!J234)</f>
        <v>0.29861104005015932</v>
      </c>
    </row>
    <row r="235" spans="1:8" x14ac:dyDescent="0.25">
      <c r="A235" s="11">
        <f>dataset!A235</f>
        <v>26</v>
      </c>
      <c r="B235" s="11">
        <f>dataset!B235</f>
        <v>2023</v>
      </c>
      <c r="C235">
        <f>EXP(dataset!C235)</f>
        <v>0.15133095354081474</v>
      </c>
      <c r="D235">
        <f>EXP(dataset!D235)</f>
        <v>2.0960999999999999</v>
      </c>
      <c r="E235">
        <f>EXP(dataset!G235)</f>
        <v>1.6096999999999999</v>
      </c>
      <c r="F235">
        <f>1000*EXP(dataset!M235)</f>
        <v>11430.453590872692</v>
      </c>
      <c r="G235">
        <f>EXP(dataset!L235)</f>
        <v>0.28418065378763147</v>
      </c>
      <c r="H235">
        <f>EXP(dataset!J235)</f>
        <v>0.51918423474280018</v>
      </c>
    </row>
    <row r="236" spans="1:8" x14ac:dyDescent="0.25">
      <c r="A236" s="11">
        <f>dataset!A236</f>
        <v>27</v>
      </c>
      <c r="B236" s="11">
        <f>dataset!B236</f>
        <v>2006</v>
      </c>
      <c r="C236">
        <f>EXP(dataset!C236)</f>
        <v>5.5365013774104625E-2</v>
      </c>
      <c r="D236">
        <f>EXP(dataset!D236)</f>
        <v>2.7999999999999989</v>
      </c>
      <c r="E236">
        <f>EXP(dataset!G236)</f>
        <v>1.95</v>
      </c>
      <c r="F236">
        <f>1000*EXP(dataset!M236)</f>
        <v>7681.9203288018462</v>
      </c>
      <c r="G236">
        <f>EXP(dataset!L236)</f>
        <v>6.9263226352923882E-2</v>
      </c>
      <c r="H236">
        <f>EXP(dataset!J236)</f>
        <v>9.9999999999999805E-6</v>
      </c>
    </row>
    <row r="237" spans="1:8" x14ac:dyDescent="0.25">
      <c r="A237" s="11">
        <f>dataset!A237</f>
        <v>27</v>
      </c>
      <c r="B237" s="11">
        <f>dataset!B237</f>
        <v>2007</v>
      </c>
      <c r="C237">
        <f>EXP(dataset!C237)</f>
        <v>5.2924810608635603E-2</v>
      </c>
      <c r="D237">
        <f>EXP(dataset!D237)</f>
        <v>2.6804999999999999</v>
      </c>
      <c r="E237">
        <f>EXP(dataset!G237)</f>
        <v>1.6943999999999999</v>
      </c>
      <c r="F237">
        <f>1000*EXP(dataset!M237)</f>
        <v>8141.6619657596757</v>
      </c>
      <c r="G237">
        <f>EXP(dataset!L237)</f>
        <v>7.6016491502719524E-2</v>
      </c>
      <c r="H237">
        <f>EXP(dataset!J237)</f>
        <v>9.9999999999999805E-6</v>
      </c>
    </row>
    <row r="238" spans="1:8" x14ac:dyDescent="0.25">
      <c r="A238" s="11">
        <f>dataset!A238</f>
        <v>27</v>
      </c>
      <c r="B238" s="11">
        <f>dataset!B238</f>
        <v>2008</v>
      </c>
      <c r="C238">
        <f>EXP(dataset!C238)</f>
        <v>5.5114731611863491E-2</v>
      </c>
      <c r="D238">
        <f>EXP(dataset!D238)</f>
        <v>2.4950000000000001</v>
      </c>
      <c r="E238">
        <f>EXP(dataset!G238)</f>
        <v>1.6271</v>
      </c>
      <c r="F238">
        <f>1000*EXP(dataset!M238)</f>
        <v>8282.1167429241996</v>
      </c>
      <c r="G238">
        <f>EXP(dataset!L238)</f>
        <v>8.4057220325109636E-2</v>
      </c>
      <c r="H238">
        <f>EXP(dataset!J238)</f>
        <v>9.9999999999999805E-6</v>
      </c>
    </row>
    <row r="239" spans="1:8" x14ac:dyDescent="0.25">
      <c r="A239" s="11">
        <f>dataset!A239</f>
        <v>27</v>
      </c>
      <c r="B239" s="11">
        <f>dataset!B239</f>
        <v>2009</v>
      </c>
      <c r="C239">
        <f>EXP(dataset!C239)</f>
        <v>5.6842310212451487E-2</v>
      </c>
      <c r="D239">
        <f>EXP(dataset!D239)</f>
        <v>2.3311999999999999</v>
      </c>
      <c r="E239">
        <f>EXP(dataset!G239)</f>
        <v>1.5339</v>
      </c>
      <c r="F239">
        <f>1000*EXP(dataset!M239)</f>
        <v>8307.4952945209789</v>
      </c>
      <c r="G239">
        <f>EXP(dataset!L239)</f>
        <v>9.4139047206242568E-2</v>
      </c>
      <c r="H239">
        <f>EXP(dataset!J239)</f>
        <v>9.9999999999999805E-6</v>
      </c>
    </row>
    <row r="240" spans="1:8" x14ac:dyDescent="0.25">
      <c r="A240" s="11">
        <f>dataset!A240</f>
        <v>27</v>
      </c>
      <c r="B240" s="11">
        <f>dataset!B240</f>
        <v>2010</v>
      </c>
      <c r="C240">
        <f>EXP(dataset!C240)</f>
        <v>7.7888131296936267E-2</v>
      </c>
      <c r="D240">
        <f>EXP(dataset!D240)</f>
        <v>2.2338</v>
      </c>
      <c r="E240">
        <f>EXP(dataset!G240)</f>
        <v>1.6037999999999999</v>
      </c>
      <c r="F240">
        <f>1000*EXP(dataset!M240)</f>
        <v>8614.3574751741889</v>
      </c>
      <c r="G240">
        <f>EXP(dataset!L240)</f>
        <v>0.10718832566181527</v>
      </c>
      <c r="H240">
        <f>EXP(dataset!J240)</f>
        <v>3.1748591791210017E-4</v>
      </c>
    </row>
    <row r="241" spans="1:8" x14ac:dyDescent="0.25">
      <c r="A241" s="11">
        <f>dataset!A241</f>
        <v>27</v>
      </c>
      <c r="B241" s="11">
        <f>dataset!B241</f>
        <v>2011</v>
      </c>
      <c r="C241">
        <f>EXP(dataset!C241)</f>
        <v>9.6423497733652649E-2</v>
      </c>
      <c r="D241">
        <f>EXP(dataset!D241)</f>
        <v>2.1667000000000001</v>
      </c>
      <c r="E241">
        <f>EXP(dataset!G241)</f>
        <v>1.7363999999999999</v>
      </c>
      <c r="F241">
        <f>1000*EXP(dataset!M241)</f>
        <v>9297.6611553026887</v>
      </c>
      <c r="G241">
        <f>EXP(dataset!L241)</f>
        <v>0.12136570014990211</v>
      </c>
      <c r="H241">
        <f>EXP(dataset!J241)</f>
        <v>1.2725139531154E-3</v>
      </c>
    </row>
    <row r="242" spans="1:8" x14ac:dyDescent="0.25">
      <c r="A242" s="11">
        <f>dataset!A242</f>
        <v>27</v>
      </c>
      <c r="B242" s="11">
        <f>dataset!B242</f>
        <v>2012</v>
      </c>
      <c r="C242">
        <f>EXP(dataset!C242)</f>
        <v>0.11493788288128909</v>
      </c>
      <c r="D242">
        <f>EXP(dataset!D242)</f>
        <v>2.0036</v>
      </c>
      <c r="E242">
        <f>EXP(dataset!G242)</f>
        <v>1.6477999999999999</v>
      </c>
      <c r="F242">
        <f>1000*EXP(dataset!M242)</f>
        <v>9362.0668252001578</v>
      </c>
      <c r="G242">
        <f>EXP(dataset!L242)</f>
        <v>0.13562937849394974</v>
      </c>
      <c r="H242">
        <f>EXP(dataset!J242)</f>
        <v>2.2113605806653005E-3</v>
      </c>
    </row>
    <row r="243" spans="1:8" x14ac:dyDescent="0.25">
      <c r="A243" s="11">
        <f>dataset!A243</f>
        <v>27</v>
      </c>
      <c r="B243" s="11">
        <f>dataset!B243</f>
        <v>2013</v>
      </c>
      <c r="C243">
        <f>EXP(dataset!C243)</f>
        <v>0.12133470365214694</v>
      </c>
      <c r="D243">
        <f>EXP(dataset!D243)</f>
        <v>1.9809000000000001</v>
      </c>
      <c r="E243">
        <f>EXP(dataset!G243)</f>
        <v>1.6656</v>
      </c>
      <c r="F243">
        <f>1000*EXP(dataset!M243)</f>
        <v>8985.5255975655346</v>
      </c>
      <c r="G243">
        <f>EXP(dataset!L243)</f>
        <v>0.14385530160393944</v>
      </c>
      <c r="H243">
        <f>EXP(dataset!J243)</f>
        <v>4.8471115002263997E-3</v>
      </c>
    </row>
    <row r="244" spans="1:8" x14ac:dyDescent="0.25">
      <c r="A244" s="11">
        <f>dataset!A244</f>
        <v>27</v>
      </c>
      <c r="B244" s="11">
        <f>dataset!B244</f>
        <v>2014</v>
      </c>
      <c r="C244">
        <f>EXP(dataset!C244)</f>
        <v>0.1329463954023957</v>
      </c>
      <c r="D244">
        <f>EXP(dataset!D244)</f>
        <v>1.9323999999999999</v>
      </c>
      <c r="E244">
        <f>EXP(dataset!G244)</f>
        <v>1.6295999999999999</v>
      </c>
      <c r="F244">
        <f>1000*EXP(dataset!M244)</f>
        <v>9099.6096764336635</v>
      </c>
      <c r="G244">
        <f>EXP(dataset!L244)</f>
        <v>0.15625622792942234</v>
      </c>
      <c r="H244">
        <f>EXP(dataset!J244)</f>
        <v>9.6335343330131995E-3</v>
      </c>
    </row>
    <row r="245" spans="1:8" x14ac:dyDescent="0.25">
      <c r="A245" s="11">
        <f>dataset!A245</f>
        <v>27</v>
      </c>
      <c r="B245" s="11">
        <f>dataset!B245</f>
        <v>2015</v>
      </c>
      <c r="C245">
        <f>EXP(dataset!C245)</f>
        <v>0.12747122359868446</v>
      </c>
      <c r="D245">
        <f>EXP(dataset!D245)</f>
        <v>1.9672000000000001</v>
      </c>
      <c r="E245">
        <f>EXP(dataset!G245)</f>
        <v>1.5365</v>
      </c>
      <c r="F245">
        <f>1000*EXP(dataset!M245)</f>
        <v>9517.7831521563439</v>
      </c>
      <c r="G245">
        <f>EXP(dataset!L245)</f>
        <v>0.16619344542181633</v>
      </c>
      <c r="H245">
        <f>EXP(dataset!J245)</f>
        <v>1.5564519122208994E-2</v>
      </c>
    </row>
    <row r="246" spans="1:8" x14ac:dyDescent="0.25">
      <c r="A246" s="11">
        <f>dataset!A246</f>
        <v>27</v>
      </c>
      <c r="B246" s="11">
        <f>dataset!B246</f>
        <v>2016</v>
      </c>
      <c r="C246">
        <f>EXP(dataset!C246)</f>
        <v>0.13514952978047087</v>
      </c>
      <c r="D246">
        <f>EXP(dataset!D246)</f>
        <v>2.0699000000000001</v>
      </c>
      <c r="E246">
        <f>EXP(dataset!G246)</f>
        <v>1.7632000000000001</v>
      </c>
      <c r="F246">
        <f>1000*EXP(dataset!M246)</f>
        <v>9342.8189213158967</v>
      </c>
      <c r="G246">
        <f>EXP(dataset!L246)</f>
        <v>0.17386407650218233</v>
      </c>
      <c r="H246">
        <f>EXP(dataset!J246)</f>
        <v>2.2328319782027886E-2</v>
      </c>
    </row>
    <row r="247" spans="1:8" x14ac:dyDescent="0.25">
      <c r="A247" s="11">
        <f>dataset!A247</f>
        <v>27</v>
      </c>
      <c r="B247" s="11">
        <f>dataset!B247</f>
        <v>2017</v>
      </c>
      <c r="C247">
        <f>EXP(dataset!C247)</f>
        <v>0.13497766322464172</v>
      </c>
      <c r="D247">
        <f>EXP(dataset!D247)</f>
        <v>2.0636999999999999</v>
      </c>
      <c r="E247">
        <f>EXP(dataset!G247)</f>
        <v>1.7126999999999999</v>
      </c>
      <c r="F247">
        <f>1000*EXP(dataset!M247)</f>
        <v>9580.0436397287358</v>
      </c>
      <c r="G247">
        <f>EXP(dataset!L247)</f>
        <v>0.18179270654889185</v>
      </c>
      <c r="H247">
        <f>EXP(dataset!J247)</f>
        <v>4.3248712980508683E-2</v>
      </c>
    </row>
    <row r="248" spans="1:8" x14ac:dyDescent="0.25">
      <c r="A248" s="11">
        <f>dataset!A248</f>
        <v>27</v>
      </c>
      <c r="B248" s="11">
        <f>dataset!B248</f>
        <v>2018</v>
      </c>
      <c r="C248">
        <f>EXP(dataset!C248)</f>
        <v>0.12571210899175994</v>
      </c>
      <c r="D248">
        <f>EXP(dataset!D248)</f>
        <v>2.3275000000000001</v>
      </c>
      <c r="E248">
        <f>EXP(dataset!G248)</f>
        <v>1.7789999999999999</v>
      </c>
      <c r="F248">
        <f>1000*EXP(dataset!M248)</f>
        <v>9589.5937004111001</v>
      </c>
      <c r="G248">
        <f>EXP(dataset!L248)</f>
        <v>0.19390758452158102</v>
      </c>
      <c r="H248">
        <f>EXP(dataset!J248)</f>
        <v>6.8315466982863907E-2</v>
      </c>
    </row>
    <row r="249" spans="1:8" x14ac:dyDescent="0.25">
      <c r="A249" s="11">
        <f>dataset!A249</f>
        <v>27</v>
      </c>
      <c r="B249" s="11">
        <f>dataset!B249</f>
        <v>2019</v>
      </c>
      <c r="C249">
        <f>EXP(dataset!C249)</f>
        <v>0.13096328022444101</v>
      </c>
      <c r="D249">
        <f>EXP(dataset!D249)</f>
        <v>2.2214999999999998</v>
      </c>
      <c r="E249">
        <f>EXP(dataset!G249)</f>
        <v>1.7399</v>
      </c>
      <c r="F249">
        <f>1000*EXP(dataset!M249)</f>
        <v>9926.9866243557408</v>
      </c>
      <c r="G249">
        <f>EXP(dataset!L249)</f>
        <v>0.20419961064998432</v>
      </c>
      <c r="H249">
        <f>EXP(dataset!J249)</f>
        <v>0.14742204684725074</v>
      </c>
    </row>
    <row r="250" spans="1:8" x14ac:dyDescent="0.25">
      <c r="A250" s="11">
        <f>dataset!A250</f>
        <v>27</v>
      </c>
      <c r="B250" s="11">
        <f>dataset!B250</f>
        <v>2020</v>
      </c>
      <c r="C250">
        <f>EXP(dataset!C250)</f>
        <v>0.12646932174225414</v>
      </c>
      <c r="D250">
        <f>EXP(dataset!D250)</f>
        <v>2.0737000000000001</v>
      </c>
      <c r="E250">
        <f>EXP(dataset!G250)</f>
        <v>1.6364000000000001</v>
      </c>
      <c r="F250">
        <f>1000*EXP(dataset!M250)</f>
        <v>9951.4447300541815</v>
      </c>
      <c r="G250">
        <f>EXP(dataset!L250)</f>
        <v>0.21207604974783251</v>
      </c>
      <c r="H250">
        <f>EXP(dataset!J250)</f>
        <v>0.28076620231338206</v>
      </c>
    </row>
    <row r="251" spans="1:8" x14ac:dyDescent="0.25">
      <c r="A251" s="11">
        <f>dataset!A251</f>
        <v>27</v>
      </c>
      <c r="B251" s="11">
        <f>dataset!B251</f>
        <v>2021</v>
      </c>
      <c r="C251">
        <f>EXP(dataset!C251)</f>
        <v>0.13067651190024468</v>
      </c>
      <c r="D251">
        <f>EXP(dataset!D251)</f>
        <v>2.5036999999999998</v>
      </c>
      <c r="E251">
        <f>EXP(dataset!G251)</f>
        <v>2.0636000000000001</v>
      </c>
      <c r="F251">
        <f>1000*EXP(dataset!M251)</f>
        <v>10578.536390914354</v>
      </c>
      <c r="G251">
        <f>EXP(dataset!L251)</f>
        <v>0.22185769032710098</v>
      </c>
      <c r="H251">
        <f>EXP(dataset!J251)</f>
        <v>0.52297665236107616</v>
      </c>
    </row>
    <row r="252" spans="1:8" x14ac:dyDescent="0.25">
      <c r="A252" s="11">
        <f>dataset!A252</f>
        <v>27</v>
      </c>
      <c r="B252" s="11">
        <f>dataset!B252</f>
        <v>2022</v>
      </c>
      <c r="C252">
        <f>EXP(dataset!C252)</f>
        <v>0.13875115552582773</v>
      </c>
      <c r="D252">
        <f>EXP(dataset!D252)</f>
        <v>2.4756999999999998</v>
      </c>
      <c r="E252">
        <f>EXP(dataset!G252)</f>
        <v>1.9547000000000001</v>
      </c>
      <c r="F252">
        <f>1000*EXP(dataset!M252)</f>
        <v>9718.1985284150105</v>
      </c>
      <c r="G252">
        <f>EXP(dataset!L252)</f>
        <v>0.23225779420928147</v>
      </c>
      <c r="H252">
        <f>EXP(dataset!J252)</f>
        <v>0.76366477077725325</v>
      </c>
    </row>
    <row r="253" spans="1:8" x14ac:dyDescent="0.25">
      <c r="A253" s="11">
        <f>dataset!A253</f>
        <v>27</v>
      </c>
      <c r="B253" s="11">
        <f>dataset!B253</f>
        <v>2023</v>
      </c>
      <c r="C253">
        <f>EXP(dataset!C253)</f>
        <v>0.15009618610361891</v>
      </c>
      <c r="D253">
        <f>EXP(dataset!D253)</f>
        <v>2.1425000000000001</v>
      </c>
      <c r="E253">
        <f>EXP(dataset!G253)</f>
        <v>1.629</v>
      </c>
      <c r="F253">
        <f>1000*EXP(dataset!M253)</f>
        <v>10896.490197515801</v>
      </c>
      <c r="G253">
        <f>EXP(dataset!L253)</f>
        <v>0.24422415373611836</v>
      </c>
      <c r="H253">
        <f>EXP(dataset!J253)</f>
        <v>1.4227342110822914</v>
      </c>
    </row>
    <row r="254" spans="1:8" x14ac:dyDescent="0.25">
      <c r="A254" s="11">
        <f>dataset!A254</f>
        <v>28</v>
      </c>
      <c r="B254" s="11">
        <f>dataset!B254</f>
        <v>2006</v>
      </c>
      <c r="C254">
        <f>EXP(dataset!C254)</f>
        <v>8.5375761344063938E-2</v>
      </c>
      <c r="D254">
        <f>EXP(dataset!D254)</f>
        <v>2.5499999999999998</v>
      </c>
      <c r="E254">
        <f>EXP(dataset!G254)</f>
        <v>2.0499999999999998</v>
      </c>
      <c r="F254">
        <f>1000*EXP(dataset!M254)</f>
        <v>11056.021417446958</v>
      </c>
      <c r="G254">
        <f>EXP(dataset!L254)</f>
        <v>0.10606036372578505</v>
      </c>
      <c r="H254">
        <f>EXP(dataset!J254)</f>
        <v>9.9999999999999805E-6</v>
      </c>
    </row>
    <row r="255" spans="1:8" x14ac:dyDescent="0.25">
      <c r="A255" s="11">
        <f>dataset!A255</f>
        <v>28</v>
      </c>
      <c r="B255" s="11">
        <f>dataset!B255</f>
        <v>2007</v>
      </c>
      <c r="C255">
        <f>EXP(dataset!C255)</f>
        <v>8.8188675717079945E-2</v>
      </c>
      <c r="D255">
        <f>EXP(dataset!D255)</f>
        <v>2.4123999999999999</v>
      </c>
      <c r="E255">
        <f>EXP(dataset!G255)</f>
        <v>1.8189</v>
      </c>
      <c r="F255">
        <f>1000*EXP(dataset!M255)</f>
        <v>11528.946140108079</v>
      </c>
      <c r="G255">
        <f>EXP(dataset!L255)</f>
        <v>0.11752220937813737</v>
      </c>
      <c r="H255">
        <f>EXP(dataset!J255)</f>
        <v>9.9999999999999805E-6</v>
      </c>
    </row>
    <row r="256" spans="1:8" x14ac:dyDescent="0.25">
      <c r="A256" s="11">
        <f>dataset!A256</f>
        <v>28</v>
      </c>
      <c r="B256" s="11">
        <f>dataset!B256</f>
        <v>2008</v>
      </c>
      <c r="C256">
        <f>EXP(dataset!C256)</f>
        <v>9.8697527326053053E-2</v>
      </c>
      <c r="D256">
        <f>EXP(dataset!D256)</f>
        <v>2.278</v>
      </c>
      <c r="E256">
        <f>EXP(dataset!G256)</f>
        <v>1.6543000000000001</v>
      </c>
      <c r="F256">
        <f>1000*EXP(dataset!M256)</f>
        <v>12464.349076711007</v>
      </c>
      <c r="G256">
        <f>EXP(dataset!L256)</f>
        <v>0.13099550159199827</v>
      </c>
      <c r="H256">
        <f>EXP(dataset!J256)</f>
        <v>9.9999999999999805E-6</v>
      </c>
    </row>
    <row r="257" spans="1:8" x14ac:dyDescent="0.25">
      <c r="A257" s="11">
        <f>dataset!A257</f>
        <v>28</v>
      </c>
      <c r="B257" s="11">
        <f>dataset!B257</f>
        <v>2009</v>
      </c>
      <c r="C257">
        <f>EXP(dataset!C257)</f>
        <v>0.10401217223132973</v>
      </c>
      <c r="D257">
        <f>EXP(dataset!D257)</f>
        <v>2.2099000000000002</v>
      </c>
      <c r="E257">
        <f>EXP(dataset!G257)</f>
        <v>1.5339</v>
      </c>
      <c r="F257">
        <f>1000*EXP(dataset!M257)</f>
        <v>11653.197127513829</v>
      </c>
      <c r="G257">
        <f>EXP(dataset!L257)</f>
        <v>0.1479220212716971</v>
      </c>
      <c r="H257">
        <f>EXP(dataset!J257)</f>
        <v>9.9999999999999805E-6</v>
      </c>
    </row>
    <row r="258" spans="1:8" x14ac:dyDescent="0.25">
      <c r="A258" s="11">
        <f>dataset!A258</f>
        <v>28</v>
      </c>
      <c r="B258" s="11">
        <f>dataset!B258</f>
        <v>2010</v>
      </c>
      <c r="C258">
        <f>EXP(dataset!C258)</f>
        <v>0.12608026089804641</v>
      </c>
      <c r="D258">
        <f>EXP(dataset!D258)</f>
        <v>2.1356999999999999</v>
      </c>
      <c r="E258">
        <f>EXP(dataset!G258)</f>
        <v>1.5791999999999999</v>
      </c>
      <c r="F258">
        <f>1000*EXP(dataset!M258)</f>
        <v>12850.665945086243</v>
      </c>
      <c r="G258">
        <f>EXP(dataset!L258)</f>
        <v>0.16519389959552239</v>
      </c>
      <c r="H258">
        <f>EXP(dataset!J258)</f>
        <v>4.8667744819440013E-4</v>
      </c>
    </row>
    <row r="259" spans="1:8" x14ac:dyDescent="0.25">
      <c r="A259" s="11">
        <f>dataset!A259</f>
        <v>28</v>
      </c>
      <c r="B259" s="11">
        <f>dataset!B259</f>
        <v>2011</v>
      </c>
      <c r="C259">
        <f>EXP(dataset!C259)</f>
        <v>0.14278803571026966</v>
      </c>
      <c r="D259">
        <f>EXP(dataset!D259)</f>
        <v>2.0975000000000001</v>
      </c>
      <c r="E259">
        <f>EXP(dataset!G259)</f>
        <v>1.7057</v>
      </c>
      <c r="F259">
        <f>1000*EXP(dataset!M259)</f>
        <v>12858.92739466911</v>
      </c>
      <c r="G259">
        <f>EXP(dataset!L259)</f>
        <v>0.18217989213419911</v>
      </c>
      <c r="H259">
        <f>EXP(dataset!J259)</f>
        <v>2.8710620393439996E-3</v>
      </c>
    </row>
    <row r="260" spans="1:8" x14ac:dyDescent="0.25">
      <c r="A260" s="11">
        <f>dataset!A260</f>
        <v>28</v>
      </c>
      <c r="B260" s="11">
        <f>dataset!B260</f>
        <v>2012</v>
      </c>
      <c r="C260">
        <f>EXP(dataset!C260)</f>
        <v>0.16111489733839218</v>
      </c>
      <c r="D260">
        <f>EXP(dataset!D260)</f>
        <v>1.9963</v>
      </c>
      <c r="E260">
        <f>EXP(dataset!G260)</f>
        <v>1.6624000000000001</v>
      </c>
      <c r="F260">
        <f>1000*EXP(dataset!M260)</f>
        <v>13311.241238410565</v>
      </c>
      <c r="G260">
        <f>EXP(dataset!L260)</f>
        <v>0.19839904645816159</v>
      </c>
      <c r="H260">
        <f>EXP(dataset!J260)</f>
        <v>4.7373898971370017E-3</v>
      </c>
    </row>
    <row r="261" spans="1:8" x14ac:dyDescent="0.25">
      <c r="A261" s="11">
        <f>dataset!A261</f>
        <v>28</v>
      </c>
      <c r="B261" s="11">
        <f>dataset!B261</f>
        <v>2013</v>
      </c>
      <c r="C261">
        <f>EXP(dataset!C261)</f>
        <v>0.16710088802374862</v>
      </c>
      <c r="D261">
        <f>EXP(dataset!D261)</f>
        <v>1.974</v>
      </c>
      <c r="E261">
        <f>EXP(dataset!G261)</f>
        <v>1.6998</v>
      </c>
      <c r="F261">
        <f>1000*EXP(dataset!M261)</f>
        <v>12803.444476290066</v>
      </c>
      <c r="G261">
        <f>EXP(dataset!L261)</f>
        <v>0.20622527511065011</v>
      </c>
      <c r="H261">
        <f>EXP(dataset!J261)</f>
        <v>1.0019757139304603E-2</v>
      </c>
    </row>
    <row r="262" spans="1:8" x14ac:dyDescent="0.25">
      <c r="A262" s="11">
        <f>dataset!A262</f>
        <v>28</v>
      </c>
      <c r="B262" s="11">
        <f>dataset!B262</f>
        <v>2014</v>
      </c>
      <c r="C262">
        <f>EXP(dataset!C262)</f>
        <v>0.18161073701530112</v>
      </c>
      <c r="D262">
        <f>EXP(dataset!D262)</f>
        <v>1.8936999999999999</v>
      </c>
      <c r="E262">
        <f>EXP(dataset!G262)</f>
        <v>1.6103000000000001</v>
      </c>
      <c r="F262">
        <f>1000*EXP(dataset!M262)</f>
        <v>12454.045422094507</v>
      </c>
      <c r="G262">
        <f>EXP(dataset!L262)</f>
        <v>0.2198282192889266</v>
      </c>
      <c r="H262">
        <f>EXP(dataset!J262)</f>
        <v>1.9373086907667793E-2</v>
      </c>
    </row>
    <row r="263" spans="1:8" x14ac:dyDescent="0.25">
      <c r="A263" s="11">
        <f>dataset!A263</f>
        <v>28</v>
      </c>
      <c r="B263" s="11">
        <f>dataset!B263</f>
        <v>2015</v>
      </c>
      <c r="C263">
        <f>EXP(dataset!C263)</f>
        <v>0.17421218696735563</v>
      </c>
      <c r="D263">
        <f>EXP(dataset!D263)</f>
        <v>1.9614</v>
      </c>
      <c r="E263">
        <f>EXP(dataset!G263)</f>
        <v>1.5424</v>
      </c>
      <c r="F263">
        <f>1000*EXP(dataset!M263)</f>
        <v>11788.901380065505</v>
      </c>
      <c r="G263">
        <f>EXP(dataset!L263)</f>
        <v>0.23047147556975528</v>
      </c>
      <c r="H263">
        <f>EXP(dataset!J263)</f>
        <v>2.8534015890771681E-2</v>
      </c>
    </row>
    <row r="264" spans="1:8" x14ac:dyDescent="0.25">
      <c r="A264" s="11">
        <f>dataset!A264</f>
        <v>28</v>
      </c>
      <c r="B264" s="11">
        <f>dataset!B264</f>
        <v>2016</v>
      </c>
      <c r="C264">
        <f>EXP(dataset!C264)</f>
        <v>0.17576824129802582</v>
      </c>
      <c r="D264">
        <f>EXP(dataset!D264)</f>
        <v>2.0150999999999999</v>
      </c>
      <c r="E264">
        <f>EXP(dataset!G264)</f>
        <v>1.7194</v>
      </c>
      <c r="F264">
        <f>1000*EXP(dataset!M264)</f>
        <v>10885.099022985027</v>
      </c>
      <c r="G264">
        <f>EXP(dataset!L264)</f>
        <v>0.23768160972451424</v>
      </c>
      <c r="H264">
        <f>EXP(dataset!J264)</f>
        <v>3.8838739347482713E-2</v>
      </c>
    </row>
    <row r="265" spans="1:8" x14ac:dyDescent="0.25">
      <c r="A265" s="11">
        <f>dataset!A265</f>
        <v>28</v>
      </c>
      <c r="B265" s="11">
        <f>dataset!B265</f>
        <v>2017</v>
      </c>
      <c r="C265">
        <f>EXP(dataset!C265)</f>
        <v>0.1754403622893245</v>
      </c>
      <c r="D265">
        <f>EXP(dataset!D265)</f>
        <v>1.9733000000000001</v>
      </c>
      <c r="E265">
        <f>EXP(dataset!G265)</f>
        <v>1.6808000000000001</v>
      </c>
      <c r="F265">
        <f>1000*EXP(dataset!M265)</f>
        <v>10887.603895694101</v>
      </c>
      <c r="G265">
        <f>EXP(dataset!L265)</f>
        <v>0.24477605156381929</v>
      </c>
      <c r="H265">
        <f>EXP(dataset!J265)</f>
        <v>7.2548769380573322E-2</v>
      </c>
    </row>
    <row r="266" spans="1:8" x14ac:dyDescent="0.25">
      <c r="A266" s="11">
        <f>dataset!A266</f>
        <v>28</v>
      </c>
      <c r="B266" s="11">
        <f>dataset!B266</f>
        <v>2018</v>
      </c>
      <c r="C266">
        <f>EXP(dataset!C266)</f>
        <v>0.16245215308904662</v>
      </c>
      <c r="D266">
        <f>EXP(dataset!D266)</f>
        <v>2.266</v>
      </c>
      <c r="E266">
        <f>EXP(dataset!G266)</f>
        <v>1.7995000000000001</v>
      </c>
      <c r="F266">
        <f>1000*EXP(dataset!M266)</f>
        <v>10800.073771676163</v>
      </c>
      <c r="G266">
        <f>EXP(dataset!L266)</f>
        <v>0.25518235462457239</v>
      </c>
      <c r="H266">
        <f>EXP(dataset!J266)</f>
        <v>0.11236408773528421</v>
      </c>
    </row>
    <row r="267" spans="1:8" x14ac:dyDescent="0.25">
      <c r="A267" s="11">
        <f>dataset!A267</f>
        <v>28</v>
      </c>
      <c r="B267" s="11">
        <f>dataset!B267</f>
        <v>2019</v>
      </c>
      <c r="C267">
        <f>EXP(dataset!C267)</f>
        <v>0.16534610057180238</v>
      </c>
      <c r="D267">
        <f>EXP(dataset!D267)</f>
        <v>2.1576</v>
      </c>
      <c r="E267">
        <f>EXP(dataset!G267)</f>
        <v>1.7103999999999999</v>
      </c>
      <c r="F267">
        <f>1000*EXP(dataset!M267)</f>
        <v>10923.42802858665</v>
      </c>
      <c r="G267">
        <f>EXP(dataset!L267)</f>
        <v>0.26287469069420222</v>
      </c>
      <c r="H267">
        <f>EXP(dataset!J267)</f>
        <v>0.23535082498947241</v>
      </c>
    </row>
    <row r="268" spans="1:8" x14ac:dyDescent="0.25">
      <c r="A268" s="11">
        <f>dataset!A268</f>
        <v>28</v>
      </c>
      <c r="B268" s="11">
        <f>dataset!B268</f>
        <v>2020</v>
      </c>
      <c r="C268">
        <f>EXP(dataset!C268)</f>
        <v>0.15418351214539097</v>
      </c>
      <c r="D268">
        <f>EXP(dataset!D268)</f>
        <v>2.0783999999999998</v>
      </c>
      <c r="E268">
        <f>EXP(dataset!G268)</f>
        <v>1.6598999999999999</v>
      </c>
      <c r="F268">
        <f>1000*EXP(dataset!M268)</f>
        <v>10334.239461890566</v>
      </c>
      <c r="G268">
        <f>EXP(dataset!L268)</f>
        <v>0.26891197340718692</v>
      </c>
      <c r="H268">
        <f>EXP(dataset!J268)</f>
        <v>0.42133462594369031</v>
      </c>
    </row>
    <row r="269" spans="1:8" x14ac:dyDescent="0.25">
      <c r="A269" s="11">
        <f>dataset!A269</f>
        <v>28</v>
      </c>
      <c r="B269" s="11">
        <f>dataset!B269</f>
        <v>2021</v>
      </c>
      <c r="C269">
        <f>EXP(dataset!C269)</f>
        <v>0.15653101552550935</v>
      </c>
      <c r="D269">
        <f>EXP(dataset!D269)</f>
        <v>2.4866000000000001</v>
      </c>
      <c r="E269">
        <f>EXP(dataset!G269)</f>
        <v>2.0764</v>
      </c>
      <c r="F269">
        <f>1000*EXP(dataset!M269)</f>
        <v>10352.346728849665</v>
      </c>
      <c r="G269">
        <f>EXP(dataset!L269)</f>
        <v>0.27578968164709111</v>
      </c>
      <c r="H269">
        <f>EXP(dataset!J269)</f>
        <v>0.73680528412973589</v>
      </c>
    </row>
    <row r="270" spans="1:8" x14ac:dyDescent="0.25">
      <c r="A270" s="11">
        <f>dataset!A270</f>
        <v>28</v>
      </c>
      <c r="B270" s="11">
        <f>dataset!B270</f>
        <v>2022</v>
      </c>
      <c r="C270">
        <f>EXP(dataset!C270)</f>
        <v>0.16323197948747764</v>
      </c>
      <c r="D270">
        <f>EXP(dataset!D270)</f>
        <v>2.4554999999999998</v>
      </c>
      <c r="E270">
        <f>EXP(dataset!G270)</f>
        <v>1.9911000000000001</v>
      </c>
      <c r="F270">
        <f>1000*EXP(dataset!M270)</f>
        <v>10548.626966389191</v>
      </c>
      <c r="G270">
        <f>EXP(dataset!L270)</f>
        <v>0.28483831763791262</v>
      </c>
      <c r="H270">
        <f>EXP(dataset!J270)</f>
        <v>1.1930857473720042</v>
      </c>
    </row>
    <row r="271" spans="1:8" x14ac:dyDescent="0.25">
      <c r="A271" s="11">
        <f>dataset!A271</f>
        <v>28</v>
      </c>
      <c r="B271" s="11">
        <f>dataset!B271</f>
        <v>2023</v>
      </c>
      <c r="C271">
        <f>EXP(dataset!C271)</f>
        <v>0.17912781155574098</v>
      </c>
      <c r="D271">
        <f>EXP(dataset!D271)</f>
        <v>2.1617999999999999</v>
      </c>
      <c r="E271">
        <f>EXP(dataset!G271)</f>
        <v>1.7023999999999999</v>
      </c>
      <c r="F271">
        <f>1000*EXP(dataset!M271)</f>
        <v>10633.302794129851</v>
      </c>
      <c r="G271">
        <f>EXP(dataset!L271)</f>
        <v>0.29608411297281895</v>
      </c>
      <c r="H271">
        <f>EXP(dataset!J271)</f>
        <v>1.9983117195230733</v>
      </c>
    </row>
    <row r="272" spans="1:8" x14ac:dyDescent="0.25">
      <c r="A272" s="11">
        <f>dataset!A272</f>
        <v>29</v>
      </c>
      <c r="B272" s="11">
        <f>dataset!B272</f>
        <v>2006</v>
      </c>
      <c r="C272">
        <f>EXP(dataset!C272)</f>
        <v>7.214442271786968E-2</v>
      </c>
      <c r="D272">
        <f>EXP(dataset!D272)</f>
        <v>2.64</v>
      </c>
      <c r="E272">
        <f>EXP(dataset!G272)</f>
        <v>1.86</v>
      </c>
      <c r="F272">
        <f>1000*EXP(dataset!M272)</f>
        <v>9207.743552526259</v>
      </c>
      <c r="G272">
        <f>EXP(dataset!L272)</f>
        <v>7.7606714653739112E-2</v>
      </c>
      <c r="H272">
        <f>EXP(dataset!J272)</f>
        <v>9.9999999999999805E-6</v>
      </c>
    </row>
    <row r="273" spans="1:8" x14ac:dyDescent="0.25">
      <c r="A273" s="11">
        <f>dataset!A273</f>
        <v>29</v>
      </c>
      <c r="B273" s="11">
        <f>dataset!B273</f>
        <v>2007</v>
      </c>
      <c r="C273">
        <f>EXP(dataset!C273)</f>
        <v>6.9512665718848204E-2</v>
      </c>
      <c r="D273">
        <f>EXP(dataset!D273)</f>
        <v>2.4986000000000002</v>
      </c>
      <c r="E273">
        <f>EXP(dataset!G273)</f>
        <v>1.6177999999999999</v>
      </c>
      <c r="F273">
        <f>1000*EXP(dataset!M273)</f>
        <v>9726.670476068568</v>
      </c>
      <c r="G273">
        <f>EXP(dataset!L273)</f>
        <v>8.5444028737088951E-2</v>
      </c>
      <c r="H273">
        <f>EXP(dataset!J273)</f>
        <v>9.9999999999999805E-6</v>
      </c>
    </row>
    <row r="274" spans="1:8" x14ac:dyDescent="0.25">
      <c r="A274" s="11">
        <f>dataset!A274</f>
        <v>29</v>
      </c>
      <c r="B274" s="11">
        <f>dataset!B274</f>
        <v>2008</v>
      </c>
      <c r="C274">
        <f>EXP(dataset!C274)</f>
        <v>7.2407504797600192E-2</v>
      </c>
      <c r="D274">
        <f>EXP(dataset!D274)</f>
        <v>2.3683999999999998</v>
      </c>
      <c r="E274">
        <f>EXP(dataset!G274)</f>
        <v>1.5367</v>
      </c>
      <c r="F274">
        <f>1000*EXP(dataset!M274)</f>
        <v>9761.2790348161252</v>
      </c>
      <c r="G274">
        <f>EXP(dataset!L274)</f>
        <v>9.5190967279369834E-2</v>
      </c>
      <c r="H274">
        <f>EXP(dataset!J274)</f>
        <v>9.9999999999999805E-6</v>
      </c>
    </row>
    <row r="275" spans="1:8" x14ac:dyDescent="0.25">
      <c r="A275" s="11">
        <f>dataset!A275</f>
        <v>29</v>
      </c>
      <c r="B275" s="11">
        <f>dataset!B275</f>
        <v>2009</v>
      </c>
      <c r="C275">
        <f>EXP(dataset!C275)</f>
        <v>7.2175755825980695E-2</v>
      </c>
      <c r="D275">
        <f>EXP(dataset!D275)</f>
        <v>2.2879</v>
      </c>
      <c r="E275">
        <f>EXP(dataset!G275)</f>
        <v>1.4993000000000001</v>
      </c>
      <c r="F275">
        <f>1000*EXP(dataset!M275)</f>
        <v>10217.812639195143</v>
      </c>
      <c r="G275">
        <f>EXP(dataset!L275)</f>
        <v>0.10728120172457273</v>
      </c>
      <c r="H275">
        <f>EXP(dataset!J275)</f>
        <v>9.9999999999999805E-6</v>
      </c>
    </row>
    <row r="276" spans="1:8" x14ac:dyDescent="0.25">
      <c r="A276" s="11">
        <f>dataset!A276</f>
        <v>29</v>
      </c>
      <c r="B276" s="11">
        <f>dataset!B276</f>
        <v>2010</v>
      </c>
      <c r="C276">
        <f>EXP(dataset!C276)</f>
        <v>8.8631325574915917E-2</v>
      </c>
      <c r="D276">
        <f>EXP(dataset!D276)</f>
        <v>2.2174999999999998</v>
      </c>
      <c r="E276">
        <f>EXP(dataset!G276)</f>
        <v>1.5382999999999998</v>
      </c>
      <c r="F276">
        <f>1000*EXP(dataset!M276)</f>
        <v>10747.875075109019</v>
      </c>
      <c r="G276">
        <f>EXP(dataset!L276)</f>
        <v>0.12376783101857525</v>
      </c>
      <c r="H276">
        <f>EXP(dataset!J276)</f>
        <v>6.9601778297594775E-5</v>
      </c>
    </row>
    <row r="277" spans="1:8" x14ac:dyDescent="0.25">
      <c r="A277" s="11">
        <f>dataset!A277</f>
        <v>29</v>
      </c>
      <c r="B277" s="11">
        <f>dataset!B277</f>
        <v>2011</v>
      </c>
      <c r="C277">
        <f>EXP(dataset!C277)</f>
        <v>0.11270238468657003</v>
      </c>
      <c r="D277">
        <f>EXP(dataset!D277)</f>
        <v>2.1128999999999998</v>
      </c>
      <c r="E277">
        <f>EXP(dataset!G277)</f>
        <v>1.6134999999999999</v>
      </c>
      <c r="F277">
        <f>1000*EXP(dataset!M277)</f>
        <v>10910.287192596943</v>
      </c>
      <c r="G277">
        <f>EXP(dataset!L277)</f>
        <v>0.1410196989062058</v>
      </c>
      <c r="H277">
        <f>EXP(dataset!J277)</f>
        <v>3.5467195893969992E-4</v>
      </c>
    </row>
    <row r="278" spans="1:8" x14ac:dyDescent="0.25">
      <c r="A278" s="11">
        <f>dataset!A278</f>
        <v>29</v>
      </c>
      <c r="B278" s="11">
        <f>dataset!B278</f>
        <v>2012</v>
      </c>
      <c r="C278">
        <f>EXP(dataset!C278)</f>
        <v>0.12999545619396377</v>
      </c>
      <c r="D278">
        <f>EXP(dataset!D278)</f>
        <v>1.9818</v>
      </c>
      <c r="E278">
        <f>EXP(dataset!G278)</f>
        <v>1.5317000000000001</v>
      </c>
      <c r="F278">
        <f>1000*EXP(dataset!M278)</f>
        <v>11015.492448463852</v>
      </c>
      <c r="G278">
        <f>EXP(dataset!L278)</f>
        <v>0.15593748326759829</v>
      </c>
      <c r="H278">
        <f>EXP(dataset!J278)</f>
        <v>5.643603212083998E-4</v>
      </c>
    </row>
    <row r="279" spans="1:8" x14ac:dyDescent="0.25">
      <c r="A279" s="11">
        <f>dataset!A279</f>
        <v>29</v>
      </c>
      <c r="B279" s="11">
        <f>dataset!B279</f>
        <v>2013</v>
      </c>
      <c r="C279">
        <f>EXP(dataset!C279)</f>
        <v>0.12920191965813646</v>
      </c>
      <c r="D279">
        <f>EXP(dataset!D279)</f>
        <v>1.9877</v>
      </c>
      <c r="E279">
        <f>EXP(dataset!G279)</f>
        <v>1.5353000000000001</v>
      </c>
      <c r="F279">
        <f>1000*EXP(dataset!M279)</f>
        <v>10832.573461375683</v>
      </c>
      <c r="G279">
        <f>EXP(dataset!L279)</f>
        <v>0.16069589103050563</v>
      </c>
      <c r="H279">
        <f>EXP(dataset!J279)</f>
        <v>1.2629504769864001E-3</v>
      </c>
    </row>
    <row r="280" spans="1:8" x14ac:dyDescent="0.25">
      <c r="A280" s="11">
        <f>dataset!A280</f>
        <v>29</v>
      </c>
      <c r="B280" s="11">
        <f>dataset!B280</f>
        <v>2014</v>
      </c>
      <c r="C280">
        <f>EXP(dataset!C280)</f>
        <v>0.14180646369178704</v>
      </c>
      <c r="D280">
        <f>EXP(dataset!D280)</f>
        <v>1.9453</v>
      </c>
      <c r="E280">
        <f>EXP(dataset!G280)</f>
        <v>1.5266</v>
      </c>
      <c r="F280">
        <f>1000*EXP(dataset!M280)</f>
        <v>10920.578881087871</v>
      </c>
      <c r="G280">
        <f>EXP(dataset!L280)</f>
        <v>0.17287728828018306</v>
      </c>
      <c r="H280">
        <f>EXP(dataset!J280)</f>
        <v>2.5121689795919002E-3</v>
      </c>
    </row>
    <row r="281" spans="1:8" x14ac:dyDescent="0.25">
      <c r="A281" s="11">
        <f>dataset!A281</f>
        <v>29</v>
      </c>
      <c r="B281" s="11">
        <f>dataset!B281</f>
        <v>2015</v>
      </c>
      <c r="C281">
        <f>EXP(dataset!C281)</f>
        <v>0.13489103968905766</v>
      </c>
      <c r="D281">
        <f>EXP(dataset!D281)</f>
        <v>2.0487000000000002</v>
      </c>
      <c r="E281">
        <f>EXP(dataset!G281)</f>
        <v>1.5016</v>
      </c>
      <c r="F281">
        <f>1000*EXP(dataset!M281)</f>
        <v>11053.432296744906</v>
      </c>
      <c r="G281">
        <f>EXP(dataset!L281)</f>
        <v>0.18245688741693092</v>
      </c>
      <c r="H281">
        <f>EXP(dataset!J281)</f>
        <v>3.9465027868229013E-3</v>
      </c>
    </row>
    <row r="282" spans="1:8" x14ac:dyDescent="0.25">
      <c r="A282" s="11">
        <f>dataset!A282</f>
        <v>29</v>
      </c>
      <c r="B282" s="11">
        <f>dataset!B282</f>
        <v>2016</v>
      </c>
      <c r="C282">
        <f>EXP(dataset!C282)</f>
        <v>0.144704821751171</v>
      </c>
      <c r="D282">
        <f>EXP(dataset!D282)</f>
        <v>2.0699000000000001</v>
      </c>
      <c r="E282">
        <f>EXP(dataset!G282)</f>
        <v>1.6482000000000001</v>
      </c>
      <c r="F282">
        <f>1000*EXP(dataset!M282)</f>
        <v>10744.55413411627</v>
      </c>
      <c r="G282">
        <f>EXP(dataset!L282)</f>
        <v>0.18926269162847206</v>
      </c>
      <c r="H282">
        <f>EXP(dataset!J282)</f>
        <v>5.6949971610110979E-3</v>
      </c>
    </row>
    <row r="283" spans="1:8" x14ac:dyDescent="0.25">
      <c r="A283" s="11">
        <f>dataset!A283</f>
        <v>29</v>
      </c>
      <c r="B283" s="11">
        <f>dataset!B283</f>
        <v>2017</v>
      </c>
      <c r="C283">
        <f>EXP(dataset!C283)</f>
        <v>0.1467068647048668</v>
      </c>
      <c r="D283">
        <f>EXP(dataset!D283)</f>
        <v>2.0318000000000001</v>
      </c>
      <c r="E283">
        <f>EXP(dataset!G283)</f>
        <v>1.6063000000000001</v>
      </c>
      <c r="F283">
        <f>1000*EXP(dataset!M283)</f>
        <v>10716.396033952875</v>
      </c>
      <c r="G283">
        <f>EXP(dataset!L283)</f>
        <v>0.19569737508298593</v>
      </c>
      <c r="H283">
        <f>EXP(dataset!J283)</f>
        <v>1.0687905533513087E-2</v>
      </c>
    </row>
    <row r="284" spans="1:8" x14ac:dyDescent="0.25">
      <c r="A284" s="11">
        <f>dataset!A284</f>
        <v>29</v>
      </c>
      <c r="B284" s="11">
        <f>dataset!B284</f>
        <v>2018</v>
      </c>
      <c r="C284">
        <f>EXP(dataset!C284)</f>
        <v>0.13574708912003863</v>
      </c>
      <c r="D284">
        <f>EXP(dataset!D284)</f>
        <v>2.3121</v>
      </c>
      <c r="E284">
        <f>EXP(dataset!G284)</f>
        <v>1.7379</v>
      </c>
      <c r="F284">
        <f>1000*EXP(dataset!M284)</f>
        <v>11316.231148439196</v>
      </c>
      <c r="G284">
        <f>EXP(dataset!L284)</f>
        <v>0.21081305214331805</v>
      </c>
      <c r="H284">
        <f>EXP(dataset!J284)</f>
        <v>1.8092684094917096E-2</v>
      </c>
    </row>
    <row r="285" spans="1:8" x14ac:dyDescent="0.25">
      <c r="A285" s="11">
        <f>dataset!A285</f>
        <v>29</v>
      </c>
      <c r="B285" s="11">
        <f>dataset!B285</f>
        <v>2019</v>
      </c>
      <c r="C285">
        <f>EXP(dataset!C285)</f>
        <v>0.13740833361572297</v>
      </c>
      <c r="D285">
        <f>EXP(dataset!D285)</f>
        <v>2.2363</v>
      </c>
      <c r="E285">
        <f>EXP(dataset!G285)</f>
        <v>1.6907000000000001</v>
      </c>
      <c r="F285">
        <f>1000*EXP(dataset!M285)</f>
        <v>11077.931407395279</v>
      </c>
      <c r="G285">
        <f>EXP(dataset!L285)</f>
        <v>0.21879183737796049</v>
      </c>
      <c r="H285">
        <f>EXP(dataset!J285)</f>
        <v>3.6912367216331378E-2</v>
      </c>
    </row>
    <row r="286" spans="1:8" x14ac:dyDescent="0.25">
      <c r="A286" s="11">
        <f>dataset!A286</f>
        <v>29</v>
      </c>
      <c r="B286" s="11">
        <f>dataset!B286</f>
        <v>2020</v>
      </c>
      <c r="C286">
        <f>EXP(dataset!C286)</f>
        <v>0.1340248377932243</v>
      </c>
      <c r="D286">
        <f>EXP(dataset!D286)</f>
        <v>2.0455000000000001</v>
      </c>
      <c r="E286">
        <f>EXP(dataset!G286)</f>
        <v>1.5659000000000001</v>
      </c>
      <c r="F286">
        <f>1000*EXP(dataset!M286)</f>
        <v>10791.352322165296</v>
      </c>
      <c r="G286">
        <f>EXP(dataset!L286)</f>
        <v>0.22573964374185315</v>
      </c>
      <c r="H286">
        <f>EXP(dataset!J286)</f>
        <v>6.8315920141100467E-2</v>
      </c>
    </row>
    <row r="287" spans="1:8" x14ac:dyDescent="0.25">
      <c r="A287" s="11">
        <f>dataset!A287</f>
        <v>29</v>
      </c>
      <c r="B287" s="11">
        <f>dataset!B287</f>
        <v>2021</v>
      </c>
      <c r="C287">
        <f>EXP(dataset!C287)</f>
        <v>0.13774574042106913</v>
      </c>
      <c r="D287">
        <f>EXP(dataset!D287)</f>
        <v>2.5122</v>
      </c>
      <c r="E287">
        <f>EXP(dataset!G287)</f>
        <v>2.0421999999999998</v>
      </c>
      <c r="F287">
        <f>1000*EXP(dataset!M287)</f>
        <v>10984.150172269005</v>
      </c>
      <c r="G287">
        <f>EXP(dataset!L287)</f>
        <v>0.23299965486139593</v>
      </c>
      <c r="H287">
        <f>EXP(dataset!J287)</f>
        <v>0.12198634340196673</v>
      </c>
    </row>
    <row r="288" spans="1:8" x14ac:dyDescent="0.25">
      <c r="A288" s="11">
        <f>dataset!A288</f>
        <v>29</v>
      </c>
      <c r="B288" s="11">
        <f>dataset!B288</f>
        <v>2022</v>
      </c>
      <c r="C288">
        <f>EXP(dataset!C288)</f>
        <v>0.14338443769233872</v>
      </c>
      <c r="D288">
        <f>EXP(dataset!D288)</f>
        <v>2.617</v>
      </c>
      <c r="E288">
        <f>EXP(dataset!G288)</f>
        <v>2.0274000000000001</v>
      </c>
      <c r="F288">
        <f>1000*EXP(dataset!M288)</f>
        <v>11552.759367757064</v>
      </c>
      <c r="G288">
        <f>EXP(dataset!L288)</f>
        <v>0.24104701652634677</v>
      </c>
      <c r="H288">
        <f>EXP(dataset!J288)</f>
        <v>0.20393340559978712</v>
      </c>
    </row>
    <row r="289" spans="1:8" x14ac:dyDescent="0.25">
      <c r="A289" s="11">
        <f>dataset!A289</f>
        <v>29</v>
      </c>
      <c r="B289" s="11">
        <f>dataset!B289</f>
        <v>2023</v>
      </c>
      <c r="C289">
        <f>EXP(dataset!C289)</f>
        <v>0.15594941343787688</v>
      </c>
      <c r="D289">
        <f>EXP(dataset!D289)</f>
        <v>2.2273999999999998</v>
      </c>
      <c r="E289">
        <f>EXP(dataset!G289)</f>
        <v>1.6831</v>
      </c>
      <c r="F289">
        <f>1000*EXP(dataset!M289)</f>
        <v>11759.211430994575</v>
      </c>
      <c r="G289">
        <f>EXP(dataset!L289)</f>
        <v>0.25072704661453199</v>
      </c>
      <c r="H289">
        <f>EXP(dataset!J289)</f>
        <v>0.34487167543838326</v>
      </c>
    </row>
    <row r="290" spans="1:8" x14ac:dyDescent="0.25">
      <c r="A290" s="11">
        <f>dataset!A290</f>
        <v>31</v>
      </c>
      <c r="B290" s="11">
        <f>dataset!B290</f>
        <v>2006</v>
      </c>
      <c r="C290">
        <f>EXP(dataset!C290)</f>
        <v>0.13850820119515242</v>
      </c>
      <c r="D290">
        <f>EXP(dataset!D290)</f>
        <v>2.4900000000000002</v>
      </c>
      <c r="E290">
        <f>EXP(dataset!G290)</f>
        <v>1.91</v>
      </c>
      <c r="F290">
        <f>1000*EXP(dataset!M290)</f>
        <v>14707.253283804666</v>
      </c>
      <c r="G290">
        <f>EXP(dataset!L290)</f>
        <v>0.19561468048533032</v>
      </c>
      <c r="H290">
        <f>EXP(dataset!J290)</f>
        <v>9.9999999999999805E-6</v>
      </c>
    </row>
    <row r="291" spans="1:8" x14ac:dyDescent="0.25">
      <c r="A291" s="11">
        <f>dataset!A291</f>
        <v>31</v>
      </c>
      <c r="B291" s="11">
        <f>dataset!B291</f>
        <v>2007</v>
      </c>
      <c r="C291">
        <f>EXP(dataset!C291)</f>
        <v>0.14378897566137255</v>
      </c>
      <c r="D291">
        <f>EXP(dataset!D291)</f>
        <v>2.355</v>
      </c>
      <c r="E291">
        <f>EXP(dataset!G291)</f>
        <v>1.6177999999999999</v>
      </c>
      <c r="F291">
        <f>1000*EXP(dataset!M291)</f>
        <v>15469.861725040613</v>
      </c>
      <c r="G291">
        <f>EXP(dataset!L291)</f>
        <v>0.21372720103446222</v>
      </c>
      <c r="H291">
        <f>EXP(dataset!J291)</f>
        <v>9.9999999999999805E-6</v>
      </c>
    </row>
    <row r="292" spans="1:8" x14ac:dyDescent="0.25">
      <c r="A292" s="11">
        <f>dataset!A292</f>
        <v>31</v>
      </c>
      <c r="B292" s="11">
        <f>dataset!B292</f>
        <v>2008</v>
      </c>
      <c r="C292">
        <f>EXP(dataset!C292)</f>
        <v>0.14734870171677061</v>
      </c>
      <c r="D292">
        <f>EXP(dataset!D292)</f>
        <v>2.2147000000000001</v>
      </c>
      <c r="E292">
        <f>EXP(dataset!G292)</f>
        <v>1.4735</v>
      </c>
      <c r="F292">
        <f>1000*EXP(dataset!M292)</f>
        <v>16330.828935302969</v>
      </c>
      <c r="G292">
        <f>EXP(dataset!L292)</f>
        <v>0.2351028158101284</v>
      </c>
      <c r="H292">
        <f>EXP(dataset!J292)</f>
        <v>9.9999999999999805E-6</v>
      </c>
    </row>
    <row r="293" spans="1:8" x14ac:dyDescent="0.25">
      <c r="A293" s="11">
        <f>dataset!A293</f>
        <v>31</v>
      </c>
      <c r="B293" s="11">
        <f>dataset!B293</f>
        <v>2009</v>
      </c>
      <c r="C293">
        <f>EXP(dataset!C293)</f>
        <v>0.15015194124489956</v>
      </c>
      <c r="D293">
        <f>EXP(dataset!D293)</f>
        <v>2.1145</v>
      </c>
      <c r="E293">
        <f>EXP(dataset!G293)</f>
        <v>1.4298999999999999</v>
      </c>
      <c r="F293">
        <f>1000*EXP(dataset!M293)</f>
        <v>15556.625102945467</v>
      </c>
      <c r="G293">
        <f>EXP(dataset!L293)</f>
        <v>0.25536241122131159</v>
      </c>
      <c r="H293">
        <f>EXP(dataset!J293)</f>
        <v>4.9915978928468613E-5</v>
      </c>
    </row>
    <row r="294" spans="1:8" x14ac:dyDescent="0.25">
      <c r="A294" s="11">
        <f>dataset!A294</f>
        <v>31</v>
      </c>
      <c r="B294" s="11">
        <f>dataset!B294</f>
        <v>2010</v>
      </c>
      <c r="C294">
        <f>EXP(dataset!C294)</f>
        <v>0.18499421085757325</v>
      </c>
      <c r="D294">
        <f>EXP(dataset!D294)</f>
        <v>2.0619999999999998</v>
      </c>
      <c r="E294">
        <f>EXP(dataset!G294)</f>
        <v>1.5138</v>
      </c>
      <c r="F294">
        <f>1000*EXP(dataset!M294)</f>
        <v>17661.09280317977</v>
      </c>
      <c r="G294">
        <f>EXP(dataset!L294)</f>
        <v>0.28193402776887089</v>
      </c>
      <c r="H294">
        <f>EXP(dataset!J294)</f>
        <v>1.0059763546260005E-4</v>
      </c>
    </row>
    <row r="295" spans="1:8" x14ac:dyDescent="0.25">
      <c r="A295" s="11">
        <f>dataset!A295</f>
        <v>31</v>
      </c>
      <c r="B295" s="11">
        <f>dataset!B295</f>
        <v>2011</v>
      </c>
      <c r="C295">
        <f>EXP(dataset!C295)</f>
        <v>0.20781491695778653</v>
      </c>
      <c r="D295">
        <f>EXP(dataset!D295)</f>
        <v>2.1436000000000002</v>
      </c>
      <c r="E295">
        <f>EXP(dataset!G295)</f>
        <v>1.6518999999999999</v>
      </c>
      <c r="F295">
        <f>1000*EXP(dataset!M295)</f>
        <v>18723.7937930632</v>
      </c>
      <c r="G295">
        <f>EXP(dataset!L295)</f>
        <v>0.3097303263909772</v>
      </c>
      <c r="H295">
        <f>EXP(dataset!J295)</f>
        <v>4.5618816971269984E-4</v>
      </c>
    </row>
    <row r="296" spans="1:8" x14ac:dyDescent="0.25">
      <c r="A296" s="11">
        <f>dataset!A296</f>
        <v>31</v>
      </c>
      <c r="B296" s="11">
        <f>dataset!B296</f>
        <v>2012</v>
      </c>
      <c r="C296">
        <f>EXP(dataset!C296)</f>
        <v>0.22458982252223236</v>
      </c>
      <c r="D296">
        <f>EXP(dataset!D296)</f>
        <v>2.0398000000000001</v>
      </c>
      <c r="E296">
        <f>EXP(dataset!G296)</f>
        <v>1.5462</v>
      </c>
      <c r="F296">
        <f>1000*EXP(dataset!M296)</f>
        <v>19051.313551115632</v>
      </c>
      <c r="G296">
        <f>EXP(dataset!L296)</f>
        <v>0.33211708572790427</v>
      </c>
      <c r="H296">
        <f>EXP(dataset!J296)</f>
        <v>7.0510027230970024E-4</v>
      </c>
    </row>
    <row r="297" spans="1:8" x14ac:dyDescent="0.25">
      <c r="A297" s="11">
        <f>dataset!A297</f>
        <v>31</v>
      </c>
      <c r="B297" s="11">
        <f>dataset!B297</f>
        <v>2013</v>
      </c>
      <c r="C297">
        <f>EXP(dataset!C297)</f>
        <v>0.22606448992577993</v>
      </c>
      <c r="D297">
        <f>EXP(dataset!D297)</f>
        <v>1.9809000000000001</v>
      </c>
      <c r="E297">
        <f>EXP(dataset!G297)</f>
        <v>1.4324999999999999</v>
      </c>
      <c r="F297">
        <f>1000*EXP(dataset!M297)</f>
        <v>18852.639023814292</v>
      </c>
      <c r="G297">
        <f>EXP(dataset!L297)</f>
        <v>0.34150562929131106</v>
      </c>
      <c r="H297">
        <f>EXP(dataset!J297)</f>
        <v>1.6024585793591995E-3</v>
      </c>
    </row>
    <row r="298" spans="1:8" x14ac:dyDescent="0.25">
      <c r="A298" s="11">
        <f>dataset!A298</f>
        <v>31</v>
      </c>
      <c r="B298" s="11">
        <f>dataset!B298</f>
        <v>2014</v>
      </c>
      <c r="C298">
        <f>EXP(dataset!C298)</f>
        <v>0.24047704030708439</v>
      </c>
      <c r="D298">
        <f>EXP(dataset!D298)</f>
        <v>1.9195</v>
      </c>
      <c r="E298">
        <f>EXP(dataset!G298)</f>
        <v>1.4171</v>
      </c>
      <c r="F298">
        <f>1000*EXP(dataset!M298)</f>
        <v>18380.868946074668</v>
      </c>
      <c r="G298">
        <f>EXP(dataset!L298)</f>
        <v>0.35828191601495823</v>
      </c>
      <c r="H298">
        <f>EXP(dataset!J298)</f>
        <v>3.0867030283498009E-3</v>
      </c>
    </row>
    <row r="299" spans="1:8" x14ac:dyDescent="0.25">
      <c r="A299" s="11">
        <f>dataset!A299</f>
        <v>31</v>
      </c>
      <c r="B299" s="11">
        <f>dataset!B299</f>
        <v>2015</v>
      </c>
      <c r="C299">
        <f>EXP(dataset!C299)</f>
        <v>0.20587513712258126</v>
      </c>
      <c r="D299">
        <f>EXP(dataset!D299)</f>
        <v>1.9614</v>
      </c>
      <c r="E299">
        <f>EXP(dataset!G299)</f>
        <v>1.3503000000000001</v>
      </c>
      <c r="F299">
        <f>1000*EXP(dataset!M299)</f>
        <v>17066.055471709096</v>
      </c>
      <c r="G299">
        <f>EXP(dataset!L299)</f>
        <v>0.3713475726625694</v>
      </c>
      <c r="H299">
        <f>EXP(dataset!J299)</f>
        <v>4.4563491259158013E-3</v>
      </c>
    </row>
    <row r="300" spans="1:8" x14ac:dyDescent="0.25">
      <c r="A300" s="11">
        <f>dataset!A300</f>
        <v>31</v>
      </c>
      <c r="B300" s="11">
        <f>dataset!B300</f>
        <v>2016</v>
      </c>
      <c r="C300">
        <f>EXP(dataset!C300)</f>
        <v>0.21491741802380851</v>
      </c>
      <c r="D300">
        <f>EXP(dataset!D300)</f>
        <v>2.0314999999999999</v>
      </c>
      <c r="E300">
        <f>EXP(dataset!G300)</f>
        <v>1.4839</v>
      </c>
      <c r="F300">
        <f>1000*EXP(dataset!M300)</f>
        <v>16459.964972211055</v>
      </c>
      <c r="G300">
        <f>EXP(dataset!L300)</f>
        <v>0.38251687338909851</v>
      </c>
      <c r="H300">
        <f>EXP(dataset!J300)</f>
        <v>6.3340692918604996E-3</v>
      </c>
    </row>
    <row r="301" spans="1:8" x14ac:dyDescent="0.25">
      <c r="A301" s="11">
        <f>dataset!A301</f>
        <v>31</v>
      </c>
      <c r="B301" s="11">
        <f>dataset!B301</f>
        <v>2017</v>
      </c>
      <c r="C301">
        <f>EXP(dataset!C301)</f>
        <v>0.21639731478949162</v>
      </c>
      <c r="D301">
        <f>EXP(dataset!D301)</f>
        <v>2.0478000000000001</v>
      </c>
      <c r="E301">
        <f>EXP(dataset!G301)</f>
        <v>1.4626999999999999</v>
      </c>
      <c r="F301">
        <f>1000*EXP(dataset!M301)</f>
        <v>16699.926856792696</v>
      </c>
      <c r="G301">
        <f>EXP(dataset!L301)</f>
        <v>0.39531895965896219</v>
      </c>
      <c r="H301">
        <f>EXP(dataset!J301)</f>
        <v>1.2074128901316697E-2</v>
      </c>
    </row>
    <row r="302" spans="1:8" x14ac:dyDescent="0.25">
      <c r="A302" s="11">
        <f>dataset!A302</f>
        <v>31</v>
      </c>
      <c r="B302" s="11">
        <f>dataset!B302</f>
        <v>2018</v>
      </c>
      <c r="C302">
        <f>EXP(dataset!C302)</f>
        <v>0.16980050104887379</v>
      </c>
      <c r="D302">
        <f>EXP(dataset!D302)</f>
        <v>2.3942000000000001</v>
      </c>
      <c r="E302">
        <f>EXP(dataset!G302)</f>
        <v>1.5688</v>
      </c>
      <c r="F302">
        <f>1000*EXP(dataset!M302)</f>
        <v>17113.230174502107</v>
      </c>
      <c r="G302">
        <f>EXP(dataset!L302)</f>
        <v>0.41300373533874551</v>
      </c>
      <c r="H302">
        <f>EXP(dataset!J302)</f>
        <v>1.9248443798964111E-2</v>
      </c>
    </row>
    <row r="303" spans="1:8" x14ac:dyDescent="0.25">
      <c r="A303" s="11">
        <f>dataset!A303</f>
        <v>31</v>
      </c>
      <c r="B303" s="11">
        <f>dataset!B303</f>
        <v>2019</v>
      </c>
      <c r="C303">
        <f>EXP(dataset!C303)</f>
        <v>0.15592159797883581</v>
      </c>
      <c r="D303">
        <f>EXP(dataset!D303)</f>
        <v>2.2902999999999998</v>
      </c>
      <c r="E303">
        <f>EXP(dataset!G303)</f>
        <v>1.4744999999999999</v>
      </c>
      <c r="F303">
        <f>1000*EXP(dataset!M303)</f>
        <v>17302.222352660563</v>
      </c>
      <c r="G303">
        <f>EXP(dataset!L303)</f>
        <v>0.4282991881775392</v>
      </c>
      <c r="H303">
        <f>EXP(dataset!J303)</f>
        <v>4.0484125900246179E-2</v>
      </c>
    </row>
    <row r="304" spans="1:8" x14ac:dyDescent="0.25">
      <c r="A304" s="11">
        <f>dataset!A304</f>
        <v>31</v>
      </c>
      <c r="B304" s="11">
        <f>dataset!B304</f>
        <v>2020</v>
      </c>
      <c r="C304">
        <f>EXP(dataset!C304)</f>
        <v>0.152138922857288</v>
      </c>
      <c r="D304">
        <f>EXP(dataset!D304)</f>
        <v>2.0924999999999998</v>
      </c>
      <c r="E304">
        <f>EXP(dataset!G304)</f>
        <v>1.4059999999999999</v>
      </c>
      <c r="F304">
        <f>1000*EXP(dataset!M304)</f>
        <v>16922.025727802244</v>
      </c>
      <c r="G304">
        <f>EXP(dataset!L304)</f>
        <v>0.43521464151083761</v>
      </c>
      <c r="H304">
        <f>EXP(dataset!J304)</f>
        <v>7.5143244157401395E-2</v>
      </c>
    </row>
    <row r="305" spans="1:8" x14ac:dyDescent="0.25">
      <c r="A305" s="11">
        <f>dataset!A305</f>
        <v>31</v>
      </c>
      <c r="B305" s="11">
        <f>dataset!B305</f>
        <v>2021</v>
      </c>
      <c r="C305">
        <f>EXP(dataset!C305)</f>
        <v>0.17233673266992403</v>
      </c>
      <c r="D305">
        <f>EXP(dataset!D305)</f>
        <v>2.5634999999999999</v>
      </c>
      <c r="E305">
        <f>EXP(dataset!G305)</f>
        <v>1.8842000000000001</v>
      </c>
      <c r="F305">
        <f>1000*EXP(dataset!M305)</f>
        <v>18696.176845867594</v>
      </c>
      <c r="G305">
        <f>EXP(dataset!L305)</f>
        <v>0.44561172763417839</v>
      </c>
      <c r="H305">
        <f>EXP(dataset!J305)</f>
        <v>0.14529288191443607</v>
      </c>
    </row>
    <row r="306" spans="1:8" x14ac:dyDescent="0.25">
      <c r="A306" s="11">
        <f>dataset!A306</f>
        <v>31</v>
      </c>
      <c r="B306" s="11">
        <f>dataset!B306</f>
        <v>2022</v>
      </c>
      <c r="C306">
        <f>EXP(dataset!C306)</f>
        <v>0.20000153045571856</v>
      </c>
      <c r="D306">
        <f>EXP(dataset!D306)</f>
        <v>2.512</v>
      </c>
      <c r="E306">
        <f>EXP(dataset!G306)</f>
        <v>1.8213999999999999</v>
      </c>
      <c r="F306">
        <f>1000*EXP(dataset!M306)</f>
        <v>18207.45714713246</v>
      </c>
      <c r="G306">
        <f>EXP(dataset!L306)</f>
        <v>0.46140241584093122</v>
      </c>
      <c r="H306">
        <f>EXP(dataset!J306)</f>
        <v>0.22492141411119393</v>
      </c>
    </row>
    <row r="307" spans="1:8" x14ac:dyDescent="0.25">
      <c r="A307" s="11">
        <f>dataset!A307</f>
        <v>31</v>
      </c>
      <c r="B307" s="11">
        <f>dataset!B307</f>
        <v>2023</v>
      </c>
      <c r="C307">
        <f>EXP(dataset!C307)</f>
        <v>0.22389320006428198</v>
      </c>
      <c r="D307">
        <f>EXP(dataset!D307)</f>
        <v>2.0575000000000001</v>
      </c>
      <c r="E307">
        <f>EXP(dataset!G307)</f>
        <v>1.4206000000000001</v>
      </c>
      <c r="F307">
        <f>1000*EXP(dataset!M307)</f>
        <v>18560.031482310118</v>
      </c>
      <c r="G307">
        <f>EXP(dataset!L307)</f>
        <v>0.47462518896597938</v>
      </c>
      <c r="H307">
        <f>EXP(dataset!J307)</f>
        <v>0.38090927190425627</v>
      </c>
    </row>
    <row r="308" spans="1:8" x14ac:dyDescent="0.25">
      <c r="A308" s="11">
        <f>dataset!A308</f>
        <v>32</v>
      </c>
      <c r="B308" s="11">
        <f>dataset!B308</f>
        <v>2006</v>
      </c>
      <c r="C308">
        <f>EXP(dataset!C308)</f>
        <v>0.13325841840379754</v>
      </c>
      <c r="D308">
        <f>EXP(dataset!D308)</f>
        <v>2.62</v>
      </c>
      <c r="E308">
        <f>EXP(dataset!G308)</f>
        <v>1.97</v>
      </c>
      <c r="F308">
        <f>1000*EXP(dataset!M308)</f>
        <v>20790.648908880194</v>
      </c>
      <c r="G308">
        <f>EXP(dataset!L308)</f>
        <v>0.17901240804379531</v>
      </c>
      <c r="H308">
        <f>EXP(dataset!J308)</f>
        <v>9.9999999999999805E-6</v>
      </c>
    </row>
    <row r="309" spans="1:8" x14ac:dyDescent="0.25">
      <c r="A309" s="11">
        <f>dataset!A309</f>
        <v>32</v>
      </c>
      <c r="B309" s="11">
        <f>dataset!B309</f>
        <v>2007</v>
      </c>
      <c r="C309">
        <f>EXP(dataset!C309)</f>
        <v>0.1373195833668211</v>
      </c>
      <c r="D309">
        <f>EXP(dataset!D309)</f>
        <v>2.5081000000000002</v>
      </c>
      <c r="E309">
        <f>EXP(dataset!G309)</f>
        <v>1.7231000000000001</v>
      </c>
      <c r="F309">
        <f>1000*EXP(dataset!M309)</f>
        <v>22195.501525051139</v>
      </c>
      <c r="G309">
        <f>EXP(dataset!L309)</f>
        <v>0.20165303735278101</v>
      </c>
      <c r="H309">
        <f>EXP(dataset!J309)</f>
        <v>9.9999999999999805E-6</v>
      </c>
    </row>
    <row r="310" spans="1:8" x14ac:dyDescent="0.25">
      <c r="A310" s="11">
        <f>dataset!A310</f>
        <v>32</v>
      </c>
      <c r="B310" s="11">
        <f>dataset!B310</f>
        <v>2008</v>
      </c>
      <c r="C310">
        <f>EXP(dataset!C310)</f>
        <v>0.14051579403332012</v>
      </c>
      <c r="D310">
        <f>EXP(dataset!D310)</f>
        <v>2.3774000000000002</v>
      </c>
      <c r="E310">
        <f>EXP(dataset!G310)</f>
        <v>1.6</v>
      </c>
      <c r="F310">
        <f>1000*EXP(dataset!M310)</f>
        <v>24287.412341768668</v>
      </c>
      <c r="G310">
        <f>EXP(dataset!L310)</f>
        <v>0.22780215459256684</v>
      </c>
      <c r="H310">
        <f>EXP(dataset!J310)</f>
        <v>9.9999999999999805E-6</v>
      </c>
    </row>
    <row r="311" spans="1:8" x14ac:dyDescent="0.25">
      <c r="A311" s="11">
        <f>dataset!A311</f>
        <v>32</v>
      </c>
      <c r="B311" s="11">
        <f>dataset!B311</f>
        <v>2009</v>
      </c>
      <c r="C311">
        <f>EXP(dataset!C311)</f>
        <v>0.14659260627225454</v>
      </c>
      <c r="D311">
        <f>EXP(dataset!D311)</f>
        <v>2.2791999999999999</v>
      </c>
      <c r="E311">
        <f>EXP(dataset!G311)</f>
        <v>1.5946</v>
      </c>
      <c r="F311">
        <f>1000*EXP(dataset!M311)</f>
        <v>21520.310437546003</v>
      </c>
      <c r="G311">
        <f>EXP(dataset!L311)</f>
        <v>0.25020309996647733</v>
      </c>
      <c r="H311">
        <f>EXP(dataset!J311)</f>
        <v>2.8676310127409988E-4</v>
      </c>
    </row>
    <row r="312" spans="1:8" x14ac:dyDescent="0.25">
      <c r="A312" s="11">
        <f>dataset!A312</f>
        <v>32</v>
      </c>
      <c r="B312" s="11">
        <f>dataset!B312</f>
        <v>2010</v>
      </c>
      <c r="C312">
        <f>EXP(dataset!C312)</f>
        <v>0.18146163615928551</v>
      </c>
      <c r="D312">
        <f>EXP(dataset!D312)</f>
        <v>2.2010999999999998</v>
      </c>
      <c r="E312">
        <f>EXP(dataset!G312)</f>
        <v>1.6611</v>
      </c>
      <c r="F312">
        <f>1000*EXP(dataset!M312)</f>
        <v>24255.673735978246</v>
      </c>
      <c r="G312">
        <f>EXP(dataset!L312)</f>
        <v>0.26847651506471043</v>
      </c>
      <c r="H312">
        <f>EXP(dataset!J312)</f>
        <v>5.6864594312339991E-4</v>
      </c>
    </row>
    <row r="313" spans="1:8" x14ac:dyDescent="0.25">
      <c r="A313" s="11">
        <f>dataset!A313</f>
        <v>32</v>
      </c>
      <c r="B313" s="11">
        <f>dataset!B313</f>
        <v>2011</v>
      </c>
      <c r="C313">
        <f>EXP(dataset!C313)</f>
        <v>0.20178784653747969</v>
      </c>
      <c r="D313">
        <f>EXP(dataset!D313)</f>
        <v>2.2050999999999998</v>
      </c>
      <c r="E313">
        <f>EXP(dataset!G313)</f>
        <v>1.8286</v>
      </c>
      <c r="F313">
        <f>1000*EXP(dataset!M313)</f>
        <v>27582.746208558936</v>
      </c>
      <c r="G313">
        <f>EXP(dataset!L313)</f>
        <v>0.28717739082139959</v>
      </c>
      <c r="H313">
        <f>EXP(dataset!J313)</f>
        <v>3.9469362612082007E-3</v>
      </c>
    </row>
    <row r="314" spans="1:8" x14ac:dyDescent="0.25">
      <c r="A314" s="11">
        <f>dataset!A314</f>
        <v>32</v>
      </c>
      <c r="B314" s="11">
        <f>dataset!B314</f>
        <v>2012</v>
      </c>
      <c r="C314">
        <f>EXP(dataset!C314)</f>
        <v>0.22967078313513978</v>
      </c>
      <c r="D314">
        <f>EXP(dataset!D314)</f>
        <v>2.0543999999999998</v>
      </c>
      <c r="E314">
        <f>EXP(dataset!G314)</f>
        <v>1.7858000000000001</v>
      </c>
      <c r="F314">
        <f>1000*EXP(dataset!M314)</f>
        <v>27930.86629347632</v>
      </c>
      <c r="G314">
        <f>EXP(dataset!L314)</f>
        <v>0.30736959369402517</v>
      </c>
      <c r="H314">
        <f>EXP(dataset!J314)</f>
        <v>5.8690907688425014E-3</v>
      </c>
    </row>
    <row r="315" spans="1:8" x14ac:dyDescent="0.25">
      <c r="A315" s="11">
        <f>dataset!A315</f>
        <v>32</v>
      </c>
      <c r="B315" s="11">
        <f>dataset!B315</f>
        <v>2013</v>
      </c>
      <c r="C315">
        <f>EXP(dataset!C315)</f>
        <v>0.22444290281259976</v>
      </c>
      <c r="D315">
        <f>EXP(dataset!D315)</f>
        <v>1.9809000000000001</v>
      </c>
      <c r="E315">
        <f>EXP(dataset!G315)</f>
        <v>1.7067000000000001</v>
      </c>
      <c r="F315">
        <f>1000*EXP(dataset!M315)</f>
        <v>24300.689859263231</v>
      </c>
      <c r="G315">
        <f>EXP(dataset!L315)</f>
        <v>0.30495920420194378</v>
      </c>
      <c r="H315">
        <f>EXP(dataset!J315)</f>
        <v>1.1199765794665003E-2</v>
      </c>
    </row>
    <row r="316" spans="1:8" x14ac:dyDescent="0.25">
      <c r="A316" s="11">
        <f>dataset!A316</f>
        <v>32</v>
      </c>
      <c r="B316" s="11">
        <f>dataset!B316</f>
        <v>2014</v>
      </c>
      <c r="C316">
        <f>EXP(dataset!C316)</f>
        <v>0.24064911150412777</v>
      </c>
      <c r="D316">
        <f>EXP(dataset!D316)</f>
        <v>1.9323999999999999</v>
      </c>
      <c r="E316">
        <f>EXP(dataset!G316)</f>
        <v>1.6812</v>
      </c>
      <c r="F316">
        <f>1000*EXP(dataset!M316)</f>
        <v>24453.040370687722</v>
      </c>
      <c r="G316">
        <f>EXP(dataset!L316)</f>
        <v>0.31837127408174271</v>
      </c>
      <c r="H316">
        <f>EXP(dataset!J316)</f>
        <v>2.2136142941826392E-2</v>
      </c>
    </row>
    <row r="317" spans="1:8" x14ac:dyDescent="0.25">
      <c r="A317" s="11">
        <f>dataset!A317</f>
        <v>32</v>
      </c>
      <c r="B317" s="11">
        <f>dataset!B317</f>
        <v>2015</v>
      </c>
      <c r="C317">
        <f>EXP(dataset!C317)</f>
        <v>0.23334401720547882</v>
      </c>
      <c r="D317">
        <f>EXP(dataset!D317)</f>
        <v>1.9672000000000001</v>
      </c>
      <c r="E317">
        <f>EXP(dataset!G317)</f>
        <v>1.6296999999999999</v>
      </c>
      <c r="F317">
        <f>1000*EXP(dataset!M317)</f>
        <v>21004.556177938885</v>
      </c>
      <c r="G317">
        <f>EXP(dataset!L317)</f>
        <v>0.3272150438012465</v>
      </c>
      <c r="H317">
        <f>EXP(dataset!J317)</f>
        <v>2.92627492072975E-2</v>
      </c>
    </row>
    <row r="318" spans="1:8" x14ac:dyDescent="0.25">
      <c r="A318" s="11">
        <f>dataset!A318</f>
        <v>32</v>
      </c>
      <c r="B318" s="11">
        <f>dataset!B318</f>
        <v>2016</v>
      </c>
      <c r="C318">
        <f>EXP(dataset!C318)</f>
        <v>0.23835461284541828</v>
      </c>
      <c r="D318">
        <f>EXP(dataset!D318)</f>
        <v>2.0150999999999999</v>
      </c>
      <c r="E318">
        <f>EXP(dataset!G318)</f>
        <v>1.7523</v>
      </c>
      <c r="F318">
        <f>1000*EXP(dataset!M318)</f>
        <v>17443.608153012163</v>
      </c>
      <c r="G318">
        <f>EXP(dataset!L318)</f>
        <v>0.33264740618119604</v>
      </c>
      <c r="H318">
        <f>EXP(dataset!J318)</f>
        <v>3.5483329503985812E-2</v>
      </c>
    </row>
    <row r="319" spans="1:8" x14ac:dyDescent="0.25">
      <c r="A319" s="11">
        <f>dataset!A319</f>
        <v>32</v>
      </c>
      <c r="B319" s="11">
        <f>dataset!B319</f>
        <v>2017</v>
      </c>
      <c r="C319">
        <f>EXP(dataset!C319)</f>
        <v>0.23343559186486454</v>
      </c>
      <c r="D319">
        <f>EXP(dataset!D319)</f>
        <v>2.0051999999999999</v>
      </c>
      <c r="E319">
        <f>EXP(dataset!G319)</f>
        <v>1.7765</v>
      </c>
      <c r="F319">
        <f>1000*EXP(dataset!M319)</f>
        <v>17277.22576098832</v>
      </c>
      <c r="G319">
        <f>EXP(dataset!L319)</f>
        <v>0.33858651972086157</v>
      </c>
      <c r="H319">
        <f>EXP(dataset!J319)</f>
        <v>6.5731225020889489E-2</v>
      </c>
    </row>
    <row r="320" spans="1:8" x14ac:dyDescent="0.25">
      <c r="A320" s="11">
        <f>dataset!A320</f>
        <v>32</v>
      </c>
      <c r="B320" s="11">
        <f>dataset!B320</f>
        <v>2018</v>
      </c>
      <c r="C320">
        <f>EXP(dataset!C320)</f>
        <v>0.22899200178834481</v>
      </c>
      <c r="D320">
        <f>EXP(dataset!D320)</f>
        <v>2.2454999999999998</v>
      </c>
      <c r="E320">
        <f>EXP(dataset!G320)</f>
        <v>1.8250999999999999</v>
      </c>
      <c r="F320">
        <f>1000*EXP(dataset!M320)</f>
        <v>20199.306216260851</v>
      </c>
      <c r="G320">
        <f>EXP(dataset!L320)</f>
        <v>0.35318478456787189</v>
      </c>
      <c r="H320">
        <f>EXP(dataset!J320)</f>
        <v>0.12033064242465732</v>
      </c>
    </row>
    <row r="321" spans="1:8" x14ac:dyDescent="0.25">
      <c r="A321" s="11">
        <f>dataset!A321</f>
        <v>32</v>
      </c>
      <c r="B321" s="11">
        <f>dataset!B321</f>
        <v>2019</v>
      </c>
      <c r="C321">
        <f>EXP(dataset!C321)</f>
        <v>0.23208394610130254</v>
      </c>
      <c r="D321">
        <f>EXP(dataset!D321)</f>
        <v>2.1920000000000002</v>
      </c>
      <c r="E321">
        <f>EXP(dataset!G321)</f>
        <v>1.7644</v>
      </c>
      <c r="F321">
        <f>1000*EXP(dataset!M321)</f>
        <v>19203.027900787569</v>
      </c>
      <c r="G321">
        <f>EXP(dataset!L321)</f>
        <v>0.360620108742986</v>
      </c>
      <c r="H321">
        <f>EXP(dataset!J321)</f>
        <v>0.23689547484851875</v>
      </c>
    </row>
    <row r="322" spans="1:8" x14ac:dyDescent="0.25">
      <c r="A322" s="11">
        <f>dataset!A322</f>
        <v>32</v>
      </c>
      <c r="B322" s="11">
        <f>dataset!B322</f>
        <v>2020</v>
      </c>
      <c r="C322">
        <f>EXP(dataset!C322)</f>
        <v>0.22250434787743847</v>
      </c>
      <c r="D322">
        <f>EXP(dataset!D322)</f>
        <v>1.9750000000000001</v>
      </c>
      <c r="E322">
        <f>EXP(dataset!G322)</f>
        <v>1.6880999999999999</v>
      </c>
      <c r="F322">
        <f>1000*EXP(dataset!M322)</f>
        <v>17977.058141849553</v>
      </c>
      <c r="G322">
        <f>EXP(dataset!L322)</f>
        <v>0.36694609222519808</v>
      </c>
      <c r="H322">
        <f>EXP(dataset!J322)</f>
        <v>0.4183017343282025</v>
      </c>
    </row>
    <row r="323" spans="1:8" x14ac:dyDescent="0.25">
      <c r="A323" s="11">
        <f>dataset!A323</f>
        <v>32</v>
      </c>
      <c r="B323" s="11">
        <f>dataset!B323</f>
        <v>2021</v>
      </c>
      <c r="C323">
        <f>EXP(dataset!C323)</f>
        <v>0.25328694990979683</v>
      </c>
      <c r="D323">
        <f>EXP(dataset!D323)</f>
        <v>2.4994000000000001</v>
      </c>
      <c r="E323">
        <f>EXP(dataset!G323)</f>
        <v>2.1234000000000002</v>
      </c>
      <c r="F323">
        <f>1000*EXP(dataset!M323)</f>
        <v>21170.979545445691</v>
      </c>
      <c r="G323">
        <f>EXP(dataset!L323)</f>
        <v>0.37390580716892841</v>
      </c>
      <c r="H323">
        <f>EXP(dataset!J323)</f>
        <v>0.85748889864641864</v>
      </c>
    </row>
    <row r="324" spans="1:8" x14ac:dyDescent="0.25">
      <c r="A324" s="11">
        <f>dataset!A324</f>
        <v>32</v>
      </c>
      <c r="B324" s="11">
        <f>dataset!B324</f>
        <v>2022</v>
      </c>
      <c r="C324">
        <f>EXP(dataset!C324)</f>
        <v>0.24462455470453007</v>
      </c>
      <c r="D324">
        <f>EXP(dataset!D324)</f>
        <v>2.508</v>
      </c>
      <c r="E324">
        <f>EXP(dataset!G324)</f>
        <v>2.0880000000000001</v>
      </c>
      <c r="F324">
        <f>1000*EXP(dataset!M324)</f>
        <v>19103.854798213848</v>
      </c>
      <c r="G324">
        <f>EXP(dataset!L324)</f>
        <v>0.3858327645948359</v>
      </c>
      <c r="H324">
        <f>EXP(dataset!J324)</f>
        <v>1.2298868591712613</v>
      </c>
    </row>
    <row r="325" spans="1:8" x14ac:dyDescent="0.25">
      <c r="A325" s="11">
        <f>dataset!A325</f>
        <v>32</v>
      </c>
      <c r="B325" s="11">
        <f>dataset!B325</f>
        <v>2023</v>
      </c>
      <c r="C325">
        <f>EXP(dataset!C325)</f>
        <v>0.24415963410561697</v>
      </c>
      <c r="D325">
        <f>EXP(dataset!D325)</f>
        <v>2.1617999999999999</v>
      </c>
      <c r="E325">
        <f>EXP(dataset!G325)</f>
        <v>1.6715</v>
      </c>
      <c r="F325">
        <f>1000*EXP(dataset!M325)</f>
        <v>20881.468432506408</v>
      </c>
      <c r="G325">
        <f>EXP(dataset!L325)</f>
        <v>0.40015840300177091</v>
      </c>
      <c r="H325">
        <f>EXP(dataset!J325)</f>
        <v>2.2336575710695952</v>
      </c>
    </row>
    <row r="326" spans="1:8" x14ac:dyDescent="0.25">
      <c r="A326" s="11">
        <f>dataset!A326</f>
        <v>33</v>
      </c>
      <c r="B326" s="11">
        <f>dataset!B326</f>
        <v>2006</v>
      </c>
      <c r="C326">
        <f>EXP(dataset!C326)</f>
        <v>0.10672361345661004</v>
      </c>
      <c r="D326">
        <f>EXP(dataset!D326)</f>
        <v>2.56</v>
      </c>
      <c r="E326">
        <f>EXP(dataset!G326)</f>
        <v>1.88</v>
      </c>
      <c r="F326">
        <f>1000*EXP(dataset!M326)</f>
        <v>25948.111505540506</v>
      </c>
      <c r="G326">
        <f>EXP(dataset!L326)</f>
        <v>0.18164373860987079</v>
      </c>
      <c r="H326">
        <f>EXP(dataset!J326)</f>
        <v>9.9999999999999805E-6</v>
      </c>
    </row>
    <row r="327" spans="1:8" x14ac:dyDescent="0.25">
      <c r="A327" s="11">
        <f>dataset!A327</f>
        <v>33</v>
      </c>
      <c r="B327" s="11">
        <f>dataset!B327</f>
        <v>2007</v>
      </c>
      <c r="C327">
        <f>EXP(dataset!C327)</f>
        <v>0.10403686737217262</v>
      </c>
      <c r="D327">
        <f>EXP(dataset!D327)</f>
        <v>2.4220000000000002</v>
      </c>
      <c r="E327">
        <f>EXP(dataset!G327)</f>
        <v>1.6274</v>
      </c>
      <c r="F327">
        <f>1000*EXP(dataset!M327)</f>
        <v>26066.934141604648</v>
      </c>
      <c r="G327">
        <f>EXP(dataset!L327)</f>
        <v>0.19263740547600533</v>
      </c>
      <c r="H327">
        <f>EXP(dataset!J327)</f>
        <v>9.9999999999999805E-6</v>
      </c>
    </row>
    <row r="328" spans="1:8" x14ac:dyDescent="0.25">
      <c r="A328" s="11">
        <f>dataset!A328</f>
        <v>33</v>
      </c>
      <c r="B328" s="11">
        <f>dataset!B328</f>
        <v>2008</v>
      </c>
      <c r="C328">
        <f>EXP(dataset!C328)</f>
        <v>0.10183925240616361</v>
      </c>
      <c r="D328">
        <f>EXP(dataset!D328)</f>
        <v>2.3050999999999999</v>
      </c>
      <c r="E328">
        <f>EXP(dataset!G328)</f>
        <v>1.5186999999999999</v>
      </c>
      <c r="F328">
        <f>1000*EXP(dataset!M328)</f>
        <v>27730.362316660874</v>
      </c>
      <c r="G328">
        <f>EXP(dataset!L328)</f>
        <v>0.20502928297628295</v>
      </c>
      <c r="H328">
        <f>EXP(dataset!J328)</f>
        <v>9.9999999999999805E-6</v>
      </c>
    </row>
    <row r="329" spans="1:8" x14ac:dyDescent="0.25">
      <c r="A329" s="11">
        <f>dataset!A329</f>
        <v>33</v>
      </c>
      <c r="B329" s="11">
        <f>dataset!B329</f>
        <v>2009</v>
      </c>
      <c r="C329">
        <f>EXP(dataset!C329)</f>
        <v>0.10223902682432799</v>
      </c>
      <c r="D329">
        <f>EXP(dataset!D329)</f>
        <v>2.2271999999999998</v>
      </c>
      <c r="E329">
        <f>EXP(dataset!G329)</f>
        <v>1.4819</v>
      </c>
      <c r="F329">
        <f>1000*EXP(dataset!M329)</f>
        <v>26522.770284806225</v>
      </c>
      <c r="G329">
        <f>EXP(dataset!L329)</f>
        <v>0.21763751614650673</v>
      </c>
      <c r="H329">
        <f>EXP(dataset!J329)</f>
        <v>6.2459288255174158E-5</v>
      </c>
    </row>
    <row r="330" spans="1:8" x14ac:dyDescent="0.25">
      <c r="A330" s="11">
        <f>dataset!A330</f>
        <v>33</v>
      </c>
      <c r="B330" s="11">
        <f>dataset!B330</f>
        <v>2010</v>
      </c>
      <c r="C330">
        <f>EXP(dataset!C330)</f>
        <v>0.11625664926320335</v>
      </c>
      <c r="D330">
        <f>EXP(dataset!D330)</f>
        <v>2.1684000000000001</v>
      </c>
      <c r="E330">
        <f>EXP(dataset!G330)</f>
        <v>1.5301</v>
      </c>
      <c r="F330">
        <f>1000*EXP(dataset!M330)</f>
        <v>28008.379575226652</v>
      </c>
      <c r="G330">
        <f>EXP(dataset!L330)</f>
        <v>0.23338196291591704</v>
      </c>
      <c r="H330">
        <f>EXP(dataset!J330)</f>
        <v>1.8678142849680004E-4</v>
      </c>
    </row>
    <row r="331" spans="1:8" x14ac:dyDescent="0.25">
      <c r="A331" s="11">
        <f>dataset!A331</f>
        <v>33</v>
      </c>
      <c r="B331" s="11">
        <f>dataset!B331</f>
        <v>2011</v>
      </c>
      <c r="C331">
        <f>EXP(dataset!C331)</f>
        <v>0.14150830855057114</v>
      </c>
      <c r="D331">
        <f>EXP(dataset!D331)</f>
        <v>2.1743000000000001</v>
      </c>
      <c r="E331">
        <f>EXP(dataset!G331)</f>
        <v>1.7210000000000001</v>
      </c>
      <c r="F331">
        <f>1000*EXP(dataset!M331)</f>
        <v>29379.885507306732</v>
      </c>
      <c r="G331">
        <f>EXP(dataset!L331)</f>
        <v>0.2496454655147953</v>
      </c>
      <c r="H331">
        <f>EXP(dataset!J331)</f>
        <v>9.3094394364480015E-4</v>
      </c>
    </row>
    <row r="332" spans="1:8" x14ac:dyDescent="0.25">
      <c r="A332" s="11">
        <f>dataset!A332</f>
        <v>33</v>
      </c>
      <c r="B332" s="11">
        <f>dataset!B332</f>
        <v>2012</v>
      </c>
      <c r="C332">
        <f>EXP(dataset!C332)</f>
        <v>0.15221512916504559</v>
      </c>
      <c r="D332">
        <f>EXP(dataset!D332)</f>
        <v>2.0689000000000002</v>
      </c>
      <c r="E332">
        <f>EXP(dataset!G332)</f>
        <v>1.6188</v>
      </c>
      <c r="F332">
        <f>1000*EXP(dataset!M332)</f>
        <v>30291.997408289466</v>
      </c>
      <c r="G332">
        <f>EXP(dataset!L332)</f>
        <v>0.26567956545860438</v>
      </c>
      <c r="H332">
        <f>EXP(dataset!J332)</f>
        <v>1.4170095983917004E-3</v>
      </c>
    </row>
    <row r="333" spans="1:8" x14ac:dyDescent="0.25">
      <c r="A333" s="11">
        <f>dataset!A333</f>
        <v>33</v>
      </c>
      <c r="B333" s="11">
        <f>dataset!B333</f>
        <v>2013</v>
      </c>
      <c r="C333">
        <f>EXP(dataset!C333)</f>
        <v>0.15986270356014803</v>
      </c>
      <c r="D333">
        <f>EXP(dataset!D333)</f>
        <v>2.0562999999999998</v>
      </c>
      <c r="E333">
        <f>EXP(dataset!G333)</f>
        <v>1.5696000000000001</v>
      </c>
      <c r="F333">
        <f>1000*EXP(dataset!M333)</f>
        <v>30532.625447000119</v>
      </c>
      <c r="G333">
        <f>EXP(dataset!L333)</f>
        <v>0.2802799700583638</v>
      </c>
      <c r="H333">
        <f>EXP(dataset!J333)</f>
        <v>3.2988826134774008E-3</v>
      </c>
    </row>
    <row r="334" spans="1:8" x14ac:dyDescent="0.25">
      <c r="A334" s="11">
        <f>dataset!A334</f>
        <v>33</v>
      </c>
      <c r="B334" s="11">
        <f>dataset!B334</f>
        <v>2014</v>
      </c>
      <c r="C334">
        <f>EXP(dataset!C334)</f>
        <v>0.17380373682968991</v>
      </c>
      <c r="D334">
        <f>EXP(dataset!D334)</f>
        <v>2.0160999999999998</v>
      </c>
      <c r="E334">
        <f>EXP(dataset!G334)</f>
        <v>1.5781000000000001</v>
      </c>
      <c r="F334">
        <f>1000*EXP(dataset!M334)</f>
        <v>30073.201780432046</v>
      </c>
      <c r="G334">
        <f>EXP(dataset!L334)</f>
        <v>0.29469977625531307</v>
      </c>
      <c r="H334">
        <f>EXP(dataset!J334)</f>
        <v>6.3786462848059982E-3</v>
      </c>
    </row>
    <row r="335" spans="1:8" x14ac:dyDescent="0.25">
      <c r="A335" s="11">
        <f>dataset!A335</f>
        <v>33</v>
      </c>
      <c r="B335" s="11">
        <f>dataset!B335</f>
        <v>2015</v>
      </c>
      <c r="C335">
        <f>EXP(dataset!C335)</f>
        <v>0.16517034899768124</v>
      </c>
      <c r="D335">
        <f>EXP(dataset!D335)</f>
        <v>2.0661999999999998</v>
      </c>
      <c r="E335">
        <f>EXP(dataset!G335)</f>
        <v>1.5889</v>
      </c>
      <c r="F335">
        <f>1000*EXP(dataset!M335)</f>
        <v>27313.088858541851</v>
      </c>
      <c r="G335">
        <f>EXP(dataset!L335)</f>
        <v>0.30526559961484051</v>
      </c>
      <c r="H335">
        <f>EXP(dataset!J335)</f>
        <v>9.0030080923145031E-3</v>
      </c>
    </row>
    <row r="336" spans="1:8" x14ac:dyDescent="0.25">
      <c r="A336" s="11">
        <f>dataset!A336</f>
        <v>33</v>
      </c>
      <c r="B336" s="11">
        <f>dataset!B336</f>
        <v>2016</v>
      </c>
      <c r="C336">
        <f>EXP(dataset!C336)</f>
        <v>0.16139120975984836</v>
      </c>
      <c r="D336">
        <f>EXP(dataset!D336)</f>
        <v>2.1465000000000001</v>
      </c>
      <c r="E336">
        <f>EXP(dataset!G336)</f>
        <v>1.7742</v>
      </c>
      <c r="F336">
        <f>1000*EXP(dataset!M336)</f>
        <v>24420.560514903955</v>
      </c>
      <c r="G336">
        <f>EXP(dataset!L336)</f>
        <v>0.31222086131783139</v>
      </c>
      <c r="H336">
        <f>EXP(dataset!J336)</f>
        <v>1.1901902356792997E-2</v>
      </c>
    </row>
    <row r="337" spans="1:8" x14ac:dyDescent="0.25">
      <c r="A337" s="11">
        <f>dataset!A337</f>
        <v>33</v>
      </c>
      <c r="B337" s="11">
        <f>dataset!B337</f>
        <v>2017</v>
      </c>
      <c r="C337">
        <f>EXP(dataset!C337)</f>
        <v>0.15089725339309457</v>
      </c>
      <c r="D337">
        <f>EXP(dataset!D337)</f>
        <v>2.1861000000000002</v>
      </c>
      <c r="E337">
        <f>EXP(dataset!G337)</f>
        <v>1.7605999999999999</v>
      </c>
      <c r="F337">
        <f>1000*EXP(dataset!M337)</f>
        <v>24580.946039728802</v>
      </c>
      <c r="G337">
        <f>EXP(dataset!L337)</f>
        <v>0.3181605358612104</v>
      </c>
      <c r="H337">
        <f>EXP(dataset!J337)</f>
        <v>2.2489442522607195E-2</v>
      </c>
    </row>
    <row r="338" spans="1:8" x14ac:dyDescent="0.25">
      <c r="A338" s="11">
        <f>dataset!A338</f>
        <v>33</v>
      </c>
      <c r="B338" s="11">
        <f>dataset!B338</f>
        <v>2018</v>
      </c>
      <c r="C338">
        <f>EXP(dataset!C338)</f>
        <v>0.11664380511376478</v>
      </c>
      <c r="D338">
        <f>EXP(dataset!D338)</f>
        <v>2.4864000000000002</v>
      </c>
      <c r="E338">
        <f>EXP(dataset!G338)</f>
        <v>1.8097000000000001</v>
      </c>
      <c r="F338">
        <f>1000*EXP(dataset!M338)</f>
        <v>25896.96213076837</v>
      </c>
      <c r="G338">
        <f>EXP(dataset!L338)</f>
        <v>0.31823471616483939</v>
      </c>
      <c r="H338">
        <f>EXP(dataset!J338)</f>
        <v>3.5780969186408287E-2</v>
      </c>
    </row>
    <row r="339" spans="1:8" x14ac:dyDescent="0.25">
      <c r="A339" s="11">
        <f>dataset!A339</f>
        <v>33</v>
      </c>
      <c r="B339" s="11">
        <f>dataset!B339</f>
        <v>2019</v>
      </c>
      <c r="C339">
        <f>EXP(dataset!C339)</f>
        <v>0.11776343194414252</v>
      </c>
      <c r="D339">
        <f>EXP(dataset!D339)</f>
        <v>2.3885999999999998</v>
      </c>
      <c r="E339">
        <f>EXP(dataset!G339)</f>
        <v>1.8824000000000001</v>
      </c>
      <c r="F339">
        <f>1000*EXP(dataset!M339)</f>
        <v>25381.920427226418</v>
      </c>
      <c r="G339">
        <f>EXP(dataset!L339)</f>
        <v>0.32621451458021017</v>
      </c>
      <c r="H339">
        <f>EXP(dataset!J339)</f>
        <v>7.2864416638965993E-2</v>
      </c>
    </row>
    <row r="340" spans="1:8" x14ac:dyDescent="0.25">
      <c r="A340" s="11">
        <f>dataset!A340</f>
        <v>33</v>
      </c>
      <c r="B340" s="11">
        <f>dataset!B340</f>
        <v>2020</v>
      </c>
      <c r="C340">
        <f>EXP(dataset!C340)</f>
        <v>0.10681275091501073</v>
      </c>
      <c r="D340">
        <f>EXP(dataset!D340)</f>
        <v>2.2383000000000002</v>
      </c>
      <c r="E340">
        <f>EXP(dataset!G340)</f>
        <v>1.8291999999999999</v>
      </c>
      <c r="F340">
        <f>1000*EXP(dataset!M340)</f>
        <v>22906.723932648671</v>
      </c>
      <c r="G340">
        <f>EXP(dataset!L340)</f>
        <v>0.33011456917807358</v>
      </c>
      <c r="H340">
        <f>EXP(dataset!J340)</f>
        <v>0.1247251195987789</v>
      </c>
    </row>
    <row r="341" spans="1:8" x14ac:dyDescent="0.25">
      <c r="A341" s="11">
        <f>dataset!A341</f>
        <v>33</v>
      </c>
      <c r="B341" s="11">
        <f>dataset!B341</f>
        <v>2021</v>
      </c>
      <c r="C341">
        <f>EXP(dataset!C341)</f>
        <v>0.10607070155901939</v>
      </c>
      <c r="D341">
        <f>EXP(dataset!D341)</f>
        <v>2.6917</v>
      </c>
      <c r="E341">
        <f>EXP(dataset!G341)</f>
        <v>2.2473000000000001</v>
      </c>
      <c r="F341">
        <f>1000*EXP(dataset!M341)</f>
        <v>25374.847717926255</v>
      </c>
      <c r="G341">
        <f>EXP(dataset!L341)</f>
        <v>0.33627799570403144</v>
      </c>
      <c r="H341">
        <f>EXP(dataset!J341)</f>
        <v>0.2418207412564452</v>
      </c>
    </row>
    <row r="342" spans="1:8" x14ac:dyDescent="0.25">
      <c r="A342" s="11">
        <f>dataset!A342</f>
        <v>33</v>
      </c>
      <c r="B342" s="11">
        <f>dataset!B342</f>
        <v>2022</v>
      </c>
      <c r="C342">
        <f>EXP(dataset!C342)</f>
        <v>0.11986880981420001</v>
      </c>
      <c r="D342">
        <f>EXP(dataset!D342)</f>
        <v>2.5928</v>
      </c>
      <c r="E342">
        <f>EXP(dataset!G342)</f>
        <v>2.1364000000000001</v>
      </c>
      <c r="F342">
        <f>1000*EXP(dataset!M342)</f>
        <v>28400.193897224424</v>
      </c>
      <c r="G342">
        <f>EXP(dataset!L342)</f>
        <v>0.34270362460258891</v>
      </c>
      <c r="H342">
        <f>EXP(dataset!J342)</f>
        <v>0.43015804127833668</v>
      </c>
    </row>
    <row r="343" spans="1:8" x14ac:dyDescent="0.25">
      <c r="A343" s="11">
        <f>dataset!A343</f>
        <v>33</v>
      </c>
      <c r="B343" s="11">
        <f>dataset!B343</f>
        <v>2023</v>
      </c>
      <c r="C343">
        <f>EXP(dataset!C343)</f>
        <v>0.13937002633343684</v>
      </c>
      <c r="D343">
        <f>EXP(dataset!D343)</f>
        <v>2.1193</v>
      </c>
      <c r="E343">
        <f>EXP(dataset!G343)</f>
        <v>1.6329</v>
      </c>
      <c r="F343">
        <f>1000*EXP(dataset!M343)</f>
        <v>27460.0311719247</v>
      </c>
      <c r="G343">
        <f>EXP(dataset!L343)</f>
        <v>0.35088475870235447</v>
      </c>
      <c r="H343">
        <f>EXP(dataset!J343)</f>
        <v>0.69104728995566655</v>
      </c>
    </row>
    <row r="344" spans="1:8" x14ac:dyDescent="0.25">
      <c r="A344" s="11">
        <f>dataset!A344</f>
        <v>35</v>
      </c>
      <c r="B344" s="11">
        <f>dataset!B344</f>
        <v>2006</v>
      </c>
      <c r="C344">
        <f>EXP(dataset!C344)</f>
        <v>0.17151467173866619</v>
      </c>
      <c r="D344">
        <f>EXP(dataset!D344)</f>
        <v>2.44</v>
      </c>
      <c r="E344">
        <f>EXP(dataset!G344)</f>
        <v>1.42</v>
      </c>
      <c r="F344">
        <f>1000*EXP(dataset!M344)</f>
        <v>27055.374744443732</v>
      </c>
      <c r="G344">
        <f>EXP(dataset!L344)</f>
        <v>0.30181779236975775</v>
      </c>
      <c r="H344">
        <f>EXP(dataset!J344)</f>
        <v>9.9999999999999805E-6</v>
      </c>
    </row>
    <row r="345" spans="1:8" x14ac:dyDescent="0.25">
      <c r="A345" s="11">
        <f>dataset!A345</f>
        <v>35</v>
      </c>
      <c r="B345" s="11">
        <f>dataset!B345</f>
        <v>2007</v>
      </c>
      <c r="C345">
        <f>EXP(dataset!C345)</f>
        <v>0.17434243002200675</v>
      </c>
      <c r="D345">
        <f>EXP(dataset!D345)</f>
        <v>2.3071000000000002</v>
      </c>
      <c r="E345">
        <f>EXP(dataset!G345)</f>
        <v>1.2158</v>
      </c>
      <c r="F345">
        <f>1000*EXP(dataset!M345)</f>
        <v>28859.892439316809</v>
      </c>
      <c r="G345">
        <f>EXP(dataset!L345)</f>
        <v>0.32749724214393022</v>
      </c>
      <c r="H345">
        <f>EXP(dataset!J345)</f>
        <v>9.9999999999999805E-6</v>
      </c>
    </row>
    <row r="346" spans="1:8" x14ac:dyDescent="0.25">
      <c r="A346" s="11">
        <f>dataset!A346</f>
        <v>35</v>
      </c>
      <c r="B346" s="11">
        <f>dataset!B346</f>
        <v>2008</v>
      </c>
      <c r="C346">
        <f>EXP(dataset!C346)</f>
        <v>0.17117844354326939</v>
      </c>
      <c r="D346">
        <f>EXP(dataset!D346)</f>
        <v>2.1695000000000002</v>
      </c>
      <c r="E346">
        <f>EXP(dataset!G346)</f>
        <v>1.1479999999999999</v>
      </c>
      <c r="F346">
        <f>1000*EXP(dataset!M346)</f>
        <v>29576.736272750208</v>
      </c>
      <c r="G346">
        <f>EXP(dataset!L346)</f>
        <v>0.35486700141067279</v>
      </c>
      <c r="H346">
        <f>EXP(dataset!J346)</f>
        <v>9.9999999999999805E-6</v>
      </c>
    </row>
    <row r="347" spans="1:8" x14ac:dyDescent="0.25">
      <c r="A347" s="11">
        <f>dataset!A347</f>
        <v>35</v>
      </c>
      <c r="B347" s="11">
        <f>dataset!B347</f>
        <v>2009</v>
      </c>
      <c r="C347">
        <f>EXP(dataset!C347)</f>
        <v>0.16182032449756767</v>
      </c>
      <c r="D347">
        <f>EXP(dataset!D347)</f>
        <v>2.0798999999999999</v>
      </c>
      <c r="E347">
        <f>EXP(dataset!G347)</f>
        <v>1.1526000000000001</v>
      </c>
      <c r="F347">
        <f>1000*EXP(dataset!M347)</f>
        <v>29529.083720607843</v>
      </c>
      <c r="G347">
        <f>EXP(dataset!L347)</f>
        <v>0.37659100891529701</v>
      </c>
      <c r="H347">
        <f>EXP(dataset!J347)</f>
        <v>4.8327810632500172E-5</v>
      </c>
    </row>
    <row r="348" spans="1:8" x14ac:dyDescent="0.25">
      <c r="A348" s="11">
        <f>dataset!A348</f>
        <v>35</v>
      </c>
      <c r="B348" s="11">
        <f>dataset!B348</f>
        <v>2010</v>
      </c>
      <c r="C348">
        <f>EXP(dataset!C348)</f>
        <v>0.17924857944718661</v>
      </c>
      <c r="D348">
        <f>EXP(dataset!D348)</f>
        <v>2.0129000000000001</v>
      </c>
      <c r="E348">
        <f>EXP(dataset!G348)</f>
        <v>1.2438</v>
      </c>
      <c r="F348">
        <f>1000*EXP(dataset!M348)</f>
        <v>31208.315075998642</v>
      </c>
      <c r="G348">
        <f>EXP(dataset!L348)</f>
        <v>0.4015227448746686</v>
      </c>
      <c r="H348">
        <f>EXP(dataset!J348)</f>
        <v>7.2314231368419038E-5</v>
      </c>
    </row>
    <row r="349" spans="1:8" x14ac:dyDescent="0.25">
      <c r="A349" s="11">
        <f>dataset!A349</f>
        <v>35</v>
      </c>
      <c r="B349" s="11">
        <f>dataset!B349</f>
        <v>2011</v>
      </c>
      <c r="C349">
        <f>EXP(dataset!C349)</f>
        <v>0.22751903242686655</v>
      </c>
      <c r="D349">
        <f>EXP(dataset!D349)</f>
        <v>2.0284</v>
      </c>
      <c r="E349">
        <f>EXP(dataset!G349)</f>
        <v>1.4368000000000001</v>
      </c>
      <c r="F349">
        <f>1000*EXP(dataset!M349)</f>
        <v>31892.997731486113</v>
      </c>
      <c r="G349">
        <f>EXP(dataset!L349)</f>
        <v>0.42589579644997339</v>
      </c>
      <c r="H349">
        <f>EXP(dataset!J349)</f>
        <v>4.0877980143010008E-4</v>
      </c>
    </row>
    <row r="350" spans="1:8" x14ac:dyDescent="0.25">
      <c r="A350" s="11">
        <f>dataset!A350</f>
        <v>35</v>
      </c>
      <c r="B350" s="11">
        <f>dataset!B350</f>
        <v>2012</v>
      </c>
      <c r="C350">
        <f>EXP(dataset!C350)</f>
        <v>0.24595572672957303</v>
      </c>
      <c r="D350">
        <f>EXP(dataset!D350)</f>
        <v>1.9164000000000001</v>
      </c>
      <c r="E350">
        <f>EXP(dataset!G350)</f>
        <v>1.3139000000000001</v>
      </c>
      <c r="F350">
        <f>1000*EXP(dataset!M350)</f>
        <v>31822.241858891968</v>
      </c>
      <c r="G350">
        <f>EXP(dataset!L350)</f>
        <v>0.44609317929390069</v>
      </c>
      <c r="H350">
        <f>EXP(dataset!J350)</f>
        <v>5.7277569895990024E-4</v>
      </c>
    </row>
    <row r="351" spans="1:8" x14ac:dyDescent="0.25">
      <c r="A351" s="11">
        <f>dataset!A351</f>
        <v>35</v>
      </c>
      <c r="B351" s="11">
        <f>dataset!B351</f>
        <v>2013</v>
      </c>
      <c r="C351">
        <f>EXP(dataset!C351)</f>
        <v>0.23994369529505175</v>
      </c>
      <c r="D351">
        <f>EXP(dataset!D351)</f>
        <v>1.8712</v>
      </c>
      <c r="E351">
        <f>EXP(dataset!G351)</f>
        <v>1.2543</v>
      </c>
      <c r="F351">
        <f>1000*EXP(dataset!M351)</f>
        <v>31252.111353150391</v>
      </c>
      <c r="G351">
        <f>EXP(dataset!L351)</f>
        <v>0.44938129225924639</v>
      </c>
      <c r="H351">
        <f>EXP(dataset!J351)</f>
        <v>1.2596284567840004E-3</v>
      </c>
    </row>
    <row r="352" spans="1:8" x14ac:dyDescent="0.25">
      <c r="A352" s="11">
        <f>dataset!A352</f>
        <v>35</v>
      </c>
      <c r="B352" s="11">
        <f>dataset!B352</f>
        <v>2014</v>
      </c>
      <c r="C352">
        <f>EXP(dataset!C352)</f>
        <v>0.24638834899379813</v>
      </c>
      <c r="D352">
        <f>EXP(dataset!D352)</f>
        <v>1.8486</v>
      </c>
      <c r="E352">
        <f>EXP(dataset!G352)</f>
        <v>1.2366999999999999</v>
      </c>
      <c r="F352">
        <f>1000*EXP(dataset!M352)</f>
        <v>31128.538360968269</v>
      </c>
      <c r="G352">
        <f>EXP(dataset!L352)</f>
        <v>0.46447361871283999</v>
      </c>
      <c r="H352">
        <f>EXP(dataset!J352)</f>
        <v>2.4752866472773005E-3</v>
      </c>
    </row>
    <row r="353" spans="1:8" x14ac:dyDescent="0.25">
      <c r="A353" s="11">
        <f>dataset!A353</f>
        <v>35</v>
      </c>
      <c r="B353" s="11">
        <f>dataset!B353</f>
        <v>2015</v>
      </c>
      <c r="C353">
        <f>EXP(dataset!C353)</f>
        <v>0.21255586793765016</v>
      </c>
      <c r="D353">
        <f>EXP(dataset!D353)</f>
        <v>1.8567</v>
      </c>
      <c r="E353">
        <f>EXP(dataset!G353)</f>
        <v>1.2222999999999999</v>
      </c>
      <c r="F353">
        <f>1000*EXP(dataset!M353)</f>
        <v>29965.647128268087</v>
      </c>
      <c r="G353">
        <f>EXP(dataset!L353)</f>
        <v>0.4753380470399412</v>
      </c>
      <c r="H353">
        <f>EXP(dataset!J353)</f>
        <v>3.6939862174671014E-3</v>
      </c>
    </row>
    <row r="354" spans="1:8" x14ac:dyDescent="0.25">
      <c r="A354" s="11">
        <f>dataset!A354</f>
        <v>35</v>
      </c>
      <c r="B354" s="11">
        <f>dataset!B354</f>
        <v>2016</v>
      </c>
      <c r="C354">
        <f>EXP(dataset!C354)</f>
        <v>0.22325326612811405</v>
      </c>
      <c r="D354">
        <f>EXP(dataset!D354)</f>
        <v>1.9165000000000001</v>
      </c>
      <c r="E354">
        <f>EXP(dataset!G354)</f>
        <v>1.3580000000000001</v>
      </c>
      <c r="F354">
        <f>1000*EXP(dataset!M354)</f>
        <v>28901.988384409</v>
      </c>
      <c r="G354">
        <f>EXP(dataset!L354)</f>
        <v>0.48325826727907151</v>
      </c>
      <c r="H354">
        <f>EXP(dataset!J354)</f>
        <v>5.2290854515020992E-3</v>
      </c>
    </row>
    <row r="355" spans="1:8" x14ac:dyDescent="0.25">
      <c r="A355" s="11">
        <f>dataset!A355</f>
        <v>35</v>
      </c>
      <c r="B355" s="11">
        <f>dataset!B355</f>
        <v>2017</v>
      </c>
      <c r="C355">
        <f>EXP(dataset!C355)</f>
        <v>0.23222407025225433</v>
      </c>
      <c r="D355">
        <f>EXP(dataset!D355)</f>
        <v>1.9041999999999999</v>
      </c>
      <c r="E355">
        <f>EXP(dataset!G355)</f>
        <v>1.335</v>
      </c>
      <c r="F355">
        <f>1000*EXP(dataset!M355)</f>
        <v>28777.837314921835</v>
      </c>
      <c r="G355">
        <f>EXP(dataset!L355)</f>
        <v>0.49256323325143042</v>
      </c>
      <c r="H355">
        <f>EXP(dataset!J355)</f>
        <v>9.757208281758703E-3</v>
      </c>
    </row>
    <row r="356" spans="1:8" x14ac:dyDescent="0.25">
      <c r="A356" s="11">
        <f>dataset!A356</f>
        <v>35</v>
      </c>
      <c r="B356" s="11">
        <f>dataset!B356</f>
        <v>2018</v>
      </c>
      <c r="C356">
        <f>EXP(dataset!C356)</f>
        <v>0.18502172382771515</v>
      </c>
      <c r="D356">
        <f>EXP(dataset!D356)</f>
        <v>2.1480999999999999</v>
      </c>
      <c r="E356">
        <f>EXP(dataset!G356)</f>
        <v>1.3893</v>
      </c>
      <c r="F356">
        <f>1000*EXP(dataset!M356)</f>
        <v>28426.525984261028</v>
      </c>
      <c r="G356">
        <f>EXP(dataset!L356)</f>
        <v>0.50207011863430451</v>
      </c>
      <c r="H356">
        <f>EXP(dataset!J356)</f>
        <v>1.4778562239574494E-2</v>
      </c>
    </row>
    <row r="357" spans="1:8" x14ac:dyDescent="0.25">
      <c r="A357" s="11">
        <f>dataset!A357</f>
        <v>35</v>
      </c>
      <c r="B357" s="11">
        <f>dataset!B357</f>
        <v>2019</v>
      </c>
      <c r="C357">
        <f>EXP(dataset!C357)</f>
        <v>0.17308048191503275</v>
      </c>
      <c r="D357">
        <f>EXP(dataset!D357)</f>
        <v>2.0347</v>
      </c>
      <c r="E357">
        <f>EXP(dataset!G357)</f>
        <v>1.3319000000000001</v>
      </c>
      <c r="F357">
        <f>1000*EXP(dataset!M357)</f>
        <v>28734.449542822629</v>
      </c>
      <c r="G357">
        <f>EXP(dataset!L357)</f>
        <v>0.51310261238206389</v>
      </c>
      <c r="H357">
        <f>EXP(dataset!J357)</f>
        <v>3.1011095199292894E-2</v>
      </c>
    </row>
    <row r="358" spans="1:8" x14ac:dyDescent="0.25">
      <c r="A358" s="11">
        <f>dataset!A358</f>
        <v>35</v>
      </c>
      <c r="B358" s="11">
        <f>dataset!B358</f>
        <v>2020</v>
      </c>
      <c r="C358">
        <f>EXP(dataset!C358)</f>
        <v>0.15504503596973418</v>
      </c>
      <c r="D358">
        <f>EXP(dataset!D358)</f>
        <v>1.9232</v>
      </c>
      <c r="E358">
        <f>EXP(dataset!G358)</f>
        <v>1.3025</v>
      </c>
      <c r="F358">
        <f>1000*EXP(dataset!M358)</f>
        <v>27105.829394208395</v>
      </c>
      <c r="G358">
        <f>EXP(dataset!L358)</f>
        <v>0.51929856064247026</v>
      </c>
      <c r="H358">
        <f>EXP(dataset!J358)</f>
        <v>5.5369127915496183E-2</v>
      </c>
    </row>
    <row r="359" spans="1:8" x14ac:dyDescent="0.25">
      <c r="A359" s="11">
        <f>dataset!A359</f>
        <v>35</v>
      </c>
      <c r="B359" s="11">
        <f>dataset!B359</f>
        <v>2021</v>
      </c>
      <c r="C359">
        <f>EXP(dataset!C359)</f>
        <v>0.1896884377184124</v>
      </c>
      <c r="D359">
        <f>EXP(dataset!D359)</f>
        <v>2.3412999999999999</v>
      </c>
      <c r="E359">
        <f>EXP(dataset!G359)</f>
        <v>1.7687999999999999</v>
      </c>
      <c r="F359">
        <f>1000*EXP(dataset!M359)</f>
        <v>27215.277028742999</v>
      </c>
      <c r="G359">
        <f>EXP(dataset!L359)</f>
        <v>0.52349263433240301</v>
      </c>
      <c r="H359">
        <f>EXP(dataset!J359)</f>
        <v>9.7086479551216492E-2</v>
      </c>
    </row>
    <row r="360" spans="1:8" x14ac:dyDescent="0.25">
      <c r="A360" s="11">
        <f>dataset!A360</f>
        <v>35</v>
      </c>
      <c r="B360" s="11">
        <f>dataset!B360</f>
        <v>2022</v>
      </c>
      <c r="C360">
        <f>EXP(dataset!C360)</f>
        <v>0.21452149227556894</v>
      </c>
      <c r="D360">
        <f>EXP(dataset!D360)</f>
        <v>2.3746999999999998</v>
      </c>
      <c r="E360">
        <f>EXP(dataset!G360)</f>
        <v>1.7042999999999999</v>
      </c>
      <c r="F360">
        <f>1000*EXP(dataset!M360)</f>
        <v>28851.849873811163</v>
      </c>
      <c r="G360">
        <f>EXP(dataset!L360)</f>
        <v>0.53482206271276389</v>
      </c>
      <c r="H360">
        <f>EXP(dataset!J360)</f>
        <v>0.16360433030136556</v>
      </c>
    </row>
    <row r="361" spans="1:8" x14ac:dyDescent="0.25">
      <c r="A361" s="11">
        <f>dataset!A361</f>
        <v>35</v>
      </c>
      <c r="B361" s="11">
        <f>dataset!B361</f>
        <v>2023</v>
      </c>
      <c r="C361">
        <f>EXP(dataset!C361)</f>
        <v>0.22441739880604844</v>
      </c>
      <c r="D361">
        <f>EXP(dataset!D361)</f>
        <v>2.0691000000000002</v>
      </c>
      <c r="E361">
        <f>EXP(dataset!G361)</f>
        <v>1.3974</v>
      </c>
      <c r="F361">
        <f>1000*EXP(dataset!M361)</f>
        <v>30192.589434335008</v>
      </c>
      <c r="G361">
        <f>EXP(dataset!L361)</f>
        <v>0.54786157650264533</v>
      </c>
      <c r="H361">
        <f>EXP(dataset!J361)</f>
        <v>0.28444259155775936</v>
      </c>
    </row>
    <row r="362" spans="1:8" x14ac:dyDescent="0.25">
      <c r="A362" s="11">
        <f>dataset!A362</f>
        <v>41</v>
      </c>
      <c r="B362" s="11">
        <f>dataset!B362</f>
        <v>2006</v>
      </c>
      <c r="C362">
        <f>EXP(dataset!C362)</f>
        <v>0.15844291023201418</v>
      </c>
      <c r="D362">
        <f>EXP(dataset!D362)</f>
        <v>2.5</v>
      </c>
      <c r="E362">
        <f>EXP(dataset!G362)</f>
        <v>1.66</v>
      </c>
      <c r="F362">
        <f>1000*EXP(dataset!M362)</f>
        <v>17851.973473527189</v>
      </c>
      <c r="G362">
        <f>EXP(dataset!L362)</f>
        <v>0.27386275920641373</v>
      </c>
      <c r="H362">
        <f>EXP(dataset!J362)</f>
        <v>9.9999999999999805E-6</v>
      </c>
    </row>
    <row r="363" spans="1:8" x14ac:dyDescent="0.25">
      <c r="A363" s="11">
        <f>dataset!A363</f>
        <v>41</v>
      </c>
      <c r="B363" s="11">
        <f>dataset!B363</f>
        <v>2007</v>
      </c>
      <c r="C363">
        <f>EXP(dataset!C363)</f>
        <v>0.15628417963815402</v>
      </c>
      <c r="D363">
        <f>EXP(dataset!D363)</f>
        <v>2.3357999999999999</v>
      </c>
      <c r="E363">
        <f>EXP(dataset!G363)</f>
        <v>1.3785000000000001</v>
      </c>
      <c r="F363">
        <f>1000*EXP(dataset!M363)</f>
        <v>19935.587052709881</v>
      </c>
      <c r="G363">
        <f>EXP(dataset!L363)</f>
        <v>0.29624348851448207</v>
      </c>
      <c r="H363">
        <f>EXP(dataset!J363)</f>
        <v>9.9999999999999805E-6</v>
      </c>
    </row>
    <row r="364" spans="1:8" x14ac:dyDescent="0.25">
      <c r="A364" s="11">
        <f>dataset!A364</f>
        <v>41</v>
      </c>
      <c r="B364" s="11">
        <f>dataset!B364</f>
        <v>2008</v>
      </c>
      <c r="C364">
        <f>EXP(dataset!C364)</f>
        <v>0.16049462185265934</v>
      </c>
      <c r="D364">
        <f>EXP(dataset!D364)</f>
        <v>2.1785999999999999</v>
      </c>
      <c r="E364">
        <f>EXP(dataset!G364)</f>
        <v>1.2746</v>
      </c>
      <c r="F364">
        <f>1000*EXP(dataset!M364)</f>
        <v>20400.849182888549</v>
      </c>
      <c r="G364">
        <f>EXP(dataset!L364)</f>
        <v>0.32041163452412619</v>
      </c>
      <c r="H364">
        <f>EXP(dataset!J364)</f>
        <v>9.9999999999999805E-6</v>
      </c>
    </row>
    <row r="365" spans="1:8" x14ac:dyDescent="0.25">
      <c r="A365" s="11">
        <f>dataset!A365</f>
        <v>41</v>
      </c>
      <c r="B365" s="11">
        <f>dataset!B365</f>
        <v>2009</v>
      </c>
      <c r="C365">
        <f>EXP(dataset!C365)</f>
        <v>0.15010535691342339</v>
      </c>
      <c r="D365">
        <f>EXP(dataset!D365)</f>
        <v>2.1404999999999998</v>
      </c>
      <c r="E365">
        <f>EXP(dataset!G365)</f>
        <v>1.2739</v>
      </c>
      <c r="F365">
        <f>1000*EXP(dataset!M365)</f>
        <v>19954.832058729331</v>
      </c>
      <c r="G365">
        <f>EXP(dataset!L365)</f>
        <v>0.34206779985527175</v>
      </c>
      <c r="H365">
        <f>EXP(dataset!J365)</f>
        <v>9.3578222550910593E-5</v>
      </c>
    </row>
    <row r="366" spans="1:8" x14ac:dyDescent="0.25">
      <c r="A366" s="11">
        <f>dataset!A366</f>
        <v>41</v>
      </c>
      <c r="B366" s="11">
        <f>dataset!B366</f>
        <v>2010</v>
      </c>
      <c r="C366">
        <f>EXP(dataset!C366)</f>
        <v>0.17790472255804113</v>
      </c>
      <c r="D366">
        <f>EXP(dataset!D366)</f>
        <v>2.0701999999999998</v>
      </c>
      <c r="E366">
        <f>EXP(dataset!G366)</f>
        <v>1.3338000000000001</v>
      </c>
      <c r="F366">
        <f>1000*EXP(dataset!M366)</f>
        <v>21247.185898537817</v>
      </c>
      <c r="G366">
        <f>EXP(dataset!L366)</f>
        <v>0.37084606923967978</v>
      </c>
      <c r="H366">
        <f>EXP(dataset!J366)</f>
        <v>1.8869174166059999E-4</v>
      </c>
    </row>
    <row r="367" spans="1:8" x14ac:dyDescent="0.25">
      <c r="A367" s="11">
        <f>dataset!A367</f>
        <v>41</v>
      </c>
      <c r="B367" s="11">
        <f>dataset!B367</f>
        <v>2011</v>
      </c>
      <c r="C367">
        <f>EXP(dataset!C367)</f>
        <v>0.22858880255973221</v>
      </c>
      <c r="D367">
        <f>EXP(dataset!D367)</f>
        <v>2.0590999999999999</v>
      </c>
      <c r="E367">
        <f>EXP(dataset!G367)</f>
        <v>1.5136000000000001</v>
      </c>
      <c r="F367">
        <f>1000*EXP(dataset!M367)</f>
        <v>22580.67469980305</v>
      </c>
      <c r="G367">
        <f>EXP(dataset!L367)</f>
        <v>0.40103976761045501</v>
      </c>
      <c r="H367">
        <f>EXP(dataset!J367)</f>
        <v>1.1415146129565999E-3</v>
      </c>
    </row>
    <row r="368" spans="1:8" x14ac:dyDescent="0.25">
      <c r="A368" s="11">
        <f>dataset!A368</f>
        <v>41</v>
      </c>
      <c r="B368" s="11">
        <f>dataset!B368</f>
        <v>2012</v>
      </c>
      <c r="C368">
        <f>EXP(dataset!C368)</f>
        <v>0.26199058495871752</v>
      </c>
      <c r="D368">
        <f>EXP(dataset!D368)</f>
        <v>1.9527000000000001</v>
      </c>
      <c r="E368">
        <f>EXP(dataset!G368)</f>
        <v>1.4083000000000001</v>
      </c>
      <c r="F368">
        <f>1000*EXP(dataset!M368)</f>
        <v>23093.907208448294</v>
      </c>
      <c r="G368">
        <f>EXP(dataset!L368)</f>
        <v>0.42536748109594141</v>
      </c>
      <c r="H368">
        <f>EXP(dataset!J368)</f>
        <v>1.6071463179096006E-3</v>
      </c>
    </row>
    <row r="369" spans="1:8" x14ac:dyDescent="0.25">
      <c r="A369" s="11">
        <f>dataset!A369</f>
        <v>41</v>
      </c>
      <c r="B369" s="11">
        <f>dataset!B369</f>
        <v>2013</v>
      </c>
      <c r="C369">
        <f>EXP(dataset!C369)</f>
        <v>0.25030332990375498</v>
      </c>
      <c r="D369">
        <f>EXP(dataset!D369)</f>
        <v>1.9466000000000001</v>
      </c>
      <c r="E369">
        <f>EXP(dataset!G369)</f>
        <v>1.3366</v>
      </c>
      <c r="F369">
        <f>1000*EXP(dataset!M369)</f>
        <v>24124.24878387884</v>
      </c>
      <c r="G369">
        <f>EXP(dataset!L369)</f>
        <v>0.43378524050769879</v>
      </c>
      <c r="H369">
        <f>EXP(dataset!J369)</f>
        <v>3.8190619383647994E-3</v>
      </c>
    </row>
    <row r="370" spans="1:8" x14ac:dyDescent="0.25">
      <c r="A370" s="11">
        <f>dataset!A370</f>
        <v>41</v>
      </c>
      <c r="B370" s="11">
        <f>dataset!B370</f>
        <v>2014</v>
      </c>
      <c r="C370">
        <f>EXP(dataset!C370)</f>
        <v>0.26049037457456858</v>
      </c>
      <c r="D370">
        <f>EXP(dataset!D370)</f>
        <v>1.9001999999999999</v>
      </c>
      <c r="E370">
        <f>EXP(dataset!G370)</f>
        <v>1.3140000000000001</v>
      </c>
      <c r="F370">
        <f>1000*EXP(dataset!M370)</f>
        <v>23171.087538283857</v>
      </c>
      <c r="G370">
        <f>EXP(dataset!L370)</f>
        <v>0.4529912038703115</v>
      </c>
      <c r="H370">
        <f>EXP(dataset!J370)</f>
        <v>7.3093531204440013E-3</v>
      </c>
    </row>
    <row r="371" spans="1:8" x14ac:dyDescent="0.25">
      <c r="A371" s="11">
        <f>dataset!A371</f>
        <v>41</v>
      </c>
      <c r="B371" s="11">
        <f>dataset!B371</f>
        <v>2015</v>
      </c>
      <c r="C371">
        <f>EXP(dataset!C371)</f>
        <v>0.2321217711912674</v>
      </c>
      <c r="D371">
        <f>EXP(dataset!D371)</f>
        <v>1.9149</v>
      </c>
      <c r="E371">
        <f>EXP(dataset!G371)</f>
        <v>1.3096000000000001</v>
      </c>
      <c r="F371">
        <f>1000*EXP(dataset!M371)</f>
        <v>23158.443319243957</v>
      </c>
      <c r="G371">
        <f>EXP(dataset!L371)</f>
        <v>0.46452921602383868</v>
      </c>
      <c r="H371">
        <f>EXP(dataset!J371)</f>
        <v>1.1287270162961299E-2</v>
      </c>
    </row>
    <row r="372" spans="1:8" x14ac:dyDescent="0.25">
      <c r="A372" s="11">
        <f>dataset!A372</f>
        <v>41</v>
      </c>
      <c r="B372" s="11">
        <f>dataset!B372</f>
        <v>2016</v>
      </c>
      <c r="C372">
        <f>EXP(dataset!C372)</f>
        <v>0.25630568848107926</v>
      </c>
      <c r="D372">
        <f>EXP(dataset!D372)</f>
        <v>1.9877</v>
      </c>
      <c r="E372">
        <f>EXP(dataset!G372)</f>
        <v>1.4784999999999999</v>
      </c>
      <c r="F372">
        <f>1000*EXP(dataset!M372)</f>
        <v>22672.851366688854</v>
      </c>
      <c r="G372">
        <f>EXP(dataset!L372)</f>
        <v>0.47183208333926308</v>
      </c>
      <c r="H372">
        <f>EXP(dataset!J372)</f>
        <v>1.6277199823530198E-2</v>
      </c>
    </row>
    <row r="373" spans="1:8" x14ac:dyDescent="0.25">
      <c r="A373" s="11">
        <f>dataset!A373</f>
        <v>41</v>
      </c>
      <c r="B373" s="11">
        <f>dataset!B373</f>
        <v>2017</v>
      </c>
      <c r="C373">
        <f>EXP(dataset!C373)</f>
        <v>0.27077108146601875</v>
      </c>
      <c r="D373">
        <f>EXP(dataset!D373)</f>
        <v>1.968</v>
      </c>
      <c r="E373">
        <f>EXP(dataset!G373)</f>
        <v>1.4626999999999999</v>
      </c>
      <c r="F373">
        <f>1000*EXP(dataset!M373)</f>
        <v>22782.854288663828</v>
      </c>
      <c r="G373">
        <f>EXP(dataset!L373)</f>
        <v>0.47987358239969069</v>
      </c>
      <c r="H373">
        <f>EXP(dataset!J373)</f>
        <v>3.07396272307871E-2</v>
      </c>
    </row>
    <row r="374" spans="1:8" x14ac:dyDescent="0.25">
      <c r="A374" s="11">
        <f>dataset!A374</f>
        <v>41</v>
      </c>
      <c r="B374" s="11">
        <f>dataset!B374</f>
        <v>2018</v>
      </c>
      <c r="C374">
        <f>EXP(dataset!C374)</f>
        <v>0.22343713248209948</v>
      </c>
      <c r="D374">
        <f>EXP(dataset!D374)</f>
        <v>2.1890999999999998</v>
      </c>
      <c r="E374">
        <f>EXP(dataset!G374)</f>
        <v>1.5124</v>
      </c>
      <c r="F374">
        <f>1000*EXP(dataset!M374)</f>
        <v>22705.469618872685</v>
      </c>
      <c r="G374">
        <f>EXP(dataset!L374)</f>
        <v>0.49262728306624659</v>
      </c>
      <c r="H374">
        <f>EXP(dataset!J374)</f>
        <v>4.7405320868377294E-2</v>
      </c>
    </row>
    <row r="375" spans="1:8" x14ac:dyDescent="0.25">
      <c r="A375" s="11">
        <f>dataset!A375</f>
        <v>41</v>
      </c>
      <c r="B375" s="11">
        <f>dataset!B375</f>
        <v>2019</v>
      </c>
      <c r="C375">
        <f>EXP(dataset!C375)</f>
        <v>0.21995552633265975</v>
      </c>
      <c r="D375">
        <f>EXP(dataset!D375)</f>
        <v>2.0495000000000001</v>
      </c>
      <c r="E375">
        <f>EXP(dataset!G375)</f>
        <v>1.44</v>
      </c>
      <c r="F375">
        <f>1000*EXP(dataset!M375)</f>
        <v>22917.949842088783</v>
      </c>
      <c r="G375">
        <f>EXP(dataset!L375)</f>
        <v>0.50497268793297023</v>
      </c>
      <c r="H375">
        <f>EXP(dataset!J375)</f>
        <v>9.9353181055342368E-2</v>
      </c>
    </row>
    <row r="376" spans="1:8" x14ac:dyDescent="0.25">
      <c r="A376" s="11">
        <f>dataset!A376</f>
        <v>41</v>
      </c>
      <c r="B376" s="11">
        <f>dataset!B376</f>
        <v>2020</v>
      </c>
      <c r="C376">
        <f>EXP(dataset!C376)</f>
        <v>0.2163249268028383</v>
      </c>
      <c r="D376">
        <f>EXP(dataset!D376)</f>
        <v>1.8903000000000001</v>
      </c>
      <c r="E376">
        <f>EXP(dataset!G376)</f>
        <v>1.3966000000000001</v>
      </c>
      <c r="F376">
        <f>1000*EXP(dataset!M376)</f>
        <v>22357.458219780776</v>
      </c>
      <c r="G376">
        <f>EXP(dataset!L376)</f>
        <v>0.51424748455305447</v>
      </c>
      <c r="H376">
        <f>EXP(dataset!J376)</f>
        <v>0.18355729523028877</v>
      </c>
    </row>
    <row r="377" spans="1:8" x14ac:dyDescent="0.25">
      <c r="A377" s="11">
        <f>dataset!A377</f>
        <v>41</v>
      </c>
      <c r="B377" s="11">
        <f>dataset!B377</f>
        <v>2021</v>
      </c>
      <c r="C377">
        <f>EXP(dataset!C377)</f>
        <v>0.24127702094695719</v>
      </c>
      <c r="D377">
        <f>EXP(dataset!D377)</f>
        <v>2.3626999999999998</v>
      </c>
      <c r="E377">
        <f>EXP(dataset!G377)</f>
        <v>1.8713</v>
      </c>
      <c r="F377">
        <f>1000*EXP(dataset!M377)</f>
        <v>22136.287185841345</v>
      </c>
      <c r="G377">
        <f>EXP(dataset!L377)</f>
        <v>0.52402684927179033</v>
      </c>
      <c r="H377">
        <f>EXP(dataset!J377)</f>
        <v>0.31765510519350559</v>
      </c>
    </row>
    <row r="378" spans="1:8" x14ac:dyDescent="0.25">
      <c r="A378" s="11">
        <f>dataset!A378</f>
        <v>41</v>
      </c>
      <c r="B378" s="11">
        <f>dataset!B378</f>
        <v>2022</v>
      </c>
      <c r="C378">
        <f>EXP(dataset!C378)</f>
        <v>0.2746708337773951</v>
      </c>
      <c r="D378">
        <f>EXP(dataset!D378)</f>
        <v>2.4676</v>
      </c>
      <c r="E378">
        <f>EXP(dataset!G378)</f>
        <v>1.9021999999999999</v>
      </c>
      <c r="F378">
        <f>1000*EXP(dataset!M378)</f>
        <v>22785.738183514641</v>
      </c>
      <c r="G378">
        <f>EXP(dataset!L378)</f>
        <v>0.53537991516090899</v>
      </c>
      <c r="H378">
        <f>EXP(dataset!J378)</f>
        <v>0.51968168268220938</v>
      </c>
    </row>
    <row r="379" spans="1:8" x14ac:dyDescent="0.25">
      <c r="A379" s="11">
        <f>dataset!A379</f>
        <v>41</v>
      </c>
      <c r="B379" s="11">
        <f>dataset!B379</f>
        <v>2023</v>
      </c>
      <c r="C379">
        <f>EXP(dataset!C379)</f>
        <v>0.2914612505608975</v>
      </c>
      <c r="D379">
        <f>EXP(dataset!D379)</f>
        <v>2.1772</v>
      </c>
      <c r="E379">
        <f>EXP(dataset!G379)</f>
        <v>1.548</v>
      </c>
      <c r="F379">
        <f>1000*EXP(dataset!M379)</f>
        <v>23652.908994537098</v>
      </c>
      <c r="G379">
        <f>EXP(dataset!L379)</f>
        <v>0.54756160905244622</v>
      </c>
      <c r="H379">
        <f>EXP(dataset!J379)</f>
        <v>0.89631509730903702</v>
      </c>
    </row>
    <row r="380" spans="1:8" x14ac:dyDescent="0.25">
      <c r="A380" s="11">
        <f>dataset!A380</f>
        <v>42</v>
      </c>
      <c r="B380" s="11">
        <f>dataset!B380</f>
        <v>2006</v>
      </c>
      <c r="C380">
        <f>EXP(dataset!C380)</f>
        <v>0.24814744256130886</v>
      </c>
      <c r="D380">
        <f>EXP(dataset!D380)</f>
        <v>2.57</v>
      </c>
      <c r="E380">
        <f>EXP(dataset!G380)</f>
        <v>1.82</v>
      </c>
      <c r="F380">
        <f>1000*EXP(dataset!M380)</f>
        <v>20589.485255324278</v>
      </c>
      <c r="G380">
        <f>EXP(dataset!L380)</f>
        <v>0.32076949904552748</v>
      </c>
      <c r="H380">
        <f>EXP(dataset!J380)</f>
        <v>9.9999999999999805E-6</v>
      </c>
    </row>
    <row r="381" spans="1:8" x14ac:dyDescent="0.25">
      <c r="A381" s="11">
        <f>dataset!A381</f>
        <v>42</v>
      </c>
      <c r="B381" s="11">
        <f>dataset!B381</f>
        <v>2007</v>
      </c>
      <c r="C381">
        <f>EXP(dataset!C381)</f>
        <v>0.22297541090340625</v>
      </c>
      <c r="D381">
        <f>EXP(dataset!D381)</f>
        <v>2.4316</v>
      </c>
      <c r="E381">
        <f>EXP(dataset!G381)</f>
        <v>1.6369999999999998</v>
      </c>
      <c r="F381">
        <f>1000*EXP(dataset!M381)</f>
        <v>21861.145288011212</v>
      </c>
      <c r="G381">
        <f>EXP(dataset!L381)</f>
        <v>0.34748226020935058</v>
      </c>
      <c r="H381">
        <f>EXP(dataset!J381)</f>
        <v>9.9999999999999805E-6</v>
      </c>
    </row>
    <row r="382" spans="1:8" x14ac:dyDescent="0.25">
      <c r="A382" s="11">
        <f>dataset!A382</f>
        <v>42</v>
      </c>
      <c r="B382" s="11">
        <f>dataset!B382</f>
        <v>2008</v>
      </c>
      <c r="C382">
        <f>EXP(dataset!C382)</f>
        <v>0.22733716838766641</v>
      </c>
      <c r="D382">
        <f>EXP(dataset!D382)</f>
        <v>2.2961</v>
      </c>
      <c r="E382">
        <f>EXP(dataset!G382)</f>
        <v>1.5367</v>
      </c>
      <c r="F382">
        <f>1000*EXP(dataset!M382)</f>
        <v>23352.372219184959</v>
      </c>
      <c r="G382">
        <f>EXP(dataset!L382)</f>
        <v>0.37387203190966112</v>
      </c>
      <c r="H382">
        <f>EXP(dataset!J382)</f>
        <v>9.9999999999999805E-6</v>
      </c>
    </row>
    <row r="383" spans="1:8" x14ac:dyDescent="0.25">
      <c r="A383" s="11">
        <f>dataset!A383</f>
        <v>42</v>
      </c>
      <c r="B383" s="11">
        <f>dataset!B383</f>
        <v>2009</v>
      </c>
      <c r="C383">
        <f>EXP(dataset!C383)</f>
        <v>0.23725509798336034</v>
      </c>
      <c r="D383">
        <f>EXP(dataset!D383)</f>
        <v>2.1924999999999999</v>
      </c>
      <c r="E383">
        <f>EXP(dataset!G383)</f>
        <v>1.4993000000000001</v>
      </c>
      <c r="F383">
        <f>1000*EXP(dataset!M383)</f>
        <v>22876.094222261003</v>
      </c>
      <c r="G383">
        <f>EXP(dataset!L383)</f>
        <v>0.40009704607629371</v>
      </c>
      <c r="H383">
        <f>EXP(dataset!J383)</f>
        <v>1.6343226051490013E-4</v>
      </c>
    </row>
    <row r="384" spans="1:8" x14ac:dyDescent="0.25">
      <c r="A384" s="11">
        <f>dataset!A384</f>
        <v>42</v>
      </c>
      <c r="B384" s="11">
        <f>dataset!B384</f>
        <v>2010</v>
      </c>
      <c r="C384">
        <f>EXP(dataset!C384)</f>
        <v>0.28742586642624235</v>
      </c>
      <c r="D384">
        <f>EXP(dataset!D384)</f>
        <v>2.1111</v>
      </c>
      <c r="E384">
        <f>EXP(dataset!G384)</f>
        <v>1.6037999999999999</v>
      </c>
      <c r="F384">
        <f>1000*EXP(dataset!M384)</f>
        <v>24723.147114989661</v>
      </c>
      <c r="G384">
        <f>EXP(dataset!L384)</f>
        <v>0.42483086728022879</v>
      </c>
      <c r="H384">
        <f>EXP(dataset!J384)</f>
        <v>3.2165210815609982E-4</v>
      </c>
    </row>
    <row r="385" spans="1:8" x14ac:dyDescent="0.25">
      <c r="A385" s="11">
        <f>dataset!A385</f>
        <v>42</v>
      </c>
      <c r="B385" s="11">
        <f>dataset!B385</f>
        <v>2011</v>
      </c>
      <c r="C385">
        <f>EXP(dataset!C385)</f>
        <v>0.31797314381039005</v>
      </c>
      <c r="D385">
        <f>EXP(dataset!D385)</f>
        <v>2.0897999999999999</v>
      </c>
      <c r="E385">
        <f>EXP(dataset!G385)</f>
        <v>1.7979000000000001</v>
      </c>
      <c r="F385">
        <f>1000*EXP(dataset!M385)</f>
        <v>25439.123658385699</v>
      </c>
      <c r="G385">
        <f>EXP(dataset!L385)</f>
        <v>0.44785290738372657</v>
      </c>
      <c r="H385">
        <f>EXP(dataset!J385)</f>
        <v>2.0579213031896976E-3</v>
      </c>
    </row>
    <row r="386" spans="1:8" x14ac:dyDescent="0.25">
      <c r="A386" s="11">
        <f>dataset!A386</f>
        <v>42</v>
      </c>
      <c r="B386" s="11">
        <f>dataset!B386</f>
        <v>2012</v>
      </c>
      <c r="C386">
        <f>EXP(dataset!C386)</f>
        <v>0.34976465462802631</v>
      </c>
      <c r="D386">
        <f>EXP(dataset!D386)</f>
        <v>1.9744999999999999</v>
      </c>
      <c r="E386">
        <f>EXP(dataset!G386)</f>
        <v>1.7277</v>
      </c>
      <c r="F386">
        <f>1000*EXP(dataset!M386)</f>
        <v>25780.701109743088</v>
      </c>
      <c r="G386">
        <f>EXP(dataset!L386)</f>
        <v>0.4738425337284255</v>
      </c>
      <c r="H386">
        <f>EXP(dataset!J386)</f>
        <v>2.9861377200428988E-3</v>
      </c>
    </row>
    <row r="387" spans="1:8" x14ac:dyDescent="0.25">
      <c r="A387" s="11">
        <f>dataset!A387</f>
        <v>42</v>
      </c>
      <c r="B387" s="11">
        <f>dataset!B387</f>
        <v>2013</v>
      </c>
      <c r="C387">
        <f>EXP(dataset!C387)</f>
        <v>0.35634430336854733</v>
      </c>
      <c r="D387">
        <f>EXP(dataset!D387)</f>
        <v>1.9534</v>
      </c>
      <c r="E387">
        <f>EXP(dataset!G387)</f>
        <v>1.645</v>
      </c>
      <c r="F387">
        <f>1000*EXP(dataset!M387)</f>
        <v>25723.797430788767</v>
      </c>
      <c r="G387">
        <f>EXP(dataset!L387)</f>
        <v>0.48111890198958318</v>
      </c>
      <c r="H387">
        <f>EXP(dataset!J387)</f>
        <v>6.7829781615235023E-3</v>
      </c>
    </row>
    <row r="388" spans="1:8" x14ac:dyDescent="0.25">
      <c r="A388" s="11">
        <f>dataset!A388</f>
        <v>42</v>
      </c>
      <c r="B388" s="11">
        <f>dataset!B388</f>
        <v>2014</v>
      </c>
      <c r="C388">
        <f>EXP(dataset!C388)</f>
        <v>0.38225160201618869</v>
      </c>
      <c r="D388">
        <f>EXP(dataset!D388)</f>
        <v>1.9066000000000001</v>
      </c>
      <c r="E388">
        <f>EXP(dataset!G388)</f>
        <v>1.6039000000000001</v>
      </c>
      <c r="F388">
        <f>1000*EXP(dataset!M388)</f>
        <v>26597.727141278901</v>
      </c>
      <c r="G388">
        <f>EXP(dataset!L388)</f>
        <v>0.49837182116403561</v>
      </c>
      <c r="H388">
        <f>EXP(dataset!J388)</f>
        <v>1.3824580639522096E-2</v>
      </c>
    </row>
    <row r="389" spans="1:8" x14ac:dyDescent="0.25">
      <c r="A389" s="11">
        <f>dataset!A389</f>
        <v>42</v>
      </c>
      <c r="B389" s="11">
        <f>dataset!B389</f>
        <v>2015</v>
      </c>
      <c r="C389">
        <f>EXP(dataset!C389)</f>
        <v>0.37550350701476271</v>
      </c>
      <c r="D389">
        <f>EXP(dataset!D389)</f>
        <v>1.8974</v>
      </c>
      <c r="E389">
        <f>EXP(dataset!G389)</f>
        <v>1.5190999999999999</v>
      </c>
      <c r="F389">
        <f>1000*EXP(dataset!M389)</f>
        <v>25049.433582346279</v>
      </c>
      <c r="G389">
        <f>EXP(dataset!L389)</f>
        <v>0.50895604903221647</v>
      </c>
      <c r="H389">
        <f>EXP(dataset!J389)</f>
        <v>2.0090362638377806E-2</v>
      </c>
    </row>
    <row r="390" spans="1:8" x14ac:dyDescent="0.25">
      <c r="A390" s="11">
        <f>dataset!A390</f>
        <v>42</v>
      </c>
      <c r="B390" s="11">
        <f>dataset!B390</f>
        <v>2016</v>
      </c>
      <c r="C390">
        <f>EXP(dataset!C390)</f>
        <v>0.3908185480959338</v>
      </c>
      <c r="D390">
        <f>EXP(dataset!D390)</f>
        <v>1.9275</v>
      </c>
      <c r="E390">
        <f>EXP(dataset!G390)</f>
        <v>1.7084999999999999</v>
      </c>
      <c r="F390">
        <f>1000*EXP(dataset!M390)</f>
        <v>23569.905527531595</v>
      </c>
      <c r="G390">
        <f>EXP(dataset!L390)</f>
        <v>0.51611513579304003</v>
      </c>
      <c r="H390">
        <f>EXP(dataset!J390)</f>
        <v>2.7638887944278809E-2</v>
      </c>
    </row>
    <row r="391" spans="1:8" x14ac:dyDescent="0.25">
      <c r="A391" s="11">
        <f>dataset!A391</f>
        <v>42</v>
      </c>
      <c r="B391" s="11">
        <f>dataset!B391</f>
        <v>2017</v>
      </c>
      <c r="C391">
        <f>EXP(dataset!C391)</f>
        <v>0.40093583764178542</v>
      </c>
      <c r="D391">
        <f>EXP(dataset!D391)</f>
        <v>1.9467000000000001</v>
      </c>
      <c r="E391">
        <f>EXP(dataset!G391)</f>
        <v>1.7233000000000001</v>
      </c>
      <c r="F391">
        <f>1000*EXP(dataset!M391)</f>
        <v>24234.082628024127</v>
      </c>
      <c r="G391">
        <f>EXP(dataset!L391)</f>
        <v>0.5254329960416565</v>
      </c>
      <c r="H391">
        <f>EXP(dataset!J391)</f>
        <v>5.2991211029142123E-2</v>
      </c>
    </row>
    <row r="392" spans="1:8" x14ac:dyDescent="0.25">
      <c r="A392" s="11">
        <f>dataset!A392</f>
        <v>42</v>
      </c>
      <c r="B392" s="11">
        <f>dataset!B392</f>
        <v>2018</v>
      </c>
      <c r="C392">
        <f>EXP(dataset!C392)</f>
        <v>0.38869553419167618</v>
      </c>
      <c r="D392">
        <f>EXP(dataset!D392)</f>
        <v>2.1019000000000001</v>
      </c>
      <c r="E392">
        <f>EXP(dataset!G392)</f>
        <v>1.7841</v>
      </c>
      <c r="F392">
        <f>1000*EXP(dataset!M392)</f>
        <v>24682.792974836793</v>
      </c>
      <c r="G392">
        <f>EXP(dataset!L392)</f>
        <v>0.53805034673197372</v>
      </c>
      <c r="H392">
        <f>EXP(dataset!J392)</f>
        <v>8.2679739393461349E-2</v>
      </c>
    </row>
    <row r="393" spans="1:8" x14ac:dyDescent="0.25">
      <c r="A393" s="11">
        <f>dataset!A393</f>
        <v>42</v>
      </c>
      <c r="B393" s="11">
        <f>dataset!B393</f>
        <v>2019</v>
      </c>
      <c r="C393">
        <f>EXP(dataset!C393)</f>
        <v>0.40270813595601151</v>
      </c>
      <c r="D393">
        <f>EXP(dataset!D393)</f>
        <v>2.0053000000000001</v>
      </c>
      <c r="E393">
        <f>EXP(dataset!G393)</f>
        <v>1.7447999999999999</v>
      </c>
      <c r="F393">
        <f>1000*EXP(dataset!M393)</f>
        <v>25350.642283428358</v>
      </c>
      <c r="G393">
        <f>EXP(dataset!L393)</f>
        <v>0.55123152283082211</v>
      </c>
      <c r="H393">
        <f>EXP(dataset!J393)</f>
        <v>0.17530176747727902</v>
      </c>
    </row>
    <row r="394" spans="1:8" x14ac:dyDescent="0.25">
      <c r="A394" s="11">
        <f>dataset!A394</f>
        <v>42</v>
      </c>
      <c r="B394" s="11">
        <f>dataset!B394</f>
        <v>2020</v>
      </c>
      <c r="C394">
        <f>EXP(dataset!C394)</f>
        <v>0.36354982046195922</v>
      </c>
      <c r="D394">
        <f>EXP(dataset!D394)</f>
        <v>1.9515</v>
      </c>
      <c r="E394">
        <f>EXP(dataset!G394)</f>
        <v>1.7069000000000001</v>
      </c>
      <c r="F394">
        <f>1000*EXP(dataset!M394)</f>
        <v>25414.25453622764</v>
      </c>
      <c r="G394">
        <f>EXP(dataset!L394)</f>
        <v>0.56049305467271848</v>
      </c>
      <c r="H394">
        <f>EXP(dataset!J394)</f>
        <v>0.33133393137981904</v>
      </c>
    </row>
    <row r="395" spans="1:8" x14ac:dyDescent="0.25">
      <c r="A395" s="11">
        <f>dataset!A395</f>
        <v>42</v>
      </c>
      <c r="B395" s="11">
        <f>dataset!B395</f>
        <v>2021</v>
      </c>
      <c r="C395">
        <f>EXP(dataset!C395)</f>
        <v>0.38689559122177047</v>
      </c>
      <c r="D395">
        <f>EXP(dataset!D395)</f>
        <v>2.3755000000000002</v>
      </c>
      <c r="E395">
        <f>EXP(dataset!G395)</f>
        <v>2.1448</v>
      </c>
      <c r="F395">
        <f>1000*EXP(dataset!M395)</f>
        <v>27261.146182591398</v>
      </c>
      <c r="G395">
        <f>EXP(dataset!L395)</f>
        <v>0.56818727819806658</v>
      </c>
      <c r="H395">
        <f>EXP(dataset!J395)</f>
        <v>0.61824851028272498</v>
      </c>
    </row>
    <row r="396" spans="1:8" x14ac:dyDescent="0.25">
      <c r="A396" s="11">
        <f>dataset!A396</f>
        <v>42</v>
      </c>
      <c r="B396" s="11">
        <f>dataset!B396</f>
        <v>2022</v>
      </c>
      <c r="C396">
        <f>EXP(dataset!C396)</f>
        <v>0.40347307539320509</v>
      </c>
      <c r="D396">
        <f>EXP(dataset!D396)</f>
        <v>2.4474</v>
      </c>
      <c r="E396">
        <f>EXP(dataset!G396)</f>
        <v>2.1930000000000001</v>
      </c>
      <c r="F396">
        <f>1000*EXP(dataset!M396)</f>
        <v>27318.840235386851</v>
      </c>
      <c r="G396">
        <f>EXP(dataset!L396)</f>
        <v>0.58113997285266294</v>
      </c>
      <c r="H396">
        <f>EXP(dataset!J396)</f>
        <v>0.98467351450363039</v>
      </c>
    </row>
    <row r="397" spans="1:8" x14ac:dyDescent="0.25">
      <c r="A397" s="11">
        <f>dataset!A397</f>
        <v>42</v>
      </c>
      <c r="B397" s="11">
        <f>dataset!B397</f>
        <v>2023</v>
      </c>
      <c r="C397">
        <f>EXP(dataset!C397)</f>
        <v>0.42287114226624528</v>
      </c>
      <c r="D397">
        <f>EXP(dataset!D397)</f>
        <v>2.1617999999999999</v>
      </c>
      <c r="E397">
        <f>EXP(dataset!G397)</f>
        <v>1.7448999999999999</v>
      </c>
      <c r="F397">
        <f>1000*EXP(dataset!M397)</f>
        <v>28603.710003675144</v>
      </c>
      <c r="G397">
        <f>EXP(dataset!L397)</f>
        <v>0.59608204595152148</v>
      </c>
      <c r="H397">
        <f>EXP(dataset!J397)</f>
        <v>1.7130266746229086</v>
      </c>
    </row>
    <row r="398" spans="1:8" x14ac:dyDescent="0.25">
      <c r="A398" s="11">
        <f>dataset!A398</f>
        <v>43</v>
      </c>
      <c r="B398" s="11">
        <f>dataset!B398</f>
        <v>2006</v>
      </c>
      <c r="C398">
        <f>EXP(dataset!C398)</f>
        <v>0.17314165666124151</v>
      </c>
      <c r="D398">
        <f>EXP(dataset!D398)</f>
        <v>2.72</v>
      </c>
      <c r="E398">
        <f>EXP(dataset!G398)</f>
        <v>2.17</v>
      </c>
      <c r="F398">
        <f>1000*EXP(dataset!M398)</f>
        <v>18139.948075378223</v>
      </c>
      <c r="G398">
        <f>EXP(dataset!L398)</f>
        <v>0.2646190867846388</v>
      </c>
      <c r="H398">
        <f>EXP(dataset!J398)</f>
        <v>9.9999999999999805E-6</v>
      </c>
    </row>
    <row r="399" spans="1:8" x14ac:dyDescent="0.25">
      <c r="A399" s="11">
        <f>dataset!A399</f>
        <v>43</v>
      </c>
      <c r="B399" s="11">
        <f>dataset!B399</f>
        <v>2007</v>
      </c>
      <c r="C399">
        <f>EXP(dataset!C399)</f>
        <v>0.1803396465229791</v>
      </c>
      <c r="D399">
        <f>EXP(dataset!D399)</f>
        <v>2.4506999999999999</v>
      </c>
      <c r="E399">
        <f>EXP(dataset!G399)</f>
        <v>1.6943999999999999</v>
      </c>
      <c r="F399">
        <f>1000*EXP(dataset!M399)</f>
        <v>19492.205101820266</v>
      </c>
      <c r="G399">
        <f>EXP(dataset!L399)</f>
        <v>0.28370358881621649</v>
      </c>
      <c r="H399">
        <f>EXP(dataset!J399)</f>
        <v>9.9999999999999805E-6</v>
      </c>
    </row>
    <row r="400" spans="1:8" x14ac:dyDescent="0.25">
      <c r="A400" s="11">
        <f>dataset!A400</f>
        <v>43</v>
      </c>
      <c r="B400" s="11">
        <f>dataset!B400</f>
        <v>2008</v>
      </c>
      <c r="C400">
        <f>EXP(dataset!C400)</f>
        <v>0.1954712411383713</v>
      </c>
      <c r="D400">
        <f>EXP(dataset!D400)</f>
        <v>2.3231999999999999</v>
      </c>
      <c r="E400">
        <f>EXP(dataset!G400)</f>
        <v>1.6091</v>
      </c>
      <c r="F400">
        <f>1000*EXP(dataset!M400)</f>
        <v>20389.976090672615</v>
      </c>
      <c r="G400">
        <f>EXP(dataset!L400)</f>
        <v>0.30638499716450002</v>
      </c>
      <c r="H400">
        <f>EXP(dataset!J400)</f>
        <v>9.9999999999999805E-6</v>
      </c>
    </row>
    <row r="401" spans="1:8" x14ac:dyDescent="0.25">
      <c r="A401" s="11">
        <f>dataset!A401</f>
        <v>43</v>
      </c>
      <c r="B401" s="11">
        <f>dataset!B401</f>
        <v>2009</v>
      </c>
      <c r="C401">
        <f>EXP(dataset!C401)</f>
        <v>0.20574367462063839</v>
      </c>
      <c r="D401">
        <f>EXP(dataset!D401)</f>
        <v>2.2185000000000001</v>
      </c>
      <c r="E401">
        <f>EXP(dataset!G401)</f>
        <v>1.5599000000000001</v>
      </c>
      <c r="F401">
        <f>1000*EXP(dataset!M401)</f>
        <v>20300.07396547851</v>
      </c>
      <c r="G401">
        <f>EXP(dataset!L401)</f>
        <v>0.32592296883452343</v>
      </c>
      <c r="H401">
        <f>EXP(dataset!J401)</f>
        <v>9.1624360645211464E-5</v>
      </c>
    </row>
    <row r="402" spans="1:8" x14ac:dyDescent="0.25">
      <c r="A402" s="11">
        <f>dataset!A402</f>
        <v>43</v>
      </c>
      <c r="B402" s="11">
        <f>dataset!B402</f>
        <v>2010</v>
      </c>
      <c r="C402">
        <f>EXP(dataset!C402)</f>
        <v>0.23863673374583391</v>
      </c>
      <c r="D402">
        <f>EXP(dataset!D402)</f>
        <v>2.1274999999999999</v>
      </c>
      <c r="E402">
        <f>EXP(dataset!G402)</f>
        <v>1.6447000000000001</v>
      </c>
      <c r="F402">
        <f>1000*EXP(dataset!M402)</f>
        <v>22289.222816223741</v>
      </c>
      <c r="G402">
        <f>EXP(dataset!L402)</f>
        <v>0.35008604824707223</v>
      </c>
      <c r="H402">
        <f>EXP(dataset!J402)</f>
        <v>1.8478176211390014E-4</v>
      </c>
    </row>
    <row r="403" spans="1:8" x14ac:dyDescent="0.25">
      <c r="A403" s="11">
        <f>dataset!A403</f>
        <v>43</v>
      </c>
      <c r="B403" s="11">
        <f>dataset!B403</f>
        <v>2011</v>
      </c>
      <c r="C403">
        <f>EXP(dataset!C403)</f>
        <v>0.26215870821194015</v>
      </c>
      <c r="D403">
        <f>EXP(dataset!D403)</f>
        <v>2.1128999999999998</v>
      </c>
      <c r="E403">
        <f>EXP(dataset!G403)</f>
        <v>1.8209</v>
      </c>
      <c r="F403">
        <f>1000*EXP(dataset!M403)</f>
        <v>22798.851564013159</v>
      </c>
      <c r="G403">
        <f>EXP(dataset!L403)</f>
        <v>0.37645287491043999</v>
      </c>
      <c r="H403">
        <f>EXP(dataset!J403)</f>
        <v>1.1180440192564E-3</v>
      </c>
    </row>
    <row r="404" spans="1:8" x14ac:dyDescent="0.25">
      <c r="A404" s="11">
        <f>dataset!A404</f>
        <v>43</v>
      </c>
      <c r="B404" s="11">
        <f>dataset!B404</f>
        <v>2012</v>
      </c>
      <c r="C404">
        <f>EXP(dataset!C404)</f>
        <v>0.28617008225742424</v>
      </c>
      <c r="D404">
        <f>EXP(dataset!D404)</f>
        <v>2.0036</v>
      </c>
      <c r="E404">
        <f>EXP(dataset!G404)</f>
        <v>1.7422</v>
      </c>
      <c r="F404">
        <f>1000*EXP(dataset!M404)</f>
        <v>22842.057593170528</v>
      </c>
      <c r="G404">
        <f>EXP(dataset!L404)</f>
        <v>0.40066827482291317</v>
      </c>
      <c r="H404">
        <f>EXP(dataset!J404)</f>
        <v>1.5787481919849978E-3</v>
      </c>
    </row>
    <row r="405" spans="1:8" x14ac:dyDescent="0.25">
      <c r="A405" s="11">
        <f>dataset!A405</f>
        <v>43</v>
      </c>
      <c r="B405" s="11">
        <f>dataset!B405</f>
        <v>2013</v>
      </c>
      <c r="C405">
        <f>EXP(dataset!C405)</f>
        <v>0.29534068885259585</v>
      </c>
      <c r="D405">
        <f>EXP(dataset!D405)</f>
        <v>1.9671000000000001</v>
      </c>
      <c r="E405">
        <f>EXP(dataset!G405)</f>
        <v>1.6656</v>
      </c>
      <c r="F405">
        <f>1000*EXP(dataset!M405)</f>
        <v>23679.60359632258</v>
      </c>
      <c r="G405">
        <f>EXP(dataset!L405)</f>
        <v>0.4103894977831955</v>
      </c>
      <c r="H405">
        <f>EXP(dataset!J405)</f>
        <v>3.7620779497176001E-3</v>
      </c>
    </row>
    <row r="406" spans="1:8" x14ac:dyDescent="0.25">
      <c r="A406" s="11">
        <f>dataset!A406</f>
        <v>43</v>
      </c>
      <c r="B406" s="11">
        <f>dataset!B406</f>
        <v>2014</v>
      </c>
      <c r="C406">
        <f>EXP(dataset!C406)</f>
        <v>0.3169916074149699</v>
      </c>
      <c r="D406">
        <f>EXP(dataset!D406)</f>
        <v>1.9066000000000001</v>
      </c>
      <c r="E406">
        <f>EXP(dataset!G406)</f>
        <v>1.5973999999999999</v>
      </c>
      <c r="F406">
        <f>1000*EXP(dataset!M406)</f>
        <v>23552.037016503746</v>
      </c>
      <c r="G406">
        <f>EXP(dataset!L406)</f>
        <v>0.42946804013179291</v>
      </c>
      <c r="H406">
        <f>EXP(dataset!J406)</f>
        <v>7.3166766512533987E-3</v>
      </c>
    </row>
    <row r="407" spans="1:8" x14ac:dyDescent="0.25">
      <c r="A407" s="11">
        <f>dataset!A407</f>
        <v>43</v>
      </c>
      <c r="B407" s="11">
        <f>dataset!B407</f>
        <v>2015</v>
      </c>
      <c r="C407">
        <f>EXP(dataset!C407)</f>
        <v>0.31069944786491283</v>
      </c>
      <c r="D407">
        <f>EXP(dataset!D407)</f>
        <v>1.9556</v>
      </c>
      <c r="E407">
        <f>EXP(dataset!G407)</f>
        <v>1.5598000000000001</v>
      </c>
      <c r="F407">
        <f>1000*EXP(dataset!M407)</f>
        <v>23290.198646618264</v>
      </c>
      <c r="G407">
        <f>EXP(dataset!L407)</f>
        <v>0.44273669955792921</v>
      </c>
      <c r="H407">
        <f>EXP(dataset!J407)</f>
        <v>1.1290924266169899E-2</v>
      </c>
    </row>
    <row r="408" spans="1:8" x14ac:dyDescent="0.25">
      <c r="A408" s="11">
        <f>dataset!A408</f>
        <v>43</v>
      </c>
      <c r="B408" s="11">
        <f>dataset!B408</f>
        <v>2016</v>
      </c>
      <c r="C408">
        <f>EXP(dataset!C408)</f>
        <v>0.30685830151065435</v>
      </c>
      <c r="D408">
        <f>EXP(dataset!D408)</f>
        <v>2.1191</v>
      </c>
      <c r="E408">
        <f>EXP(dataset!G408)</f>
        <v>1.9383999999999999</v>
      </c>
      <c r="F408">
        <f>1000*EXP(dataset!M408)</f>
        <v>22976.970679821014</v>
      </c>
      <c r="G408">
        <f>EXP(dataset!L408)</f>
        <v>0.45280343773534748</v>
      </c>
      <c r="H408">
        <f>EXP(dataset!J408)</f>
        <v>1.6479865325831702E-2</v>
      </c>
    </row>
    <row r="409" spans="1:8" x14ac:dyDescent="0.25">
      <c r="A409" s="11">
        <f>dataset!A409</f>
        <v>43</v>
      </c>
      <c r="B409" s="11">
        <f>dataset!B409</f>
        <v>2017</v>
      </c>
      <c r="C409">
        <f>EXP(dataset!C409)</f>
        <v>0.317432536467043</v>
      </c>
      <c r="D409">
        <f>EXP(dataset!D409)</f>
        <v>2.0796999999999999</v>
      </c>
      <c r="E409">
        <f>EXP(dataset!G409)</f>
        <v>1.9308000000000001</v>
      </c>
      <c r="F409">
        <f>1000*EXP(dataset!M409)</f>
        <v>22874.597024568364</v>
      </c>
      <c r="G409">
        <f>EXP(dataset!L409)</f>
        <v>0.46312228453942211</v>
      </c>
      <c r="H409">
        <f>EXP(dataset!J409)</f>
        <v>3.0910822718041599E-2</v>
      </c>
    </row>
    <row r="410" spans="1:8" x14ac:dyDescent="0.25">
      <c r="A410" s="11">
        <f>dataset!A410</f>
        <v>43</v>
      </c>
      <c r="B410" s="11">
        <f>dataset!B410</f>
        <v>2018</v>
      </c>
      <c r="C410">
        <f>EXP(dataset!C410)</f>
        <v>0.30548291842478165</v>
      </c>
      <c r="D410">
        <f>EXP(dataset!D410)</f>
        <v>2.3531</v>
      </c>
      <c r="E410">
        <f>EXP(dataset!G410)</f>
        <v>2.0507</v>
      </c>
      <c r="F410">
        <f>1000*EXP(dataset!M410)</f>
        <v>23636.581803363842</v>
      </c>
      <c r="G410">
        <f>EXP(dataset!L410)</f>
        <v>0.47582656235588089</v>
      </c>
      <c r="H410">
        <f>EXP(dataset!J410)</f>
        <v>4.9428025072365683E-2</v>
      </c>
    </row>
    <row r="411" spans="1:8" x14ac:dyDescent="0.25">
      <c r="A411" s="11">
        <f>dataset!A411</f>
        <v>43</v>
      </c>
      <c r="B411" s="11">
        <f>dataset!B411</f>
        <v>2019</v>
      </c>
      <c r="C411">
        <f>EXP(dataset!C411)</f>
        <v>0.31233239804490354</v>
      </c>
      <c r="D411">
        <f>EXP(dataset!D411)</f>
        <v>2.2166000000000001</v>
      </c>
      <c r="E411">
        <f>EXP(dataset!G411)</f>
        <v>1.9954000000000001</v>
      </c>
      <c r="F411">
        <f>1000*EXP(dataset!M411)</f>
        <v>23826.670136585853</v>
      </c>
      <c r="G411">
        <f>EXP(dataset!L411)</f>
        <v>0.4867420821519175</v>
      </c>
      <c r="H411">
        <f>EXP(dataset!J411)</f>
        <v>0.10380374359719433</v>
      </c>
    </row>
    <row r="412" spans="1:8" x14ac:dyDescent="0.25">
      <c r="A412" s="11">
        <f>dataset!A412</f>
        <v>43</v>
      </c>
      <c r="B412" s="11">
        <f>dataset!B412</f>
        <v>2020</v>
      </c>
      <c r="C412">
        <f>EXP(dataset!C412)</f>
        <v>0.27823584368097515</v>
      </c>
      <c r="D412">
        <f>EXP(dataset!D412)</f>
        <v>2.0455000000000001</v>
      </c>
      <c r="E412">
        <f>EXP(dataset!G412)</f>
        <v>1.9468000000000001</v>
      </c>
      <c r="F412">
        <f>1000*EXP(dataset!M412)</f>
        <v>21756.340283453348</v>
      </c>
      <c r="G412">
        <f>EXP(dataset!L412)</f>
        <v>0.49487729682981829</v>
      </c>
      <c r="H412">
        <f>EXP(dataset!J412)</f>
        <v>0.18007571233863531</v>
      </c>
    </row>
    <row r="413" spans="1:8" x14ac:dyDescent="0.25">
      <c r="A413" s="11">
        <f>dataset!A413</f>
        <v>43</v>
      </c>
      <c r="B413" s="11">
        <f>dataset!B413</f>
        <v>2021</v>
      </c>
      <c r="C413">
        <f>EXP(dataset!C413)</f>
        <v>0.28515348711870869</v>
      </c>
      <c r="D413">
        <f>EXP(dataset!D413)</f>
        <v>2.5678000000000001</v>
      </c>
      <c r="E413">
        <f>EXP(dataset!G413)</f>
        <v>2.4481000000000002</v>
      </c>
      <c r="F413">
        <f>1000*EXP(dataset!M413)</f>
        <v>23663.526871600476</v>
      </c>
      <c r="G413">
        <f>EXP(dataset!L413)</f>
        <v>0.50212521028410262</v>
      </c>
      <c r="H413">
        <f>EXP(dataset!J413)</f>
        <v>0.34343133073972038</v>
      </c>
    </row>
    <row r="414" spans="1:8" x14ac:dyDescent="0.25">
      <c r="A414" s="11">
        <f>dataset!A414</f>
        <v>43</v>
      </c>
      <c r="B414" s="11">
        <f>dataset!B414</f>
        <v>2022</v>
      </c>
      <c r="C414">
        <f>EXP(dataset!C414)</f>
        <v>0.31415464875033033</v>
      </c>
      <c r="D414">
        <f>EXP(dataset!D414)</f>
        <v>2.3828</v>
      </c>
      <c r="E414">
        <f>EXP(dataset!G414)</f>
        <v>2.3100999999999998</v>
      </c>
      <c r="F414">
        <f>1000*EXP(dataset!M414)</f>
        <v>22259.191181358423</v>
      </c>
      <c r="G414">
        <f>EXP(dataset!L414)</f>
        <v>0.51060328971982183</v>
      </c>
      <c r="H414">
        <f>EXP(dataset!J414)</f>
        <v>0.51349001406690542</v>
      </c>
    </row>
    <row r="415" spans="1:8" x14ac:dyDescent="0.25">
      <c r="A415" s="11">
        <f>dataset!A415</f>
        <v>43</v>
      </c>
      <c r="B415" s="11">
        <f>dataset!B415</f>
        <v>2023</v>
      </c>
      <c r="C415">
        <f>EXP(dataset!C415)</f>
        <v>0.33364232908884284</v>
      </c>
      <c r="D415">
        <f>EXP(dataset!D415)</f>
        <v>2.0960999999999999</v>
      </c>
      <c r="E415">
        <f>EXP(dataset!G415)</f>
        <v>1.8182</v>
      </c>
      <c r="F415">
        <f>1000*EXP(dataset!M415)</f>
        <v>23180.735144990285</v>
      </c>
      <c r="G415">
        <f>EXP(dataset!L415)</f>
        <v>0.52048457131694315</v>
      </c>
      <c r="H415">
        <f>EXP(dataset!J415)</f>
        <v>0.88840400361745342</v>
      </c>
    </row>
    <row r="416" spans="1:8" x14ac:dyDescent="0.25">
      <c r="A416" s="11">
        <f>dataset!A416</f>
        <v>50</v>
      </c>
      <c r="B416" s="11">
        <f>dataset!B416</f>
        <v>2006</v>
      </c>
      <c r="C416">
        <f>EXP(dataset!C416)</f>
        <v>0.13869006314673626</v>
      </c>
      <c r="D416">
        <f>EXP(dataset!D416)</f>
        <v>2.7599999999999985</v>
      </c>
      <c r="E416">
        <f>EXP(dataset!G416)</f>
        <v>1.94</v>
      </c>
      <c r="F416">
        <f>1000*EXP(dataset!M416)</f>
        <v>15633.76461054291</v>
      </c>
      <c r="G416">
        <f>EXP(dataset!L416)</f>
        <v>0.20601388784328495</v>
      </c>
      <c r="H416">
        <f>EXP(dataset!J416)</f>
        <v>9.9999999999999805E-6</v>
      </c>
    </row>
    <row r="417" spans="1:8" x14ac:dyDescent="0.25">
      <c r="A417" s="11">
        <f>dataset!A417</f>
        <v>50</v>
      </c>
      <c r="B417" s="11">
        <f>dataset!B417</f>
        <v>2007</v>
      </c>
      <c r="C417">
        <f>EXP(dataset!C417)</f>
        <v>0.14197603818698154</v>
      </c>
      <c r="D417">
        <f>EXP(dataset!D417)</f>
        <v>2.5943000000000001</v>
      </c>
      <c r="E417">
        <f>EXP(dataset!G417)</f>
        <v>1.6560999999999999</v>
      </c>
      <c r="F417">
        <f>1000*EXP(dataset!M417)</f>
        <v>16433.769145367747</v>
      </c>
      <c r="G417">
        <f>EXP(dataset!L417)</f>
        <v>0.22544518390000948</v>
      </c>
      <c r="H417">
        <f>EXP(dataset!J417)</f>
        <v>9.9999999999999805E-6</v>
      </c>
    </row>
    <row r="418" spans="1:8" x14ac:dyDescent="0.25">
      <c r="A418" s="11">
        <f>dataset!A418</f>
        <v>50</v>
      </c>
      <c r="B418" s="11">
        <f>dataset!B418</f>
        <v>2008</v>
      </c>
      <c r="C418">
        <f>EXP(dataset!C418)</f>
        <v>0.15254680530465814</v>
      </c>
      <c r="D418">
        <f>EXP(dataset!D418)</f>
        <v>2.4498000000000002</v>
      </c>
      <c r="E418">
        <f>EXP(dataset!G418)</f>
        <v>1.5729</v>
      </c>
      <c r="F418">
        <f>1000*EXP(dataset!M418)</f>
        <v>18039.839963228686</v>
      </c>
      <c r="G418">
        <f>EXP(dataset!L418)</f>
        <v>0.24754929239831178</v>
      </c>
      <c r="H418">
        <f>EXP(dataset!J418)</f>
        <v>9.9999999999999805E-6</v>
      </c>
    </row>
    <row r="419" spans="1:8" x14ac:dyDescent="0.25">
      <c r="A419" s="11">
        <f>dataset!A419</f>
        <v>50</v>
      </c>
      <c r="B419" s="11">
        <f>dataset!B419</f>
        <v>2009</v>
      </c>
      <c r="C419">
        <f>EXP(dataset!C419)</f>
        <v>0.1578218494571908</v>
      </c>
      <c r="D419">
        <f>EXP(dataset!D419)</f>
        <v>2.3138999999999998</v>
      </c>
      <c r="E419">
        <f>EXP(dataset!G419)</f>
        <v>1.5079</v>
      </c>
      <c r="F419">
        <f>1000*EXP(dataset!M419)</f>
        <v>18151.447326538721</v>
      </c>
      <c r="G419">
        <f>EXP(dataset!L419)</f>
        <v>0.26890639178681791</v>
      </c>
      <c r="H419">
        <f>EXP(dataset!J419)</f>
        <v>4.2363941846159991E-4</v>
      </c>
    </row>
    <row r="420" spans="1:8" x14ac:dyDescent="0.25">
      <c r="A420" s="11">
        <f>dataset!A420</f>
        <v>50</v>
      </c>
      <c r="B420" s="11">
        <f>dataset!B420</f>
        <v>2010</v>
      </c>
      <c r="C420">
        <f>EXP(dataset!C420)</f>
        <v>0.18655126456168197</v>
      </c>
      <c r="D420">
        <f>EXP(dataset!D420)</f>
        <v>2.1684000000000001</v>
      </c>
      <c r="E420">
        <f>EXP(dataset!G420)</f>
        <v>1.4892000000000001</v>
      </c>
      <c r="F420">
        <f>1000*EXP(dataset!M420)</f>
        <v>19541.242321270602</v>
      </c>
      <c r="G420">
        <f>EXP(dataset!L420)</f>
        <v>0.28923696372911345</v>
      </c>
      <c r="H420">
        <f>EXP(dataset!J420)</f>
        <v>8.267810931698997E-4</v>
      </c>
    </row>
    <row r="421" spans="1:8" x14ac:dyDescent="0.25">
      <c r="A421" s="11">
        <f>dataset!A421</f>
        <v>50</v>
      </c>
      <c r="B421" s="11">
        <f>dataset!B421</f>
        <v>2011</v>
      </c>
      <c r="C421">
        <f>EXP(dataset!C421)</f>
        <v>0.22282756054185968</v>
      </c>
      <c r="D421">
        <f>EXP(dataset!D421)</f>
        <v>2.0975000000000001</v>
      </c>
      <c r="E421">
        <f>EXP(dataset!G421)</f>
        <v>1.5981000000000001</v>
      </c>
      <c r="F421">
        <f>1000*EXP(dataset!M421)</f>
        <v>20544.18268937519</v>
      </c>
      <c r="G421">
        <f>EXP(dataset!L421)</f>
        <v>0.30898002940010699</v>
      </c>
      <c r="H421">
        <f>EXP(dataset!J421)</f>
        <v>4.0362585175144992E-3</v>
      </c>
    </row>
    <row r="422" spans="1:8" x14ac:dyDescent="0.25">
      <c r="A422" s="11">
        <f>dataset!A422</f>
        <v>50</v>
      </c>
      <c r="B422" s="11">
        <f>dataset!B422</f>
        <v>2012</v>
      </c>
      <c r="C422">
        <f>EXP(dataset!C422)</f>
        <v>0.25726454337666699</v>
      </c>
      <c r="D422">
        <f>EXP(dataset!D422)</f>
        <v>2.0181</v>
      </c>
      <c r="E422">
        <f>EXP(dataset!G422)</f>
        <v>1.5462</v>
      </c>
      <c r="F422">
        <f>1000*EXP(dataset!M422)</f>
        <v>21212.054612706546</v>
      </c>
      <c r="G422">
        <f>EXP(dataset!L422)</f>
        <v>0.33213310856614947</v>
      </c>
      <c r="H422">
        <f>EXP(dataset!J422)</f>
        <v>6.3990657364024015E-3</v>
      </c>
    </row>
    <row r="423" spans="1:8" x14ac:dyDescent="0.25">
      <c r="A423" s="11">
        <f>dataset!A423</f>
        <v>50</v>
      </c>
      <c r="B423" s="11">
        <f>dataset!B423</f>
        <v>2013</v>
      </c>
      <c r="C423">
        <f>EXP(dataset!C423)</f>
        <v>0.25939191866017797</v>
      </c>
      <c r="D423">
        <f>EXP(dataset!D423)</f>
        <v>2.0562999999999998</v>
      </c>
      <c r="E423">
        <f>EXP(dataset!G423)</f>
        <v>1.4804999999999999</v>
      </c>
      <c r="F423">
        <f>1000*EXP(dataset!M423)</f>
        <v>21279.41538232012</v>
      </c>
      <c r="G423">
        <f>EXP(dataset!L423)</f>
        <v>0.34560534679617771</v>
      </c>
      <c r="H423">
        <f>EXP(dataset!J423)</f>
        <v>1.4300793616744096E-2</v>
      </c>
    </row>
    <row r="424" spans="1:8" x14ac:dyDescent="0.25">
      <c r="A424" s="11">
        <f>dataset!A424</f>
        <v>50</v>
      </c>
      <c r="B424" s="11">
        <f>dataset!B424</f>
        <v>2014</v>
      </c>
      <c r="C424">
        <f>EXP(dataset!C424)</f>
        <v>0.27398252137589008</v>
      </c>
      <c r="D424">
        <f>EXP(dataset!D424)</f>
        <v>1.9839</v>
      </c>
      <c r="E424">
        <f>EXP(dataset!G424)</f>
        <v>1.4106000000000001</v>
      </c>
      <c r="F424">
        <f>1000*EXP(dataset!M424)</f>
        <v>22231.90246738409</v>
      </c>
      <c r="G424">
        <f>EXP(dataset!L424)</f>
        <v>0.36264671290936179</v>
      </c>
      <c r="H424">
        <f>EXP(dataset!J424)</f>
        <v>2.9774890376869919E-2</v>
      </c>
    </row>
    <row r="425" spans="1:8" x14ac:dyDescent="0.25">
      <c r="A425" s="11">
        <f>dataset!A425</f>
        <v>50</v>
      </c>
      <c r="B425" s="11">
        <f>dataset!B425</f>
        <v>2015</v>
      </c>
      <c r="C425">
        <f>EXP(dataset!C425)</f>
        <v>0.25035631696171773</v>
      </c>
      <c r="D425">
        <f>EXP(dataset!D425)</f>
        <v>1.9498</v>
      </c>
      <c r="E425">
        <f>EXP(dataset!G425)</f>
        <v>1.3794</v>
      </c>
      <c r="F425">
        <f>1000*EXP(dataset!M425)</f>
        <v>21490.874483514297</v>
      </c>
      <c r="G425">
        <f>EXP(dataset!L425)</f>
        <v>0.37465973404847169</v>
      </c>
      <c r="H425">
        <f>EXP(dataset!J425)</f>
        <v>4.4130376975258713E-2</v>
      </c>
    </row>
    <row r="426" spans="1:8" x14ac:dyDescent="0.25">
      <c r="A426" s="11">
        <f>dataset!A426</f>
        <v>50</v>
      </c>
      <c r="B426" s="11">
        <f>dataset!B426</f>
        <v>2016</v>
      </c>
      <c r="C426">
        <f>EXP(dataset!C426)</f>
        <v>0.27657168655070519</v>
      </c>
      <c r="D426">
        <f>EXP(dataset!D426)</f>
        <v>1.9219999999999999</v>
      </c>
      <c r="E426">
        <f>EXP(dataset!G426)</f>
        <v>1.5550999999999999</v>
      </c>
      <c r="F426">
        <f>1000*EXP(dataset!M426)</f>
        <v>21732.519159770425</v>
      </c>
      <c r="G426">
        <f>EXP(dataset!L426)</f>
        <v>0.38264291567283748</v>
      </c>
      <c r="H426">
        <f>EXP(dataset!J426)</f>
        <v>6.5613226433481192E-2</v>
      </c>
    </row>
    <row r="427" spans="1:8" x14ac:dyDescent="0.25">
      <c r="A427" s="11">
        <f>dataset!A427</f>
        <v>50</v>
      </c>
      <c r="B427" s="11">
        <f>dataset!B427</f>
        <v>2017</v>
      </c>
      <c r="C427">
        <f>EXP(dataset!C427)</f>
        <v>0.28255871871299265</v>
      </c>
      <c r="D427">
        <f>EXP(dataset!D427)</f>
        <v>1.968</v>
      </c>
      <c r="E427">
        <f>EXP(dataset!G427)</f>
        <v>1.6329</v>
      </c>
      <c r="F427">
        <f>1000*EXP(dataset!M427)</f>
        <v>21741.076247029741</v>
      </c>
      <c r="G427">
        <f>EXP(dataset!L427)</f>
        <v>0.39167984631868452</v>
      </c>
      <c r="H427">
        <f>EXP(dataset!J427)</f>
        <v>0.12236712570310408</v>
      </c>
    </row>
    <row r="428" spans="1:8" x14ac:dyDescent="0.25">
      <c r="A428" s="11">
        <f>dataset!A428</f>
        <v>50</v>
      </c>
      <c r="B428" s="11">
        <f>dataset!B428</f>
        <v>2018</v>
      </c>
      <c r="C428">
        <f>EXP(dataset!C428)</f>
        <v>0.25934531479540024</v>
      </c>
      <c r="D428">
        <f>EXP(dataset!D428)</f>
        <v>2.1737000000000002</v>
      </c>
      <c r="E428">
        <f>EXP(dataset!G428)</f>
        <v>1.7122999999999999</v>
      </c>
      <c r="F428">
        <f>1000*EXP(dataset!M428)</f>
        <v>22795.132757149404</v>
      </c>
      <c r="G428">
        <f>EXP(dataset!L428)</f>
        <v>0.40115930616301249</v>
      </c>
      <c r="H428">
        <f>EXP(dataset!J428)</f>
        <v>0.19650490552662775</v>
      </c>
    </row>
    <row r="429" spans="1:8" x14ac:dyDescent="0.25">
      <c r="A429" s="11">
        <f>dataset!A429</f>
        <v>50</v>
      </c>
      <c r="B429" s="11">
        <f>dataset!B429</f>
        <v>2019</v>
      </c>
      <c r="C429">
        <f>EXP(dataset!C429)</f>
        <v>0.27641312334786861</v>
      </c>
      <c r="D429">
        <f>EXP(dataset!D429)</f>
        <v>2.0347</v>
      </c>
      <c r="E429">
        <f>EXP(dataset!G429)</f>
        <v>1.6759999999999999</v>
      </c>
      <c r="F429">
        <f>1000*EXP(dataset!M429)</f>
        <v>21622.313718421043</v>
      </c>
      <c r="G429">
        <f>EXP(dataset!L429)</f>
        <v>0.4113903416569929</v>
      </c>
      <c r="H429">
        <f>EXP(dataset!J429)</f>
        <v>0.38575221321733899</v>
      </c>
    </row>
    <row r="430" spans="1:8" x14ac:dyDescent="0.25">
      <c r="A430" s="11">
        <f>dataset!A430</f>
        <v>50</v>
      </c>
      <c r="B430" s="11">
        <f>dataset!B430</f>
        <v>2020</v>
      </c>
      <c r="C430">
        <f>EXP(dataset!C430)</f>
        <v>0.24843897296000483</v>
      </c>
      <c r="D430">
        <f>EXP(dataset!D430)</f>
        <v>2.0314000000000001</v>
      </c>
      <c r="E430">
        <f>EXP(dataset!G430)</f>
        <v>1.5565</v>
      </c>
      <c r="F430">
        <f>1000*EXP(dataset!M430)</f>
        <v>23034.231937456985</v>
      </c>
      <c r="G430">
        <f>EXP(dataset!L430)</f>
        <v>0.41880811306637661</v>
      </c>
      <c r="H430">
        <f>EXP(dataset!J430)</f>
        <v>0.77525615844555817</v>
      </c>
    </row>
    <row r="431" spans="1:8" x14ac:dyDescent="0.25">
      <c r="A431" s="11">
        <f>dataset!A431</f>
        <v>50</v>
      </c>
      <c r="B431" s="11">
        <f>dataset!B431</f>
        <v>2021</v>
      </c>
      <c r="C431">
        <f>EXP(dataset!C431)</f>
        <v>0.23823413595718218</v>
      </c>
      <c r="D431">
        <f>EXP(dataset!D431)</f>
        <v>2.4695</v>
      </c>
      <c r="E431">
        <f>EXP(dataset!G431)</f>
        <v>1.9140999999999999</v>
      </c>
      <c r="F431">
        <f>1000*EXP(dataset!M431)</f>
        <v>23379.977732154417</v>
      </c>
      <c r="G431">
        <f>EXP(dataset!L431)</f>
        <v>0.4242188259460099</v>
      </c>
      <c r="H431">
        <f>EXP(dataset!J431)</f>
        <v>1.3704622589275526</v>
      </c>
    </row>
    <row r="432" spans="1:8" x14ac:dyDescent="0.25">
      <c r="A432" s="11">
        <f>dataset!A432</f>
        <v>50</v>
      </c>
      <c r="B432" s="11">
        <f>dataset!B432</f>
        <v>2022</v>
      </c>
      <c r="C432">
        <f>EXP(dataset!C432)</f>
        <v>0.27103581376083574</v>
      </c>
      <c r="D432">
        <f>EXP(dataset!D432)</f>
        <v>2.3828</v>
      </c>
      <c r="E432">
        <f>EXP(dataset!G432)</f>
        <v>1.8456999999999999</v>
      </c>
      <c r="F432">
        <f>1000*EXP(dataset!M432)</f>
        <v>25200.256490940355</v>
      </c>
      <c r="G432">
        <f>EXP(dataset!L432)</f>
        <v>0.43386630261891779</v>
      </c>
      <c r="H432">
        <f>EXP(dataset!J432)</f>
        <v>2.3478543865358685</v>
      </c>
    </row>
    <row r="433" spans="1:8" x14ac:dyDescent="0.25">
      <c r="A433" s="11">
        <f>dataset!A433</f>
        <v>50</v>
      </c>
      <c r="B433" s="11">
        <f>dataset!B433</f>
        <v>2023</v>
      </c>
      <c r="C433">
        <f>EXP(dataset!C433)</f>
        <v>0.28710324219459921</v>
      </c>
      <c r="D433">
        <f>EXP(dataset!D433)</f>
        <v>2.0266999999999999</v>
      </c>
      <c r="E433">
        <f>EXP(dataset!G433)</f>
        <v>1.4359999999999999</v>
      </c>
      <c r="F433">
        <f>1000*EXP(dataset!M433)</f>
        <v>26555.219843948325</v>
      </c>
      <c r="G433">
        <f>EXP(dataset!L433)</f>
        <v>0.44514487945144882</v>
      </c>
      <c r="H433">
        <f>EXP(dataset!J433)</f>
        <v>4.1103301366447029</v>
      </c>
    </row>
    <row r="434" spans="1:8" x14ac:dyDescent="0.25">
      <c r="A434" s="11">
        <f>dataset!A434</f>
        <v>51</v>
      </c>
      <c r="B434" s="11">
        <f>dataset!B434</f>
        <v>2006</v>
      </c>
      <c r="C434">
        <f>EXP(dataset!C434)</f>
        <v>0.12774150778491689</v>
      </c>
      <c r="D434">
        <f>EXP(dataset!D434)</f>
        <v>2.9499999999999984</v>
      </c>
      <c r="E434">
        <f>EXP(dataset!G434)</f>
        <v>2</v>
      </c>
      <c r="F434">
        <f>1000*EXP(dataset!M434)</f>
        <v>14476.11095982183</v>
      </c>
      <c r="G434">
        <f>EXP(dataset!L434)</f>
        <v>0.16547748179120816</v>
      </c>
      <c r="H434">
        <f>EXP(dataset!J434)</f>
        <v>9.9999999999999805E-6</v>
      </c>
    </row>
    <row r="435" spans="1:8" x14ac:dyDescent="0.25">
      <c r="A435" s="11">
        <f>dataset!A435</f>
        <v>51</v>
      </c>
      <c r="B435" s="11">
        <f>dataset!B435</f>
        <v>2007</v>
      </c>
      <c r="C435">
        <f>EXP(dataset!C435)</f>
        <v>0.11957912434171535</v>
      </c>
      <c r="D435">
        <f>EXP(dataset!D435)</f>
        <v>2.7762000000000002</v>
      </c>
      <c r="E435">
        <f>EXP(dataset!G435)</f>
        <v>1.4455</v>
      </c>
      <c r="F435">
        <f>1000*EXP(dataset!M435)</f>
        <v>16554.6174780824</v>
      </c>
      <c r="G435">
        <f>EXP(dataset!L435)</f>
        <v>0.18356196517329942</v>
      </c>
      <c r="H435">
        <f>EXP(dataset!J435)</f>
        <v>9.9999999999999805E-6</v>
      </c>
    </row>
    <row r="436" spans="1:8" x14ac:dyDescent="0.25">
      <c r="A436" s="11">
        <f>dataset!A436</f>
        <v>51</v>
      </c>
      <c r="B436" s="11">
        <f>dataset!B436</f>
        <v>2008</v>
      </c>
      <c r="C436">
        <f>EXP(dataset!C436)</f>
        <v>0.12032489726091082</v>
      </c>
      <c r="D436">
        <f>EXP(dataset!D436)</f>
        <v>2.4859</v>
      </c>
      <c r="E436">
        <f>EXP(dataset!G436)</f>
        <v>1.2836000000000001</v>
      </c>
      <c r="F436">
        <f>1000*EXP(dataset!M436)</f>
        <v>19355.527792111203</v>
      </c>
      <c r="G436">
        <f>EXP(dataset!L436)</f>
        <v>0.20998906257659991</v>
      </c>
      <c r="H436">
        <f>EXP(dataset!J436)</f>
        <v>9.9999999999999805E-6</v>
      </c>
    </row>
    <row r="437" spans="1:8" x14ac:dyDescent="0.25">
      <c r="A437" s="11">
        <f>dataset!A437</f>
        <v>51</v>
      </c>
      <c r="B437" s="11">
        <f>dataset!B437</f>
        <v>2009</v>
      </c>
      <c r="C437">
        <f>EXP(dataset!C437)</f>
        <v>0.11824683212001763</v>
      </c>
      <c r="D437">
        <f>EXP(dataset!D437)</f>
        <v>2.3572000000000002</v>
      </c>
      <c r="E437">
        <f>EXP(dataset!G437)</f>
        <v>1.2479</v>
      </c>
      <c r="F437">
        <f>1000*EXP(dataset!M437)</f>
        <v>19033.252510484079</v>
      </c>
      <c r="G437">
        <f>EXP(dataset!L437)</f>
        <v>0.23441612264016431</v>
      </c>
      <c r="H437">
        <f>EXP(dataset!J437)</f>
        <v>3.3314543930550004E-4</v>
      </c>
    </row>
    <row r="438" spans="1:8" x14ac:dyDescent="0.25">
      <c r="A438" s="11">
        <f>dataset!A438</f>
        <v>51</v>
      </c>
      <c r="B438" s="11">
        <f>dataset!B438</f>
        <v>2010</v>
      </c>
      <c r="C438">
        <f>EXP(dataset!C438)</f>
        <v>0.12959220932903426</v>
      </c>
      <c r="D438">
        <f>EXP(dataset!D438)</f>
        <v>2.2665999999999999</v>
      </c>
      <c r="E438">
        <f>EXP(dataset!G438)</f>
        <v>1.3992</v>
      </c>
      <c r="F438">
        <f>1000*EXP(dataset!M438)</f>
        <v>18626.001788855785</v>
      </c>
      <c r="G438">
        <f>EXP(dataset!L438)</f>
        <v>0.25957758520264818</v>
      </c>
      <c r="H438">
        <f>EXP(dataset!J438)</f>
        <v>6.5815150252690013E-4</v>
      </c>
    </row>
    <row r="439" spans="1:8" x14ac:dyDescent="0.25">
      <c r="A439" s="11">
        <f>dataset!A439</f>
        <v>51</v>
      </c>
      <c r="B439" s="11">
        <f>dataset!B439</f>
        <v>2011</v>
      </c>
      <c r="C439">
        <f>EXP(dataset!C439)</f>
        <v>0.15878348574222609</v>
      </c>
      <c r="D439">
        <f>EXP(dataset!D439)</f>
        <v>2.2204000000000002</v>
      </c>
      <c r="E439">
        <f>EXP(dataset!G439)</f>
        <v>1.5059</v>
      </c>
      <c r="F439">
        <f>1000*EXP(dataset!M439)</f>
        <v>20755.668874319879</v>
      </c>
      <c r="G439">
        <f>EXP(dataset!L439)</f>
        <v>0.28522049873599459</v>
      </c>
      <c r="H439">
        <f>EXP(dataset!J439)</f>
        <v>3.5761472280306989E-3</v>
      </c>
    </row>
    <row r="440" spans="1:8" x14ac:dyDescent="0.25">
      <c r="A440" s="11">
        <f>dataset!A440</f>
        <v>51</v>
      </c>
      <c r="B440" s="11">
        <f>dataset!B440</f>
        <v>2012</v>
      </c>
      <c r="C440">
        <f>EXP(dataset!C440)</f>
        <v>0.19035235685653168</v>
      </c>
      <c r="D440">
        <f>EXP(dataset!D440)</f>
        <v>2.1560000000000001</v>
      </c>
      <c r="E440">
        <f>EXP(dataset!G440)</f>
        <v>1.4373</v>
      </c>
      <c r="F440">
        <f>1000*EXP(dataset!M440)</f>
        <v>21870.989495836075</v>
      </c>
      <c r="G440">
        <f>EXP(dataset!L440)</f>
        <v>0.30729719041541592</v>
      </c>
      <c r="H440">
        <f>EXP(dataset!J440)</f>
        <v>5.1358826142668991E-3</v>
      </c>
    </row>
    <row r="441" spans="1:8" x14ac:dyDescent="0.25">
      <c r="A441" s="11">
        <f>dataset!A441</f>
        <v>51</v>
      </c>
      <c r="B441" s="11">
        <f>dataset!B441</f>
        <v>2013</v>
      </c>
      <c r="C441">
        <f>EXP(dataset!C441)</f>
        <v>0.18445052077031837</v>
      </c>
      <c r="D441">
        <f>EXP(dataset!D441)</f>
        <v>2.0699999999999998</v>
      </c>
      <c r="E441">
        <f>EXP(dataset!G441)</f>
        <v>1.3571</v>
      </c>
      <c r="F441">
        <f>1000*EXP(dataset!M441)</f>
        <v>22304.230551931996</v>
      </c>
      <c r="G441">
        <f>EXP(dataset!L441)</f>
        <v>0.32642869690674092</v>
      </c>
      <c r="H441">
        <f>EXP(dataset!J441)</f>
        <v>1.2256007250528105E-2</v>
      </c>
    </row>
    <row r="442" spans="1:8" x14ac:dyDescent="0.25">
      <c r="A442" s="11">
        <f>dataset!A442</f>
        <v>51</v>
      </c>
      <c r="B442" s="11">
        <f>dataset!B442</f>
        <v>2014</v>
      </c>
      <c r="C442">
        <f>EXP(dataset!C442)</f>
        <v>0.20543914647168415</v>
      </c>
      <c r="D442">
        <f>EXP(dataset!D442)</f>
        <v>2.0032000000000001</v>
      </c>
      <c r="E442">
        <f>EXP(dataset!G442)</f>
        <v>1.3462000000000001</v>
      </c>
      <c r="F442">
        <f>1000*EXP(dataset!M442)</f>
        <v>23160.807729137941</v>
      </c>
      <c r="G442">
        <f>EXP(dataset!L442)</f>
        <v>0.34600169894338639</v>
      </c>
      <c r="H442">
        <f>EXP(dataset!J442)</f>
        <v>2.5121287748223888E-2</v>
      </c>
    </row>
    <row r="443" spans="1:8" x14ac:dyDescent="0.25">
      <c r="A443" s="11">
        <f>dataset!A443</f>
        <v>51</v>
      </c>
      <c r="B443" s="11">
        <f>dataset!B443</f>
        <v>2015</v>
      </c>
      <c r="C443">
        <f>EXP(dataset!C443)</f>
        <v>0.17317885300993485</v>
      </c>
      <c r="D443">
        <f>EXP(dataset!D443)</f>
        <v>1.9731000000000001</v>
      </c>
      <c r="E443">
        <f>EXP(dataset!G443)</f>
        <v>1.2222999999999999</v>
      </c>
      <c r="F443">
        <f>1000*EXP(dataset!M443)</f>
        <v>22559.16361062336</v>
      </c>
      <c r="G443">
        <f>EXP(dataset!L443)</f>
        <v>0.36024071148980563</v>
      </c>
      <c r="H443">
        <f>EXP(dataset!J443)</f>
        <v>3.7666675037038799E-2</v>
      </c>
    </row>
    <row r="444" spans="1:8" x14ac:dyDescent="0.25">
      <c r="A444" s="11">
        <f>dataset!A444</f>
        <v>51</v>
      </c>
      <c r="B444" s="11">
        <f>dataset!B444</f>
        <v>2016</v>
      </c>
      <c r="C444">
        <f>EXP(dataset!C444)</f>
        <v>0.18652197786074315</v>
      </c>
      <c r="D444">
        <f>EXP(dataset!D444)</f>
        <v>2.0369999999999999</v>
      </c>
      <c r="E444">
        <f>EXP(dataset!G444)</f>
        <v>1.4128000000000001</v>
      </c>
      <c r="F444">
        <f>1000*EXP(dataset!M444)</f>
        <v>23774.604117916304</v>
      </c>
      <c r="G444">
        <f>EXP(dataset!L444)</f>
        <v>0.37169489561586322</v>
      </c>
      <c r="H444">
        <f>EXP(dataset!J444)</f>
        <v>5.8084465098043207E-2</v>
      </c>
    </row>
    <row r="445" spans="1:8" x14ac:dyDescent="0.25">
      <c r="A445" s="11">
        <f>dataset!A445</f>
        <v>51</v>
      </c>
      <c r="B445" s="11">
        <f>dataset!B445</f>
        <v>2017</v>
      </c>
      <c r="C445">
        <f>EXP(dataset!C445)</f>
        <v>0.18651989030492636</v>
      </c>
      <c r="D445">
        <f>EXP(dataset!D445)</f>
        <v>2.0265</v>
      </c>
      <c r="E445">
        <f>EXP(dataset!G445)</f>
        <v>1.3138000000000001</v>
      </c>
      <c r="F445">
        <f>1000*EXP(dataset!M445)</f>
        <v>23207.743141486564</v>
      </c>
      <c r="G445">
        <f>EXP(dataset!L445)</f>
        <v>0.3822766272472421</v>
      </c>
      <c r="H445">
        <f>EXP(dataset!J445)</f>
        <v>0.10614301979582255</v>
      </c>
    </row>
    <row r="446" spans="1:8" x14ac:dyDescent="0.25">
      <c r="A446" s="11">
        <f>dataset!A446</f>
        <v>51</v>
      </c>
      <c r="B446" s="11">
        <f>dataset!B446</f>
        <v>2018</v>
      </c>
      <c r="C446">
        <f>EXP(dataset!C446)</f>
        <v>0.15161463487195528</v>
      </c>
      <c r="D446">
        <f>EXP(dataset!D446)</f>
        <v>2.3069999999999999</v>
      </c>
      <c r="E446">
        <f>EXP(dataset!G446)</f>
        <v>1.3945000000000001</v>
      </c>
      <c r="F446">
        <f>1000*EXP(dataset!M446)</f>
        <v>23383.823520205417</v>
      </c>
      <c r="G446">
        <f>EXP(dataset!L446)</f>
        <v>0.38996623472762038</v>
      </c>
      <c r="H446">
        <f>EXP(dataset!J446)</f>
        <v>0.16095302786346757</v>
      </c>
    </row>
    <row r="447" spans="1:8" x14ac:dyDescent="0.25">
      <c r="A447" s="11">
        <f>dataset!A447</f>
        <v>51</v>
      </c>
      <c r="B447" s="11">
        <f>dataset!B447</f>
        <v>2019</v>
      </c>
      <c r="C447">
        <f>EXP(dataset!C447)</f>
        <v>0.13640801488664259</v>
      </c>
      <c r="D447">
        <f>EXP(dataset!D447)</f>
        <v>2.2117</v>
      </c>
      <c r="E447">
        <f>EXP(dataset!G447)</f>
        <v>1.2827999999999999</v>
      </c>
      <c r="F447">
        <f>1000*EXP(dataset!M447)</f>
        <v>22917.135154023599</v>
      </c>
      <c r="G447">
        <f>EXP(dataset!L447)</f>
        <v>0.40498228422949167</v>
      </c>
      <c r="H447">
        <f>EXP(dataset!J447)</f>
        <v>0.32601839134030874</v>
      </c>
    </row>
    <row r="448" spans="1:8" x14ac:dyDescent="0.25">
      <c r="A448" s="11">
        <f>dataset!A448</f>
        <v>51</v>
      </c>
      <c r="B448" s="11">
        <f>dataset!B448</f>
        <v>2020</v>
      </c>
      <c r="C448">
        <f>EXP(dataset!C448)</f>
        <v>0.14230897958720667</v>
      </c>
      <c r="D448">
        <f>EXP(dataset!D448)</f>
        <v>2.0407999999999999</v>
      </c>
      <c r="E448">
        <f>EXP(dataset!G448)</f>
        <v>1.3354999999999999</v>
      </c>
      <c r="F448">
        <f>1000*EXP(dataset!M448)</f>
        <v>26735.620476317406</v>
      </c>
      <c r="G448">
        <f>EXP(dataset!L448)</f>
        <v>0.41646068594699132</v>
      </c>
      <c r="H448">
        <f>EXP(dataset!J448)</f>
        <v>0.71691499679543536</v>
      </c>
    </row>
    <row r="449" spans="1:8" x14ac:dyDescent="0.25">
      <c r="A449" s="11">
        <f>dataset!A449</f>
        <v>51</v>
      </c>
      <c r="B449" s="11">
        <f>dataset!B449</f>
        <v>2021</v>
      </c>
      <c r="C449">
        <f>EXP(dataset!C449)</f>
        <v>0.17103174616523617</v>
      </c>
      <c r="D449">
        <f>EXP(dataset!D449)</f>
        <v>2.4695</v>
      </c>
      <c r="E449">
        <f>EXP(dataset!G449)</f>
        <v>1.7774000000000001</v>
      </c>
      <c r="F449">
        <f>1000*EXP(dataset!M449)</f>
        <v>30540.642338125275</v>
      </c>
      <c r="G449">
        <f>EXP(dataset!L449)</f>
        <v>0.4270302985450351</v>
      </c>
      <c r="H449">
        <f>EXP(dataset!J449)</f>
        <v>1.4249135324455866</v>
      </c>
    </row>
    <row r="450" spans="1:8" x14ac:dyDescent="0.25">
      <c r="A450" s="11">
        <f>dataset!A450</f>
        <v>51</v>
      </c>
      <c r="B450" s="11">
        <f>dataset!B450</f>
        <v>2022</v>
      </c>
      <c r="C450">
        <f>EXP(dataset!C450)</f>
        <v>0.18610148367054127</v>
      </c>
      <c r="D450">
        <f>EXP(dataset!D450)</f>
        <v>2.4352999999999998</v>
      </c>
      <c r="E450">
        <f>EXP(dataset!G450)</f>
        <v>1.6557999999999999</v>
      </c>
      <c r="F450">
        <f>1000*EXP(dataset!M450)</f>
        <v>30798.698621565058</v>
      </c>
      <c r="G450">
        <f>EXP(dataset!L450)</f>
        <v>0.44126569773667779</v>
      </c>
      <c r="H450">
        <f>EXP(dataset!J450)</f>
        <v>2.2838423271363752</v>
      </c>
    </row>
    <row r="451" spans="1:8" x14ac:dyDescent="0.25">
      <c r="A451" s="11">
        <f>dataset!A451</f>
        <v>51</v>
      </c>
      <c r="B451" s="11">
        <f>dataset!B451</f>
        <v>2023</v>
      </c>
      <c r="C451">
        <f>EXP(dataset!C451)</f>
        <v>0.19073235733904748</v>
      </c>
      <c r="D451">
        <f>EXP(dataset!D451)</f>
        <v>2.1232000000000002</v>
      </c>
      <c r="E451">
        <f>EXP(dataset!G451)</f>
        <v>1.3241000000000001</v>
      </c>
      <c r="F451">
        <f>1000*EXP(dataset!M451)</f>
        <v>31291.245788753975</v>
      </c>
      <c r="G451">
        <f>EXP(dataset!L451)</f>
        <v>0.4562240660410839</v>
      </c>
      <c r="H451">
        <f>EXP(dataset!J451)</f>
        <v>3.8550877234294121</v>
      </c>
    </row>
    <row r="452" spans="1:8" x14ac:dyDescent="0.25">
      <c r="A452" s="11">
        <f>dataset!A452</f>
        <v>52</v>
      </c>
      <c r="B452" s="11">
        <f>dataset!B452</f>
        <v>2006</v>
      </c>
      <c r="C452">
        <f>EXP(dataset!C452)</f>
        <v>0.15530915570781006</v>
      </c>
      <c r="D452">
        <f>EXP(dataset!D452)</f>
        <v>2.58</v>
      </c>
      <c r="E452">
        <f>EXP(dataset!G452)</f>
        <v>1.69</v>
      </c>
      <c r="F452">
        <f>1000*EXP(dataset!M452)</f>
        <v>14427.927403641364</v>
      </c>
      <c r="G452">
        <f>EXP(dataset!L452)</f>
        <v>0.20026949338071273</v>
      </c>
      <c r="H452">
        <f>EXP(dataset!J452)</f>
        <v>9.9999999999999805E-6</v>
      </c>
    </row>
    <row r="453" spans="1:8" x14ac:dyDescent="0.25">
      <c r="A453" s="11">
        <f>dataset!A453</f>
        <v>52</v>
      </c>
      <c r="B453" s="11">
        <f>dataset!B453</f>
        <v>2007</v>
      </c>
      <c r="C453">
        <f>EXP(dataset!C453)</f>
        <v>0.15212145426800924</v>
      </c>
      <c r="D453">
        <f>EXP(dataset!D453)</f>
        <v>2.4220000000000002</v>
      </c>
      <c r="E453">
        <f>EXP(dataset!G453)</f>
        <v>1.3976999999999999</v>
      </c>
      <c r="F453">
        <f>1000*EXP(dataset!M453)</f>
        <v>15615.782820876879</v>
      </c>
      <c r="G453">
        <f>EXP(dataset!L453)</f>
        <v>0.22206444024178815</v>
      </c>
      <c r="H453">
        <f>EXP(dataset!J453)</f>
        <v>9.9999999999999805E-6</v>
      </c>
    </row>
    <row r="454" spans="1:8" x14ac:dyDescent="0.25">
      <c r="A454" s="11">
        <f>dataset!A454</f>
        <v>52</v>
      </c>
      <c r="B454" s="11">
        <f>dataset!B454</f>
        <v>2008</v>
      </c>
      <c r="C454">
        <f>EXP(dataset!C454)</f>
        <v>0.15772960113738324</v>
      </c>
      <c r="D454">
        <f>EXP(dataset!D454)</f>
        <v>2.2690000000000001</v>
      </c>
      <c r="E454">
        <f>EXP(dataset!G454)</f>
        <v>1.4012</v>
      </c>
      <c r="F454">
        <f>1000*EXP(dataset!M454)</f>
        <v>16406.377293753027</v>
      </c>
      <c r="G454">
        <f>EXP(dataset!L454)</f>
        <v>0.24756086189979626</v>
      </c>
      <c r="H454">
        <f>EXP(dataset!J454)</f>
        <v>9.9999999999999805E-6</v>
      </c>
    </row>
    <row r="455" spans="1:8" x14ac:dyDescent="0.25">
      <c r="A455" s="11">
        <f>dataset!A455</f>
        <v>52</v>
      </c>
      <c r="B455" s="11">
        <f>dataset!B455</f>
        <v>2009</v>
      </c>
      <c r="C455">
        <f>EXP(dataset!C455)</f>
        <v>0.16051290687275355</v>
      </c>
      <c r="D455">
        <f>EXP(dataset!D455)</f>
        <v>2.2444999999999999</v>
      </c>
      <c r="E455">
        <f>EXP(dataset!G455)</f>
        <v>1.3606</v>
      </c>
      <c r="F455">
        <f>1000*EXP(dataset!M455)</f>
        <v>16990.050913909192</v>
      </c>
      <c r="G455">
        <f>EXP(dataset!L455)</f>
        <v>0.26948348885476592</v>
      </c>
      <c r="H455">
        <f>EXP(dataset!J455)</f>
        <v>1.6873934832860001E-4</v>
      </c>
    </row>
    <row r="456" spans="1:8" x14ac:dyDescent="0.25">
      <c r="A456" s="11">
        <f>dataset!A456</f>
        <v>52</v>
      </c>
      <c r="B456" s="11">
        <f>dataset!B456</f>
        <v>2010</v>
      </c>
      <c r="C456">
        <f>EXP(dataset!C456)</f>
        <v>0.18047903325855477</v>
      </c>
      <c r="D456">
        <f>EXP(dataset!D456)</f>
        <v>2.0865999999999998</v>
      </c>
      <c r="E456">
        <f>EXP(dataset!G456)</f>
        <v>1.3091999999999999</v>
      </c>
      <c r="F456">
        <f>1000*EXP(dataset!M456)</f>
        <v>17784.620092119476</v>
      </c>
      <c r="G456">
        <f>EXP(dataset!L456)</f>
        <v>0.29330118324153148</v>
      </c>
      <c r="H456">
        <f>EXP(dataset!J456)</f>
        <v>3.3313855832289982E-4</v>
      </c>
    </row>
    <row r="457" spans="1:8" x14ac:dyDescent="0.25">
      <c r="A457" s="11">
        <f>dataset!A457</f>
        <v>52</v>
      </c>
      <c r="B457" s="11">
        <f>dataset!B457</f>
        <v>2011</v>
      </c>
      <c r="C457">
        <f>EXP(dataset!C457)</f>
        <v>0.20664619265231257</v>
      </c>
      <c r="D457">
        <f>EXP(dataset!D457)</f>
        <v>2.1897000000000002</v>
      </c>
      <c r="E457">
        <f>EXP(dataset!G457)</f>
        <v>1.5136000000000001</v>
      </c>
      <c r="F457">
        <f>1000*EXP(dataset!M457)</f>
        <v>18415.831543407065</v>
      </c>
      <c r="G457">
        <f>EXP(dataset!L457)</f>
        <v>0.31767295167213871</v>
      </c>
      <c r="H457">
        <f>EXP(dataset!J457)</f>
        <v>1.4800888579568005E-3</v>
      </c>
    </row>
    <row r="458" spans="1:8" x14ac:dyDescent="0.25">
      <c r="A458" s="11">
        <f>dataset!A458</f>
        <v>52</v>
      </c>
      <c r="B458" s="11">
        <f>dataset!B458</f>
        <v>2012</v>
      </c>
      <c r="C458">
        <f>EXP(dataset!C458)</f>
        <v>0.23496508689851292</v>
      </c>
      <c r="D458">
        <f>EXP(dataset!D458)</f>
        <v>2.0108000000000001</v>
      </c>
      <c r="E458">
        <f>EXP(dataset!G458)</f>
        <v>1.3793</v>
      </c>
      <c r="F458">
        <f>1000*EXP(dataset!M458)</f>
        <v>19281.095556568998</v>
      </c>
      <c r="G458">
        <f>EXP(dataset!L458)</f>
        <v>0.34137633883108942</v>
      </c>
      <c r="H458">
        <f>EXP(dataset!J458)</f>
        <v>2.2745749956619996E-3</v>
      </c>
    </row>
    <row r="459" spans="1:8" x14ac:dyDescent="0.25">
      <c r="A459" s="11">
        <f>dataset!A459</f>
        <v>52</v>
      </c>
      <c r="B459" s="11">
        <f>dataset!B459</f>
        <v>2013</v>
      </c>
      <c r="C459">
        <f>EXP(dataset!C459)</f>
        <v>0.23773991272679335</v>
      </c>
      <c r="D459">
        <f>EXP(dataset!D459)</f>
        <v>1.9877</v>
      </c>
      <c r="E459">
        <f>EXP(dataset!G459)</f>
        <v>1.3366</v>
      </c>
      <c r="F459">
        <f>1000*EXP(dataset!M459)</f>
        <v>18708.123479619673</v>
      </c>
      <c r="G459">
        <f>EXP(dataset!L459)</f>
        <v>0.35065203119404764</v>
      </c>
      <c r="H459">
        <f>EXP(dataset!J459)</f>
        <v>5.1289639119882005E-3</v>
      </c>
    </row>
    <row r="460" spans="1:8" x14ac:dyDescent="0.25">
      <c r="A460" s="11">
        <f>dataset!A460</f>
        <v>52</v>
      </c>
      <c r="B460" s="11">
        <f>dataset!B460</f>
        <v>2014</v>
      </c>
      <c r="C460">
        <f>EXP(dataset!C460)</f>
        <v>0.25139241313571736</v>
      </c>
      <c r="D460">
        <f>EXP(dataset!D460)</f>
        <v>1.9967999999999999</v>
      </c>
      <c r="E460">
        <f>EXP(dataset!G460)</f>
        <v>1.3784000000000001</v>
      </c>
      <c r="F460">
        <f>1000*EXP(dataset!M460)</f>
        <v>18660.801616011235</v>
      </c>
      <c r="G460">
        <f>EXP(dataset!L460)</f>
        <v>0.36656363986999047</v>
      </c>
      <c r="H460">
        <f>EXP(dataset!J460)</f>
        <v>9.9644010275902976E-3</v>
      </c>
    </row>
    <row r="461" spans="1:8" x14ac:dyDescent="0.25">
      <c r="A461" s="11">
        <f>dataset!A461</f>
        <v>52</v>
      </c>
      <c r="B461" s="11">
        <f>dataset!B461</f>
        <v>2015</v>
      </c>
      <c r="C461">
        <f>EXP(dataset!C461)</f>
        <v>0.22234932528131365</v>
      </c>
      <c r="D461">
        <f>EXP(dataset!D461)</f>
        <v>1.9846999999999999</v>
      </c>
      <c r="E461">
        <f>EXP(dataset!G461)</f>
        <v>1.3328</v>
      </c>
      <c r="F461">
        <f>1000*EXP(dataset!M461)</f>
        <v>18012.63135971922</v>
      </c>
      <c r="G461">
        <f>EXP(dataset!L461)</f>
        <v>0.3767616377193212</v>
      </c>
      <c r="H461">
        <f>EXP(dataset!J461)</f>
        <v>1.4824493875895604E-2</v>
      </c>
    </row>
    <row r="462" spans="1:8" x14ac:dyDescent="0.25">
      <c r="A462" s="11">
        <f>dataset!A462</f>
        <v>52</v>
      </c>
      <c r="B462" s="11">
        <f>dataset!B462</f>
        <v>2016</v>
      </c>
      <c r="C462">
        <f>EXP(dataset!C462)</f>
        <v>0.22866222461507901</v>
      </c>
      <c r="D462">
        <f>EXP(dataset!D462)</f>
        <v>2.0863</v>
      </c>
      <c r="E462">
        <f>EXP(dataset!G462)</f>
        <v>1.5167999999999999</v>
      </c>
      <c r="F462">
        <f>1000*EXP(dataset!M462)</f>
        <v>17220.415321224857</v>
      </c>
      <c r="G462">
        <f>EXP(dataset!L462)</f>
        <v>0.38267943376910041</v>
      </c>
      <c r="H462">
        <f>EXP(dataset!J462)</f>
        <v>2.0759111420423491E-2</v>
      </c>
    </row>
    <row r="463" spans="1:8" x14ac:dyDescent="0.25">
      <c r="A463" s="11">
        <f>dataset!A463</f>
        <v>52</v>
      </c>
      <c r="B463" s="11">
        <f>dataset!B463</f>
        <v>2017</v>
      </c>
      <c r="C463">
        <f>EXP(dataset!C463)</f>
        <v>0.23001205675600242</v>
      </c>
      <c r="D463">
        <f>EXP(dataset!D463)</f>
        <v>2.085</v>
      </c>
      <c r="E463">
        <f>EXP(dataset!G463)</f>
        <v>1.484</v>
      </c>
      <c r="F463">
        <f>1000*EXP(dataset!M463)</f>
        <v>17327.130289143828</v>
      </c>
      <c r="G463">
        <f>EXP(dataset!L463)</f>
        <v>0.38893106303029518</v>
      </c>
      <c r="H463">
        <f>EXP(dataset!J463)</f>
        <v>3.909262621607569E-2</v>
      </c>
    </row>
    <row r="464" spans="1:8" x14ac:dyDescent="0.25">
      <c r="A464" s="11">
        <f>dataset!A464</f>
        <v>52</v>
      </c>
      <c r="B464" s="11">
        <f>dataset!B464</f>
        <v>2018</v>
      </c>
      <c r="C464">
        <f>EXP(dataset!C464)</f>
        <v>0.17671471881668407</v>
      </c>
      <c r="D464">
        <f>EXP(dataset!D464)</f>
        <v>2.3633999999999999</v>
      </c>
      <c r="E464">
        <f>EXP(dataset!G464)</f>
        <v>1.5072000000000001</v>
      </c>
      <c r="F464">
        <f>1000*EXP(dataset!M464)</f>
        <v>16556.757611663699</v>
      </c>
      <c r="G464">
        <f>EXP(dataset!L464)</f>
        <v>0.39328661766429068</v>
      </c>
      <c r="H464">
        <f>EXP(dataset!J464)</f>
        <v>5.6637896445408509E-2</v>
      </c>
    </row>
    <row r="465" spans="1:8" x14ac:dyDescent="0.25">
      <c r="A465" s="11">
        <f>dataset!A465</f>
        <v>52</v>
      </c>
      <c r="B465" s="11">
        <f>dataset!B465</f>
        <v>2019</v>
      </c>
      <c r="C465">
        <f>EXP(dataset!C465)</f>
        <v>0.16259245401414635</v>
      </c>
      <c r="D465">
        <f>EXP(dataset!D465)</f>
        <v>2.2214999999999998</v>
      </c>
      <c r="E465">
        <f>EXP(dataset!G465)</f>
        <v>1.4645999999999999</v>
      </c>
      <c r="F465">
        <f>1000*EXP(dataset!M465)</f>
        <v>16705.715991313638</v>
      </c>
      <c r="G465">
        <f>EXP(dataset!L465)</f>
        <v>0.40036709462076148</v>
      </c>
      <c r="H465">
        <f>EXP(dataset!J465)</f>
        <v>0.11797638021678576</v>
      </c>
    </row>
    <row r="466" spans="1:8" x14ac:dyDescent="0.25">
      <c r="A466" s="11">
        <f>dataset!A466</f>
        <v>52</v>
      </c>
      <c r="B466" s="11">
        <f>dataset!B466</f>
        <v>2020</v>
      </c>
      <c r="C466">
        <f>EXP(dataset!C466)</f>
        <v>0.15907310846638933</v>
      </c>
      <c r="D466">
        <f>EXP(dataset!D466)</f>
        <v>2.0831</v>
      </c>
      <c r="E466">
        <f>EXP(dataset!G466)</f>
        <v>1.4154</v>
      </c>
      <c r="F466">
        <f>1000*EXP(dataset!M466)</f>
        <v>16626.636062649544</v>
      </c>
      <c r="G466">
        <f>EXP(dataset!L466)</f>
        <v>0.40684820778402869</v>
      </c>
      <c r="H466">
        <f>EXP(dataset!J466)</f>
        <v>0.22098701912128127</v>
      </c>
    </row>
    <row r="467" spans="1:8" x14ac:dyDescent="0.25">
      <c r="A467" s="11">
        <f>dataset!A467</f>
        <v>52</v>
      </c>
      <c r="B467" s="11">
        <f>dataset!B467</f>
        <v>2021</v>
      </c>
      <c r="C467">
        <f>EXP(dataset!C467)</f>
        <v>0.17742113918248986</v>
      </c>
      <c r="D467">
        <f>EXP(dataset!D467)</f>
        <v>2.5933999999999999</v>
      </c>
      <c r="E467">
        <f>EXP(dataset!G467)</f>
        <v>1.8842000000000001</v>
      </c>
      <c r="F467">
        <f>1000*EXP(dataset!M467)</f>
        <v>17464.742120120918</v>
      </c>
      <c r="G467">
        <f>EXP(dataset!L467)</f>
        <v>0.4134739749970478</v>
      </c>
      <c r="H467">
        <f>EXP(dataset!J467)</f>
        <v>0.4032420885942018</v>
      </c>
    </row>
    <row r="468" spans="1:8" x14ac:dyDescent="0.25">
      <c r="A468" s="11">
        <f>dataset!A468</f>
        <v>52</v>
      </c>
      <c r="B468" s="11">
        <f>dataset!B468</f>
        <v>2022</v>
      </c>
      <c r="C468">
        <f>EXP(dataset!C468)</f>
        <v>0.19903848269965158</v>
      </c>
      <c r="D468">
        <f>EXP(dataset!D468)</f>
        <v>2.4958999999999998</v>
      </c>
      <c r="E468">
        <f>EXP(dataset!G468)</f>
        <v>1.7446999999999999</v>
      </c>
      <c r="F468">
        <f>1000*EXP(dataset!M468)</f>
        <v>19007.447498754267</v>
      </c>
      <c r="G468">
        <f>EXP(dataset!L468)</f>
        <v>0.42505365575863979</v>
      </c>
      <c r="H468">
        <f>EXP(dataset!J468)</f>
        <v>0.69769484564750395</v>
      </c>
    </row>
    <row r="469" spans="1:8" x14ac:dyDescent="0.25">
      <c r="A469" s="11">
        <f>dataset!A469</f>
        <v>52</v>
      </c>
      <c r="B469" s="11">
        <f>dataset!B469</f>
        <v>2023</v>
      </c>
      <c r="C469">
        <f>EXP(dataset!C469)</f>
        <v>0.22730780123578562</v>
      </c>
      <c r="D469">
        <f>EXP(dataset!D469)</f>
        <v>2.1</v>
      </c>
      <c r="E469">
        <f>EXP(dataset!G469)</f>
        <v>1.4359999999999999</v>
      </c>
      <c r="F469">
        <f>1000*EXP(dataset!M469)</f>
        <v>19105.222316563362</v>
      </c>
      <c r="G469">
        <f>EXP(dataset!L469)</f>
        <v>0.4384401552523669</v>
      </c>
      <c r="H469">
        <f>EXP(dataset!J469)</f>
        <v>1.1650449331854502</v>
      </c>
    </row>
    <row r="470" spans="1:8" x14ac:dyDescent="0.25">
      <c r="A470" s="11">
        <f>dataset!A470</f>
        <v>53</v>
      </c>
      <c r="B470" s="11">
        <f>dataset!B470</f>
        <v>2006</v>
      </c>
      <c r="C470">
        <f>EXP(dataset!C470)</f>
        <v>0.30875932131434719</v>
      </c>
      <c r="D470">
        <f>EXP(dataset!D470)</f>
        <v>2.6</v>
      </c>
      <c r="E470">
        <f>EXP(dataset!G470)</f>
        <v>1.91</v>
      </c>
      <c r="F470">
        <f>1000*EXP(dataset!M470)</f>
        <v>47845.363483604204</v>
      </c>
      <c r="G470">
        <f>EXP(dataset!L470)</f>
        <v>0.31742179660573272</v>
      </c>
      <c r="H470">
        <f>EXP(dataset!J470)</f>
        <v>9.9999999999999805E-6</v>
      </c>
    </row>
    <row r="471" spans="1:8" x14ac:dyDescent="0.25">
      <c r="A471" s="11">
        <f>dataset!A471</f>
        <v>53</v>
      </c>
      <c r="B471" s="11">
        <f>dataset!B471</f>
        <v>2007</v>
      </c>
      <c r="C471">
        <f>EXP(dataset!C471)</f>
        <v>0.29617427762791881</v>
      </c>
      <c r="D471">
        <f>EXP(dataset!D471)</f>
        <v>2.4603000000000002</v>
      </c>
      <c r="E471">
        <f>EXP(dataset!G471)</f>
        <v>1.6177999999999999</v>
      </c>
      <c r="F471">
        <f>1000*EXP(dataset!M471)</f>
        <v>47852.638044794679</v>
      </c>
      <c r="G471">
        <f>EXP(dataset!L471)</f>
        <v>0.33507726458749565</v>
      </c>
      <c r="H471">
        <f>EXP(dataset!J471)</f>
        <v>9.9999999999999805E-6</v>
      </c>
    </row>
    <row r="472" spans="1:8" x14ac:dyDescent="0.25">
      <c r="A472" s="11">
        <f>dataset!A472</f>
        <v>53</v>
      </c>
      <c r="B472" s="11">
        <f>dataset!B472</f>
        <v>2008</v>
      </c>
      <c r="C472">
        <f>EXP(dataset!C472)</f>
        <v>0.30232357080650846</v>
      </c>
      <c r="D472">
        <f>EXP(dataset!D472)</f>
        <v>2.3050999999999999</v>
      </c>
      <c r="E472">
        <f>EXP(dataset!G472)</f>
        <v>1.6543000000000001</v>
      </c>
      <c r="F472">
        <f>1000*EXP(dataset!M472)</f>
        <v>50187.215446438771</v>
      </c>
      <c r="G472">
        <f>EXP(dataset!L472)</f>
        <v>0.35074353999888147</v>
      </c>
      <c r="H472">
        <f>EXP(dataset!J472)</f>
        <v>3.9105898381750019E-4</v>
      </c>
    </row>
    <row r="473" spans="1:8" x14ac:dyDescent="0.25">
      <c r="A473" s="11">
        <f>dataset!A473</f>
        <v>53</v>
      </c>
      <c r="B473" s="11">
        <f>dataset!B473</f>
        <v>2009</v>
      </c>
      <c r="C473">
        <f>EXP(dataset!C473)</f>
        <v>0.29217667062413571</v>
      </c>
      <c r="D473">
        <f>EXP(dataset!D473)</f>
        <v>2.3224999999999998</v>
      </c>
      <c r="E473">
        <f>EXP(dataset!G473)</f>
        <v>1.5946</v>
      </c>
      <c r="F473">
        <f>1000*EXP(dataset!M473)</f>
        <v>51707.675385450442</v>
      </c>
      <c r="G473">
        <f>EXP(dataset!L473)</f>
        <v>0.3731744975324956</v>
      </c>
      <c r="H473">
        <f>EXP(dataset!J473)</f>
        <v>1.1507987502325E-3</v>
      </c>
    </row>
    <row r="474" spans="1:8" x14ac:dyDescent="0.25">
      <c r="A474" s="11">
        <f>dataset!A474</f>
        <v>53</v>
      </c>
      <c r="B474" s="11">
        <f>dataset!B474</f>
        <v>2010</v>
      </c>
      <c r="C474">
        <f>EXP(dataset!C474)</f>
        <v>0.34486751478468752</v>
      </c>
      <c r="D474">
        <f>EXP(dataset!D474)</f>
        <v>2.2174999999999998</v>
      </c>
      <c r="E474">
        <f>EXP(dataset!G474)</f>
        <v>1.6447000000000001</v>
      </c>
      <c r="F474">
        <f>1000*EXP(dataset!M474)</f>
        <v>55272.113391825442</v>
      </c>
      <c r="G474">
        <f>EXP(dataset!L474)</f>
        <v>0.40200893866913662</v>
      </c>
      <c r="H474">
        <f>EXP(dataset!J474)</f>
        <v>2.3002236584137E-3</v>
      </c>
    </row>
    <row r="475" spans="1:8" x14ac:dyDescent="0.25">
      <c r="A475" s="11">
        <f>dataset!A475</f>
        <v>53</v>
      </c>
      <c r="B475" s="11">
        <f>dataset!B475</f>
        <v>2011</v>
      </c>
      <c r="C475">
        <f>EXP(dataset!C475)</f>
        <v>0.3839152673680209</v>
      </c>
      <c r="D475">
        <f>EXP(dataset!D475)</f>
        <v>2.1743000000000001</v>
      </c>
      <c r="E475">
        <f>EXP(dataset!G475)</f>
        <v>1.6902999999999999</v>
      </c>
      <c r="F475">
        <f>1000*EXP(dataset!M475)</f>
        <v>54673.778179331894</v>
      </c>
      <c r="G475">
        <f>EXP(dataset!L475)</f>
        <v>0.42723557642572901</v>
      </c>
      <c r="H475">
        <f>EXP(dataset!J475)</f>
        <v>1.1111119625378996E-2</v>
      </c>
    </row>
    <row r="476" spans="1:8" x14ac:dyDescent="0.25">
      <c r="A476" s="11">
        <f>dataset!A476</f>
        <v>53</v>
      </c>
      <c r="B476" s="11">
        <f>dataset!B476</f>
        <v>2012</v>
      </c>
      <c r="C476">
        <f>EXP(dataset!C476)</f>
        <v>0.40742494332709589</v>
      </c>
      <c r="D476">
        <f>EXP(dataset!D476)</f>
        <v>2.0615999999999999</v>
      </c>
      <c r="E476">
        <f>EXP(dataset!G476)</f>
        <v>1.6406000000000001</v>
      </c>
      <c r="F476">
        <f>1000*EXP(dataset!M476)</f>
        <v>52991.826706077132</v>
      </c>
      <c r="G476">
        <f>EXP(dataset!L476)</f>
        <v>0.4475222500615435</v>
      </c>
      <c r="H476">
        <f>EXP(dataset!J476)</f>
        <v>1.5102705951825311E-2</v>
      </c>
    </row>
    <row r="477" spans="1:8" x14ac:dyDescent="0.25">
      <c r="A477" s="11">
        <f>dataset!A477</f>
        <v>53</v>
      </c>
      <c r="B477" s="11">
        <f>dataset!B477</f>
        <v>2013</v>
      </c>
      <c r="C477">
        <f>EXP(dataset!C477)</f>
        <v>0.40256576100963481</v>
      </c>
      <c r="D477">
        <f>EXP(dataset!D477)</f>
        <v>2.0425</v>
      </c>
      <c r="E477">
        <f>EXP(dataset!G477)</f>
        <v>1.5628000000000002</v>
      </c>
      <c r="F477">
        <f>1000*EXP(dataset!M477)</f>
        <v>50163.813065707051</v>
      </c>
      <c r="G477">
        <f>EXP(dataset!L477)</f>
        <v>0.44946753503257081</v>
      </c>
      <c r="H477">
        <f>EXP(dataset!J477)</f>
        <v>3.1902374432791911E-2</v>
      </c>
    </row>
    <row r="478" spans="1:8" x14ac:dyDescent="0.25">
      <c r="A478" s="11">
        <f>dataset!A478</f>
        <v>53</v>
      </c>
      <c r="B478" s="11">
        <f>dataset!B478</f>
        <v>2014</v>
      </c>
      <c r="C478">
        <f>EXP(dataset!C478)</f>
        <v>0.4110363865582749</v>
      </c>
      <c r="D478">
        <f>EXP(dataset!D478)</f>
        <v>2.0097</v>
      </c>
      <c r="E478">
        <f>EXP(dataset!G478)</f>
        <v>1.5973999999999999</v>
      </c>
      <c r="F478">
        <f>1000*EXP(dataset!M478)</f>
        <v>51059.869935338014</v>
      </c>
      <c r="G478">
        <f>EXP(dataset!L478)</f>
        <v>0.45891033848319918</v>
      </c>
      <c r="H478">
        <f>EXP(dataset!J478)</f>
        <v>6.2754787944910392E-2</v>
      </c>
    </row>
    <row r="479" spans="1:8" x14ac:dyDescent="0.25">
      <c r="A479" s="11">
        <f>dataset!A479</f>
        <v>53</v>
      </c>
      <c r="B479" s="11">
        <f>dataset!B479</f>
        <v>2015</v>
      </c>
      <c r="C479">
        <f>EXP(dataset!C479)</f>
        <v>0.38501976101522212</v>
      </c>
      <c r="D479">
        <f>EXP(dataset!D479)</f>
        <v>2.0604</v>
      </c>
      <c r="E479">
        <f>EXP(dataset!G479)</f>
        <v>1.6006000000000002</v>
      </c>
      <c r="F479">
        <f>1000*EXP(dataset!M479)</f>
        <v>50728.719975264401</v>
      </c>
      <c r="G479">
        <f>EXP(dataset!L479)</f>
        <v>0.46498080505552641</v>
      </c>
      <c r="H479">
        <f>EXP(dataset!J479)</f>
        <v>9.537434430138296E-2</v>
      </c>
    </row>
    <row r="480" spans="1:8" x14ac:dyDescent="0.25">
      <c r="A480" s="11">
        <f>dataset!A480</f>
        <v>53</v>
      </c>
      <c r="B480" s="11">
        <f>dataset!B480</f>
        <v>2016</v>
      </c>
      <c r="C480">
        <f>EXP(dataset!C480)</f>
        <v>0.40292296561619978</v>
      </c>
      <c r="D480">
        <f>EXP(dataset!D480)</f>
        <v>2.0206</v>
      </c>
      <c r="E480">
        <f>EXP(dataset!G480)</f>
        <v>1.7194</v>
      </c>
      <c r="F480">
        <f>1000*EXP(dataset!M480)</f>
        <v>50188.787463254223</v>
      </c>
      <c r="G480">
        <f>EXP(dataset!L480)</f>
        <v>0.46719855059223109</v>
      </c>
      <c r="H480">
        <f>EXP(dataset!J480)</f>
        <v>0.13636901051183378</v>
      </c>
    </row>
    <row r="481" spans="1:8" x14ac:dyDescent="0.25">
      <c r="A481" s="11">
        <f>dataset!A481</f>
        <v>53</v>
      </c>
      <c r="B481" s="11">
        <f>dataset!B481</f>
        <v>2017</v>
      </c>
      <c r="C481">
        <f>EXP(dataset!C481)</f>
        <v>0.41656464471791549</v>
      </c>
      <c r="D481">
        <f>EXP(dataset!D481)</f>
        <v>1.9945999999999999</v>
      </c>
      <c r="E481">
        <f>EXP(dataset!G481)</f>
        <v>1.7285999999999999</v>
      </c>
      <c r="F481">
        <f>1000*EXP(dataset!M481)</f>
        <v>49268.881671088508</v>
      </c>
      <c r="G481">
        <f>EXP(dataset!L481)</f>
        <v>0.47016296401578711</v>
      </c>
      <c r="H481">
        <f>EXP(dataset!J481)</f>
        <v>0.24807168679534816</v>
      </c>
    </row>
    <row r="482" spans="1:8" x14ac:dyDescent="0.25">
      <c r="A482" s="11">
        <f>dataset!A482</f>
        <v>53</v>
      </c>
      <c r="B482" s="11">
        <f>dataset!B482</f>
        <v>2018</v>
      </c>
      <c r="C482">
        <f>EXP(dataset!C482)</f>
        <v>0.36668891986863872</v>
      </c>
      <c r="D482">
        <f>EXP(dataset!D482)</f>
        <v>2.2814000000000001</v>
      </c>
      <c r="E482">
        <f>EXP(dataset!G482)</f>
        <v>1.7533000000000001</v>
      </c>
      <c r="F482">
        <f>1000*EXP(dataset!M482)</f>
        <v>50163.648162656915</v>
      </c>
      <c r="G482">
        <f>EXP(dataset!L482)</f>
        <v>0.49523700349244948</v>
      </c>
      <c r="H482">
        <f>EXP(dataset!J482)</f>
        <v>0.39970376874598912</v>
      </c>
    </row>
    <row r="483" spans="1:8" x14ac:dyDescent="0.25">
      <c r="A483" s="11">
        <f>dataset!A483</f>
        <v>53</v>
      </c>
      <c r="B483" s="11">
        <f>dataset!B483</f>
        <v>2019</v>
      </c>
      <c r="C483">
        <f>EXP(dataset!C483)</f>
        <v>0.37247581972813021</v>
      </c>
      <c r="D483">
        <f>EXP(dataset!D483)</f>
        <v>2.1084999999999998</v>
      </c>
      <c r="E483">
        <f>EXP(dataset!G483)</f>
        <v>1.5924</v>
      </c>
      <c r="F483">
        <f>1000*EXP(dataset!M483)</f>
        <v>50985.548871111976</v>
      </c>
      <c r="G483">
        <f>EXP(dataset!L483)</f>
        <v>0.50572187944819502</v>
      </c>
      <c r="H483">
        <f>EXP(dataset!J483)</f>
        <v>0.83806812528770247</v>
      </c>
    </row>
    <row r="484" spans="1:8" x14ac:dyDescent="0.25">
      <c r="A484" s="11">
        <f>dataset!A484</f>
        <v>53</v>
      </c>
      <c r="B484" s="11">
        <f>dataset!B484</f>
        <v>2020</v>
      </c>
      <c r="C484">
        <f>EXP(dataset!C484)</f>
        <v>0.30984589622306474</v>
      </c>
      <c r="D484">
        <f>EXP(dataset!D484)</f>
        <v>1.9750000000000001</v>
      </c>
      <c r="E484">
        <f>EXP(dataset!G484)</f>
        <v>1.5328999999999999</v>
      </c>
      <c r="F484">
        <f>1000*EXP(dataset!M484)</f>
        <v>45919.550169729846</v>
      </c>
      <c r="G484">
        <f>EXP(dataset!L484)</f>
        <v>0.50999574816154625</v>
      </c>
      <c r="H484">
        <f>EXP(dataset!J484)</f>
        <v>1.4215345961849979</v>
      </c>
    </row>
    <row r="485" spans="1:8" x14ac:dyDescent="0.25">
      <c r="A485" s="11">
        <f>dataset!A485</f>
        <v>53</v>
      </c>
      <c r="B485" s="11">
        <f>dataset!B485</f>
        <v>2021</v>
      </c>
      <c r="C485">
        <f>EXP(dataset!C485)</f>
        <v>0.31842626420948011</v>
      </c>
      <c r="D485">
        <f>EXP(dataset!D485)</f>
        <v>2.5592000000000001</v>
      </c>
      <c r="E485">
        <f>EXP(dataset!G485)</f>
        <v>2.1149</v>
      </c>
      <c r="F485">
        <f>1000*EXP(dataset!M485)</f>
        <v>43287.054672408347</v>
      </c>
      <c r="G485">
        <f>EXP(dataset!L485)</f>
        <v>0.51154678322412805</v>
      </c>
      <c r="H485">
        <f>EXP(dataset!J485)</f>
        <v>2.3281329530673087</v>
      </c>
    </row>
    <row r="486" spans="1:8" x14ac:dyDescent="0.25">
      <c r="A486" s="11">
        <f>dataset!A486</f>
        <v>53</v>
      </c>
      <c r="B486" s="11">
        <f>dataset!B486</f>
        <v>2022</v>
      </c>
      <c r="C486">
        <f>EXP(dataset!C486)</f>
        <v>0.33791256897707889</v>
      </c>
      <c r="D486">
        <f>EXP(dataset!D486)</f>
        <v>2.5160999999999998</v>
      </c>
      <c r="E486">
        <f>EXP(dataset!G486)</f>
        <v>2.0192999999999999</v>
      </c>
      <c r="F486">
        <f>1000*EXP(dataset!M486)</f>
        <v>45685.539743950627</v>
      </c>
      <c r="G486">
        <f>EXP(dataset!L486)</f>
        <v>0.51805611886275682</v>
      </c>
      <c r="H486">
        <f>EXP(dataset!J486)</f>
        <v>3.9055367487254875</v>
      </c>
    </row>
    <row r="487" spans="1:8" x14ac:dyDescent="0.25">
      <c r="A487" s="11">
        <f>dataset!A487</f>
        <v>53</v>
      </c>
      <c r="B487" s="11">
        <f>dataset!B487</f>
        <v>2023</v>
      </c>
      <c r="C487">
        <f>EXP(dataset!C487)</f>
        <v>0.34145468236206605</v>
      </c>
      <c r="D487">
        <f>EXP(dataset!D487)</f>
        <v>2.1038999999999999</v>
      </c>
      <c r="E487">
        <f>EXP(dataset!G487)</f>
        <v>1.4823999999999999</v>
      </c>
      <c r="F487">
        <f>1000*EXP(dataset!M487)</f>
        <v>48317.059198726711</v>
      </c>
      <c r="G487">
        <f>EXP(dataset!L487)</f>
        <v>0.52776615255346482</v>
      </c>
      <c r="H487">
        <f>EXP(dataset!J487)</f>
        <v>6.862239745340263</v>
      </c>
    </row>
    <row r="488" spans="1:8" x14ac:dyDescent="0.25">
      <c r="A488" s="11"/>
      <c r="B488" s="11"/>
    </row>
    <row r="489" spans="1:8" x14ac:dyDescent="0.25">
      <c r="A489" s="11"/>
      <c r="B489" s="11"/>
    </row>
    <row r="490" spans="1:8" x14ac:dyDescent="0.25">
      <c r="A490" s="11"/>
      <c r="B490" s="11"/>
    </row>
    <row r="491" spans="1:8" x14ac:dyDescent="0.25">
      <c r="A491" s="11"/>
      <c r="B491" s="11"/>
    </row>
    <row r="492" spans="1:8" x14ac:dyDescent="0.25">
      <c r="A492" s="11"/>
      <c r="B492" s="11"/>
    </row>
    <row r="493" spans="1:8" x14ac:dyDescent="0.25">
      <c r="A493" s="11"/>
      <c r="B493" s="11"/>
    </row>
    <row r="494" spans="1:8" x14ac:dyDescent="0.25">
      <c r="A494" s="11"/>
      <c r="B494" s="11"/>
    </row>
    <row r="495" spans="1:8" x14ac:dyDescent="0.25">
      <c r="A495" s="11"/>
      <c r="B495" s="11"/>
    </row>
    <row r="496" spans="1:8" x14ac:dyDescent="0.25">
      <c r="A496" s="11"/>
      <c r="B496" s="11"/>
    </row>
    <row r="497" spans="1:2" x14ac:dyDescent="0.25">
      <c r="A497" s="11"/>
      <c r="B497" s="11"/>
    </row>
    <row r="498" spans="1:2" x14ac:dyDescent="0.25">
      <c r="A498" s="11"/>
      <c r="B498" s="11"/>
    </row>
    <row r="499" spans="1:2" x14ac:dyDescent="0.25">
      <c r="A499" s="11"/>
      <c r="B499" s="11"/>
    </row>
    <row r="500" spans="1:2" x14ac:dyDescent="0.25">
      <c r="A500" s="11"/>
      <c r="B500" s="11"/>
    </row>
    <row r="501" spans="1:2" x14ac:dyDescent="0.25">
      <c r="A501" s="11"/>
      <c r="B501" s="11"/>
    </row>
    <row r="502" spans="1:2" x14ac:dyDescent="0.25">
      <c r="A502" s="11"/>
      <c r="B502" s="11"/>
    </row>
    <row r="503" spans="1:2" x14ac:dyDescent="0.25">
      <c r="A503" s="11"/>
      <c r="B503" s="11"/>
    </row>
    <row r="504" spans="1:2" x14ac:dyDescent="0.25">
      <c r="A504" s="11"/>
      <c r="B504" s="11"/>
    </row>
    <row r="505" spans="1:2" x14ac:dyDescent="0.25">
      <c r="A505" s="11"/>
      <c r="B505" s="11"/>
    </row>
    <row r="506" spans="1:2" x14ac:dyDescent="0.25">
      <c r="A506" s="11"/>
      <c r="B506" s="11"/>
    </row>
    <row r="507" spans="1:2" x14ac:dyDescent="0.25">
      <c r="A507" s="11"/>
      <c r="B507" s="11"/>
    </row>
    <row r="508" spans="1:2" x14ac:dyDescent="0.25">
      <c r="A508" s="11"/>
      <c r="B508" s="11"/>
    </row>
    <row r="509" spans="1:2" x14ac:dyDescent="0.25">
      <c r="A509" s="11"/>
      <c r="B509" s="11"/>
    </row>
    <row r="510" spans="1:2" x14ac:dyDescent="0.25">
      <c r="A510" s="11"/>
      <c r="B510" s="11"/>
    </row>
    <row r="511" spans="1:2" x14ac:dyDescent="0.25">
      <c r="A511" s="11"/>
      <c r="B511" s="11"/>
    </row>
    <row r="512" spans="1:2" x14ac:dyDescent="0.25">
      <c r="A512" s="11"/>
      <c r="B512" s="11"/>
    </row>
    <row r="513" spans="1:2" x14ac:dyDescent="0.25">
      <c r="A513" s="11"/>
      <c r="B513" s="11"/>
    </row>
    <row r="514" spans="1:2" x14ac:dyDescent="0.25">
      <c r="A514" s="11"/>
      <c r="B514" s="11"/>
    </row>
    <row r="515" spans="1:2" x14ac:dyDescent="0.25">
      <c r="A515" s="11"/>
      <c r="B515" s="11"/>
    </row>
    <row r="516" spans="1:2" x14ac:dyDescent="0.25">
      <c r="A516" s="11"/>
      <c r="B516" s="11"/>
    </row>
    <row r="517" spans="1:2" x14ac:dyDescent="0.25">
      <c r="A517" s="11"/>
      <c r="B517" s="11"/>
    </row>
    <row r="518" spans="1:2" x14ac:dyDescent="0.25">
      <c r="A518" s="11"/>
      <c r="B518" s="11"/>
    </row>
    <row r="519" spans="1:2" x14ac:dyDescent="0.25">
      <c r="A519" s="11"/>
      <c r="B519" s="11"/>
    </row>
    <row r="520" spans="1:2" x14ac:dyDescent="0.25">
      <c r="A520" s="11"/>
      <c r="B520" s="11"/>
    </row>
    <row r="521" spans="1:2" x14ac:dyDescent="0.25">
      <c r="A521" s="11"/>
      <c r="B521" s="11"/>
    </row>
    <row r="522" spans="1:2" x14ac:dyDescent="0.25">
      <c r="A522" s="11"/>
      <c r="B522" s="11"/>
    </row>
    <row r="523" spans="1:2" x14ac:dyDescent="0.25">
      <c r="A523" s="11"/>
      <c r="B523" s="11"/>
    </row>
    <row r="524" spans="1:2" x14ac:dyDescent="0.25">
      <c r="A524" s="11"/>
      <c r="B524" s="11"/>
    </row>
    <row r="525" spans="1:2" x14ac:dyDescent="0.25">
      <c r="A525" s="11"/>
      <c r="B525" s="11"/>
    </row>
    <row r="526" spans="1:2" x14ac:dyDescent="0.25">
      <c r="A526" s="11"/>
      <c r="B526" s="11"/>
    </row>
    <row r="527" spans="1:2" x14ac:dyDescent="0.25">
      <c r="A527" s="11"/>
      <c r="B527" s="11"/>
    </row>
    <row r="528" spans="1:2" x14ac:dyDescent="0.25">
      <c r="A528" s="11"/>
      <c r="B528" s="11"/>
    </row>
    <row r="529" spans="1:2" x14ac:dyDescent="0.25">
      <c r="A529" s="11"/>
      <c r="B529" s="11"/>
    </row>
    <row r="530" spans="1:2" x14ac:dyDescent="0.25">
      <c r="A530" s="11"/>
      <c r="B530" s="11"/>
    </row>
    <row r="531" spans="1:2" x14ac:dyDescent="0.25">
      <c r="A531" s="11"/>
      <c r="B531" s="11"/>
    </row>
    <row r="532" spans="1:2" x14ac:dyDescent="0.25">
      <c r="A532" s="11"/>
      <c r="B532" s="11"/>
    </row>
    <row r="533" spans="1:2" x14ac:dyDescent="0.25">
      <c r="A533" s="11"/>
      <c r="B533" s="11"/>
    </row>
    <row r="534" spans="1:2" x14ac:dyDescent="0.25">
      <c r="A534" s="11"/>
      <c r="B534" s="11"/>
    </row>
    <row r="535" spans="1:2" x14ac:dyDescent="0.25">
      <c r="A535" s="11"/>
      <c r="B535" s="11"/>
    </row>
    <row r="536" spans="1:2" x14ac:dyDescent="0.25">
      <c r="A536" s="11"/>
      <c r="B536" s="11"/>
    </row>
    <row r="537" spans="1:2" x14ac:dyDescent="0.25">
      <c r="A537" s="11"/>
      <c r="B537" s="11"/>
    </row>
    <row r="538" spans="1:2" x14ac:dyDescent="0.25">
      <c r="A538" s="11"/>
      <c r="B538" s="11"/>
    </row>
    <row r="539" spans="1:2" x14ac:dyDescent="0.25">
      <c r="A539" s="11"/>
      <c r="B539" s="11"/>
    </row>
    <row r="540" spans="1:2" x14ac:dyDescent="0.25">
      <c r="A540" s="11"/>
      <c r="B540" s="11"/>
    </row>
    <row r="541" spans="1:2" x14ac:dyDescent="0.25">
      <c r="A541" s="11"/>
      <c r="B541" s="11"/>
    </row>
    <row r="542" spans="1:2" x14ac:dyDescent="0.25">
      <c r="A542" s="11"/>
      <c r="B542" s="11"/>
    </row>
    <row r="543" spans="1:2" x14ac:dyDescent="0.25">
      <c r="A543" s="11"/>
      <c r="B543" s="11"/>
    </row>
    <row r="544" spans="1:2" x14ac:dyDescent="0.25">
      <c r="A544" s="11"/>
      <c r="B544" s="11"/>
    </row>
    <row r="545" spans="1:2" x14ac:dyDescent="0.25">
      <c r="A545" s="11"/>
      <c r="B545" s="11"/>
    </row>
    <row r="546" spans="1:2" x14ac:dyDescent="0.25">
      <c r="A546" s="11"/>
      <c r="B546" s="11"/>
    </row>
    <row r="547" spans="1:2" x14ac:dyDescent="0.25">
      <c r="A547" s="11"/>
      <c r="B547" s="11"/>
    </row>
    <row r="548" spans="1:2" x14ac:dyDescent="0.25">
      <c r="A548" s="11"/>
      <c r="B548" s="11"/>
    </row>
    <row r="549" spans="1:2" x14ac:dyDescent="0.25">
      <c r="A549" s="11"/>
      <c r="B549" s="11"/>
    </row>
    <row r="550" spans="1:2" x14ac:dyDescent="0.25">
      <c r="A550" s="11"/>
      <c r="B550" s="11"/>
    </row>
    <row r="551" spans="1:2" x14ac:dyDescent="0.25">
      <c r="A551" s="11"/>
      <c r="B551" s="11"/>
    </row>
    <row r="552" spans="1:2" x14ac:dyDescent="0.25">
      <c r="A552" s="11"/>
      <c r="B552" s="11"/>
    </row>
    <row r="553" spans="1:2" x14ac:dyDescent="0.25">
      <c r="A553" s="11"/>
      <c r="B553" s="11"/>
    </row>
    <row r="554" spans="1:2" x14ac:dyDescent="0.25">
      <c r="A554" s="11"/>
      <c r="B554" s="11"/>
    </row>
    <row r="555" spans="1:2" x14ac:dyDescent="0.25">
      <c r="A555" s="11"/>
      <c r="B555" s="11"/>
    </row>
    <row r="556" spans="1:2" x14ac:dyDescent="0.25">
      <c r="A556" s="11"/>
      <c r="B556" s="11"/>
    </row>
    <row r="557" spans="1:2" x14ac:dyDescent="0.25">
      <c r="A557" s="11"/>
      <c r="B557" s="11"/>
    </row>
    <row r="558" spans="1:2" x14ac:dyDescent="0.25">
      <c r="A558" s="11"/>
      <c r="B558" s="11"/>
    </row>
    <row r="559" spans="1:2" x14ac:dyDescent="0.25">
      <c r="A559" s="11"/>
      <c r="B559" s="11"/>
    </row>
    <row r="560" spans="1:2" x14ac:dyDescent="0.25">
      <c r="A560" s="11"/>
      <c r="B560" s="11"/>
    </row>
    <row r="561" spans="1:2" x14ac:dyDescent="0.25">
      <c r="A561" s="11"/>
      <c r="B561" s="11"/>
    </row>
    <row r="562" spans="1:2" x14ac:dyDescent="0.25">
      <c r="A562" s="11"/>
      <c r="B562" s="11"/>
    </row>
    <row r="563" spans="1:2" x14ac:dyDescent="0.25">
      <c r="A563" s="11"/>
      <c r="B563" s="11"/>
    </row>
    <row r="564" spans="1:2" x14ac:dyDescent="0.25">
      <c r="A564" s="11"/>
      <c r="B564" s="11"/>
    </row>
    <row r="565" spans="1:2" x14ac:dyDescent="0.25">
      <c r="A565" s="11"/>
      <c r="B565" s="11"/>
    </row>
    <row r="566" spans="1:2" x14ac:dyDescent="0.25">
      <c r="A566" s="11"/>
      <c r="B566" s="11"/>
    </row>
    <row r="567" spans="1:2" x14ac:dyDescent="0.25">
      <c r="A567" s="11"/>
      <c r="B567" s="11"/>
    </row>
    <row r="568" spans="1:2" x14ac:dyDescent="0.25">
      <c r="A568" s="11"/>
      <c r="B568" s="11"/>
    </row>
    <row r="569" spans="1:2" x14ac:dyDescent="0.25">
      <c r="A569" s="11"/>
      <c r="B569" s="11"/>
    </row>
    <row r="570" spans="1:2" x14ac:dyDescent="0.25">
      <c r="A570" s="11"/>
      <c r="B570" s="11"/>
    </row>
    <row r="571" spans="1:2" x14ac:dyDescent="0.25">
      <c r="A571" s="11"/>
      <c r="B571" s="11"/>
    </row>
    <row r="572" spans="1:2" x14ac:dyDescent="0.25">
      <c r="A572" s="11"/>
      <c r="B572" s="11"/>
    </row>
    <row r="573" spans="1:2" x14ac:dyDescent="0.25">
      <c r="A573" s="11"/>
      <c r="B573" s="11"/>
    </row>
    <row r="574" spans="1:2" x14ac:dyDescent="0.25">
      <c r="A574" s="11"/>
      <c r="B574" s="11"/>
    </row>
    <row r="575" spans="1:2" x14ac:dyDescent="0.25">
      <c r="A575" s="11"/>
      <c r="B575" s="11"/>
    </row>
    <row r="576" spans="1:2" x14ac:dyDescent="0.25">
      <c r="A576" s="11"/>
      <c r="B576" s="11"/>
    </row>
    <row r="577" spans="1:2" x14ac:dyDescent="0.25">
      <c r="A577" s="11"/>
      <c r="B577" s="11"/>
    </row>
    <row r="578" spans="1:2" x14ac:dyDescent="0.25">
      <c r="A578" s="11"/>
      <c r="B578" s="11"/>
    </row>
    <row r="579" spans="1:2" x14ac:dyDescent="0.25">
      <c r="A579" s="11"/>
      <c r="B579" s="11"/>
    </row>
    <row r="580" spans="1:2" x14ac:dyDescent="0.25">
      <c r="A580" s="11"/>
      <c r="B580" s="11"/>
    </row>
    <row r="581" spans="1:2" x14ac:dyDescent="0.25">
      <c r="A581" s="11"/>
      <c r="B581" s="11"/>
    </row>
    <row r="582" spans="1:2" x14ac:dyDescent="0.25">
      <c r="A582" s="11"/>
      <c r="B582" s="11"/>
    </row>
    <row r="583" spans="1:2" x14ac:dyDescent="0.25">
      <c r="A583" s="11"/>
      <c r="B583" s="11"/>
    </row>
    <row r="584" spans="1:2" x14ac:dyDescent="0.25">
      <c r="A584" s="11"/>
      <c r="B584" s="11"/>
    </row>
    <row r="585" spans="1:2" x14ac:dyDescent="0.25">
      <c r="A585" s="11"/>
      <c r="B585" s="11"/>
    </row>
    <row r="586" spans="1:2" x14ac:dyDescent="0.25">
      <c r="A586" s="11"/>
      <c r="B586" s="11"/>
    </row>
    <row r="587" spans="1:2" x14ac:dyDescent="0.25">
      <c r="A587" s="11"/>
      <c r="B587" s="11"/>
    </row>
    <row r="588" spans="1:2" x14ac:dyDescent="0.25">
      <c r="A588" s="11"/>
      <c r="B588" s="11"/>
    </row>
    <row r="589" spans="1:2" x14ac:dyDescent="0.25">
      <c r="A589" s="11"/>
      <c r="B589" s="11"/>
    </row>
    <row r="590" spans="1:2" x14ac:dyDescent="0.25">
      <c r="A590" s="11"/>
      <c r="B590" s="11"/>
    </row>
    <row r="591" spans="1:2" x14ac:dyDescent="0.25">
      <c r="A591" s="11"/>
      <c r="B591" s="11"/>
    </row>
    <row r="592" spans="1:2" x14ac:dyDescent="0.25">
      <c r="A592" s="11"/>
      <c r="B592" s="11"/>
    </row>
    <row r="593" spans="1:2" x14ac:dyDescent="0.25">
      <c r="A593" s="11"/>
      <c r="B593" s="11"/>
    </row>
    <row r="594" spans="1:2" x14ac:dyDescent="0.25">
      <c r="A594" s="11"/>
      <c r="B594" s="11"/>
    </row>
    <row r="595" spans="1:2" x14ac:dyDescent="0.25">
      <c r="A595" s="11"/>
      <c r="B595" s="11"/>
    </row>
    <row r="596" spans="1:2" x14ac:dyDescent="0.25">
      <c r="A596" s="11"/>
      <c r="B596" s="11"/>
    </row>
    <row r="597" spans="1:2" x14ac:dyDescent="0.25">
      <c r="A597" s="11"/>
      <c r="B597" s="11"/>
    </row>
    <row r="598" spans="1:2" x14ac:dyDescent="0.25">
      <c r="A598" s="11"/>
      <c r="B598" s="11"/>
    </row>
    <row r="599" spans="1:2" x14ac:dyDescent="0.25">
      <c r="A599" s="11"/>
      <c r="B599" s="11"/>
    </row>
    <row r="600" spans="1:2" x14ac:dyDescent="0.25">
      <c r="A600" s="11"/>
      <c r="B600" s="11"/>
    </row>
    <row r="601" spans="1:2" x14ac:dyDescent="0.25">
      <c r="A601" s="11"/>
      <c r="B601" s="11"/>
    </row>
    <row r="602" spans="1:2" x14ac:dyDescent="0.25">
      <c r="A602" s="11"/>
      <c r="B602" s="11"/>
    </row>
    <row r="603" spans="1:2" x14ac:dyDescent="0.25">
      <c r="A603" s="11"/>
      <c r="B603" s="11"/>
    </row>
    <row r="604" spans="1:2" x14ac:dyDescent="0.25">
      <c r="A604" s="11"/>
      <c r="B604" s="11"/>
    </row>
    <row r="605" spans="1:2" x14ac:dyDescent="0.25">
      <c r="A605" s="11"/>
      <c r="B605" s="11"/>
    </row>
    <row r="606" spans="1:2" x14ac:dyDescent="0.25">
      <c r="A606" s="11"/>
      <c r="B606" s="11"/>
    </row>
    <row r="607" spans="1:2" x14ac:dyDescent="0.25">
      <c r="A607" s="11"/>
      <c r="B607" s="11"/>
    </row>
    <row r="608" spans="1:2" x14ac:dyDescent="0.25">
      <c r="A608" s="11"/>
      <c r="B608" s="11"/>
    </row>
    <row r="609" spans="1:2" x14ac:dyDescent="0.25">
      <c r="A609" s="11"/>
      <c r="B609" s="11"/>
    </row>
    <row r="610" spans="1:2" x14ac:dyDescent="0.25">
      <c r="A610" s="11"/>
      <c r="B610" s="11"/>
    </row>
    <row r="611" spans="1:2" x14ac:dyDescent="0.25">
      <c r="A611" s="11"/>
      <c r="B611" s="11"/>
    </row>
    <row r="612" spans="1:2" x14ac:dyDescent="0.25">
      <c r="A612" s="11"/>
      <c r="B612" s="11"/>
    </row>
    <row r="613" spans="1:2" x14ac:dyDescent="0.25">
      <c r="A613" s="11"/>
      <c r="B613" s="11"/>
    </row>
    <row r="614" spans="1:2" x14ac:dyDescent="0.25">
      <c r="A614" s="11"/>
      <c r="B614" s="11"/>
    </row>
    <row r="615" spans="1:2" x14ac:dyDescent="0.25">
      <c r="A615" s="11"/>
      <c r="B615" s="11"/>
    </row>
    <row r="616" spans="1:2" x14ac:dyDescent="0.25">
      <c r="A616" s="11"/>
      <c r="B616" s="11"/>
    </row>
    <row r="617" spans="1:2" x14ac:dyDescent="0.25">
      <c r="A617" s="11"/>
      <c r="B617" s="11"/>
    </row>
    <row r="618" spans="1:2" x14ac:dyDescent="0.25">
      <c r="A618" s="11"/>
      <c r="B618" s="11"/>
    </row>
    <row r="619" spans="1:2" x14ac:dyDescent="0.25">
      <c r="A619" s="11"/>
      <c r="B619" s="11"/>
    </row>
    <row r="620" spans="1:2" x14ac:dyDescent="0.25">
      <c r="A620" s="11"/>
      <c r="B620" s="11"/>
    </row>
    <row r="621" spans="1:2" x14ac:dyDescent="0.25">
      <c r="A621" s="11"/>
      <c r="B621" s="11"/>
    </row>
    <row r="622" spans="1:2" x14ac:dyDescent="0.25">
      <c r="A622" s="11"/>
      <c r="B622" s="11"/>
    </row>
    <row r="623" spans="1:2" x14ac:dyDescent="0.25">
      <c r="A623" s="11"/>
      <c r="B623" s="11"/>
    </row>
    <row r="624" spans="1:2" x14ac:dyDescent="0.25">
      <c r="A624" s="11"/>
      <c r="B624" s="11"/>
    </row>
    <row r="625" spans="1:2" x14ac:dyDescent="0.25">
      <c r="A625" s="11"/>
      <c r="B625" s="11"/>
    </row>
    <row r="626" spans="1:2" x14ac:dyDescent="0.25">
      <c r="A626" s="11"/>
      <c r="B626" s="11"/>
    </row>
    <row r="627" spans="1:2" x14ac:dyDescent="0.25">
      <c r="A627" s="11"/>
      <c r="B627" s="11"/>
    </row>
    <row r="628" spans="1:2" x14ac:dyDescent="0.25">
      <c r="A628" s="11"/>
      <c r="B628" s="11"/>
    </row>
    <row r="629" spans="1:2" x14ac:dyDescent="0.25">
      <c r="A629" s="11"/>
      <c r="B629" s="11"/>
    </row>
    <row r="630" spans="1:2" x14ac:dyDescent="0.25">
      <c r="A630" s="11"/>
      <c r="B630" s="11"/>
    </row>
    <row r="631" spans="1:2" x14ac:dyDescent="0.25">
      <c r="A631" s="11"/>
      <c r="B631" s="11"/>
    </row>
    <row r="632" spans="1:2" x14ac:dyDescent="0.25">
      <c r="A632" s="11"/>
      <c r="B632" s="11"/>
    </row>
    <row r="633" spans="1:2" x14ac:dyDescent="0.25">
      <c r="A633" s="11"/>
      <c r="B633" s="11"/>
    </row>
    <row r="634" spans="1:2" x14ac:dyDescent="0.25">
      <c r="A634" s="11"/>
      <c r="B634" s="11"/>
    </row>
    <row r="635" spans="1:2" x14ac:dyDescent="0.25">
      <c r="A635" s="11"/>
      <c r="B635" s="11"/>
    </row>
    <row r="636" spans="1:2" x14ac:dyDescent="0.25">
      <c r="A636" s="11"/>
      <c r="B636" s="11"/>
    </row>
    <row r="637" spans="1:2" x14ac:dyDescent="0.25">
      <c r="A637" s="11"/>
      <c r="B637" s="11"/>
    </row>
    <row r="638" spans="1:2" x14ac:dyDescent="0.25">
      <c r="A638" s="11"/>
      <c r="B638" s="11"/>
    </row>
    <row r="639" spans="1:2" x14ac:dyDescent="0.25">
      <c r="A639" s="11"/>
      <c r="B639" s="11"/>
    </row>
    <row r="640" spans="1:2" x14ac:dyDescent="0.25">
      <c r="A640" s="11"/>
      <c r="B640" s="11"/>
    </row>
    <row r="641" spans="1:2" x14ac:dyDescent="0.25">
      <c r="A641" s="11"/>
      <c r="B641" s="11"/>
    </row>
    <row r="642" spans="1:2" x14ac:dyDescent="0.25">
      <c r="A642" s="11"/>
      <c r="B642" s="11"/>
    </row>
    <row r="643" spans="1:2" x14ac:dyDescent="0.25">
      <c r="A643" s="11"/>
      <c r="B643" s="11"/>
    </row>
    <row r="644" spans="1:2" x14ac:dyDescent="0.25">
      <c r="A644" s="11"/>
      <c r="B644" s="11"/>
    </row>
    <row r="645" spans="1:2" x14ac:dyDescent="0.25">
      <c r="A645" s="11"/>
      <c r="B645" s="11"/>
    </row>
    <row r="646" spans="1:2" x14ac:dyDescent="0.25">
      <c r="A646" s="11"/>
      <c r="B646" s="11"/>
    </row>
    <row r="647" spans="1:2" x14ac:dyDescent="0.25">
      <c r="A647" s="11"/>
      <c r="B647" s="11"/>
    </row>
    <row r="648" spans="1:2" x14ac:dyDescent="0.25">
      <c r="A648" s="11"/>
      <c r="B648" s="11"/>
    </row>
    <row r="649" spans="1:2" x14ac:dyDescent="0.25">
      <c r="A649" s="11"/>
      <c r="B649" s="11"/>
    </row>
    <row r="650" spans="1:2" x14ac:dyDescent="0.25">
      <c r="A650" s="11"/>
      <c r="B650" s="11"/>
    </row>
    <row r="651" spans="1:2" x14ac:dyDescent="0.25">
      <c r="A651" s="11"/>
      <c r="B651" s="11"/>
    </row>
    <row r="652" spans="1:2" x14ac:dyDescent="0.25">
      <c r="A652" s="11"/>
      <c r="B652" s="11"/>
    </row>
    <row r="653" spans="1:2" x14ac:dyDescent="0.25">
      <c r="A653" s="11"/>
      <c r="B653" s="11"/>
    </row>
    <row r="654" spans="1:2" x14ac:dyDescent="0.25">
      <c r="A654" s="11"/>
      <c r="B654" s="11"/>
    </row>
    <row r="655" spans="1:2" x14ac:dyDescent="0.25">
      <c r="A655" s="11"/>
      <c r="B655" s="11"/>
    </row>
    <row r="656" spans="1:2" x14ac:dyDescent="0.25">
      <c r="A656" s="11"/>
      <c r="B656" s="11"/>
    </row>
    <row r="657" spans="1:2" x14ac:dyDescent="0.25">
      <c r="A657" s="11"/>
      <c r="B657" s="11"/>
    </row>
    <row r="658" spans="1:2" x14ac:dyDescent="0.25">
      <c r="A658" s="11"/>
      <c r="B658" s="11"/>
    </row>
    <row r="659" spans="1:2" x14ac:dyDescent="0.25">
      <c r="A659" s="11"/>
      <c r="B659" s="11"/>
    </row>
    <row r="660" spans="1:2" x14ac:dyDescent="0.25">
      <c r="A660" s="11"/>
      <c r="B660" s="11"/>
    </row>
    <row r="661" spans="1:2" x14ac:dyDescent="0.25">
      <c r="A661" s="11"/>
      <c r="B661" s="11"/>
    </row>
    <row r="662" spans="1:2" x14ac:dyDescent="0.25">
      <c r="A662" s="11"/>
      <c r="B662" s="11"/>
    </row>
    <row r="663" spans="1:2" x14ac:dyDescent="0.25">
      <c r="A663" s="11"/>
      <c r="B663" s="11"/>
    </row>
    <row r="664" spans="1:2" x14ac:dyDescent="0.25">
      <c r="A664" s="11"/>
      <c r="B664" s="11"/>
    </row>
    <row r="665" spans="1:2" x14ac:dyDescent="0.25">
      <c r="A665" s="11"/>
      <c r="B665" s="11"/>
    </row>
    <row r="666" spans="1:2" x14ac:dyDescent="0.25">
      <c r="A666" s="11"/>
      <c r="B666" s="11"/>
    </row>
    <row r="667" spans="1:2" x14ac:dyDescent="0.25">
      <c r="A667" s="11"/>
      <c r="B667" s="11"/>
    </row>
    <row r="668" spans="1:2" x14ac:dyDescent="0.25">
      <c r="A668" s="11"/>
      <c r="B668" s="11"/>
    </row>
    <row r="669" spans="1:2" x14ac:dyDescent="0.25">
      <c r="A669" s="11"/>
      <c r="B669" s="11"/>
    </row>
    <row r="670" spans="1:2" x14ac:dyDescent="0.25">
      <c r="A670" s="11"/>
      <c r="B670" s="11"/>
    </row>
    <row r="671" spans="1:2" x14ac:dyDescent="0.25">
      <c r="A671" s="11"/>
      <c r="B671" s="11"/>
    </row>
    <row r="672" spans="1:2" x14ac:dyDescent="0.25">
      <c r="A672" s="11"/>
      <c r="B672" s="11"/>
    </row>
    <row r="673" spans="1:2" x14ac:dyDescent="0.25">
      <c r="A673" s="11"/>
      <c r="B673" s="11"/>
    </row>
    <row r="674" spans="1:2" x14ac:dyDescent="0.25">
      <c r="A674" s="11"/>
      <c r="B674" s="11"/>
    </row>
    <row r="675" spans="1:2" x14ac:dyDescent="0.25">
      <c r="A675" s="11"/>
      <c r="B675" s="11"/>
    </row>
    <row r="676" spans="1:2" x14ac:dyDescent="0.25">
      <c r="A676" s="11"/>
      <c r="B676" s="11"/>
    </row>
    <row r="677" spans="1:2" x14ac:dyDescent="0.25">
      <c r="A677" s="11"/>
      <c r="B677" s="11"/>
    </row>
    <row r="678" spans="1:2" x14ac:dyDescent="0.25">
      <c r="A678" s="11"/>
      <c r="B678" s="11"/>
    </row>
    <row r="679" spans="1:2" x14ac:dyDescent="0.25">
      <c r="A679" s="11"/>
      <c r="B679" s="11"/>
    </row>
    <row r="680" spans="1:2" x14ac:dyDescent="0.25">
      <c r="A680" s="11"/>
      <c r="B680" s="11"/>
    </row>
    <row r="681" spans="1:2" x14ac:dyDescent="0.25">
      <c r="A681" s="11"/>
      <c r="B681" s="11"/>
    </row>
    <row r="682" spans="1:2" x14ac:dyDescent="0.25">
      <c r="A682" s="11"/>
      <c r="B682" s="11"/>
    </row>
    <row r="683" spans="1:2" x14ac:dyDescent="0.25">
      <c r="A683" s="11"/>
      <c r="B683" s="11"/>
    </row>
    <row r="684" spans="1:2" x14ac:dyDescent="0.25">
      <c r="A684" s="11"/>
      <c r="B684" s="11"/>
    </row>
    <row r="685" spans="1:2" x14ac:dyDescent="0.25">
      <c r="A685" s="11"/>
      <c r="B68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B28-14DB-4EA0-9A96-52CB687EEEF0}">
  <dimension ref="A3:AD93"/>
  <sheetViews>
    <sheetView topLeftCell="A6" workbookViewId="0">
      <selection activeCell="K4" sqref="K4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5.28515625" bestFit="1" customWidth="1"/>
    <col min="4" max="4" width="16" bestFit="1" customWidth="1"/>
    <col min="5" max="5" width="12" bestFit="1" customWidth="1"/>
    <col min="6" max="6" width="7.85546875" bestFit="1" customWidth="1"/>
    <col min="7" max="7" width="9" bestFit="1" customWidth="1"/>
    <col min="8" max="8" width="7.5703125" bestFit="1" customWidth="1"/>
    <col min="9" max="9" width="12" bestFit="1" customWidth="1"/>
    <col min="10" max="10" width="10.28515625" bestFit="1" customWidth="1"/>
    <col min="11" max="11" width="12.7109375" bestFit="1" customWidth="1"/>
    <col min="12" max="12" width="9.7109375" bestFit="1" customWidth="1"/>
    <col min="13" max="13" width="15.28515625" bestFit="1" customWidth="1"/>
    <col min="14" max="14" width="12" bestFit="1" customWidth="1"/>
    <col min="15" max="15" width="15.28515625" bestFit="1" customWidth="1"/>
    <col min="16" max="16" width="12" bestFit="1" customWidth="1"/>
    <col min="17" max="17" width="15.28515625" bestFit="1" customWidth="1"/>
    <col min="18" max="18" width="12" bestFit="1" customWidth="1"/>
    <col min="19" max="19" width="15.28515625" bestFit="1" customWidth="1"/>
    <col min="20" max="20" width="12" bestFit="1" customWidth="1"/>
    <col min="21" max="21" width="15.28515625" bestFit="1" customWidth="1"/>
    <col min="22" max="22" width="12" bestFit="1" customWidth="1"/>
    <col min="23" max="23" width="15.28515625" bestFit="1" customWidth="1"/>
    <col min="24" max="24" width="12" bestFit="1" customWidth="1"/>
    <col min="25" max="25" width="15.28515625" bestFit="1" customWidth="1"/>
    <col min="26" max="26" width="12" bestFit="1" customWidth="1"/>
    <col min="27" max="27" width="15.28515625" bestFit="1" customWidth="1"/>
    <col min="28" max="28" width="12" bestFit="1" customWidth="1"/>
    <col min="29" max="29" width="15.28515625" bestFit="1" customWidth="1"/>
    <col min="30" max="30" width="12" bestFit="1" customWidth="1"/>
    <col min="31" max="31" width="15.28515625" bestFit="1" customWidth="1"/>
    <col min="32" max="32" width="12" bestFit="1" customWidth="1"/>
    <col min="33" max="33" width="15.28515625" bestFit="1" customWidth="1"/>
    <col min="34" max="34" width="12" bestFit="1" customWidth="1"/>
    <col min="35" max="35" width="15.28515625" bestFit="1" customWidth="1"/>
    <col min="36" max="36" width="12" bestFit="1" customWidth="1"/>
    <col min="37" max="37" width="15.28515625" bestFit="1" customWidth="1"/>
    <col min="38" max="38" width="12" bestFit="1" customWidth="1"/>
    <col min="39" max="39" width="15.28515625" bestFit="1" customWidth="1"/>
    <col min="40" max="40" width="12" bestFit="1" customWidth="1"/>
    <col min="41" max="41" width="15.28515625" bestFit="1" customWidth="1"/>
    <col min="42" max="42" width="12" bestFit="1" customWidth="1"/>
    <col min="43" max="43" width="15.28515625" bestFit="1" customWidth="1"/>
    <col min="44" max="44" width="12" bestFit="1" customWidth="1"/>
    <col min="45" max="45" width="15.28515625" bestFit="1" customWidth="1"/>
    <col min="46" max="46" width="12" bestFit="1" customWidth="1"/>
    <col min="47" max="47" width="15.28515625" bestFit="1" customWidth="1"/>
    <col min="48" max="48" width="12" bestFit="1" customWidth="1"/>
    <col min="49" max="49" width="15.28515625" bestFit="1" customWidth="1"/>
    <col min="50" max="50" width="12" bestFit="1" customWidth="1"/>
    <col min="51" max="51" width="15.28515625" bestFit="1" customWidth="1"/>
    <col min="52" max="52" width="12" bestFit="1" customWidth="1"/>
    <col min="53" max="53" width="15.28515625" bestFit="1" customWidth="1"/>
    <col min="54" max="54" width="12" bestFit="1" customWidth="1"/>
    <col min="55" max="55" width="15.28515625" bestFit="1" customWidth="1"/>
    <col min="56" max="56" width="17" bestFit="1" customWidth="1"/>
    <col min="57" max="57" width="20.28515625" bestFit="1" customWidth="1"/>
  </cols>
  <sheetData>
    <row r="3" spans="1:30" ht="18" x14ac:dyDescent="0.35">
      <c r="A3" s="3" t="s">
        <v>19</v>
      </c>
      <c r="B3" t="s">
        <v>59</v>
      </c>
      <c r="C3" t="s">
        <v>58</v>
      </c>
      <c r="D3" t="s">
        <v>64</v>
      </c>
      <c r="F3" s="1" t="s">
        <v>21</v>
      </c>
      <c r="G3" s="1" t="s">
        <v>104</v>
      </c>
      <c r="H3" s="1" t="s">
        <v>60</v>
      </c>
      <c r="I3" s="1" t="s">
        <v>61</v>
      </c>
      <c r="J3" s="1" t="s">
        <v>77</v>
      </c>
      <c r="K3" s="6" t="s">
        <v>105</v>
      </c>
      <c r="L3" s="1"/>
      <c r="V3" s="1"/>
      <c r="W3" s="1"/>
      <c r="X3" s="1"/>
      <c r="Y3" s="1"/>
      <c r="AA3" s="1"/>
      <c r="AB3" s="1"/>
      <c r="AC3" s="1"/>
      <c r="AD3" s="1"/>
    </row>
    <row r="4" spans="1:30" x14ac:dyDescent="0.25">
      <c r="A4" s="4">
        <v>2006</v>
      </c>
      <c r="B4">
        <v>0.11751240070935599</v>
      </c>
      <c r="C4">
        <v>5.2036850001190807E-4</v>
      </c>
      <c r="D4">
        <v>0.10754826355964797</v>
      </c>
      <c r="F4" s="4">
        <v>2006</v>
      </c>
      <c r="G4" s="5">
        <v>0.11751240070935599</v>
      </c>
      <c r="H4" s="5">
        <v>5.2036850001190807E-4</v>
      </c>
      <c r="I4" s="5">
        <f>SQRT(H4)</f>
        <v>2.2811586968291095E-2</v>
      </c>
      <c r="J4" s="5">
        <f>I4/G4</f>
        <v>0.1941206785887313</v>
      </c>
      <c r="K4" s="5">
        <v>0.10754826355964797</v>
      </c>
      <c r="L4" s="2"/>
    </row>
    <row r="5" spans="1:30" x14ac:dyDescent="0.25">
      <c r="A5" s="4">
        <v>2007</v>
      </c>
      <c r="B5">
        <v>0.11945993254065038</v>
      </c>
      <c r="C5">
        <v>3.2299777429632183E-4</v>
      </c>
      <c r="D5">
        <v>0.1150329285676875</v>
      </c>
      <c r="F5" s="4">
        <v>2007</v>
      </c>
      <c r="G5" s="5">
        <v>0.11945993254065038</v>
      </c>
      <c r="H5" s="5">
        <v>3.2299777429632183E-4</v>
      </c>
      <c r="I5" s="5">
        <f t="shared" ref="I5:I19" si="0">SQRT(H5)</f>
        <v>1.7972138834772056E-2</v>
      </c>
      <c r="J5" s="5">
        <f t="shared" ref="J5:J19" si="1">I5/G5</f>
        <v>0.15044491029372056</v>
      </c>
      <c r="K5" s="5">
        <v>0.1150329285676875</v>
      </c>
      <c r="L5" s="2"/>
    </row>
    <row r="6" spans="1:30" x14ac:dyDescent="0.25">
      <c r="A6" s="4">
        <v>2008</v>
      </c>
      <c r="B6">
        <v>0.12737279115493544</v>
      </c>
      <c r="C6">
        <v>2.6831694489834636E-4</v>
      </c>
      <c r="D6">
        <v>0.12546921556333637</v>
      </c>
      <c r="F6" s="4">
        <v>2008</v>
      </c>
      <c r="G6" s="5">
        <v>0.12737279115493544</v>
      </c>
      <c r="H6" s="5">
        <v>2.6831694489834636E-4</v>
      </c>
      <c r="I6" s="5">
        <f t="shared" si="0"/>
        <v>1.6380382928928933E-2</v>
      </c>
      <c r="J6" s="5">
        <f t="shared" si="1"/>
        <v>0.12860189982807194</v>
      </c>
      <c r="K6" s="5">
        <v>0.12546921556333637</v>
      </c>
      <c r="L6" s="2"/>
    </row>
    <row r="7" spans="1:30" x14ac:dyDescent="0.25">
      <c r="A7" s="4">
        <v>2009</v>
      </c>
      <c r="B7">
        <v>0.13110086472181412</v>
      </c>
      <c r="C7">
        <v>2.6784279331236964E-4</v>
      </c>
      <c r="D7">
        <v>0.13449074563395852</v>
      </c>
      <c r="F7" s="4">
        <v>2009</v>
      </c>
      <c r="G7" s="5">
        <v>0.13110086472181412</v>
      </c>
      <c r="H7" s="5">
        <v>2.6784279331236964E-4</v>
      </c>
      <c r="I7" s="5">
        <f t="shared" si="0"/>
        <v>1.6365903375993935E-2</v>
      </c>
      <c r="J7" s="5">
        <f t="shared" si="1"/>
        <v>0.12483444263103156</v>
      </c>
      <c r="K7" s="5">
        <v>0.13449074563395852</v>
      </c>
      <c r="L7" s="2"/>
    </row>
    <row r="8" spans="1:30" x14ac:dyDescent="0.25">
      <c r="A8" s="4">
        <v>2010</v>
      </c>
      <c r="B8">
        <v>0.15492585273281434</v>
      </c>
      <c r="C8">
        <v>3.6859366632664318E-4</v>
      </c>
      <c r="D8">
        <v>0.15301714393822533</v>
      </c>
      <c r="F8" s="4">
        <v>2010</v>
      </c>
      <c r="G8" s="5">
        <v>0.15492585273281434</v>
      </c>
      <c r="H8" s="5">
        <v>3.6859366632664318E-4</v>
      </c>
      <c r="I8" s="5">
        <f t="shared" si="0"/>
        <v>1.9198793356006601E-2</v>
      </c>
      <c r="J8" s="5">
        <f t="shared" si="1"/>
        <v>0.12392246366471131</v>
      </c>
      <c r="K8" s="5">
        <v>0.15301714393822533</v>
      </c>
      <c r="L8" s="2"/>
    </row>
    <row r="9" spans="1:30" x14ac:dyDescent="0.25">
      <c r="A9" s="4">
        <v>2011</v>
      </c>
      <c r="B9">
        <v>0.17681577128797871</v>
      </c>
      <c r="C9">
        <v>4.5794632697345589E-4</v>
      </c>
      <c r="D9">
        <v>0.17184914902545712</v>
      </c>
      <c r="F9" s="4">
        <v>2011</v>
      </c>
      <c r="G9" s="5">
        <v>0.17681577128797871</v>
      </c>
      <c r="H9" s="5">
        <v>4.5794632697345589E-4</v>
      </c>
      <c r="I9" s="5">
        <f t="shared" si="0"/>
        <v>2.1399680534378449E-2</v>
      </c>
      <c r="J9" s="5">
        <f t="shared" si="1"/>
        <v>0.12102812084293615</v>
      </c>
      <c r="K9" s="5">
        <v>0.17184914902545712</v>
      </c>
      <c r="L9" s="2"/>
    </row>
    <row r="10" spans="1:30" x14ac:dyDescent="0.25">
      <c r="A10" s="4">
        <v>2012</v>
      </c>
      <c r="B10">
        <v>0.19892608328744141</v>
      </c>
      <c r="C10">
        <v>4.421576106003172E-4</v>
      </c>
      <c r="D10">
        <v>0.19264258933530864</v>
      </c>
      <c r="F10" s="4">
        <v>2012</v>
      </c>
      <c r="G10" s="5">
        <v>0.19892608328744141</v>
      </c>
      <c r="H10" s="5">
        <v>4.421576106003172E-4</v>
      </c>
      <c r="I10" s="5">
        <f t="shared" si="0"/>
        <v>2.1027544093410368E-2</v>
      </c>
      <c r="J10" s="5">
        <f t="shared" si="1"/>
        <v>0.10570531398351761</v>
      </c>
      <c r="K10" s="5">
        <v>0.19264258933530864</v>
      </c>
      <c r="L10" s="2"/>
    </row>
    <row r="11" spans="1:30" x14ac:dyDescent="0.25">
      <c r="A11" s="4">
        <v>2013</v>
      </c>
      <c r="B11">
        <v>0.20145769793886284</v>
      </c>
      <c r="C11">
        <v>4.0051474117060209E-4</v>
      </c>
      <c r="D11">
        <v>0.20024488713105276</v>
      </c>
      <c r="F11" s="4">
        <v>2013</v>
      </c>
      <c r="G11" s="5">
        <v>0.20145769793886284</v>
      </c>
      <c r="H11" s="5">
        <v>4.0051474117060209E-4</v>
      </c>
      <c r="I11" s="5">
        <f t="shared" si="0"/>
        <v>2.0012864391950547E-2</v>
      </c>
      <c r="J11" s="5">
        <f t="shared" si="1"/>
        <v>9.9340281342954334E-2</v>
      </c>
      <c r="K11" s="5">
        <v>0.20024488713105276</v>
      </c>
      <c r="L11" s="2"/>
    </row>
    <row r="12" spans="1:30" x14ac:dyDescent="0.25">
      <c r="A12" s="4">
        <v>2014</v>
      </c>
      <c r="B12">
        <v>0.21624676435374515</v>
      </c>
      <c r="C12">
        <v>3.7757082012086529E-4</v>
      </c>
      <c r="D12">
        <v>0.21229743722867112</v>
      </c>
      <c r="F12" s="4">
        <v>2014</v>
      </c>
      <c r="G12" s="5">
        <v>0.21624676435374515</v>
      </c>
      <c r="H12" s="5">
        <v>3.7757082012086529E-4</v>
      </c>
      <c r="I12" s="5">
        <f t="shared" si="0"/>
        <v>1.9431181644996923E-2</v>
      </c>
      <c r="J12" s="5">
        <f t="shared" si="1"/>
        <v>8.9856519717495587E-2</v>
      </c>
      <c r="K12" s="5">
        <v>0.21229743722867112</v>
      </c>
      <c r="L12" s="2"/>
    </row>
    <row r="13" spans="1:30" x14ac:dyDescent="0.25">
      <c r="A13" s="4">
        <v>2015</v>
      </c>
      <c r="B13">
        <v>0.20535220648697183</v>
      </c>
      <c r="C13">
        <v>3.9241621841599192E-4</v>
      </c>
      <c r="D13">
        <v>0.2034672421796144</v>
      </c>
      <c r="F13" s="4">
        <v>2015</v>
      </c>
      <c r="G13" s="5">
        <v>0.20535220648697183</v>
      </c>
      <c r="H13" s="5">
        <v>3.9241621841599192E-4</v>
      </c>
      <c r="I13" s="5">
        <f t="shared" si="0"/>
        <v>1.9809498186879746E-2</v>
      </c>
      <c r="J13" s="5">
        <f t="shared" si="1"/>
        <v>9.6465962191336477E-2</v>
      </c>
      <c r="K13" s="5">
        <v>0.2034672421796144</v>
      </c>
      <c r="L13" s="2"/>
    </row>
    <row r="14" spans="1:30" x14ac:dyDescent="0.25">
      <c r="A14" s="4">
        <v>2016</v>
      </c>
      <c r="B14">
        <v>0.21182590805501023</v>
      </c>
      <c r="C14">
        <v>3.4538156058735412E-4</v>
      </c>
      <c r="D14">
        <v>0.21117083495486624</v>
      </c>
      <c r="F14" s="4">
        <v>2016</v>
      </c>
      <c r="G14" s="5">
        <v>0.21182590805501023</v>
      </c>
      <c r="H14" s="5">
        <v>3.4538156058735412E-4</v>
      </c>
      <c r="I14" s="5">
        <f t="shared" si="0"/>
        <v>1.858444404837966E-2</v>
      </c>
      <c r="J14" s="5">
        <f t="shared" si="1"/>
        <v>8.773451849692232E-2</v>
      </c>
      <c r="K14" s="5">
        <v>0.21117083495486624</v>
      </c>
      <c r="L14" s="2"/>
    </row>
    <row r="15" spans="1:30" x14ac:dyDescent="0.25">
      <c r="A15" s="4">
        <v>2017</v>
      </c>
      <c r="B15">
        <v>0.21485130506979916</v>
      </c>
      <c r="C15">
        <v>4.1669758180696231E-4</v>
      </c>
      <c r="D15">
        <v>0.21820558477000823</v>
      </c>
      <c r="F15" s="4">
        <v>2017</v>
      </c>
      <c r="G15" s="5">
        <v>0.21485130506979916</v>
      </c>
      <c r="H15" s="5">
        <v>4.1669758180696231E-4</v>
      </c>
      <c r="I15" s="5">
        <f t="shared" si="0"/>
        <v>2.0413171772337643E-2</v>
      </c>
      <c r="J15" s="5">
        <f t="shared" si="1"/>
        <v>9.5010694795202549E-2</v>
      </c>
      <c r="K15" s="5">
        <v>0.21820558477000823</v>
      </c>
      <c r="L15" s="2"/>
    </row>
    <row r="16" spans="1:30" x14ac:dyDescent="0.25">
      <c r="A16" s="4">
        <v>2018</v>
      </c>
      <c r="B16">
        <v>0.19485206873482686</v>
      </c>
      <c r="C16">
        <v>5.7146862897733495E-4</v>
      </c>
      <c r="D16">
        <v>0.20358810259811916</v>
      </c>
      <c r="F16" s="4">
        <v>2018</v>
      </c>
      <c r="G16" s="5">
        <v>0.19485206873482686</v>
      </c>
      <c r="H16" s="5">
        <v>5.7146862897733495E-4</v>
      </c>
      <c r="I16" s="5">
        <f t="shared" si="0"/>
        <v>2.390541003574996E-2</v>
      </c>
      <c r="J16" s="5">
        <f t="shared" si="1"/>
        <v>0.1226849177992701</v>
      </c>
      <c r="K16" s="5">
        <v>0.20358810259811916</v>
      </c>
      <c r="L16" s="2"/>
    </row>
    <row r="17" spans="1:15" x14ac:dyDescent="0.25">
      <c r="A17" s="4">
        <v>2019</v>
      </c>
      <c r="B17">
        <v>0.19701985853751416</v>
      </c>
      <c r="C17">
        <v>8.7634052638365701E-4</v>
      </c>
      <c r="D17">
        <v>0.2108662478865434</v>
      </c>
      <c r="F17" s="4">
        <v>2019</v>
      </c>
      <c r="G17" s="5">
        <v>0.19701985853751416</v>
      </c>
      <c r="H17" s="5">
        <v>8.7634052638365701E-4</v>
      </c>
      <c r="I17" s="5">
        <f t="shared" si="0"/>
        <v>2.9603049275094231E-2</v>
      </c>
      <c r="J17" s="5">
        <f t="shared" si="1"/>
        <v>0.15025413932807982</v>
      </c>
      <c r="K17" s="5">
        <v>0.2108662478865434</v>
      </c>
      <c r="L17" s="2"/>
    </row>
    <row r="18" spans="1:15" x14ac:dyDescent="0.25">
      <c r="A18" s="4">
        <v>2020</v>
      </c>
      <c r="B18">
        <v>0.18508960194746288</v>
      </c>
      <c r="C18">
        <v>7.2943350021789893E-4</v>
      </c>
      <c r="D18">
        <v>0.19735995399188264</v>
      </c>
      <c r="F18" s="4">
        <v>2020</v>
      </c>
      <c r="G18" s="5">
        <v>0.18508960194746288</v>
      </c>
      <c r="H18" s="5">
        <v>7.2943350021789893E-4</v>
      </c>
      <c r="I18" s="5">
        <f t="shared" si="0"/>
        <v>2.7008026588736522E-2</v>
      </c>
      <c r="J18" s="5">
        <f t="shared" si="1"/>
        <v>0.14591865941989907</v>
      </c>
      <c r="K18" s="5">
        <v>0.19735995399188264</v>
      </c>
      <c r="L18" s="2"/>
    </row>
    <row r="19" spans="1:15" x14ac:dyDescent="0.25">
      <c r="A19" s="4">
        <v>2021</v>
      </c>
      <c r="B19">
        <v>0.19463780746161902</v>
      </c>
      <c r="C19">
        <v>6.6718770458198539E-4</v>
      </c>
      <c r="D19">
        <v>0.20396551882562985</v>
      </c>
      <c r="F19" s="4">
        <v>2021</v>
      </c>
      <c r="G19" s="5">
        <v>0.19463780746161902</v>
      </c>
      <c r="H19" s="5">
        <v>6.6718770458198539E-4</v>
      </c>
      <c r="I19" s="5">
        <f t="shared" si="0"/>
        <v>2.5829976859880952E-2</v>
      </c>
      <c r="J19" s="5">
        <f t="shared" si="1"/>
        <v>0.13270791115428288</v>
      </c>
      <c r="K19" s="5">
        <v>0.20396551882562985</v>
      </c>
      <c r="L19" s="2"/>
    </row>
    <row r="20" spans="1:15" x14ac:dyDescent="0.25">
      <c r="A20" s="4">
        <v>2022</v>
      </c>
      <c r="B20">
        <v>0.20858144759465849</v>
      </c>
      <c r="C20">
        <v>5.9535341011460034E-4</v>
      </c>
      <c r="D20">
        <v>0.20977600666680712</v>
      </c>
      <c r="F20" s="4">
        <v>2022</v>
      </c>
      <c r="G20" s="5">
        <v>0.20858144759465849</v>
      </c>
      <c r="H20" s="5">
        <v>5.9535341011460034E-4</v>
      </c>
      <c r="I20" s="5">
        <f t="shared" ref="I20:I21" si="2">SQRT(H20)</f>
        <v>2.4399864960991082E-2</v>
      </c>
      <c r="J20" s="5">
        <f t="shared" ref="J20:J21" si="3">I20/G20</f>
        <v>0.11698003462133384</v>
      </c>
      <c r="K20" s="5">
        <v>0.20977600666680712</v>
      </c>
    </row>
    <row r="21" spans="1:15" x14ac:dyDescent="0.25">
      <c r="A21" s="4">
        <v>2023</v>
      </c>
      <c r="B21">
        <v>0.22057918620045336</v>
      </c>
      <c r="C21">
        <v>5.9735740917428405E-4</v>
      </c>
      <c r="D21">
        <v>0.21663938252313478</v>
      </c>
      <c r="F21" s="4">
        <v>2023</v>
      </c>
      <c r="G21" s="5">
        <v>0.22057918620045336</v>
      </c>
      <c r="H21" s="5">
        <v>5.9735740917428405E-4</v>
      </c>
      <c r="I21" s="5">
        <f t="shared" si="2"/>
        <v>2.4440896243269887E-2</v>
      </c>
      <c r="J21" s="5">
        <f t="shared" si="3"/>
        <v>0.11080327506992885</v>
      </c>
      <c r="K21" s="5">
        <v>0.21663938252313478</v>
      </c>
    </row>
    <row r="22" spans="1:15" x14ac:dyDescent="0.25">
      <c r="A22" s="4" t="s">
        <v>20</v>
      </c>
      <c r="B22">
        <v>0.18203375271199515</v>
      </c>
      <c r="C22">
        <v>4.7877476210949439E-4</v>
      </c>
      <c r="D22">
        <v>0.18264617968777508</v>
      </c>
      <c r="L22" s="1"/>
      <c r="N22" s="1" t="s">
        <v>67</v>
      </c>
    </row>
    <row r="23" spans="1:15" x14ac:dyDescent="0.25">
      <c r="L23" s="2"/>
      <c r="N23" s="2">
        <v>0</v>
      </c>
      <c r="O23">
        <v>0</v>
      </c>
    </row>
    <row r="24" spans="1:15" x14ac:dyDescent="0.25">
      <c r="L24" s="2"/>
      <c r="N24" s="2">
        <v>0.4</v>
      </c>
      <c r="O24">
        <v>0.4</v>
      </c>
    </row>
    <row r="25" spans="1:15" x14ac:dyDescent="0.25">
      <c r="L25" s="2"/>
      <c r="M25" s="2"/>
    </row>
    <row r="26" spans="1:15" x14ac:dyDescent="0.25">
      <c r="L26" s="2"/>
      <c r="M26" s="2"/>
    </row>
    <row r="27" spans="1:15" x14ac:dyDescent="0.25">
      <c r="L27" s="2"/>
      <c r="M27" s="2"/>
    </row>
    <row r="28" spans="1:15" x14ac:dyDescent="0.25">
      <c r="L28" s="2"/>
      <c r="M28" s="2"/>
    </row>
    <row r="29" spans="1:15" x14ac:dyDescent="0.25">
      <c r="L29" s="2"/>
      <c r="M29" s="2"/>
    </row>
    <row r="30" spans="1:15" ht="18" x14ac:dyDescent="0.35">
      <c r="A30" s="3" t="s">
        <v>19</v>
      </c>
      <c r="B30" t="s">
        <v>59</v>
      </c>
      <c r="C30" t="s">
        <v>58</v>
      </c>
      <c r="D30" t="s">
        <v>64</v>
      </c>
      <c r="E30" s="1" t="s">
        <v>24</v>
      </c>
      <c r="F30" s="1" t="s">
        <v>52</v>
      </c>
      <c r="G30" s="1" t="s">
        <v>104</v>
      </c>
      <c r="H30" s="1" t="s">
        <v>60</v>
      </c>
      <c r="I30" s="1" t="s">
        <v>105</v>
      </c>
      <c r="J30" s="1" t="s">
        <v>61</v>
      </c>
      <c r="K30" s="1" t="s">
        <v>56</v>
      </c>
      <c r="L30" s="2"/>
      <c r="M30" s="2"/>
    </row>
    <row r="31" spans="1:15" x14ac:dyDescent="0.25">
      <c r="A31" s="4">
        <v>11</v>
      </c>
      <c r="B31">
        <v>0.21226522926401431</v>
      </c>
      <c r="C31">
        <v>4.3486537381146089E-5</v>
      </c>
      <c r="D31">
        <v>0.21120261460524234</v>
      </c>
      <c r="E31">
        <v>33</v>
      </c>
      <c r="F31" t="s">
        <v>43</v>
      </c>
      <c r="G31" s="2">
        <v>0.13013742362545169</v>
      </c>
      <c r="H31" s="2">
        <v>2.2175101819496418E-3</v>
      </c>
      <c r="I31" s="2">
        <v>0.17281645380786592</v>
      </c>
      <c r="J31" s="2">
        <f t="shared" ref="J31:J57" si="4">SQRT(H31)</f>
        <v>4.7090446822573705E-2</v>
      </c>
      <c r="K31" s="2">
        <f t="shared" ref="K31:K57" si="5">J31/G31</f>
        <v>0.36185169116383187</v>
      </c>
      <c r="L31" s="2"/>
      <c r="M31" s="2"/>
    </row>
    <row r="32" spans="1:15" x14ac:dyDescent="0.25">
      <c r="A32" s="4">
        <v>12</v>
      </c>
      <c r="B32">
        <v>0.14478576347904823</v>
      </c>
      <c r="C32">
        <v>8.4067264303311963E-5</v>
      </c>
      <c r="D32">
        <v>0.14940514930299401</v>
      </c>
      <c r="E32">
        <v>51</v>
      </c>
      <c r="F32" t="s">
        <v>49</v>
      </c>
      <c r="G32" s="2">
        <v>0.15994044546519937</v>
      </c>
      <c r="H32" s="2">
        <v>1.0992058417895324E-3</v>
      </c>
      <c r="I32" s="2">
        <v>0.18281524864550611</v>
      </c>
      <c r="J32" s="2">
        <f t="shared" si="4"/>
        <v>3.3154273356379452E-2</v>
      </c>
      <c r="K32" s="2">
        <f t="shared" si="5"/>
        <v>0.20729136560766503</v>
      </c>
      <c r="L32" s="2"/>
      <c r="M32" s="2"/>
    </row>
    <row r="33" spans="1:13" x14ac:dyDescent="0.25">
      <c r="A33" s="4">
        <v>13</v>
      </c>
      <c r="B33">
        <v>0.14265568137705431</v>
      </c>
      <c r="C33">
        <v>5.8552753248655004E-4</v>
      </c>
      <c r="D33">
        <v>0.1193755146411406</v>
      </c>
      <c r="E33">
        <v>13</v>
      </c>
      <c r="F33" t="s">
        <v>27</v>
      </c>
      <c r="G33" s="2">
        <v>0.14265568137705431</v>
      </c>
      <c r="H33" s="2">
        <v>5.8552753248655004E-4</v>
      </c>
      <c r="I33" s="2">
        <v>0.1193755146411406</v>
      </c>
      <c r="J33" s="2">
        <f t="shared" si="4"/>
        <v>2.4197676179471245E-2</v>
      </c>
      <c r="K33" s="2">
        <f t="shared" si="5"/>
        <v>0.16962294067709918</v>
      </c>
      <c r="L33" s="2"/>
      <c r="M33" s="2"/>
    </row>
    <row r="34" spans="1:13" x14ac:dyDescent="0.25">
      <c r="A34" s="4">
        <v>14</v>
      </c>
      <c r="B34">
        <v>0.22080628547442679</v>
      </c>
      <c r="C34">
        <v>4.2858529331585863E-4</v>
      </c>
      <c r="D34">
        <v>0.21379013098131913</v>
      </c>
      <c r="E34">
        <v>53</v>
      </c>
      <c r="F34" t="s">
        <v>51</v>
      </c>
      <c r="G34" s="2">
        <v>0.35558640200769004</v>
      </c>
      <c r="H34" s="2">
        <v>3.4204423477162153E-3</v>
      </c>
      <c r="I34" s="2">
        <v>0.30316809941287676</v>
      </c>
      <c r="J34" s="2">
        <f t="shared" si="4"/>
        <v>5.848454793974401E-2</v>
      </c>
      <c r="K34" s="2">
        <f t="shared" si="5"/>
        <v>0.16447352207376931</v>
      </c>
      <c r="L34" s="2"/>
      <c r="M34" s="2"/>
    </row>
    <row r="35" spans="1:13" x14ac:dyDescent="0.25">
      <c r="A35" s="4">
        <v>15</v>
      </c>
      <c r="B35">
        <v>0.11806835798809952</v>
      </c>
      <c r="C35">
        <v>1.8823321315299284E-5</v>
      </c>
      <c r="D35">
        <v>0.12122362330654408</v>
      </c>
      <c r="E35">
        <v>23</v>
      </c>
      <c r="F35" t="s">
        <v>34</v>
      </c>
      <c r="G35" s="2">
        <v>0.12590130930132626</v>
      </c>
      <c r="H35" s="2">
        <v>3.901473070677107E-4</v>
      </c>
      <c r="I35" s="2">
        <v>0.14515454170434025</v>
      </c>
      <c r="J35" s="2">
        <f t="shared" si="4"/>
        <v>1.9752146897684585E-2</v>
      </c>
      <c r="K35" s="2">
        <f t="shared" si="5"/>
        <v>0.15688595303175701</v>
      </c>
      <c r="L35" s="2"/>
      <c r="M35" s="2"/>
    </row>
    <row r="36" spans="1:13" x14ac:dyDescent="0.25">
      <c r="A36" s="4">
        <v>16</v>
      </c>
      <c r="B36">
        <v>0.17948894229486623</v>
      </c>
      <c r="C36">
        <v>1.552508680061489E-4</v>
      </c>
      <c r="D36">
        <v>0.18477784830637567</v>
      </c>
      <c r="E36">
        <v>35</v>
      </c>
      <c r="F36" t="s">
        <v>44</v>
      </c>
      <c r="G36" s="2">
        <v>0.20153994597358427</v>
      </c>
      <c r="H36" s="2">
        <v>9.5107149431807579E-4</v>
      </c>
      <c r="I36" s="2">
        <v>0.21500863356188932</v>
      </c>
      <c r="J36" s="2">
        <f t="shared" si="4"/>
        <v>3.0839447049486407E-2</v>
      </c>
      <c r="K36" s="2">
        <f t="shared" si="5"/>
        <v>0.15301903005138504</v>
      </c>
      <c r="L36" s="2"/>
      <c r="M36" s="2"/>
    </row>
    <row r="37" spans="1:13" x14ac:dyDescent="0.25">
      <c r="A37" s="4">
        <v>17</v>
      </c>
      <c r="B37">
        <v>0.20112519949740099</v>
      </c>
      <c r="C37">
        <v>3.434032984595863E-4</v>
      </c>
      <c r="D37">
        <v>0.18494741886032301</v>
      </c>
      <c r="E37">
        <v>41</v>
      </c>
      <c r="F37" t="s">
        <v>45</v>
      </c>
      <c r="G37" s="2">
        <v>0.22394056195734877</v>
      </c>
      <c r="H37" s="2">
        <v>7.4223980530103051E-4</v>
      </c>
      <c r="I37" s="2">
        <v>0.24501905492844531</v>
      </c>
      <c r="J37" s="2">
        <f t="shared" si="4"/>
        <v>2.7244078352938104E-2</v>
      </c>
      <c r="K37" s="2">
        <f t="shared" si="5"/>
        <v>0.1216576314483258</v>
      </c>
      <c r="L37" s="2"/>
      <c r="M37" s="2"/>
    </row>
    <row r="38" spans="1:13" x14ac:dyDescent="0.25">
      <c r="A38" s="4">
        <v>21</v>
      </c>
      <c r="B38">
        <v>0.10998057657588374</v>
      </c>
      <c r="C38">
        <v>5.6678175464522701E-5</v>
      </c>
      <c r="D38">
        <v>0.10302243034226263</v>
      </c>
      <c r="E38">
        <v>52</v>
      </c>
      <c r="F38" t="s">
        <v>50</v>
      </c>
      <c r="G38" s="2">
        <v>0.19555928154029939</v>
      </c>
      <c r="H38" s="2">
        <v>4.9293505580969574E-4</v>
      </c>
      <c r="I38" s="2">
        <v>0.19850879679012901</v>
      </c>
      <c r="J38" s="2">
        <f t="shared" si="4"/>
        <v>2.220214079339413E-2</v>
      </c>
      <c r="K38" s="2">
        <f t="shared" si="5"/>
        <v>0.11353151135820101</v>
      </c>
      <c r="L38" s="2"/>
      <c r="M38" s="2"/>
    </row>
    <row r="39" spans="1:13" x14ac:dyDescent="0.25">
      <c r="A39" s="4">
        <v>22</v>
      </c>
      <c r="B39">
        <v>0.14364916682143225</v>
      </c>
      <c r="C39">
        <v>5.9288120741245566E-5</v>
      </c>
      <c r="D39">
        <v>0.14586773345270718</v>
      </c>
      <c r="E39">
        <v>26</v>
      </c>
      <c r="F39" t="s">
        <v>37</v>
      </c>
      <c r="G39" s="2">
        <v>0.1269967221334129</v>
      </c>
      <c r="H39" s="2">
        <v>1.8293737200219E-4</v>
      </c>
      <c r="I39" s="2">
        <v>0.1391174233789273</v>
      </c>
      <c r="J39" s="2">
        <f t="shared" si="4"/>
        <v>1.3525434262979877E-2</v>
      </c>
      <c r="K39" s="2">
        <f t="shared" si="5"/>
        <v>0.10650223120539368</v>
      </c>
      <c r="L39" s="2"/>
      <c r="M39" s="2"/>
    </row>
    <row r="40" spans="1:13" x14ac:dyDescent="0.25">
      <c r="A40" s="4">
        <v>23</v>
      </c>
      <c r="B40">
        <v>0.12590130930132626</v>
      </c>
      <c r="C40">
        <v>3.901473070677107E-4</v>
      </c>
      <c r="D40">
        <v>0.14515454170434025</v>
      </c>
      <c r="E40">
        <v>31</v>
      </c>
      <c r="F40" t="s">
        <v>41</v>
      </c>
      <c r="G40" s="2">
        <v>0.18750114752219199</v>
      </c>
      <c r="H40" s="2">
        <v>3.8681950934910456E-4</v>
      </c>
      <c r="I40" s="2">
        <v>0.17866005580839056</v>
      </c>
      <c r="J40" s="2">
        <f t="shared" si="4"/>
        <v>1.9667727610202062E-2</v>
      </c>
      <c r="K40" s="2">
        <f t="shared" si="5"/>
        <v>0.10489390529129565</v>
      </c>
      <c r="L40" s="2"/>
      <c r="M40" s="2"/>
    </row>
    <row r="41" spans="1:13" x14ac:dyDescent="0.25">
      <c r="A41" s="4">
        <v>24</v>
      </c>
      <c r="B41">
        <v>0.15623371173923684</v>
      </c>
      <c r="C41">
        <v>2.0933524811388179E-5</v>
      </c>
      <c r="D41">
        <v>0.1557582757814189</v>
      </c>
      <c r="E41">
        <v>14</v>
      </c>
      <c r="F41" t="s">
        <v>28</v>
      </c>
      <c r="G41" s="2">
        <v>0.22080628547442679</v>
      </c>
      <c r="H41" s="2">
        <v>4.2858529331585863E-4</v>
      </c>
      <c r="I41" s="2">
        <v>0.21379013098131913</v>
      </c>
      <c r="J41" s="2">
        <f t="shared" si="4"/>
        <v>2.0702301642954068E-2</v>
      </c>
      <c r="K41" s="2">
        <f t="shared" si="5"/>
        <v>9.3757755122200789E-2</v>
      </c>
      <c r="L41" s="2"/>
      <c r="M41" s="2"/>
    </row>
    <row r="42" spans="1:13" x14ac:dyDescent="0.25">
      <c r="A42" s="4">
        <v>25</v>
      </c>
      <c r="B42">
        <v>0.14458509612608009</v>
      </c>
      <c r="C42">
        <v>1.757099599528489E-5</v>
      </c>
      <c r="D42">
        <v>0.14428139264281981</v>
      </c>
      <c r="E42">
        <v>17</v>
      </c>
      <c r="F42" t="s">
        <v>31</v>
      </c>
      <c r="G42" s="2">
        <v>0.20112519949740099</v>
      </c>
      <c r="H42" s="2">
        <v>3.434032984595863E-4</v>
      </c>
      <c r="I42" s="2">
        <v>0.18494741886032301</v>
      </c>
      <c r="J42" s="2">
        <f t="shared" si="4"/>
        <v>1.853114401378356E-2</v>
      </c>
      <c r="K42" s="2">
        <f t="shared" si="5"/>
        <v>9.2137355538200599E-2</v>
      </c>
      <c r="L42" s="2"/>
      <c r="M42" s="2"/>
    </row>
    <row r="43" spans="1:13" x14ac:dyDescent="0.25">
      <c r="A43" s="4">
        <v>26</v>
      </c>
      <c r="B43">
        <v>0.1269967221334129</v>
      </c>
      <c r="C43">
        <v>1.8293737200219E-4</v>
      </c>
      <c r="D43">
        <v>0.1391174233789273</v>
      </c>
      <c r="E43">
        <v>29</v>
      </c>
      <c r="F43" t="s">
        <v>40</v>
      </c>
      <c r="G43" s="2">
        <v>0.11995224872727989</v>
      </c>
      <c r="H43" s="2">
        <v>1.1910728775102414E-4</v>
      </c>
      <c r="I43" s="2">
        <v>0.11010800911023536</v>
      </c>
      <c r="J43" s="2">
        <f t="shared" si="4"/>
        <v>1.0913628532757753E-2</v>
      </c>
      <c r="K43" s="2">
        <f t="shared" si="5"/>
        <v>9.0983109100110968E-2</v>
      </c>
      <c r="L43" s="2"/>
      <c r="M43" s="2"/>
    </row>
    <row r="44" spans="1:13" x14ac:dyDescent="0.25">
      <c r="A44" s="4">
        <v>27</v>
      </c>
      <c r="B44">
        <v>0.1091135810147455</v>
      </c>
      <c r="C44">
        <v>2.1206966196969312E-5</v>
      </c>
      <c r="D44">
        <v>0.11230513765585469</v>
      </c>
      <c r="E44">
        <v>42</v>
      </c>
      <c r="F44" t="s">
        <v>46</v>
      </c>
      <c r="G44" s="2">
        <v>0.34249588235158263</v>
      </c>
      <c r="H44" s="2">
        <v>7.2044417926268108E-4</v>
      </c>
      <c r="I44" s="2">
        <v>0.32325194011553426</v>
      </c>
      <c r="J44" s="2">
        <f t="shared" si="4"/>
        <v>2.6841091245750071E-2</v>
      </c>
      <c r="K44" s="2">
        <f t="shared" si="5"/>
        <v>7.8369091801801169E-2</v>
      </c>
      <c r="L44" s="2"/>
      <c r="M44" s="2"/>
    </row>
    <row r="45" spans="1:13" x14ac:dyDescent="0.25">
      <c r="A45" s="4">
        <v>28</v>
      </c>
      <c r="B45">
        <v>0.14784790658521996</v>
      </c>
      <c r="C45">
        <v>2.5235592526604111E-5</v>
      </c>
      <c r="D45">
        <v>0.14613938719720687</v>
      </c>
      <c r="E45">
        <v>16</v>
      </c>
      <c r="F45" t="s">
        <v>30</v>
      </c>
      <c r="G45" s="2">
        <v>0.17948894229486623</v>
      </c>
      <c r="H45" s="2">
        <v>1.552508680061489E-4</v>
      </c>
      <c r="I45" s="2">
        <v>0.18477784830637567</v>
      </c>
      <c r="J45" s="2">
        <f t="shared" si="4"/>
        <v>1.2459970626215332E-2</v>
      </c>
      <c r="K45" s="2">
        <f t="shared" si="5"/>
        <v>6.9419154555749554E-2</v>
      </c>
      <c r="L45" s="2"/>
      <c r="M45" s="2"/>
    </row>
    <row r="46" spans="1:13" x14ac:dyDescent="0.25">
      <c r="A46" s="4">
        <v>29</v>
      </c>
      <c r="B46">
        <v>0.11995224872727989</v>
      </c>
      <c r="C46">
        <v>1.1910728775102414E-4</v>
      </c>
      <c r="D46">
        <v>0.11010800911023536</v>
      </c>
      <c r="E46">
        <v>21</v>
      </c>
      <c r="F46" t="s">
        <v>32</v>
      </c>
      <c r="G46" s="2">
        <v>0.10998057657588374</v>
      </c>
      <c r="H46" s="2">
        <v>5.6678175464522701E-5</v>
      </c>
      <c r="I46" s="2">
        <v>0.10302243034226263</v>
      </c>
      <c r="J46" s="2">
        <f t="shared" si="4"/>
        <v>7.5284909154838394E-3</v>
      </c>
      <c r="K46" s="2">
        <f t="shared" si="5"/>
        <v>6.8452913685985051E-2</v>
      </c>
      <c r="L46" s="2"/>
      <c r="M46" s="2"/>
    </row>
    <row r="47" spans="1:13" x14ac:dyDescent="0.25">
      <c r="A47" s="4">
        <v>31</v>
      </c>
      <c r="B47">
        <v>0.18750114752219199</v>
      </c>
      <c r="C47">
        <v>3.8681950934910456E-4</v>
      </c>
      <c r="D47">
        <v>0.17866005580839056</v>
      </c>
      <c r="E47">
        <v>12</v>
      </c>
      <c r="F47" t="s">
        <v>26</v>
      </c>
      <c r="G47" s="2">
        <v>0.14478576347904823</v>
      </c>
      <c r="H47" s="2">
        <v>8.4067264303311963E-5</v>
      </c>
      <c r="I47" s="2">
        <v>0.14940514930299401</v>
      </c>
      <c r="J47" s="2">
        <f t="shared" si="4"/>
        <v>9.1688202241788971E-3</v>
      </c>
      <c r="K47" s="2">
        <f t="shared" si="5"/>
        <v>6.332680785639333E-2</v>
      </c>
      <c r="L47" s="2"/>
      <c r="M47" s="2"/>
    </row>
    <row r="48" spans="1:13" x14ac:dyDescent="0.25">
      <c r="A48" s="4">
        <v>32</v>
      </c>
      <c r="B48">
        <v>0.20924912992375655</v>
      </c>
      <c r="C48">
        <v>1.0497863014813954E-4</v>
      </c>
      <c r="D48">
        <v>0.21197645349139119</v>
      </c>
      <c r="E48">
        <v>50</v>
      </c>
      <c r="F48" t="s">
        <v>48</v>
      </c>
      <c r="G48" s="2">
        <v>0.23228388276961948</v>
      </c>
      <c r="H48" s="2">
        <v>1.6023813253546607E-4</v>
      </c>
      <c r="I48" s="2">
        <v>0.23937542621934982</v>
      </c>
      <c r="J48" s="2">
        <f t="shared" si="4"/>
        <v>1.2658520155826513E-2</v>
      </c>
      <c r="K48" s="2">
        <f t="shared" si="5"/>
        <v>5.449590391246089E-2</v>
      </c>
      <c r="L48" s="2"/>
      <c r="M48" s="2"/>
    </row>
    <row r="49" spans="1:17" x14ac:dyDescent="0.25">
      <c r="A49" s="4">
        <v>33</v>
      </c>
      <c r="B49">
        <v>0.13013742362545169</v>
      </c>
      <c r="C49">
        <v>2.2175101819496418E-3</v>
      </c>
      <c r="D49">
        <v>0.17281645380786592</v>
      </c>
      <c r="E49">
        <v>22</v>
      </c>
      <c r="F49" t="s">
        <v>33</v>
      </c>
      <c r="G49" s="2">
        <v>0.14364916682143225</v>
      </c>
      <c r="H49" s="2">
        <v>5.9288120741245566E-5</v>
      </c>
      <c r="I49" s="2">
        <v>0.14586773345270718</v>
      </c>
      <c r="J49" s="2">
        <f t="shared" si="4"/>
        <v>7.6998779692437702E-3</v>
      </c>
      <c r="K49" s="2">
        <f t="shared" si="5"/>
        <v>5.3601967485236809E-2</v>
      </c>
      <c r="L49" s="2"/>
      <c r="M49" s="2"/>
      <c r="N49" s="1" t="s">
        <v>65</v>
      </c>
      <c r="O49" s="1" t="s">
        <v>60</v>
      </c>
      <c r="P49" s="1" t="s">
        <v>61</v>
      </c>
      <c r="Q49" s="1" t="s">
        <v>66</v>
      </c>
    </row>
    <row r="50" spans="1:17" x14ac:dyDescent="0.25">
      <c r="A50" s="4">
        <v>35</v>
      </c>
      <c r="B50">
        <v>0.20153994597358427</v>
      </c>
      <c r="C50">
        <v>9.5107149431807579E-4</v>
      </c>
      <c r="D50">
        <v>0.21500863356188932</v>
      </c>
      <c r="E50">
        <v>32</v>
      </c>
      <c r="F50" t="s">
        <v>42</v>
      </c>
      <c r="G50" s="2">
        <v>0.20924912992375655</v>
      </c>
      <c r="H50" s="2">
        <v>1.0497863014813954E-4</v>
      </c>
      <c r="I50" s="2">
        <v>0.21197645349139119</v>
      </c>
      <c r="J50" s="2">
        <f t="shared" si="4"/>
        <v>1.0245907970899384E-2</v>
      </c>
      <c r="K50" s="2">
        <f t="shared" si="5"/>
        <v>4.8965116245083803E-2</v>
      </c>
      <c r="N50" s="10">
        <v>0.18203375271199521</v>
      </c>
      <c r="O50" s="10">
        <v>4.7877476210949428E-4</v>
      </c>
      <c r="P50">
        <f>SQRT(O50)</f>
        <v>2.1880922332239431E-2</v>
      </c>
      <c r="Q50">
        <f>P50/N50</f>
        <v>0.1202025558790646</v>
      </c>
    </row>
    <row r="51" spans="1:17" x14ac:dyDescent="0.25">
      <c r="A51" s="4">
        <v>41</v>
      </c>
      <c r="B51">
        <v>0.22394056195734877</v>
      </c>
      <c r="C51">
        <v>7.4223980530103051E-4</v>
      </c>
      <c r="D51">
        <v>0.24501905492844531</v>
      </c>
      <c r="E51">
        <v>27</v>
      </c>
      <c r="F51" t="s">
        <v>38</v>
      </c>
      <c r="G51" s="2">
        <v>0.1091135810147455</v>
      </c>
      <c r="H51" s="2">
        <v>2.1206966196969312E-5</v>
      </c>
      <c r="I51" s="2">
        <v>0.11230513765585469</v>
      </c>
      <c r="J51" s="2">
        <f t="shared" si="4"/>
        <v>4.6051021918052278E-3</v>
      </c>
      <c r="K51" s="2">
        <f t="shared" si="5"/>
        <v>4.2204665532725012E-2</v>
      </c>
    </row>
    <row r="52" spans="1:17" x14ac:dyDescent="0.25">
      <c r="A52" s="4">
        <v>42</v>
      </c>
      <c r="B52">
        <v>0.34249588235158263</v>
      </c>
      <c r="C52">
        <v>7.2044417926268108E-4</v>
      </c>
      <c r="D52">
        <v>0.32325194011553426</v>
      </c>
      <c r="E52">
        <v>15</v>
      </c>
      <c r="F52" t="s">
        <v>29</v>
      </c>
      <c r="G52" s="2">
        <v>0.11806835798809952</v>
      </c>
      <c r="H52" s="2">
        <v>1.8823321315299284E-5</v>
      </c>
      <c r="I52" s="2">
        <v>0.12122362330654408</v>
      </c>
      <c r="J52" s="2">
        <f t="shared" si="4"/>
        <v>4.3385851743741625E-3</v>
      </c>
      <c r="K52" s="2">
        <f t="shared" si="5"/>
        <v>3.6746383606109455E-2</v>
      </c>
    </row>
    <row r="53" spans="1:17" x14ac:dyDescent="0.25">
      <c r="A53" s="4">
        <v>43</v>
      </c>
      <c r="B53">
        <v>0.27322144168761919</v>
      </c>
      <c r="C53">
        <v>7.8783940951924567E-5</v>
      </c>
      <c r="D53">
        <v>0.27437005751883686</v>
      </c>
      <c r="E53">
        <v>28</v>
      </c>
      <c r="F53" t="s">
        <v>39</v>
      </c>
      <c r="G53" s="2">
        <v>0.14784790658521996</v>
      </c>
      <c r="H53" s="2">
        <v>2.5235592526604111E-5</v>
      </c>
      <c r="I53" s="2">
        <v>0.14613938719720687</v>
      </c>
      <c r="J53" s="2">
        <f t="shared" si="4"/>
        <v>5.0235040088173625E-3</v>
      </c>
      <c r="K53" s="2">
        <f t="shared" si="5"/>
        <v>3.3977511923185738E-2</v>
      </c>
    </row>
    <row r="54" spans="1:17" x14ac:dyDescent="0.25">
      <c r="A54" s="4">
        <v>50</v>
      </c>
      <c r="B54">
        <v>0.23228388276961948</v>
      </c>
      <c r="C54">
        <v>1.6023813253546607E-4</v>
      </c>
      <c r="D54">
        <v>0.23937542621934982</v>
      </c>
      <c r="E54">
        <v>43</v>
      </c>
      <c r="F54" t="s">
        <v>47</v>
      </c>
      <c r="G54" s="2">
        <v>0.27322144168761919</v>
      </c>
      <c r="H54" s="2">
        <v>7.8783940951924567E-5</v>
      </c>
      <c r="I54" s="2">
        <v>0.27437005751883686</v>
      </c>
      <c r="J54" s="2">
        <f t="shared" si="4"/>
        <v>8.876031824634506E-3</v>
      </c>
      <c r="K54" s="2">
        <f t="shared" si="5"/>
        <v>3.2486585861671469E-2</v>
      </c>
    </row>
    <row r="55" spans="1:17" x14ac:dyDescent="0.25">
      <c r="A55" s="4">
        <v>51</v>
      </c>
      <c r="B55">
        <v>0.15994044546519937</v>
      </c>
      <c r="C55">
        <v>1.0992058417895324E-3</v>
      </c>
      <c r="D55">
        <v>0.18281524864550611</v>
      </c>
      <c r="E55">
        <v>11</v>
      </c>
      <c r="F55" t="s">
        <v>25</v>
      </c>
      <c r="G55" s="2">
        <v>0.21226522926401431</v>
      </c>
      <c r="H55" s="2">
        <v>4.3486537381146089E-5</v>
      </c>
      <c r="I55" s="2">
        <v>0.21120261460524234</v>
      </c>
      <c r="J55" s="2">
        <f t="shared" si="4"/>
        <v>6.594432301657671E-3</v>
      </c>
      <c r="K55" s="2">
        <f t="shared" si="5"/>
        <v>3.1066945464985E-2</v>
      </c>
    </row>
    <row r="56" spans="1:17" x14ac:dyDescent="0.25">
      <c r="A56" s="4">
        <v>52</v>
      </c>
      <c r="B56">
        <v>0.19555928154029939</v>
      </c>
      <c r="C56">
        <v>4.9293505580969574E-4</v>
      </c>
      <c r="D56">
        <v>0.19850879679012901</v>
      </c>
      <c r="E56">
        <v>24</v>
      </c>
      <c r="F56" t="s">
        <v>35</v>
      </c>
      <c r="G56" s="2">
        <v>0.15623371173923684</v>
      </c>
      <c r="H56" s="2">
        <v>2.0933524811388179E-5</v>
      </c>
      <c r="I56" s="2">
        <v>0.1557582757814189</v>
      </c>
      <c r="J56" s="2">
        <f t="shared" si="4"/>
        <v>4.575316908301345E-3</v>
      </c>
      <c r="K56" s="2">
        <f t="shared" si="5"/>
        <v>2.9285081032561111E-2</v>
      </c>
    </row>
    <row r="57" spans="1:17" x14ac:dyDescent="0.25">
      <c r="A57" s="4">
        <v>53</v>
      </c>
      <c r="B57">
        <v>0.35558640200769004</v>
      </c>
      <c r="C57">
        <v>3.4204423477162153E-3</v>
      </c>
      <c r="D57">
        <v>0.30316809941287676</v>
      </c>
      <c r="E57">
        <v>25</v>
      </c>
      <c r="F57" t="s">
        <v>36</v>
      </c>
      <c r="G57" s="2">
        <v>0.14458509612608009</v>
      </c>
      <c r="H57" s="2">
        <v>1.757099599528489E-5</v>
      </c>
      <c r="I57" s="2">
        <v>0.14428139264281981</v>
      </c>
      <c r="J57" s="2">
        <f t="shared" si="4"/>
        <v>4.1917771881726839E-3</v>
      </c>
      <c r="K57" s="2">
        <f t="shared" si="5"/>
        <v>2.8991765406563064E-2</v>
      </c>
    </row>
    <row r="58" spans="1:17" x14ac:dyDescent="0.25">
      <c r="A58" s="4" t="s">
        <v>20</v>
      </c>
      <c r="B58">
        <v>0.18203375271199521</v>
      </c>
      <c r="C58">
        <v>4.7877476210949428E-4</v>
      </c>
      <c r="D58">
        <v>0.18264617968777502</v>
      </c>
    </row>
    <row r="78" spans="1:2" x14ac:dyDescent="0.25">
      <c r="A78" s="7"/>
      <c r="B78" s="5"/>
    </row>
    <row r="79" spans="1:2" x14ac:dyDescent="0.25">
      <c r="A79" s="7"/>
    </row>
    <row r="80" spans="1:2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</sheetData>
  <autoFilter ref="E30:K30" xr:uid="{21EE8B28-14DB-4EA0-9A96-52CB687EEEF0}">
    <sortState xmlns:xlrd2="http://schemas.microsoft.com/office/spreadsheetml/2017/richdata2" ref="E31:K58">
      <sortCondition descending="1" ref="K30"/>
    </sortState>
  </autoFilter>
  <sortState xmlns:xlrd2="http://schemas.microsoft.com/office/spreadsheetml/2017/richdata2" ref="E31:J57">
    <sortCondition descending="1" ref="J30:J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7</vt:i4>
      </vt:variant>
    </vt:vector>
  </HeadingPairs>
  <TitlesOfParts>
    <vt:vector size="13" baseType="lpstr">
      <vt:lpstr>semi-elasticities</vt:lpstr>
      <vt:lpstr>state-ids</vt:lpstr>
      <vt:lpstr>dataset</vt:lpstr>
      <vt:lpstr>State preds</vt:lpstr>
      <vt:lpstr>Pivot - real values</vt:lpstr>
      <vt:lpstr>CV</vt:lpstr>
      <vt:lpstr>Chart - Line state preds</vt:lpstr>
      <vt:lpstr>Chart - Line prices</vt:lpstr>
      <vt:lpstr>Chart - Line GDP</vt:lpstr>
      <vt:lpstr>Chart - Line Motorization</vt:lpstr>
      <vt:lpstr>Chart - CVt</vt:lpstr>
      <vt:lpstr>Chart - CVs</vt:lpstr>
      <vt:lpstr>Chart - Prediction scatter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Prolo</dc:creator>
  <cp:lastModifiedBy>Sergio Prolo</cp:lastModifiedBy>
  <cp:lastPrinted>2026-03-27T04:38:52Z</cp:lastPrinted>
  <dcterms:created xsi:type="dcterms:W3CDTF">2024-05-01T00:22:17Z</dcterms:created>
  <dcterms:modified xsi:type="dcterms:W3CDTF">2026-03-27T17:43:06Z</dcterms:modified>
</cp:coreProperties>
</file>