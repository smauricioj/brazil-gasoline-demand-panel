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3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tese\"/>
    </mc:Choice>
  </mc:AlternateContent>
  <xr:revisionPtr revIDLastSave="0" documentId="13_ncr:1_{05FE7327-C576-4EF8-A8F8-B5DE33A76339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IBGE" sheetId="13" r:id="rId1"/>
    <sheet name="Visual aid" sheetId="19" r:id="rId2"/>
    <sheet name="Scenario table" sheetId="28" r:id="rId3"/>
    <sheet name="dataset" sheetId="29" r:id="rId4"/>
    <sheet name="average" sheetId="30" r:id="rId5"/>
    <sheet name="forecast" sheetId="11" r:id="rId6"/>
    <sheet name="bar - sales by scenario" sheetId="33" r:id="rId7"/>
    <sheet name="sales by scenario" sheetId="15" r:id="rId8"/>
    <sheet name="revenue by scenario" sheetId="31" r:id="rId9"/>
    <sheet name="line - annual revenue" sheetId="32" r:id="rId10"/>
  </sheets>
  <definedNames>
    <definedName name="_xlnm._FilterDatabase" localSheetId="7" hidden="1">'sales by scenario'!$A$2:$J$40</definedName>
    <definedName name="_xlnm._FilterDatabase" localSheetId="2" hidden="1">'Scenario table'!$H$13:$I$53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" i="11" l="1"/>
  <c r="AU7" i="11"/>
  <c r="BA7" i="11"/>
  <c r="BB7" i="11" s="1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3" i="15"/>
  <c r="E4" i="31"/>
  <c r="F4" i="31"/>
  <c r="G4" i="31"/>
  <c r="E5" i="31"/>
  <c r="F5" i="31"/>
  <c r="G5" i="31"/>
  <c r="E6" i="31"/>
  <c r="F6" i="31"/>
  <c r="G6" i="31"/>
  <c r="E7" i="31"/>
  <c r="F7" i="31"/>
  <c r="G7" i="31"/>
  <c r="E8" i="31"/>
  <c r="F8" i="31"/>
  <c r="G8" i="31"/>
  <c r="E9" i="31"/>
  <c r="F9" i="31"/>
  <c r="G9" i="31"/>
  <c r="E10" i="31"/>
  <c r="F10" i="31"/>
  <c r="G10" i="31"/>
  <c r="E11" i="31"/>
  <c r="F11" i="31"/>
  <c r="G11" i="31"/>
  <c r="E12" i="31"/>
  <c r="F12" i="31"/>
  <c r="G12" i="31"/>
  <c r="E13" i="31"/>
  <c r="F13" i="31"/>
  <c r="G13" i="31"/>
  <c r="E14" i="31"/>
  <c r="F14" i="31"/>
  <c r="G14" i="31"/>
  <c r="E15" i="31"/>
  <c r="F15" i="31"/>
  <c r="G15" i="31"/>
  <c r="E16" i="31"/>
  <c r="F16" i="31"/>
  <c r="G16" i="31"/>
  <c r="E17" i="31"/>
  <c r="F17" i="31"/>
  <c r="G17" i="31"/>
  <c r="E18" i="31"/>
  <c r="F18" i="31"/>
  <c r="G18" i="31"/>
  <c r="E19" i="31"/>
  <c r="F19" i="31"/>
  <c r="G19" i="31"/>
  <c r="E20" i="31"/>
  <c r="F20" i="31"/>
  <c r="G20" i="31"/>
  <c r="E21" i="31"/>
  <c r="F21" i="31"/>
  <c r="G21" i="31"/>
  <c r="E22" i="31"/>
  <c r="F22" i="31"/>
  <c r="G22" i="31"/>
  <c r="E23" i="31"/>
  <c r="F23" i="31"/>
  <c r="G23" i="31"/>
  <c r="E24" i="31"/>
  <c r="F24" i="31"/>
  <c r="G24" i="31"/>
  <c r="E25" i="31"/>
  <c r="F25" i="31"/>
  <c r="G25" i="31"/>
  <c r="E26" i="31"/>
  <c r="F26" i="31"/>
  <c r="G26" i="31"/>
  <c r="E27" i="31"/>
  <c r="F27" i="31"/>
  <c r="G27" i="31"/>
  <c r="E28" i="31"/>
  <c r="F28" i="31"/>
  <c r="G28" i="31"/>
  <c r="E29" i="31"/>
  <c r="F29" i="31"/>
  <c r="G29" i="31"/>
  <c r="E30" i="31"/>
  <c r="F30" i="31"/>
  <c r="G30" i="31"/>
  <c r="E31" i="31"/>
  <c r="F31" i="31"/>
  <c r="G31" i="31"/>
  <c r="E32" i="31"/>
  <c r="F32" i="31"/>
  <c r="G32" i="31"/>
  <c r="E33" i="31"/>
  <c r="F33" i="31"/>
  <c r="G33" i="31"/>
  <c r="E34" i="31"/>
  <c r="F34" i="31"/>
  <c r="G34" i="31"/>
  <c r="E35" i="31"/>
  <c r="F35" i="31"/>
  <c r="G35" i="31"/>
  <c r="E36" i="31"/>
  <c r="F36" i="31"/>
  <c r="G36" i="31"/>
  <c r="E37" i="31"/>
  <c r="F37" i="31"/>
  <c r="G37" i="31"/>
  <c r="E38" i="31"/>
  <c r="F38" i="31"/>
  <c r="G38" i="31"/>
  <c r="E39" i="31"/>
  <c r="F39" i="31"/>
  <c r="G39" i="31"/>
  <c r="E40" i="31"/>
  <c r="F40" i="31"/>
  <c r="G40" i="31"/>
  <c r="F3" i="31"/>
  <c r="G3" i="31"/>
  <c r="E3" i="31"/>
  <c r="H51" i="15"/>
  <c r="S40" i="15"/>
  <c r="R40" i="15"/>
  <c r="Q40" i="15"/>
  <c r="P40" i="15"/>
  <c r="O40" i="15"/>
  <c r="N40" i="15"/>
  <c r="M40" i="15"/>
  <c r="L40" i="15"/>
  <c r="S39" i="15"/>
  <c r="R39" i="15"/>
  <c r="Q39" i="15"/>
  <c r="P39" i="15"/>
  <c r="O39" i="15"/>
  <c r="N39" i="15"/>
  <c r="M39" i="15"/>
  <c r="L39" i="15"/>
  <c r="S38" i="15"/>
  <c r="R38" i="15"/>
  <c r="Q38" i="15"/>
  <c r="P38" i="15"/>
  <c r="O38" i="15"/>
  <c r="N38" i="15"/>
  <c r="M38" i="15"/>
  <c r="L38" i="15"/>
  <c r="S37" i="15"/>
  <c r="R37" i="15"/>
  <c r="Q37" i="15"/>
  <c r="P37" i="15"/>
  <c r="O37" i="15"/>
  <c r="N37" i="15"/>
  <c r="M37" i="15"/>
  <c r="L37" i="15"/>
  <c r="S36" i="15"/>
  <c r="R36" i="15"/>
  <c r="Q36" i="15"/>
  <c r="P36" i="15"/>
  <c r="O36" i="15"/>
  <c r="N36" i="15"/>
  <c r="M36" i="15"/>
  <c r="L36" i="15"/>
  <c r="S35" i="15"/>
  <c r="R35" i="15"/>
  <c r="Q35" i="15"/>
  <c r="P35" i="15"/>
  <c r="O35" i="15"/>
  <c r="N35" i="15"/>
  <c r="M35" i="15"/>
  <c r="L35" i="15"/>
  <c r="S34" i="15"/>
  <c r="R34" i="15"/>
  <c r="Q34" i="15"/>
  <c r="P34" i="15"/>
  <c r="O34" i="15"/>
  <c r="N34" i="15"/>
  <c r="M34" i="15"/>
  <c r="L34" i="15"/>
  <c r="S33" i="15"/>
  <c r="R33" i="15"/>
  <c r="Q33" i="15"/>
  <c r="P33" i="15"/>
  <c r="O33" i="15"/>
  <c r="N33" i="15"/>
  <c r="M33" i="15"/>
  <c r="L33" i="15"/>
  <c r="S32" i="15"/>
  <c r="R32" i="15"/>
  <c r="Q32" i="15"/>
  <c r="P32" i="15"/>
  <c r="O32" i="15"/>
  <c r="N32" i="15"/>
  <c r="M32" i="15"/>
  <c r="L32" i="15"/>
  <c r="S31" i="15"/>
  <c r="R31" i="15"/>
  <c r="Q31" i="15"/>
  <c r="P31" i="15"/>
  <c r="O31" i="15"/>
  <c r="N31" i="15"/>
  <c r="M31" i="15"/>
  <c r="L31" i="15"/>
  <c r="S30" i="15"/>
  <c r="R30" i="15"/>
  <c r="Q30" i="15"/>
  <c r="P30" i="15"/>
  <c r="O30" i="15"/>
  <c r="N30" i="15"/>
  <c r="M30" i="15"/>
  <c r="L30" i="15"/>
  <c r="S29" i="15"/>
  <c r="R29" i="15"/>
  <c r="Q29" i="15"/>
  <c r="P29" i="15"/>
  <c r="O29" i="15"/>
  <c r="N29" i="15"/>
  <c r="M29" i="15"/>
  <c r="L29" i="15"/>
  <c r="S28" i="15"/>
  <c r="R28" i="15"/>
  <c r="Q28" i="15"/>
  <c r="P28" i="15"/>
  <c r="O28" i="15"/>
  <c r="N28" i="15"/>
  <c r="M28" i="15"/>
  <c r="L28" i="15"/>
  <c r="S27" i="15"/>
  <c r="R27" i="15"/>
  <c r="Q27" i="15"/>
  <c r="P27" i="15"/>
  <c r="O27" i="15"/>
  <c r="N27" i="15"/>
  <c r="M27" i="15"/>
  <c r="L27" i="15"/>
  <c r="S26" i="15"/>
  <c r="R26" i="15"/>
  <c r="Q26" i="15"/>
  <c r="P26" i="15"/>
  <c r="O26" i="15"/>
  <c r="N26" i="15"/>
  <c r="M26" i="15"/>
  <c r="L26" i="15"/>
  <c r="S25" i="15"/>
  <c r="R25" i="15"/>
  <c r="Q25" i="15"/>
  <c r="P25" i="15"/>
  <c r="O25" i="15"/>
  <c r="N25" i="15"/>
  <c r="M25" i="15"/>
  <c r="L25" i="15"/>
  <c r="S24" i="15"/>
  <c r="R24" i="15"/>
  <c r="Q24" i="15"/>
  <c r="P24" i="15"/>
  <c r="O24" i="15"/>
  <c r="N24" i="15"/>
  <c r="M24" i="15"/>
  <c r="L24" i="15"/>
  <c r="S23" i="15"/>
  <c r="R23" i="15"/>
  <c r="Q23" i="15"/>
  <c r="P23" i="15"/>
  <c r="O23" i="15"/>
  <c r="N23" i="15"/>
  <c r="M23" i="15"/>
  <c r="L23" i="15"/>
  <c r="S22" i="15"/>
  <c r="R22" i="15"/>
  <c r="Q22" i="15"/>
  <c r="P22" i="15"/>
  <c r="O22" i="15"/>
  <c r="N22" i="15"/>
  <c r="M22" i="15"/>
  <c r="L22" i="15"/>
  <c r="S21" i="15"/>
  <c r="R21" i="15"/>
  <c r="Q21" i="15"/>
  <c r="P21" i="15"/>
  <c r="O21" i="15"/>
  <c r="N21" i="15"/>
  <c r="M21" i="15"/>
  <c r="L21" i="15"/>
  <c r="S20" i="15"/>
  <c r="R20" i="15"/>
  <c r="Q20" i="15"/>
  <c r="P20" i="15"/>
  <c r="O20" i="15"/>
  <c r="N20" i="15"/>
  <c r="M20" i="15"/>
  <c r="L20" i="15"/>
  <c r="S19" i="15"/>
  <c r="R19" i="15"/>
  <c r="Q19" i="15"/>
  <c r="P19" i="15"/>
  <c r="O19" i="15"/>
  <c r="N19" i="15"/>
  <c r="M19" i="15"/>
  <c r="L19" i="15"/>
  <c r="S18" i="15"/>
  <c r="R18" i="15"/>
  <c r="Q18" i="15"/>
  <c r="P18" i="15"/>
  <c r="O18" i="15"/>
  <c r="N18" i="15"/>
  <c r="M18" i="15"/>
  <c r="L18" i="15"/>
  <c r="S17" i="15"/>
  <c r="R17" i="15"/>
  <c r="Q17" i="15"/>
  <c r="P17" i="15"/>
  <c r="O17" i="15"/>
  <c r="N17" i="15"/>
  <c r="M17" i="15"/>
  <c r="L17" i="15"/>
  <c r="S16" i="15"/>
  <c r="R16" i="15"/>
  <c r="Q16" i="15"/>
  <c r="P16" i="15"/>
  <c r="O16" i="15"/>
  <c r="N16" i="15"/>
  <c r="M16" i="15"/>
  <c r="L16" i="15"/>
  <c r="S15" i="15"/>
  <c r="R15" i="15"/>
  <c r="Q15" i="15"/>
  <c r="P15" i="15"/>
  <c r="O15" i="15"/>
  <c r="N15" i="15"/>
  <c r="M15" i="15"/>
  <c r="L15" i="15"/>
  <c r="S14" i="15"/>
  <c r="R14" i="15"/>
  <c r="Q14" i="15"/>
  <c r="P14" i="15"/>
  <c r="O14" i="15"/>
  <c r="N14" i="15"/>
  <c r="M14" i="15"/>
  <c r="L14" i="15"/>
  <c r="S13" i="15"/>
  <c r="R13" i="15"/>
  <c r="Q13" i="15"/>
  <c r="P13" i="15"/>
  <c r="O13" i="15"/>
  <c r="N13" i="15"/>
  <c r="M13" i="15"/>
  <c r="L13" i="15"/>
  <c r="S12" i="15"/>
  <c r="R12" i="15"/>
  <c r="Q12" i="15"/>
  <c r="P12" i="15"/>
  <c r="O12" i="15"/>
  <c r="N12" i="15"/>
  <c r="M12" i="15"/>
  <c r="L12" i="15"/>
  <c r="S11" i="15"/>
  <c r="R11" i="15"/>
  <c r="Q11" i="15"/>
  <c r="P11" i="15"/>
  <c r="O11" i="15"/>
  <c r="N11" i="15"/>
  <c r="M11" i="15"/>
  <c r="L11" i="15"/>
  <c r="S10" i="15"/>
  <c r="R10" i="15"/>
  <c r="Q10" i="15"/>
  <c r="P10" i="15"/>
  <c r="O10" i="15"/>
  <c r="N10" i="15"/>
  <c r="M10" i="15"/>
  <c r="L10" i="15"/>
  <c r="S9" i="15"/>
  <c r="R9" i="15"/>
  <c r="Q9" i="15"/>
  <c r="P9" i="15"/>
  <c r="O9" i="15"/>
  <c r="N9" i="15"/>
  <c r="M9" i="15"/>
  <c r="L9" i="15"/>
  <c r="S8" i="15"/>
  <c r="R8" i="15"/>
  <c r="Q8" i="15"/>
  <c r="P8" i="15"/>
  <c r="O8" i="15"/>
  <c r="N8" i="15"/>
  <c r="M8" i="15"/>
  <c r="L8" i="15"/>
  <c r="S7" i="15"/>
  <c r="R7" i="15"/>
  <c r="Q7" i="15"/>
  <c r="P7" i="15"/>
  <c r="O7" i="15"/>
  <c r="N7" i="15"/>
  <c r="M7" i="15"/>
  <c r="L7" i="15"/>
  <c r="S6" i="15"/>
  <c r="R6" i="15"/>
  <c r="Q6" i="15"/>
  <c r="P6" i="15"/>
  <c r="O6" i="15"/>
  <c r="N6" i="15"/>
  <c r="M6" i="15"/>
  <c r="L6" i="15"/>
  <c r="S5" i="15"/>
  <c r="R5" i="15"/>
  <c r="Q5" i="15"/>
  <c r="P5" i="15"/>
  <c r="O5" i="15"/>
  <c r="N5" i="15"/>
  <c r="M5" i="15"/>
  <c r="L5" i="15"/>
  <c r="S4" i="15"/>
  <c r="R4" i="15"/>
  <c r="Q4" i="15"/>
  <c r="P4" i="15"/>
  <c r="O4" i="15"/>
  <c r="N4" i="15"/>
  <c r="M4" i="15"/>
  <c r="L4" i="15"/>
  <c r="S3" i="15"/>
  <c r="R3" i="15"/>
  <c r="Q3" i="15"/>
  <c r="P3" i="15"/>
  <c r="O3" i="15"/>
  <c r="N3" i="15"/>
  <c r="M3" i="15"/>
  <c r="L3" i="15"/>
  <c r="V51" i="11"/>
  <c r="AZ44" i="11"/>
  <c r="AW44" i="11"/>
  <c r="AT44" i="11"/>
  <c r="AR44" i="11"/>
  <c r="AQ44" i="11"/>
  <c r="Z44" i="11"/>
  <c r="M44" i="11"/>
  <c r="AZ43" i="11"/>
  <c r="AW43" i="11"/>
  <c r="AT43" i="11"/>
  <c r="AR43" i="11"/>
  <c r="AQ43" i="11"/>
  <c r="Z43" i="11"/>
  <c r="M43" i="11"/>
  <c r="AZ42" i="11"/>
  <c r="AW42" i="11"/>
  <c r="AT42" i="11"/>
  <c r="AR42" i="11"/>
  <c r="AQ42" i="11"/>
  <c r="Z42" i="11"/>
  <c r="M42" i="11"/>
  <c r="AZ41" i="11"/>
  <c r="AW41" i="11"/>
  <c r="AT41" i="11"/>
  <c r="AR41" i="11"/>
  <c r="AQ41" i="11"/>
  <c r="Z41" i="11"/>
  <c r="M41" i="11"/>
  <c r="AZ40" i="11"/>
  <c r="AW40" i="11"/>
  <c r="AT40" i="11"/>
  <c r="AR40" i="11"/>
  <c r="AQ40" i="11"/>
  <c r="Z40" i="11"/>
  <c r="M40" i="11"/>
  <c r="AZ39" i="11"/>
  <c r="AW39" i="11"/>
  <c r="AT39" i="11"/>
  <c r="AR39" i="11"/>
  <c r="AQ39" i="11"/>
  <c r="Z39" i="11"/>
  <c r="M39" i="11"/>
  <c r="AZ38" i="11"/>
  <c r="AW38" i="11"/>
  <c r="AT38" i="11"/>
  <c r="AR38" i="11"/>
  <c r="AQ38" i="11"/>
  <c r="Z38" i="11"/>
  <c r="M38" i="11"/>
  <c r="AZ37" i="11"/>
  <c r="AW37" i="11"/>
  <c r="AT37" i="11"/>
  <c r="AR37" i="11"/>
  <c r="AQ37" i="11"/>
  <c r="Z37" i="11"/>
  <c r="M37" i="11"/>
  <c r="AZ36" i="11"/>
  <c r="AW36" i="11"/>
  <c r="AT36" i="11"/>
  <c r="AR36" i="11"/>
  <c r="AQ36" i="11"/>
  <c r="Z36" i="11"/>
  <c r="M36" i="11"/>
  <c r="AZ35" i="11"/>
  <c r="AW35" i="11"/>
  <c r="AT35" i="11"/>
  <c r="AR35" i="11"/>
  <c r="AQ35" i="11"/>
  <c r="Z35" i="11"/>
  <c r="M35" i="11"/>
  <c r="AZ34" i="11"/>
  <c r="AW34" i="11"/>
  <c r="AT34" i="11"/>
  <c r="AR34" i="11"/>
  <c r="AQ34" i="11"/>
  <c r="Z34" i="11"/>
  <c r="M34" i="11"/>
  <c r="AZ33" i="11"/>
  <c r="AW33" i="11"/>
  <c r="AT33" i="11"/>
  <c r="AR33" i="11"/>
  <c r="AQ33" i="11"/>
  <c r="Z33" i="11"/>
  <c r="M33" i="11"/>
  <c r="AZ32" i="11"/>
  <c r="AW32" i="11"/>
  <c r="AT32" i="11"/>
  <c r="AR32" i="11"/>
  <c r="AQ32" i="11"/>
  <c r="Z32" i="11"/>
  <c r="M32" i="11"/>
  <c r="AZ31" i="11"/>
  <c r="AW31" i="11"/>
  <c r="AT31" i="11"/>
  <c r="AR31" i="11"/>
  <c r="AQ31" i="11"/>
  <c r="Z31" i="11"/>
  <c r="M31" i="11"/>
  <c r="AZ30" i="11"/>
  <c r="AW30" i="11"/>
  <c r="AT30" i="11"/>
  <c r="AR30" i="11"/>
  <c r="AQ30" i="11"/>
  <c r="Z30" i="11"/>
  <c r="M30" i="11"/>
  <c r="AZ29" i="11"/>
  <c r="AW29" i="11"/>
  <c r="AT29" i="11"/>
  <c r="AR29" i="11"/>
  <c r="AQ29" i="11"/>
  <c r="Z29" i="11"/>
  <c r="M29" i="11"/>
  <c r="AZ28" i="11"/>
  <c r="AW28" i="11"/>
  <c r="AT28" i="11"/>
  <c r="AR28" i="11"/>
  <c r="AQ28" i="11"/>
  <c r="Z28" i="11"/>
  <c r="M28" i="11"/>
  <c r="AZ27" i="11"/>
  <c r="AW27" i="11"/>
  <c r="AT27" i="11"/>
  <c r="AR27" i="11"/>
  <c r="AQ27" i="11"/>
  <c r="Z27" i="11"/>
  <c r="M27" i="11"/>
  <c r="AZ26" i="11"/>
  <c r="AW26" i="11"/>
  <c r="AT26" i="11"/>
  <c r="AR26" i="11"/>
  <c r="AQ26" i="11"/>
  <c r="Z26" i="11"/>
  <c r="M26" i="11"/>
  <c r="AZ25" i="11"/>
  <c r="AW25" i="11"/>
  <c r="AT25" i="11"/>
  <c r="AR25" i="11"/>
  <c r="AQ25" i="11"/>
  <c r="Z25" i="11"/>
  <c r="M25" i="11"/>
  <c r="AZ24" i="11"/>
  <c r="AW24" i="11"/>
  <c r="AT24" i="11"/>
  <c r="AR24" i="11"/>
  <c r="AQ24" i="11"/>
  <c r="Z24" i="11"/>
  <c r="M24" i="11"/>
  <c r="AZ23" i="11"/>
  <c r="AW23" i="11"/>
  <c r="AT23" i="11"/>
  <c r="AR23" i="11"/>
  <c r="AQ23" i="11"/>
  <c r="Z23" i="11"/>
  <c r="M23" i="11"/>
  <c r="AZ22" i="11"/>
  <c r="AW22" i="11"/>
  <c r="AT22" i="11"/>
  <c r="AR22" i="11"/>
  <c r="AQ22" i="11"/>
  <c r="Z22" i="11"/>
  <c r="M22" i="11"/>
  <c r="AZ21" i="11"/>
  <c r="AW21" i="11"/>
  <c r="AT21" i="11"/>
  <c r="AR21" i="11"/>
  <c r="AQ21" i="11"/>
  <c r="Z21" i="11"/>
  <c r="M21" i="11"/>
  <c r="AZ20" i="11"/>
  <c r="AW20" i="11"/>
  <c r="AT20" i="11"/>
  <c r="AR20" i="11"/>
  <c r="AQ20" i="11"/>
  <c r="Z20" i="11"/>
  <c r="M20" i="11"/>
  <c r="AZ19" i="11"/>
  <c r="AW19" i="11"/>
  <c r="AT19" i="11"/>
  <c r="AR19" i="11"/>
  <c r="AQ19" i="11"/>
  <c r="Z19" i="11"/>
  <c r="M19" i="11"/>
  <c r="AZ18" i="11"/>
  <c r="AW18" i="11"/>
  <c r="AT18" i="11"/>
  <c r="AR18" i="11"/>
  <c r="AQ18" i="11"/>
  <c r="Z18" i="11"/>
  <c r="M18" i="11"/>
  <c r="AZ17" i="11"/>
  <c r="AW17" i="11"/>
  <c r="AT17" i="11"/>
  <c r="AR17" i="11"/>
  <c r="AQ17" i="11"/>
  <c r="Z17" i="11"/>
  <c r="M17" i="11"/>
  <c r="AZ16" i="11"/>
  <c r="AW16" i="11"/>
  <c r="AT16" i="11"/>
  <c r="AR16" i="11"/>
  <c r="AQ16" i="11"/>
  <c r="Z16" i="11"/>
  <c r="M16" i="11"/>
  <c r="AZ15" i="11"/>
  <c r="AW15" i="11"/>
  <c r="AT15" i="11"/>
  <c r="AR15" i="11"/>
  <c r="AQ15" i="11"/>
  <c r="Z15" i="11"/>
  <c r="M15" i="11"/>
  <c r="AZ14" i="11"/>
  <c r="AW14" i="11"/>
  <c r="AT14" i="11"/>
  <c r="AR14" i="11"/>
  <c r="AQ14" i="11"/>
  <c r="Z14" i="11"/>
  <c r="M14" i="11"/>
  <c r="AZ13" i="11"/>
  <c r="AW13" i="11"/>
  <c r="AT13" i="11"/>
  <c r="AR13" i="11"/>
  <c r="AQ13" i="11"/>
  <c r="Z13" i="11"/>
  <c r="M13" i="11"/>
  <c r="AZ12" i="11"/>
  <c r="AW12" i="11"/>
  <c r="AT12" i="11"/>
  <c r="AR12" i="11"/>
  <c r="AQ12" i="11"/>
  <c r="Z12" i="11"/>
  <c r="M12" i="11"/>
  <c r="AZ11" i="11"/>
  <c r="AW11" i="11"/>
  <c r="AT11" i="11"/>
  <c r="AR11" i="11"/>
  <c r="AQ11" i="11"/>
  <c r="Z11" i="11"/>
  <c r="M11" i="11"/>
  <c r="AZ10" i="11"/>
  <c r="AW10" i="11"/>
  <c r="AT10" i="11"/>
  <c r="AR10" i="11"/>
  <c r="AQ10" i="11"/>
  <c r="Z10" i="11"/>
  <c r="M10" i="11"/>
  <c r="AZ9" i="11"/>
  <c r="AW9" i="11"/>
  <c r="AT9" i="11"/>
  <c r="AR9" i="11"/>
  <c r="AQ9" i="11"/>
  <c r="AK9" i="11"/>
  <c r="Z9" i="11"/>
  <c r="M9" i="11"/>
  <c r="AZ8" i="11"/>
  <c r="AW8" i="11"/>
  <c r="AT8" i="11"/>
  <c r="AR8" i="11"/>
  <c r="AQ8" i="11"/>
  <c r="AK8" i="11"/>
  <c r="AJ8" i="11"/>
  <c r="AH8" i="11"/>
  <c r="Z8" i="11"/>
  <c r="X8" i="11"/>
  <c r="M8" i="11"/>
  <c r="AZ7" i="11"/>
  <c r="AY7" i="11"/>
  <c r="AX7" i="11"/>
  <c r="AW7" i="11"/>
  <c r="AT7" i="11"/>
  <c r="AR7" i="11"/>
  <c r="AQ7" i="11"/>
  <c r="AM7" i="11"/>
  <c r="AL7" i="11"/>
  <c r="AI7" i="11"/>
  <c r="AH7" i="11"/>
  <c r="AC7" i="11"/>
  <c r="AB7" i="11"/>
  <c r="AA7" i="11"/>
  <c r="Z7" i="11"/>
  <c r="Y7" i="11"/>
  <c r="X7" i="11"/>
  <c r="M7" i="11"/>
  <c r="BG7" i="11" l="1"/>
  <c r="BH7" i="11" s="1"/>
  <c r="BI7" i="11" s="1"/>
  <c r="BC7" i="11"/>
  <c r="BE7" i="11"/>
  <c r="BF7" i="11" s="1"/>
  <c r="P63" i="15"/>
  <c r="O63" i="15"/>
  <c r="N63" i="15"/>
  <c r="M63" i="15"/>
  <c r="L63" i="15"/>
  <c r="K63" i="15"/>
  <c r="J63" i="15"/>
  <c r="I63" i="15"/>
  <c r="H63" i="15"/>
  <c r="P62" i="15"/>
  <c r="O62" i="15"/>
  <c r="N62" i="15"/>
  <c r="M62" i="15"/>
  <c r="L62" i="15"/>
  <c r="K62" i="15"/>
  <c r="J62" i="15"/>
  <c r="I62" i="15"/>
  <c r="H62" i="15"/>
  <c r="P61" i="15"/>
  <c r="O61" i="15"/>
  <c r="N61" i="15"/>
  <c r="M61" i="15"/>
  <c r="L61" i="15"/>
  <c r="K61" i="15"/>
  <c r="J61" i="15"/>
  <c r="I61" i="15"/>
  <c r="H61" i="15"/>
  <c r="AH9" i="11"/>
  <c r="AL8" i="11"/>
  <c r="AI8" i="11"/>
  <c r="AA8" i="11"/>
  <c r="Y8" i="11"/>
  <c r="AI9" i="11" l="1"/>
  <c r="AL9" i="11"/>
  <c r="AH10" i="11"/>
  <c r="AJ9" i="11"/>
  <c r="AK10" i="11" s="1"/>
  <c r="AM8" i="11"/>
  <c r="AV8" i="11" s="1"/>
  <c r="AY8" i="11" s="1"/>
  <c r="AB8" i="11"/>
  <c r="AC8" i="11" s="1"/>
  <c r="AU8" i="11" s="1"/>
  <c r="X9" i="11"/>
  <c r="AJ10" i="11" l="1"/>
  <c r="AK11" i="11" s="1"/>
  <c r="AM9" i="11"/>
  <c r="AV9" i="11" s="1"/>
  <c r="AY9" i="11" s="1"/>
  <c r="AL10" i="11"/>
  <c r="AI10" i="11"/>
  <c r="AH11" i="11"/>
  <c r="BA8" i="11"/>
  <c r="BB8" i="11" s="1"/>
  <c r="AX8" i="11"/>
  <c r="AA9" i="11"/>
  <c r="Y9" i="11"/>
  <c r="AM10" i="11" l="1"/>
  <c r="AV10" i="11" s="1"/>
  <c r="AY10" i="11" s="1"/>
  <c r="AJ11" i="11"/>
  <c r="AK12" i="11" s="1"/>
  <c r="AL11" i="11"/>
  <c r="AH12" i="11"/>
  <c r="AI11" i="11"/>
  <c r="BC8" i="11"/>
  <c r="BE8" i="11"/>
  <c r="BG8" i="11"/>
  <c r="BH8" i="11" s="1"/>
  <c r="BI8" i="11" s="1"/>
  <c r="AB9" i="11"/>
  <c r="AC9" i="11" s="1"/>
  <c r="AU9" i="11" s="1"/>
  <c r="X10" i="11"/>
  <c r="AH13" i="11" l="1"/>
  <c r="AL12" i="11"/>
  <c r="AI12" i="11"/>
  <c r="AM11" i="11"/>
  <c r="AV11" i="11" s="1"/>
  <c r="AY11" i="11" s="1"/>
  <c r="AJ12" i="11"/>
  <c r="AK13" i="11" s="1"/>
  <c r="BF8" i="11"/>
  <c r="BA9" i="11"/>
  <c r="BB9" i="11" s="1"/>
  <c r="AX9" i="11"/>
  <c r="AA10" i="11"/>
  <c r="Y10" i="11"/>
  <c r="AI13" i="11" l="1"/>
  <c r="AL13" i="11"/>
  <c r="AH14" i="11"/>
  <c r="AM12" i="11"/>
  <c r="AV12" i="11" s="1"/>
  <c r="AY12" i="11" s="1"/>
  <c r="AJ13" i="11"/>
  <c r="AK14" i="11" s="1"/>
  <c r="BC9" i="11"/>
  <c r="BE9" i="11"/>
  <c r="BG9" i="11"/>
  <c r="BH9" i="11" s="1"/>
  <c r="BI9" i="11" s="1"/>
  <c r="AB10" i="11"/>
  <c r="AC10" i="11" s="1"/>
  <c r="AU10" i="11" s="1"/>
  <c r="X11" i="11"/>
  <c r="AJ14" i="11" l="1"/>
  <c r="AK15" i="11" s="1"/>
  <c r="AM13" i="11"/>
  <c r="AV13" i="11" s="1"/>
  <c r="AY13" i="11" s="1"/>
  <c r="AI14" i="11"/>
  <c r="AL14" i="11"/>
  <c r="AH15" i="11"/>
  <c r="BF9" i="11"/>
  <c r="AX10" i="11"/>
  <c r="BA10" i="11"/>
  <c r="BB10" i="11" s="1"/>
  <c r="Y11" i="11"/>
  <c r="AA11" i="11"/>
  <c r="AM14" i="11" l="1"/>
  <c r="AV14" i="11" s="1"/>
  <c r="AY14" i="11" s="1"/>
  <c r="AJ15" i="11"/>
  <c r="AK16" i="11" s="1"/>
  <c r="AH16" i="11"/>
  <c r="AI15" i="11"/>
  <c r="AL15" i="11"/>
  <c r="BC10" i="11"/>
  <c r="BE10" i="11"/>
  <c r="BG10" i="11"/>
  <c r="BH10" i="11" s="1"/>
  <c r="BI10" i="11" s="1"/>
  <c r="AB11" i="11"/>
  <c r="AC11" i="11" s="1"/>
  <c r="AU11" i="11" s="1"/>
  <c r="X12" i="11"/>
  <c r="AL16" i="11" l="1"/>
  <c r="AI16" i="11"/>
  <c r="AH17" i="11"/>
  <c r="AM15" i="11"/>
  <c r="AV15" i="11" s="1"/>
  <c r="AY15" i="11" s="1"/>
  <c r="AJ16" i="11"/>
  <c r="AK17" i="11" s="1"/>
  <c r="BA11" i="11"/>
  <c r="BB11" i="11" s="1"/>
  <c r="AX11" i="11"/>
  <c r="BF10" i="11"/>
  <c r="Y12" i="11"/>
  <c r="AA12" i="11"/>
  <c r="AM16" i="11" l="1"/>
  <c r="AV16" i="11" s="1"/>
  <c r="AY16" i="11" s="1"/>
  <c r="AJ17" i="11"/>
  <c r="AK18" i="11" s="1"/>
  <c r="AL17" i="11"/>
  <c r="AH18" i="11"/>
  <c r="AI17" i="11"/>
  <c r="BG11" i="11"/>
  <c r="BH11" i="11" s="1"/>
  <c r="BI11" i="11" s="1"/>
  <c r="BE11" i="11"/>
  <c r="BF11" i="11" s="1"/>
  <c r="BC11" i="11"/>
  <c r="AB12" i="11"/>
  <c r="AC12" i="11" s="1"/>
  <c r="AU12" i="11" s="1"/>
  <c r="X13" i="11"/>
  <c r="AI18" i="11" l="1"/>
  <c r="AH19" i="11"/>
  <c r="AL18" i="11"/>
  <c r="AJ18" i="11"/>
  <c r="AK19" i="11" s="1"/>
  <c r="AM17" i="11"/>
  <c r="AV17" i="11" s="1"/>
  <c r="AY17" i="11" s="1"/>
  <c r="AX12" i="11"/>
  <c r="BA12" i="11"/>
  <c r="BB12" i="11" s="1"/>
  <c r="BE12" i="11" s="1"/>
  <c r="AA13" i="11"/>
  <c r="Y13" i="11"/>
  <c r="AM18" i="11" l="1"/>
  <c r="AV18" i="11" s="1"/>
  <c r="AY18" i="11" s="1"/>
  <c r="AJ19" i="11"/>
  <c r="AK20" i="11" s="1"/>
  <c r="AL19" i="11"/>
  <c r="AI19" i="11"/>
  <c r="AH20" i="11"/>
  <c r="BC12" i="11"/>
  <c r="BG12" i="11"/>
  <c r="BH12" i="11" s="1"/>
  <c r="BI12" i="11" s="1"/>
  <c r="BF12" i="11"/>
  <c r="AB13" i="11"/>
  <c r="AC13" i="11" s="1"/>
  <c r="AU13" i="11" s="1"/>
  <c r="X14" i="11"/>
  <c r="AM19" i="11" l="1"/>
  <c r="AV19" i="11" s="1"/>
  <c r="AY19" i="11" s="1"/>
  <c r="AJ20" i="11"/>
  <c r="AK21" i="11" s="1"/>
  <c r="AI20" i="11"/>
  <c r="AL20" i="11"/>
  <c r="AH21" i="11"/>
  <c r="BA13" i="11"/>
  <c r="BB13" i="11" s="1"/>
  <c r="AX13" i="11"/>
  <c r="AA14" i="11"/>
  <c r="Y14" i="11"/>
  <c r="AJ21" i="11" l="1"/>
  <c r="AK22" i="11" s="1"/>
  <c r="AM20" i="11"/>
  <c r="AV20" i="11" s="1"/>
  <c r="AY20" i="11" s="1"/>
  <c r="AI21" i="11"/>
  <c r="AL21" i="11"/>
  <c r="AH22" i="11"/>
  <c r="BC13" i="11"/>
  <c r="BG13" i="11"/>
  <c r="BH13" i="11" s="1"/>
  <c r="BI13" i="11" s="1"/>
  <c r="BE13" i="11"/>
  <c r="AB14" i="11"/>
  <c r="AC14" i="11" s="1"/>
  <c r="AU14" i="11" s="1"/>
  <c r="X15" i="11"/>
  <c r="AM21" i="11" l="1"/>
  <c r="AV21" i="11" s="1"/>
  <c r="AY21" i="11" s="1"/>
  <c r="AJ22" i="11"/>
  <c r="AK23" i="11" s="1"/>
  <c r="AH23" i="11"/>
  <c r="AL22" i="11"/>
  <c r="AI22" i="11"/>
  <c r="BF13" i="11"/>
  <c r="AX14" i="11"/>
  <c r="BA14" i="11"/>
  <c r="BB14" i="11" s="1"/>
  <c r="Y15" i="11"/>
  <c r="AA15" i="11"/>
  <c r="AL23" i="11" l="1"/>
  <c r="AI23" i="11"/>
  <c r="AH24" i="11"/>
  <c r="AM22" i="11"/>
  <c r="AV22" i="11" s="1"/>
  <c r="AY22" i="11" s="1"/>
  <c r="AJ23" i="11"/>
  <c r="AK24" i="11" s="1"/>
  <c r="AB15" i="11"/>
  <c r="AC15" i="11" s="1"/>
  <c r="AU15" i="11" s="1"/>
  <c r="X16" i="11"/>
  <c r="BE14" i="11"/>
  <c r="BC14" i="11"/>
  <c r="BG14" i="11"/>
  <c r="BH14" i="11" s="1"/>
  <c r="BI14" i="11" s="1"/>
  <c r="AJ24" i="11" l="1"/>
  <c r="AK25" i="11" s="1"/>
  <c r="AM23" i="11"/>
  <c r="AV23" i="11" s="1"/>
  <c r="AY23" i="11" s="1"/>
  <c r="AH25" i="11"/>
  <c r="AI24" i="11"/>
  <c r="AL24" i="11"/>
  <c r="AA16" i="11"/>
  <c r="Y16" i="11"/>
  <c r="AX15" i="11"/>
  <c r="BA15" i="11"/>
  <c r="BB15" i="11" s="1"/>
  <c r="BF14" i="11"/>
  <c r="AL25" i="11" l="1"/>
  <c r="AH26" i="11"/>
  <c r="AI25" i="11"/>
  <c r="AM24" i="11"/>
  <c r="AV24" i="11" s="1"/>
  <c r="AY24" i="11" s="1"/>
  <c r="AJ25" i="11"/>
  <c r="AK26" i="11" s="1"/>
  <c r="AB16" i="11"/>
  <c r="AC16" i="11" s="1"/>
  <c r="AU16" i="11" s="1"/>
  <c r="X17" i="11"/>
  <c r="BE15" i="11"/>
  <c r="BF15" i="11" s="1"/>
  <c r="BC15" i="11"/>
  <c r="BG15" i="11"/>
  <c r="BH15" i="11" s="1"/>
  <c r="BI15" i="11" s="1"/>
  <c r="BA16" i="11"/>
  <c r="BB16" i="11" s="1"/>
  <c r="AX16" i="11"/>
  <c r="AA17" i="11"/>
  <c r="Y17" i="11"/>
  <c r="AL26" i="11" l="1"/>
  <c r="AI26" i="11"/>
  <c r="AH27" i="11"/>
  <c r="AM25" i="11"/>
  <c r="AV25" i="11" s="1"/>
  <c r="AY25" i="11" s="1"/>
  <c r="AJ26" i="11"/>
  <c r="AK27" i="11" s="1"/>
  <c r="BC16" i="11"/>
  <c r="BE16" i="11"/>
  <c r="BG16" i="11"/>
  <c r="BH16" i="11" s="1"/>
  <c r="BI16" i="11" s="1"/>
  <c r="AB17" i="11"/>
  <c r="AC17" i="11" s="1"/>
  <c r="AU17" i="11" s="1"/>
  <c r="X18" i="11"/>
  <c r="AM26" i="11" l="1"/>
  <c r="AV26" i="11" s="1"/>
  <c r="AY26" i="11" s="1"/>
  <c r="AJ27" i="11"/>
  <c r="AK28" i="11" s="1"/>
  <c r="AL27" i="11"/>
  <c r="AI27" i="11"/>
  <c r="AH28" i="11"/>
  <c r="BF16" i="11"/>
  <c r="AX17" i="11"/>
  <c r="BA17" i="11"/>
  <c r="BB17" i="11" s="1"/>
  <c r="Y18" i="11"/>
  <c r="AA18" i="11"/>
  <c r="AM27" i="11" l="1"/>
  <c r="AV27" i="11" s="1"/>
  <c r="AY27" i="11" s="1"/>
  <c r="AJ28" i="11"/>
  <c r="AK29" i="11" s="1"/>
  <c r="AI28" i="11"/>
  <c r="AL28" i="11"/>
  <c r="AH29" i="11"/>
  <c r="BE17" i="11"/>
  <c r="BG17" i="11"/>
  <c r="BH17" i="11" s="1"/>
  <c r="BI17" i="11" s="1"/>
  <c r="BC17" i="11"/>
  <c r="AB18" i="11"/>
  <c r="AC18" i="11" s="1"/>
  <c r="AU18" i="11" s="1"/>
  <c r="X19" i="11"/>
  <c r="AM28" i="11" l="1"/>
  <c r="AV28" i="11" s="1"/>
  <c r="AY28" i="11" s="1"/>
  <c r="AJ29" i="11"/>
  <c r="AK30" i="11" s="1"/>
  <c r="AI29" i="11"/>
  <c r="AL29" i="11"/>
  <c r="AH30" i="11"/>
  <c r="BF17" i="11"/>
  <c r="BA18" i="11"/>
  <c r="BB18" i="11" s="1"/>
  <c r="AX18" i="11"/>
  <c r="AA19" i="11"/>
  <c r="Y19" i="11"/>
  <c r="AJ30" i="11" l="1"/>
  <c r="AK31" i="11" s="1"/>
  <c r="AM29" i="11"/>
  <c r="AV29" i="11" s="1"/>
  <c r="AY29" i="11" s="1"/>
  <c r="AH31" i="11"/>
  <c r="AL30" i="11"/>
  <c r="AI30" i="11"/>
  <c r="BE18" i="11"/>
  <c r="BG18" i="11"/>
  <c r="BH18" i="11" s="1"/>
  <c r="BI18" i="11" s="1"/>
  <c r="BC18" i="11"/>
  <c r="AB19" i="11"/>
  <c r="AC19" i="11" s="1"/>
  <c r="AU19" i="11" s="1"/>
  <c r="X20" i="11"/>
  <c r="AL31" i="11" l="1"/>
  <c r="AI31" i="11"/>
  <c r="AH32" i="11"/>
  <c r="AM30" i="11"/>
  <c r="AV30" i="11" s="1"/>
  <c r="AY30" i="11" s="1"/>
  <c r="AJ31" i="11"/>
  <c r="AK32" i="11" s="1"/>
  <c r="BF18" i="11"/>
  <c r="BA19" i="11"/>
  <c r="BB19" i="11" s="1"/>
  <c r="AX19" i="11"/>
  <c r="AA20" i="11"/>
  <c r="Y20" i="11"/>
  <c r="AM31" i="11" l="1"/>
  <c r="AV31" i="11" s="1"/>
  <c r="AY31" i="11" s="1"/>
  <c r="AJ32" i="11"/>
  <c r="AK33" i="11" s="1"/>
  <c r="AI32" i="11"/>
  <c r="AL32" i="11"/>
  <c r="AH33" i="11"/>
  <c r="BC19" i="11"/>
  <c r="BE19" i="11"/>
  <c r="BG19" i="11"/>
  <c r="BH19" i="11" s="1"/>
  <c r="BI19" i="11" s="1"/>
  <c r="AB20" i="11"/>
  <c r="AC20" i="11" s="1"/>
  <c r="AU20" i="11" s="1"/>
  <c r="X21" i="11"/>
  <c r="AM32" i="11" l="1"/>
  <c r="AV32" i="11" s="1"/>
  <c r="AY32" i="11" s="1"/>
  <c r="AJ33" i="11"/>
  <c r="AK34" i="11" s="1"/>
  <c r="AI33" i="11"/>
  <c r="AL33" i="11"/>
  <c r="AH34" i="11"/>
  <c r="BF19" i="11"/>
  <c r="AX20" i="11"/>
  <c r="BA20" i="11"/>
  <c r="BB20" i="11" s="1"/>
  <c r="AA21" i="11"/>
  <c r="Y21" i="11"/>
  <c r="AJ34" i="11" l="1"/>
  <c r="AK35" i="11" s="1"/>
  <c r="AM33" i="11"/>
  <c r="AV33" i="11" s="1"/>
  <c r="AY33" i="11" s="1"/>
  <c r="AI34" i="11"/>
  <c r="AL34" i="11"/>
  <c r="AH35" i="11"/>
  <c r="AB21" i="11"/>
  <c r="AC21" i="11" s="1"/>
  <c r="AU21" i="11" s="1"/>
  <c r="X22" i="11"/>
  <c r="BE20" i="11"/>
  <c r="BC20" i="11"/>
  <c r="BG20" i="11"/>
  <c r="BH20" i="11" s="1"/>
  <c r="BI20" i="11" s="1"/>
  <c r="AM34" i="11" l="1"/>
  <c r="AV34" i="11" s="1"/>
  <c r="AY34" i="11" s="1"/>
  <c r="AJ35" i="11"/>
  <c r="AK36" i="11" s="1"/>
  <c r="AL35" i="11"/>
  <c r="AI35" i="11"/>
  <c r="AH36" i="11"/>
  <c r="BA21" i="11"/>
  <c r="BB21" i="11" s="1"/>
  <c r="AX21" i="11"/>
  <c r="Y22" i="11"/>
  <c r="AA22" i="11"/>
  <c r="BF20" i="11"/>
  <c r="AM35" i="11" l="1"/>
  <c r="AV35" i="11" s="1"/>
  <c r="AY35" i="11" s="1"/>
  <c r="AJ36" i="11"/>
  <c r="AK37" i="11" s="1"/>
  <c r="AL36" i="11"/>
  <c r="AI36" i="11"/>
  <c r="AH37" i="11"/>
  <c r="AB22" i="11"/>
  <c r="AC22" i="11" s="1"/>
  <c r="AU22" i="11" s="1"/>
  <c r="X23" i="11"/>
  <c r="BC21" i="11"/>
  <c r="BE21" i="11"/>
  <c r="BF21" i="11" s="1"/>
  <c r="BG21" i="11"/>
  <c r="BH21" i="11" s="1"/>
  <c r="BI21" i="11" s="1"/>
  <c r="AM36" i="11" l="1"/>
  <c r="AV36" i="11" s="1"/>
  <c r="AY36" i="11" s="1"/>
  <c r="AJ37" i="11"/>
  <c r="AK38" i="11" s="1"/>
  <c r="AI37" i="11"/>
  <c r="AL37" i="11"/>
  <c r="AH38" i="11"/>
  <c r="AA23" i="11"/>
  <c r="Y23" i="11"/>
  <c r="BA22" i="11"/>
  <c r="BB22" i="11" s="1"/>
  <c r="AX22" i="11"/>
  <c r="X24" i="11" l="1"/>
  <c r="AB23" i="11"/>
  <c r="AC23" i="11" s="1"/>
  <c r="AU23" i="11" s="1"/>
  <c r="AM37" i="11"/>
  <c r="AV37" i="11" s="1"/>
  <c r="AY37" i="11" s="1"/>
  <c r="AJ38" i="11"/>
  <c r="AK39" i="11" s="1"/>
  <c r="AL38" i="11"/>
  <c r="AH39" i="11"/>
  <c r="AI38" i="11"/>
  <c r="BC22" i="11"/>
  <c r="BE22" i="11"/>
  <c r="BF22" i="11" s="1"/>
  <c r="BG22" i="11"/>
  <c r="BH22" i="11" s="1"/>
  <c r="BI22" i="11" s="1"/>
  <c r="AA24" i="11" l="1"/>
  <c r="Y24" i="11"/>
  <c r="AX23" i="11"/>
  <c r="BA23" i="11"/>
  <c r="BB23" i="11" s="1"/>
  <c r="AI39" i="11"/>
  <c r="AL39" i="11"/>
  <c r="AH40" i="11"/>
  <c r="AJ39" i="11"/>
  <c r="AK40" i="11" s="1"/>
  <c r="AM38" i="11"/>
  <c r="AV38" i="11" s="1"/>
  <c r="AY38" i="11" s="1"/>
  <c r="AB24" i="11" l="1"/>
  <c r="AC24" i="11" s="1"/>
  <c r="AU24" i="11" s="1"/>
  <c r="X25" i="11"/>
  <c r="BE23" i="11"/>
  <c r="BF23" i="11" s="1"/>
  <c r="BC23" i="11"/>
  <c r="BG23" i="11"/>
  <c r="BH23" i="11" s="1"/>
  <c r="BI23" i="11" s="1"/>
  <c r="AM39" i="11"/>
  <c r="AV39" i="11" s="1"/>
  <c r="AY39" i="11" s="1"/>
  <c r="AJ40" i="11"/>
  <c r="AK41" i="11" s="1"/>
  <c r="AH41" i="11"/>
  <c r="AI40" i="11"/>
  <c r="AL40" i="11"/>
  <c r="AX24" i="11" l="1"/>
  <c r="BA24" i="11"/>
  <c r="BB24" i="11" s="1"/>
  <c r="Y25" i="11"/>
  <c r="AA25" i="11"/>
  <c r="AI41" i="11"/>
  <c r="AL41" i="11"/>
  <c r="AH42" i="11"/>
  <c r="AJ41" i="11"/>
  <c r="AK42" i="11" s="1"/>
  <c r="AM40" i="11"/>
  <c r="AV40" i="11" s="1"/>
  <c r="AY40" i="11" s="1"/>
  <c r="BG24" i="11" l="1"/>
  <c r="BH24" i="11" s="1"/>
  <c r="BI24" i="11" s="1"/>
  <c r="BC24" i="11"/>
  <c r="BE24" i="11"/>
  <c r="BF24" i="11" s="1"/>
  <c r="AB25" i="11"/>
  <c r="AC25" i="11" s="1"/>
  <c r="AU25" i="11" s="1"/>
  <c r="X26" i="11"/>
  <c r="AA26" i="11"/>
  <c r="Y26" i="11"/>
  <c r="AM41" i="11"/>
  <c r="AV41" i="11" s="1"/>
  <c r="AY41" i="11" s="1"/>
  <c r="AJ42" i="11"/>
  <c r="AK43" i="11" s="1"/>
  <c r="AI42" i="11"/>
  <c r="AL42" i="11"/>
  <c r="AH43" i="11"/>
  <c r="BA25" i="11"/>
  <c r="BB25" i="11" s="1"/>
  <c r="AX25" i="11"/>
  <c r="AB26" i="11" l="1"/>
  <c r="AC26" i="11" s="1"/>
  <c r="AU26" i="11" s="1"/>
  <c r="X27" i="11"/>
  <c r="AM42" i="11"/>
  <c r="AV42" i="11" s="1"/>
  <c r="AY42" i="11" s="1"/>
  <c r="AJ43" i="11"/>
  <c r="AK44" i="11" s="1"/>
  <c r="AL43" i="11"/>
  <c r="AH44" i="11"/>
  <c r="AI43" i="11"/>
  <c r="BC25" i="11"/>
  <c r="BE25" i="11"/>
  <c r="BF25" i="11" s="1"/>
  <c r="BG25" i="11"/>
  <c r="BH25" i="11" s="1"/>
  <c r="BI25" i="11" s="1"/>
  <c r="AX26" i="11" l="1"/>
  <c r="BA26" i="11"/>
  <c r="BB26" i="11" s="1"/>
  <c r="AA27" i="11"/>
  <c r="Y27" i="11"/>
  <c r="AI44" i="11"/>
  <c r="AM44" i="11" s="1"/>
  <c r="AV44" i="11" s="1"/>
  <c r="AY44" i="11" s="1"/>
  <c r="AL44" i="11"/>
  <c r="AM43" i="11"/>
  <c r="AV43" i="11" s="1"/>
  <c r="AY43" i="11" s="1"/>
  <c r="AJ44" i="11"/>
  <c r="BE26" i="11" l="1"/>
  <c r="BF26" i="11" s="1"/>
  <c r="BC26" i="11"/>
  <c r="BG26" i="11"/>
  <c r="BH26" i="11" s="1"/>
  <c r="BI26" i="11" s="1"/>
  <c r="AB27" i="11"/>
  <c r="AC27" i="11" s="1"/>
  <c r="AU27" i="11" s="1"/>
  <c r="X28" i="11"/>
  <c r="Y28" i="11"/>
  <c r="AA28" i="11"/>
  <c r="AX27" i="11" l="1"/>
  <c r="BA27" i="11"/>
  <c r="BB27" i="11" s="1"/>
  <c r="AB28" i="11"/>
  <c r="AC28" i="11" s="1"/>
  <c r="AU28" i="11" s="1"/>
  <c r="X29" i="11"/>
  <c r="BC27" i="11" l="1"/>
  <c r="BE27" i="11"/>
  <c r="BF27" i="11" s="1"/>
  <c r="BG27" i="11"/>
  <c r="BH27" i="11" s="1"/>
  <c r="BI27" i="11" s="1"/>
  <c r="BA28" i="11"/>
  <c r="BB28" i="11" s="1"/>
  <c r="AX28" i="11"/>
  <c r="AA29" i="11"/>
  <c r="Y29" i="11"/>
  <c r="AB29" i="11" l="1"/>
  <c r="AC29" i="11" s="1"/>
  <c r="AU29" i="11" s="1"/>
  <c r="X30" i="11"/>
  <c r="AA30" i="11" s="1"/>
  <c r="Y30" i="11"/>
  <c r="AB30" i="11" s="1"/>
  <c r="BG28" i="11"/>
  <c r="BH28" i="11" s="1"/>
  <c r="BI28" i="11" s="1"/>
  <c r="BE28" i="11"/>
  <c r="BF28" i="11" s="1"/>
  <c r="BC28" i="11"/>
  <c r="AC30" i="11" l="1"/>
  <c r="AU30" i="11" s="1"/>
  <c r="X31" i="11"/>
  <c r="BA29" i="11"/>
  <c r="BB29" i="11" s="1"/>
  <c r="AX29" i="11"/>
  <c r="BA30" i="11" l="1"/>
  <c r="BB30" i="11" s="1"/>
  <c r="AX30" i="11"/>
  <c r="AA31" i="11"/>
  <c r="Y31" i="11"/>
  <c r="BG29" i="11"/>
  <c r="BH29" i="11" s="1"/>
  <c r="BI29" i="11" s="1"/>
  <c r="BE29" i="11"/>
  <c r="BF29" i="11" s="1"/>
  <c r="BC29" i="11"/>
  <c r="BC30" i="11" l="1"/>
  <c r="BE30" i="11"/>
  <c r="BF30" i="11" s="1"/>
  <c r="BG30" i="11"/>
  <c r="BH30" i="11" s="1"/>
  <c r="BI30" i="11" s="1"/>
  <c r="X32" i="11"/>
  <c r="AB31" i="11"/>
  <c r="AC31" i="11" s="1"/>
  <c r="AU31" i="11" s="1"/>
  <c r="AA32" i="11"/>
  <c r="Y32" i="11"/>
  <c r="BA31" i="11" l="1"/>
  <c r="BB31" i="11" s="1"/>
  <c r="BG31" i="11" s="1"/>
  <c r="BH31" i="11" s="1"/>
  <c r="BI31" i="11" s="1"/>
  <c r="AX31" i="11"/>
  <c r="AB32" i="11"/>
  <c r="AC32" i="11" s="1"/>
  <c r="AU32" i="11" s="1"/>
  <c r="X33" i="11"/>
  <c r="BC31" i="11"/>
  <c r="BE31" i="11"/>
  <c r="Y33" i="11" l="1"/>
  <c r="AA33" i="11"/>
  <c r="AX32" i="11"/>
  <c r="BA32" i="11"/>
  <c r="BB32" i="11" s="1"/>
  <c r="BF31" i="11"/>
  <c r="AB33" i="11" l="1"/>
  <c r="AC33" i="11" s="1"/>
  <c r="AU33" i="11" s="1"/>
  <c r="X34" i="11"/>
  <c r="BE32" i="11"/>
  <c r="BF32" i="11" s="1"/>
  <c r="BC32" i="11"/>
  <c r="BG32" i="11"/>
  <c r="BH32" i="11" s="1"/>
  <c r="BI32" i="11" s="1"/>
  <c r="BA33" i="11" l="1"/>
  <c r="BB33" i="11" s="1"/>
  <c r="AX33" i="11"/>
  <c r="AA34" i="11"/>
  <c r="Y34" i="11"/>
  <c r="BG33" i="11" l="1"/>
  <c r="BH33" i="11" s="1"/>
  <c r="BI33" i="11" s="1"/>
  <c r="BE33" i="11"/>
  <c r="BF33" i="11" s="1"/>
  <c r="BC33" i="11"/>
  <c r="AB34" i="11"/>
  <c r="AC34" i="11" s="1"/>
  <c r="AU34" i="11" s="1"/>
  <c r="X35" i="11"/>
  <c r="Y35" i="11" l="1"/>
  <c r="AA35" i="11"/>
  <c r="BA34" i="11"/>
  <c r="BB34" i="11" s="1"/>
  <c r="AX34" i="11"/>
  <c r="BE34" i="11" l="1"/>
  <c r="BF34" i="11" s="1"/>
  <c r="BG34" i="11"/>
  <c r="BH34" i="11" s="1"/>
  <c r="BI34" i="11" s="1"/>
  <c r="BC34" i="11"/>
  <c r="AB35" i="11"/>
  <c r="AC35" i="11" s="1"/>
  <c r="AU35" i="11" s="1"/>
  <c r="X36" i="11"/>
  <c r="AX35" i="11" l="1"/>
  <c r="BA35" i="11"/>
  <c r="BB35" i="11" s="1"/>
  <c r="AA36" i="11"/>
  <c r="Y36" i="11"/>
  <c r="BG35" i="11" l="1"/>
  <c r="BH35" i="11" s="1"/>
  <c r="BI35" i="11" s="1"/>
  <c r="BC35" i="11"/>
  <c r="BE35" i="11"/>
  <c r="BF35" i="11" s="1"/>
  <c r="AB36" i="11"/>
  <c r="AC36" i="11" s="1"/>
  <c r="AU36" i="11" s="1"/>
  <c r="X37" i="11"/>
  <c r="AX36" i="11" l="1"/>
  <c r="BA36" i="11"/>
  <c r="BB36" i="11" s="1"/>
  <c r="AA37" i="11"/>
  <c r="Y37" i="11"/>
  <c r="BC36" i="11" l="1"/>
  <c r="BE36" i="11"/>
  <c r="BF36" i="11" s="1"/>
  <c r="BG36" i="11"/>
  <c r="BH36" i="11" s="1"/>
  <c r="BI36" i="11" s="1"/>
  <c r="AB37" i="11"/>
  <c r="AC37" i="11" s="1"/>
  <c r="AU37" i="11" s="1"/>
  <c r="X38" i="11"/>
  <c r="AA38" i="11" l="1"/>
  <c r="Y38" i="11"/>
  <c r="BA37" i="11"/>
  <c r="BB37" i="11" s="1"/>
  <c r="AX37" i="11"/>
  <c r="X39" i="11" l="1"/>
  <c r="AB38" i="11"/>
  <c r="AC38" i="11" s="1"/>
  <c r="AU38" i="11" s="1"/>
  <c r="AX38" i="11" s="1"/>
  <c r="BC37" i="11"/>
  <c r="BE37" i="11"/>
  <c r="BF37" i="11" s="1"/>
  <c r="BG37" i="11"/>
  <c r="BH37" i="11" s="1"/>
  <c r="BI37" i="11" s="1"/>
  <c r="BA38" i="11"/>
  <c r="BB38" i="11" s="1"/>
  <c r="AA39" i="11"/>
  <c r="Y39" i="11"/>
  <c r="BG38" i="11" l="1"/>
  <c r="BH38" i="11" s="1"/>
  <c r="BI38" i="11" s="1"/>
  <c r="BE38" i="11"/>
  <c r="BF38" i="11" s="1"/>
  <c r="BC38" i="11"/>
  <c r="AB39" i="11"/>
  <c r="AC39" i="11" s="1"/>
  <c r="AU39" i="11" s="1"/>
  <c r="X40" i="11"/>
  <c r="AX39" i="11" l="1"/>
  <c r="BA39" i="11"/>
  <c r="BB39" i="11" s="1"/>
  <c r="Y40" i="11"/>
  <c r="AA40" i="11"/>
  <c r="BG39" i="11" l="1"/>
  <c r="BH39" i="11" s="1"/>
  <c r="BI39" i="11" s="1"/>
  <c r="BE39" i="11"/>
  <c r="BF39" i="11" s="1"/>
  <c r="BC39" i="11"/>
  <c r="AB40" i="11"/>
  <c r="AC40" i="11" s="1"/>
  <c r="AU40" i="11" s="1"/>
  <c r="X41" i="11"/>
  <c r="BA40" i="11" l="1"/>
  <c r="BB40" i="11" s="1"/>
  <c r="AX40" i="11"/>
  <c r="AA41" i="11"/>
  <c r="Y41" i="11"/>
  <c r="AB41" i="11" l="1"/>
  <c r="AC41" i="11" s="1"/>
  <c r="AU41" i="11" s="1"/>
  <c r="X42" i="11"/>
  <c r="BG40" i="11"/>
  <c r="BH40" i="11" s="1"/>
  <c r="BI40" i="11" s="1"/>
  <c r="BE40" i="11"/>
  <c r="BF40" i="11" s="1"/>
  <c r="BC40" i="11"/>
  <c r="AX41" i="11" l="1"/>
  <c r="BA41" i="11"/>
  <c r="BB41" i="11" s="1"/>
  <c r="AA42" i="11"/>
  <c r="Y42" i="11"/>
  <c r="X43" i="11" l="1"/>
  <c r="AB42" i="11"/>
  <c r="AC42" i="11" s="1"/>
  <c r="AU42" i="11" s="1"/>
  <c r="BG41" i="11"/>
  <c r="BH41" i="11" s="1"/>
  <c r="BI41" i="11" s="1"/>
  <c r="BE41" i="11"/>
  <c r="BF41" i="11" s="1"/>
  <c r="BC41" i="11"/>
  <c r="AA43" i="11" l="1"/>
  <c r="Y43" i="11"/>
  <c r="AX42" i="11"/>
  <c r="BA42" i="11"/>
  <c r="BB42" i="11" s="1"/>
  <c r="AB43" i="11" l="1"/>
  <c r="AC43" i="11" s="1"/>
  <c r="AU43" i="11" s="1"/>
  <c r="X44" i="11"/>
  <c r="BG42" i="11"/>
  <c r="BH42" i="11" s="1"/>
  <c r="BI42" i="11" s="1"/>
  <c r="BE42" i="11"/>
  <c r="BF42" i="11" s="1"/>
  <c r="BC42" i="11"/>
  <c r="Y44" i="11" l="1"/>
  <c r="AB44" i="11" s="1"/>
  <c r="AA44" i="11"/>
  <c r="AC44" i="11" s="1"/>
  <c r="AU44" i="11" s="1"/>
  <c r="AX43" i="11"/>
  <c r="BA43" i="11"/>
  <c r="BB43" i="11" s="1"/>
  <c r="BG43" i="11" s="1"/>
  <c r="BH43" i="11" s="1"/>
  <c r="BI43" i="11" s="1"/>
  <c r="BE43" i="11" l="1"/>
  <c r="BF43" i="11" s="1"/>
  <c r="BC43" i="11"/>
  <c r="AX44" i="11"/>
  <c r="BA44" i="11"/>
  <c r="BB44" i="11" s="1"/>
  <c r="BG44" i="11" l="1"/>
  <c r="BH44" i="11" s="1"/>
  <c r="BI44" i="11" s="1"/>
  <c r="BC44" i="11"/>
  <c r="BE44" i="11"/>
  <c r="BF44" i="11" s="1"/>
</calcChain>
</file>

<file path=xl/sharedStrings.xml><?xml version="1.0" encoding="utf-8"?>
<sst xmlns="http://schemas.openxmlformats.org/spreadsheetml/2006/main" count="198" uniqueCount="117">
  <si>
    <t>i</t>
  </si>
  <si>
    <t>t</t>
  </si>
  <si>
    <t>ln_Sg_pc</t>
  </si>
  <si>
    <t>ln_Pg</t>
  </si>
  <si>
    <t>ln_l1_Pg</t>
  </si>
  <si>
    <t>ln_l2_Pg</t>
  </si>
  <si>
    <t>ln_Pe</t>
  </si>
  <si>
    <t>ln_l1_Pe</t>
  </si>
  <si>
    <t>ln_l2_Pe</t>
  </si>
  <si>
    <t>ln_Mi_e</t>
  </si>
  <si>
    <t>ln_W_adj_Mi_e</t>
  </si>
  <si>
    <t>ln_Mi_c</t>
  </si>
  <si>
    <t>ln_gdp_pc</t>
  </si>
  <si>
    <t>ln_l1_gdp_pc</t>
  </si>
  <si>
    <t>ln_stations</t>
  </si>
  <si>
    <t>ipi_red</t>
  </si>
  <si>
    <t>y2020</t>
  </si>
  <si>
    <t>d_CW</t>
  </si>
  <si>
    <t>d_SO</t>
  </si>
  <si>
    <t>d_SE</t>
  </si>
  <si>
    <t>d_NE</t>
  </si>
  <si>
    <t>d_NO</t>
  </si>
  <si>
    <t>Row Labels</t>
  </si>
  <si>
    <t>Grand Total</t>
  </si>
  <si>
    <t>Year</t>
  </si>
  <si>
    <t>D_gdp_pc</t>
  </si>
  <si>
    <t>beta</t>
  </si>
  <si>
    <t>betas</t>
  </si>
  <si>
    <t>Base 2021</t>
  </si>
  <si>
    <t>lnEV</t>
  </si>
  <si>
    <t>lnICEV</t>
  </si>
  <si>
    <t>Betas x Rates</t>
  </si>
  <si>
    <t>Motorization rates</t>
  </si>
  <si>
    <t>Params</t>
  </si>
  <si>
    <t>sat. Value</t>
  </si>
  <si>
    <t>sat. Year</t>
  </si>
  <si>
    <t>alpha</t>
  </si>
  <si>
    <t>gamma</t>
  </si>
  <si>
    <t>PriceG</t>
  </si>
  <si>
    <t>lnPriceG</t>
  </si>
  <si>
    <t>lnPriceG_L1</t>
  </si>
  <si>
    <t>lnPriceG_L2</t>
  </si>
  <si>
    <t>Taxes</t>
  </si>
  <si>
    <t>Prices</t>
  </si>
  <si>
    <t>ramp</t>
  </si>
  <si>
    <t>step</t>
  </si>
  <si>
    <t>Betas x Prices</t>
  </si>
  <si>
    <t>Proj. Population</t>
  </si>
  <si>
    <t>Scenarios</t>
  </si>
  <si>
    <t>Passive</t>
  </si>
  <si>
    <t>Aggressive</t>
  </si>
  <si>
    <t>Sales per capita</t>
  </si>
  <si>
    <t>% of 2021</t>
  </si>
  <si>
    <t>Outputs</t>
  </si>
  <si>
    <t>Annual sales</t>
  </si>
  <si>
    <t>Tax X Price X Sales_pc</t>
  </si>
  <si>
    <t>Annual revenue</t>
  </si>
  <si>
    <t>Acc. Inflation</t>
  </si>
  <si>
    <t>Acc. sales</t>
  </si>
  <si>
    <t>Acc. revenue</t>
  </si>
  <si>
    <t>Projected population</t>
  </si>
  <si>
    <t>IPI</t>
  </si>
  <si>
    <t>IPI reduction</t>
  </si>
  <si>
    <t>Beta x IPI reduction</t>
  </si>
  <si>
    <t>Year stop</t>
  </si>
  <si>
    <t>base</t>
  </si>
  <si>
    <t>price</t>
  </si>
  <si>
    <t>motor</t>
  </si>
  <si>
    <t>ipi</t>
  </si>
  <si>
    <t>y_hat</t>
  </si>
  <si>
    <t>partial</t>
  </si>
  <si>
    <t>isolated results</t>
  </si>
  <si>
    <t>Scenario</t>
  </si>
  <si>
    <t>Description</t>
  </si>
  <si>
    <t>S1</t>
  </si>
  <si>
    <t>S2</t>
  </si>
  <si>
    <t>S3</t>
  </si>
  <si>
    <t>S4</t>
  </si>
  <si>
    <t>S5</t>
  </si>
  <si>
    <t>S6</t>
  </si>
  <si>
    <t>S7</t>
  </si>
  <si>
    <t>S8</t>
  </si>
  <si>
    <t>helper</t>
  </si>
  <si>
    <t>Passive gasoline tax</t>
  </si>
  <si>
    <t>Aggressive gasoline tax</t>
  </si>
  <si>
    <t>Evs overtake by 2040</t>
  </si>
  <si>
    <t>Evs overtake by 2050</t>
  </si>
  <si>
    <t>Evs overtake by 2060</t>
  </si>
  <si>
    <t>2 and 3</t>
  </si>
  <si>
    <t>2 and 4</t>
  </si>
  <si>
    <t>2 and 5</t>
  </si>
  <si>
    <t>E</t>
  </si>
  <si>
    <t>C</t>
  </si>
  <si>
    <t>M</t>
  </si>
  <si>
    <t>Mean</t>
  </si>
  <si>
    <t>CI 2.5%</t>
  </si>
  <si>
    <t>CI 97.5%</t>
  </si>
  <si>
    <t>Pg</t>
  </si>
  <si>
    <t>d_ln_gdp</t>
  </si>
  <si>
    <t>Average of ln_Pg</t>
  </si>
  <si>
    <t>Average of ln_l1_Pg</t>
  </si>
  <si>
    <t>Average of ln_l2_Pg</t>
  </si>
  <si>
    <t>Average of ln_Pe</t>
  </si>
  <si>
    <t>Average of ln_l1_Pe</t>
  </si>
  <si>
    <t>Average of ln_l2_Pe</t>
  </si>
  <si>
    <t>Average of ln_Mi_e</t>
  </si>
  <si>
    <t>Average of ln_W_adj_Mi_e</t>
  </si>
  <si>
    <t>Average of ln_Mi_c</t>
  </si>
  <si>
    <t>Average of d_ln_gdp</t>
  </si>
  <si>
    <t>Average of ipi_red</t>
  </si>
  <si>
    <t>Average of y2020</t>
  </si>
  <si>
    <t>Average of d_CW</t>
  </si>
  <si>
    <t>Average of d_SE</t>
  </si>
  <si>
    <t>Average of d_NE</t>
  </si>
  <si>
    <t>Average of d_NO</t>
  </si>
  <si>
    <t>Annual</t>
  </si>
  <si>
    <t>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</si>
</sst>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_-[$R$-416]\ * #,##0.00_-;\-[$R$-416]\ * #,##0.00_-;_-[$R$-416]\ * &quot;-&quot;??_-;_-@_-"/>
    <numFmt numFmtId="167" formatCode="0.00000"/>
  </numFmts>
  <fonts count="6" x14ac:knownFonts="1">
    <font>
      <sz val="11"/>
      <name val="Calibri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0" fillId="2" borderId="0" xfId="0" applyFill="1"/>
    <xf numFmtId="9" fontId="0" fillId="0" borderId="0" xfId="1" applyFont="1"/>
    <xf numFmtId="3" fontId="0" fillId="0" borderId="0" xfId="0" applyNumberFormat="1"/>
    <xf numFmtId="2" fontId="0" fillId="0" borderId="0" xfId="0" applyNumberFormat="1"/>
    <xf numFmtId="167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2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3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forecast!$X$5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forecast!$X$6:$X$46</c:f>
              <c:numCache>
                <c:formatCode>0.000</c:formatCode>
                <c:ptCount val="41"/>
                <c:pt idx="1">
                  <c:v>1.4973595941669107E-3</c:v>
                </c:pt>
                <c:pt idx="2">
                  <c:v>2.0139486541544951E-3</c:v>
                </c:pt>
                <c:pt idx="3">
                  <c:v>2.7087609398377959E-3</c:v>
                </c:pt>
                <c:pt idx="4">
                  <c:v>3.6432834640818352E-3</c:v>
                </c:pt>
                <c:pt idx="5">
                  <c:v>4.9002162591900685E-3</c:v>
                </c:pt>
                <c:pt idx="6">
                  <c:v>6.5907908686106418E-3</c:v>
                </c:pt>
                <c:pt idx="7">
                  <c:v>8.8646137182813133E-3</c:v>
                </c:pt>
                <c:pt idx="8">
                  <c:v>1.1922905451088366E-2</c:v>
                </c:pt>
                <c:pt idx="9">
                  <c:v>1.603630783171385E-2</c:v>
                </c:pt>
                <c:pt idx="10">
                  <c:v>2.1568834033655129E-2</c:v>
                </c:pt>
                <c:pt idx="11">
                  <c:v>2.901008177526615E-2</c:v>
                </c:pt>
                <c:pt idx="12">
                  <c:v>3.9018559987732973E-2</c:v>
                </c:pt>
                <c:pt idx="13">
                  <c:v>5.2479963183500851E-2</c:v>
                </c:pt>
                <c:pt idx="14">
                  <c:v>7.0585550481808645E-2</c:v>
                </c:pt>
                <c:pt idx="15">
                  <c:v>9.4937565398032622E-2</c:v>
                </c:pt>
                <c:pt idx="16">
                  <c:v>0.12769102546035388</c:v>
                </c:pt>
                <c:pt idx="17">
                  <c:v>0.17174442924417596</c:v>
                </c:pt>
                <c:pt idx="18">
                  <c:v>0.23099625733341667</c:v>
                </c:pt>
                <c:pt idx="19">
                  <c:v>0.3106899661134454</c:v>
                </c:pt>
                <c:pt idx="20">
                  <c:v>0.36461919574072821</c:v>
                </c:pt>
                <c:pt idx="21">
                  <c:v>0.40255123371021623</c:v>
                </c:pt>
                <c:pt idx="22">
                  <c:v>0.42992512518555964</c:v>
                </c:pt>
                <c:pt idx="23">
                  <c:v>0.45033063997476769</c:v>
                </c:pt>
                <c:pt idx="24">
                  <c:v>0.46613702615112634</c:v>
                </c:pt>
                <c:pt idx="25">
                  <c:v>0.47890798744300439</c:v>
                </c:pt>
                <c:pt idx="26">
                  <c:v>0.4896755683111253</c:v>
                </c:pt>
                <c:pt idx="27">
                  <c:v>0.49912091809956644</c:v>
                </c:pt>
                <c:pt idx="28">
                  <c:v>0.50769359537541892</c:v>
                </c:pt>
                <c:pt idx="29">
                  <c:v>0.51569030879296296</c:v>
                </c:pt>
                <c:pt idx="30">
                  <c:v>0.52330688606402331</c:v>
                </c:pt>
                <c:pt idx="31">
                  <c:v>0.53067257347840457</c:v>
                </c:pt>
                <c:pt idx="32">
                  <c:v>0.53787267358737756</c:v>
                </c:pt>
                <c:pt idx="33">
                  <c:v>0.54496348607478107</c:v>
                </c:pt>
                <c:pt idx="34">
                  <c:v>0.55198216873194872</c:v>
                </c:pt>
                <c:pt idx="35">
                  <c:v>0.55895324570116067</c:v>
                </c:pt>
                <c:pt idx="36">
                  <c:v>0.56589290291632199</c:v>
                </c:pt>
                <c:pt idx="37">
                  <c:v>0.57281182309380974</c:v>
                </c:pt>
                <c:pt idx="38">
                  <c:v>0.57971705682643304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D8-44BE-9D5F-1110284151B3}"/>
            </c:ext>
          </c:extLst>
        </c:ser>
        <c:ser>
          <c:idx val="1"/>
          <c:order val="1"/>
          <c:tx>
            <c:strRef>
              <c:f>forecast!$Y$5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forecast!$Y$6:$Y$46</c:f>
              <c:numCache>
                <c:formatCode>0.000</c:formatCode>
                <c:ptCount val="41"/>
                <c:pt idx="1">
                  <c:v>0.34399200107403871</c:v>
                </c:pt>
                <c:pt idx="2">
                  <c:v>0.35035407794193746</c:v>
                </c:pt>
                <c:pt idx="3">
                  <c:v>0.35653793158414049</c:v>
                </c:pt>
                <c:pt idx="4">
                  <c:v>0.36248207498778279</c:v>
                </c:pt>
                <c:pt idx="5">
                  <c:v>0.36810380812056087</c:v>
                </c:pt>
                <c:pt idx="6">
                  <c:v>0.37329189943902663</c:v>
                </c:pt>
                <c:pt idx="7">
                  <c:v>0.37789674251724231</c:v>
                </c:pt>
                <c:pt idx="8">
                  <c:v>0.38171711671232156</c:v>
                </c:pt>
                <c:pt idx="9">
                  <c:v>0.38448238025958242</c:v>
                </c:pt>
                <c:pt idx="10">
                  <c:v>0.38582851998552747</c:v>
                </c:pt>
                <c:pt idx="11">
                  <c:v>0.38526593817180277</c:v>
                </c:pt>
                <c:pt idx="12">
                  <c:v>0.38213612588722229</c:v>
                </c:pt>
                <c:pt idx="13">
                  <c:v>0.37555338861934073</c:v>
                </c:pt>
                <c:pt idx="14">
                  <c:v>0.36432646724891926</c:v>
                </c:pt>
                <c:pt idx="15">
                  <c:v>0.34685311826058163</c:v>
                </c:pt>
                <c:pt idx="16">
                  <c:v>0.32097832412614669</c:v>
                </c:pt>
                <c:pt idx="17">
                  <c:v>0.28380358627021096</c:v>
                </c:pt>
                <c:pt idx="18">
                  <c:v>0.23143042410885656</c:v>
                </c:pt>
                <c:pt idx="19">
                  <c:v>0.15861538125671415</c:v>
                </c:pt>
                <c:pt idx="20">
                  <c:v>0.11156481755731767</c:v>
                </c:pt>
                <c:pt idx="21">
                  <c:v>8.0511445515715985E-2</c:v>
                </c:pt>
                <c:pt idx="22">
                  <c:v>6.0016219968258899E-2</c:v>
                </c:pt>
                <c:pt idx="23">
                  <c:v>4.6489371106937183E-2</c:v>
                </c:pt>
                <c:pt idx="24">
                  <c:v>3.7561650858464912E-2</c:v>
                </c:pt>
                <c:pt idx="25">
                  <c:v>3.1669355494473195E-2</c:v>
                </c:pt>
                <c:pt idx="26">
                  <c:v>2.7780440554238617E-2</c:v>
                </c:pt>
                <c:pt idx="27">
                  <c:v>2.5213756693683809E-2</c:v>
                </c:pt>
                <c:pt idx="28">
                  <c:v>2.3519745345717658E-2</c:v>
                </c:pt>
                <c:pt idx="29">
                  <c:v>2.2401697856059943E-2</c:v>
                </c:pt>
                <c:pt idx="30">
                  <c:v>2.1663786512885919E-2</c:v>
                </c:pt>
                <c:pt idx="31">
                  <c:v>2.1176765026390987E-2</c:v>
                </c:pt>
                <c:pt idx="32">
                  <c:v>2.0855330845304332E-2</c:v>
                </c:pt>
                <c:pt idx="33">
                  <c:v>2.0643184285787153E-2</c:v>
                </c:pt>
                <c:pt idx="34">
                  <c:v>2.050316755650583E-2</c:v>
                </c:pt>
                <c:pt idx="35">
                  <c:v>2.0410756515180206E-2</c:v>
                </c:pt>
                <c:pt idx="36">
                  <c:v>2.0349765227905214E-2</c:v>
                </c:pt>
                <c:pt idx="37">
                  <c:v>2.0309510978303802E-2</c:v>
                </c:pt>
                <c:pt idx="38">
                  <c:v>2.0282943173566825E-2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D8-44BE-9D5F-1110284151B3}"/>
            </c:ext>
          </c:extLst>
        </c:ser>
        <c:ser>
          <c:idx val="2"/>
          <c:order val="2"/>
          <c:tx>
            <c:strRef>
              <c:f>forecast!$Z$5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forecast!$Z$6:$Z$46</c:f>
              <c:numCache>
                <c:formatCode>0.000</c:formatCode>
                <c:ptCount val="41"/>
                <c:pt idx="1">
                  <c:v>0.34548936066820563</c:v>
                </c:pt>
                <c:pt idx="2">
                  <c:v>0.35236802659609195</c:v>
                </c:pt>
                <c:pt idx="3">
                  <c:v>0.35924669252397828</c:v>
                </c:pt>
                <c:pt idx="4">
                  <c:v>0.36612535845186461</c:v>
                </c:pt>
                <c:pt idx="5">
                  <c:v>0.37300402437975094</c:v>
                </c:pt>
                <c:pt idx="6">
                  <c:v>0.37988269030763727</c:v>
                </c:pt>
                <c:pt idx="7">
                  <c:v>0.3867613562355236</c:v>
                </c:pt>
                <c:pt idx="8">
                  <c:v>0.39364002216340993</c:v>
                </c:pt>
                <c:pt idx="9">
                  <c:v>0.40051868809129626</c:v>
                </c:pt>
                <c:pt idx="10">
                  <c:v>0.40739735401918259</c:v>
                </c:pt>
                <c:pt idx="11">
                  <c:v>0.41427601994706892</c:v>
                </c:pt>
                <c:pt idx="12">
                  <c:v>0.42115468587495525</c:v>
                </c:pt>
                <c:pt idx="13">
                  <c:v>0.42803335180284158</c:v>
                </c:pt>
                <c:pt idx="14">
                  <c:v>0.43491201773072791</c:v>
                </c:pt>
                <c:pt idx="15">
                  <c:v>0.44179068365861424</c:v>
                </c:pt>
                <c:pt idx="16">
                  <c:v>0.44866934958650057</c:v>
                </c:pt>
                <c:pt idx="17">
                  <c:v>0.45554801551438689</c:v>
                </c:pt>
                <c:pt idx="18">
                  <c:v>0.46242668144227322</c:v>
                </c:pt>
                <c:pt idx="19">
                  <c:v>0.46930534737015955</c:v>
                </c:pt>
                <c:pt idx="20">
                  <c:v>0.47618401329804588</c:v>
                </c:pt>
                <c:pt idx="21">
                  <c:v>0.48306267922593221</c:v>
                </c:pt>
                <c:pt idx="22">
                  <c:v>0.48994134515381854</c:v>
                </c:pt>
                <c:pt idx="23">
                  <c:v>0.49682001108170487</c:v>
                </c:pt>
                <c:pt idx="24">
                  <c:v>0.50369867700959126</c:v>
                </c:pt>
                <c:pt idx="25">
                  <c:v>0.51057734293747759</c:v>
                </c:pt>
                <c:pt idx="26">
                  <c:v>0.51745600886536391</c:v>
                </c:pt>
                <c:pt idx="27">
                  <c:v>0.52433467479325024</c:v>
                </c:pt>
                <c:pt idx="28">
                  <c:v>0.53121334072113657</c:v>
                </c:pt>
                <c:pt idx="29">
                  <c:v>0.5380920066490229</c:v>
                </c:pt>
                <c:pt idx="30">
                  <c:v>0.54497067257690923</c:v>
                </c:pt>
                <c:pt idx="31">
                  <c:v>0.55184933850479556</c:v>
                </c:pt>
                <c:pt idx="32">
                  <c:v>0.55872800443268189</c:v>
                </c:pt>
                <c:pt idx="33">
                  <c:v>0.56560667036056822</c:v>
                </c:pt>
                <c:pt idx="34">
                  <c:v>0.57248533628845455</c:v>
                </c:pt>
                <c:pt idx="35">
                  <c:v>0.57936400221634088</c:v>
                </c:pt>
                <c:pt idx="36">
                  <c:v>0.58624266814422721</c:v>
                </c:pt>
                <c:pt idx="37">
                  <c:v>0.59312133407211354</c:v>
                </c:pt>
                <c:pt idx="38">
                  <c:v>0.59999999999999987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8-44BE-9D5F-111028415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78416"/>
        <c:axId val="1274541632"/>
      </c:lineChart>
      <c:catAx>
        <c:axId val="12029784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in"/>
        <c:tickLblPos val="nextTo"/>
        <c:crossAx val="12745416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274541632"/>
        <c:scaling>
          <c:orientation val="minMax"/>
          <c:max val="0.6000000000000000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Motorization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crossAx val="120297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419378515326979"/>
          <c:y val="1.2556053220528784E-2"/>
          <c:w val="0.3729796171724345"/>
          <c:h val="4.4678457932113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forecast!$X$5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forecast!$X$6:$X$46</c:f>
              <c:numCache>
                <c:formatCode>0.000</c:formatCode>
                <c:ptCount val="41"/>
                <c:pt idx="1">
                  <c:v>1.4973595941669107E-3</c:v>
                </c:pt>
                <c:pt idx="2">
                  <c:v>2.0139486541544951E-3</c:v>
                </c:pt>
                <c:pt idx="3">
                  <c:v>2.7087609398377959E-3</c:v>
                </c:pt>
                <c:pt idx="4">
                  <c:v>3.6432834640818352E-3</c:v>
                </c:pt>
                <c:pt idx="5">
                  <c:v>4.9002162591900685E-3</c:v>
                </c:pt>
                <c:pt idx="6">
                  <c:v>6.5907908686106418E-3</c:v>
                </c:pt>
                <c:pt idx="7">
                  <c:v>8.8646137182813133E-3</c:v>
                </c:pt>
                <c:pt idx="8">
                  <c:v>1.1922905451088366E-2</c:v>
                </c:pt>
                <c:pt idx="9">
                  <c:v>1.603630783171385E-2</c:v>
                </c:pt>
                <c:pt idx="10">
                  <c:v>2.1568834033655129E-2</c:v>
                </c:pt>
                <c:pt idx="11">
                  <c:v>2.901008177526615E-2</c:v>
                </c:pt>
                <c:pt idx="12">
                  <c:v>3.9018559987732973E-2</c:v>
                </c:pt>
                <c:pt idx="13">
                  <c:v>5.2479963183500851E-2</c:v>
                </c:pt>
                <c:pt idx="14">
                  <c:v>7.0585550481808645E-2</c:v>
                </c:pt>
                <c:pt idx="15">
                  <c:v>9.4937565398032622E-2</c:v>
                </c:pt>
                <c:pt idx="16">
                  <c:v>0.12769102546035388</c:v>
                </c:pt>
                <c:pt idx="17">
                  <c:v>0.17174442924417596</c:v>
                </c:pt>
                <c:pt idx="18">
                  <c:v>0.23099625733341667</c:v>
                </c:pt>
                <c:pt idx="19">
                  <c:v>0.3106899661134454</c:v>
                </c:pt>
                <c:pt idx="20">
                  <c:v>0.36461919574072821</c:v>
                </c:pt>
                <c:pt idx="21">
                  <c:v>0.40255123371021623</c:v>
                </c:pt>
                <c:pt idx="22">
                  <c:v>0.42992512518555964</c:v>
                </c:pt>
                <c:pt idx="23">
                  <c:v>0.45033063997476769</c:v>
                </c:pt>
                <c:pt idx="24">
                  <c:v>0.46613702615112634</c:v>
                </c:pt>
                <c:pt idx="25">
                  <c:v>0.47890798744300439</c:v>
                </c:pt>
                <c:pt idx="26">
                  <c:v>0.4896755683111253</c:v>
                </c:pt>
                <c:pt idx="27">
                  <c:v>0.49912091809956644</c:v>
                </c:pt>
                <c:pt idx="28">
                  <c:v>0.50769359537541892</c:v>
                </c:pt>
                <c:pt idx="29">
                  <c:v>0.51569030879296296</c:v>
                </c:pt>
                <c:pt idx="30">
                  <c:v>0.52330688606402331</c:v>
                </c:pt>
                <c:pt idx="31">
                  <c:v>0.53067257347840457</c:v>
                </c:pt>
                <c:pt idx="32">
                  <c:v>0.53787267358737756</c:v>
                </c:pt>
                <c:pt idx="33">
                  <c:v>0.54496348607478107</c:v>
                </c:pt>
                <c:pt idx="34">
                  <c:v>0.55198216873194872</c:v>
                </c:pt>
                <c:pt idx="35">
                  <c:v>0.55895324570116067</c:v>
                </c:pt>
                <c:pt idx="36">
                  <c:v>0.56589290291632199</c:v>
                </c:pt>
                <c:pt idx="37">
                  <c:v>0.57281182309380974</c:v>
                </c:pt>
                <c:pt idx="38">
                  <c:v>0.57971705682643304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3-4ADE-9322-2D6C51F77AB9}"/>
            </c:ext>
          </c:extLst>
        </c:ser>
        <c:ser>
          <c:idx val="1"/>
          <c:order val="1"/>
          <c:tx>
            <c:strRef>
              <c:f>forecast!$Y$5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forecast!$Y$6:$Y$46</c:f>
              <c:numCache>
                <c:formatCode>0.000</c:formatCode>
                <c:ptCount val="41"/>
                <c:pt idx="1">
                  <c:v>0.34399200107403871</c:v>
                </c:pt>
                <c:pt idx="2">
                  <c:v>0.35035407794193746</c:v>
                </c:pt>
                <c:pt idx="3">
                  <c:v>0.35653793158414049</c:v>
                </c:pt>
                <c:pt idx="4">
                  <c:v>0.36248207498778279</c:v>
                </c:pt>
                <c:pt idx="5">
                  <c:v>0.36810380812056087</c:v>
                </c:pt>
                <c:pt idx="6">
                  <c:v>0.37329189943902663</c:v>
                </c:pt>
                <c:pt idx="7">
                  <c:v>0.37789674251724231</c:v>
                </c:pt>
                <c:pt idx="8">
                  <c:v>0.38171711671232156</c:v>
                </c:pt>
                <c:pt idx="9">
                  <c:v>0.38448238025958242</c:v>
                </c:pt>
                <c:pt idx="10">
                  <c:v>0.38582851998552747</c:v>
                </c:pt>
                <c:pt idx="11">
                  <c:v>0.38526593817180277</c:v>
                </c:pt>
                <c:pt idx="12">
                  <c:v>0.38213612588722229</c:v>
                </c:pt>
                <c:pt idx="13">
                  <c:v>0.37555338861934073</c:v>
                </c:pt>
                <c:pt idx="14">
                  <c:v>0.36432646724891926</c:v>
                </c:pt>
                <c:pt idx="15">
                  <c:v>0.34685311826058163</c:v>
                </c:pt>
                <c:pt idx="16">
                  <c:v>0.32097832412614669</c:v>
                </c:pt>
                <c:pt idx="17">
                  <c:v>0.28380358627021096</c:v>
                </c:pt>
                <c:pt idx="18">
                  <c:v>0.23143042410885656</c:v>
                </c:pt>
                <c:pt idx="19">
                  <c:v>0.15861538125671415</c:v>
                </c:pt>
                <c:pt idx="20">
                  <c:v>0.11156481755731767</c:v>
                </c:pt>
                <c:pt idx="21">
                  <c:v>8.0511445515715985E-2</c:v>
                </c:pt>
                <c:pt idx="22">
                  <c:v>6.0016219968258899E-2</c:v>
                </c:pt>
                <c:pt idx="23">
                  <c:v>4.6489371106937183E-2</c:v>
                </c:pt>
                <c:pt idx="24">
                  <c:v>3.7561650858464912E-2</c:v>
                </c:pt>
                <c:pt idx="25">
                  <c:v>3.1669355494473195E-2</c:v>
                </c:pt>
                <c:pt idx="26">
                  <c:v>2.7780440554238617E-2</c:v>
                </c:pt>
                <c:pt idx="27">
                  <c:v>2.5213756693683809E-2</c:v>
                </c:pt>
                <c:pt idx="28">
                  <c:v>2.3519745345717658E-2</c:v>
                </c:pt>
                <c:pt idx="29">
                  <c:v>2.2401697856059943E-2</c:v>
                </c:pt>
                <c:pt idx="30">
                  <c:v>2.1663786512885919E-2</c:v>
                </c:pt>
                <c:pt idx="31">
                  <c:v>2.1176765026390987E-2</c:v>
                </c:pt>
                <c:pt idx="32">
                  <c:v>2.0855330845304332E-2</c:v>
                </c:pt>
                <c:pt idx="33">
                  <c:v>2.0643184285787153E-2</c:v>
                </c:pt>
                <c:pt idx="34">
                  <c:v>2.050316755650583E-2</c:v>
                </c:pt>
                <c:pt idx="35">
                  <c:v>2.0410756515180206E-2</c:v>
                </c:pt>
                <c:pt idx="36">
                  <c:v>2.0349765227905214E-2</c:v>
                </c:pt>
                <c:pt idx="37">
                  <c:v>2.0309510978303802E-2</c:v>
                </c:pt>
                <c:pt idx="38">
                  <c:v>2.0282943173566825E-2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3-4ADE-9322-2D6C51F77AB9}"/>
            </c:ext>
          </c:extLst>
        </c:ser>
        <c:ser>
          <c:idx val="2"/>
          <c:order val="2"/>
          <c:tx>
            <c:strRef>
              <c:f>forecast!$Z$5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forecast!$Z$6:$Z$46</c:f>
              <c:numCache>
                <c:formatCode>0.000</c:formatCode>
                <c:ptCount val="41"/>
                <c:pt idx="1">
                  <c:v>0.34548936066820563</c:v>
                </c:pt>
                <c:pt idx="2">
                  <c:v>0.35236802659609195</c:v>
                </c:pt>
                <c:pt idx="3">
                  <c:v>0.35924669252397828</c:v>
                </c:pt>
                <c:pt idx="4">
                  <c:v>0.36612535845186461</c:v>
                </c:pt>
                <c:pt idx="5">
                  <c:v>0.37300402437975094</c:v>
                </c:pt>
                <c:pt idx="6">
                  <c:v>0.37988269030763727</c:v>
                </c:pt>
                <c:pt idx="7">
                  <c:v>0.3867613562355236</c:v>
                </c:pt>
                <c:pt idx="8">
                  <c:v>0.39364002216340993</c:v>
                </c:pt>
                <c:pt idx="9">
                  <c:v>0.40051868809129626</c:v>
                </c:pt>
                <c:pt idx="10">
                  <c:v>0.40739735401918259</c:v>
                </c:pt>
                <c:pt idx="11">
                  <c:v>0.41427601994706892</c:v>
                </c:pt>
                <c:pt idx="12">
                  <c:v>0.42115468587495525</c:v>
                </c:pt>
                <c:pt idx="13">
                  <c:v>0.42803335180284158</c:v>
                </c:pt>
                <c:pt idx="14">
                  <c:v>0.43491201773072791</c:v>
                </c:pt>
                <c:pt idx="15">
                  <c:v>0.44179068365861424</c:v>
                </c:pt>
                <c:pt idx="16">
                  <c:v>0.44866934958650057</c:v>
                </c:pt>
                <c:pt idx="17">
                  <c:v>0.45554801551438689</c:v>
                </c:pt>
                <c:pt idx="18">
                  <c:v>0.46242668144227322</c:v>
                </c:pt>
                <c:pt idx="19">
                  <c:v>0.46930534737015955</c:v>
                </c:pt>
                <c:pt idx="20">
                  <c:v>0.47618401329804588</c:v>
                </c:pt>
                <c:pt idx="21">
                  <c:v>0.48306267922593221</c:v>
                </c:pt>
                <c:pt idx="22">
                  <c:v>0.48994134515381854</c:v>
                </c:pt>
                <c:pt idx="23">
                  <c:v>0.49682001108170487</c:v>
                </c:pt>
                <c:pt idx="24">
                  <c:v>0.50369867700959126</c:v>
                </c:pt>
                <c:pt idx="25">
                  <c:v>0.51057734293747759</c:v>
                </c:pt>
                <c:pt idx="26">
                  <c:v>0.51745600886536391</c:v>
                </c:pt>
                <c:pt idx="27">
                  <c:v>0.52433467479325024</c:v>
                </c:pt>
                <c:pt idx="28">
                  <c:v>0.53121334072113657</c:v>
                </c:pt>
                <c:pt idx="29">
                  <c:v>0.5380920066490229</c:v>
                </c:pt>
                <c:pt idx="30">
                  <c:v>0.54497067257690923</c:v>
                </c:pt>
                <c:pt idx="31">
                  <c:v>0.55184933850479556</c:v>
                </c:pt>
                <c:pt idx="32">
                  <c:v>0.55872800443268189</c:v>
                </c:pt>
                <c:pt idx="33">
                  <c:v>0.56560667036056822</c:v>
                </c:pt>
                <c:pt idx="34">
                  <c:v>0.57248533628845455</c:v>
                </c:pt>
                <c:pt idx="35">
                  <c:v>0.57936400221634088</c:v>
                </c:pt>
                <c:pt idx="36">
                  <c:v>0.58624266814422721</c:v>
                </c:pt>
                <c:pt idx="37">
                  <c:v>0.59312133407211354</c:v>
                </c:pt>
                <c:pt idx="38">
                  <c:v>0.59999999999999987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43-4ADE-9322-2D6C51F77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78416"/>
        <c:axId val="1274541632"/>
      </c:lineChart>
      <c:catAx>
        <c:axId val="120297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45416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27454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Average Motorization</a:t>
                </a:r>
                <a:r>
                  <a:rPr lang="pt-BR" baseline="0"/>
                  <a:t>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7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939953703703705"/>
          <c:y val="3.8805555555555558E-2"/>
          <c:w val="0.62042839997536403"/>
          <c:h val="5.9531666666666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forecast!$AH$5</c:f>
              <c:strCache>
                <c:ptCount val="1"/>
                <c:pt idx="0">
                  <c:v>PriceG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forecast!$AH$6:$AH$46</c:f>
              <c:numCache>
                <c:formatCode>0.000</c:formatCode>
                <c:ptCount val="41"/>
                <c:pt idx="1">
                  <c:v>2.1559925124432264</c:v>
                </c:pt>
                <c:pt idx="2">
                  <c:v>2.1775524375676589</c:v>
                </c:pt>
                <c:pt idx="3">
                  <c:v>2.1993279619433355</c:v>
                </c:pt>
                <c:pt idx="4">
                  <c:v>2.221321241562769</c:v>
                </c:pt>
                <c:pt idx="5">
                  <c:v>2.2435344539783966</c:v>
                </c:pt>
                <c:pt idx="6">
                  <c:v>2.2659697985181806</c:v>
                </c:pt>
                <c:pt idx="7">
                  <c:v>2.2886294965033622</c:v>
                </c:pt>
                <c:pt idx="8">
                  <c:v>2.3115157914683957</c:v>
                </c:pt>
                <c:pt idx="9">
                  <c:v>2.3346309493830795</c:v>
                </c:pt>
                <c:pt idx="10">
                  <c:v>2.3579772588769101</c:v>
                </c:pt>
                <c:pt idx="11">
                  <c:v>2.3815570314656793</c:v>
                </c:pt>
                <c:pt idx="12">
                  <c:v>2.4053726017803361</c:v>
                </c:pt>
                <c:pt idx="13">
                  <c:v>2.4294263277981396</c:v>
                </c:pt>
                <c:pt idx="14">
                  <c:v>2.4537205910761211</c:v>
                </c:pt>
                <c:pt idx="15">
                  <c:v>2.4782577969868824</c:v>
                </c:pt>
                <c:pt idx="16">
                  <c:v>2.5030403749567514</c:v>
                </c:pt>
                <c:pt idx="17">
                  <c:v>2.528070778706319</c:v>
                </c:pt>
                <c:pt idx="18">
                  <c:v>2.5533514864933822</c:v>
                </c:pt>
                <c:pt idx="19">
                  <c:v>2.5788850013583162</c:v>
                </c:pt>
                <c:pt idx="20">
                  <c:v>2.6046738513718992</c:v>
                </c:pt>
                <c:pt idx="21">
                  <c:v>2.6307205898856183</c:v>
                </c:pt>
                <c:pt idx="22">
                  <c:v>2.6570277957844746</c:v>
                </c:pt>
                <c:pt idx="23">
                  <c:v>2.6835980737423193</c:v>
                </c:pt>
                <c:pt idx="24">
                  <c:v>2.7104340544797427</c:v>
                </c:pt>
                <c:pt idx="25">
                  <c:v>2.73753839502454</c:v>
                </c:pt>
                <c:pt idx="26">
                  <c:v>2.7649137789747855</c:v>
                </c:pt>
                <c:pt idx="27">
                  <c:v>2.7925629167645334</c:v>
                </c:pt>
                <c:pt idx="28">
                  <c:v>2.8204885459321787</c:v>
                </c:pt>
                <c:pt idx="29">
                  <c:v>2.8486934313915007</c:v>
                </c:pt>
                <c:pt idx="30">
                  <c:v>2.8771803657054158</c:v>
                </c:pt>
                <c:pt idx="31">
                  <c:v>2.9059521693624699</c:v>
                </c:pt>
                <c:pt idx="32">
                  <c:v>2.9350116910560948</c:v>
                </c:pt>
                <c:pt idx="33">
                  <c:v>2.9643618079666556</c:v>
                </c:pt>
                <c:pt idx="34">
                  <c:v>2.9940054260463222</c:v>
                </c:pt>
                <c:pt idx="35">
                  <c:v>3.0239454803067853</c:v>
                </c:pt>
                <c:pt idx="36">
                  <c:v>3.0541849351098533</c:v>
                </c:pt>
                <c:pt idx="37">
                  <c:v>3.0847267844609521</c:v>
                </c:pt>
                <c:pt idx="38">
                  <c:v>3.1155740523055617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F-4458-AC6D-49401A684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894320"/>
        <c:axId val="1086896240"/>
      </c:lineChart>
      <c:catAx>
        <c:axId val="108689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9624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0868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Gasoline price (2006 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9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forecast!$BC$5</c:f>
              <c:strCache>
                <c:ptCount val="1"/>
                <c:pt idx="0">
                  <c:v>% of 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forecast!$BC$6:$BC$46</c:f>
              <c:numCache>
                <c:formatCode>0%</c:formatCode>
                <c:ptCount val="41"/>
                <c:pt idx="1">
                  <c:v>1</c:v>
                </c:pt>
                <c:pt idx="2">
                  <c:v>1.0172174466162722</c:v>
                </c:pt>
                <c:pt idx="3">
                  <c:v>1.0532102315809848</c:v>
                </c:pt>
                <c:pt idx="4">
                  <c:v>1.0477805774670432</c:v>
                </c:pt>
                <c:pt idx="5">
                  <c:v>1.0415883028453747</c:v>
                </c:pt>
                <c:pt idx="6">
                  <c:v>1.0344759175540752</c:v>
                </c:pt>
                <c:pt idx="7">
                  <c:v>1.0262306715391742</c:v>
                </c:pt>
                <c:pt idx="8">
                  <c:v>1.0165662908223452</c:v>
                </c:pt>
                <c:pt idx="9">
                  <c:v>1.0050981860460004</c:v>
                </c:pt>
                <c:pt idx="10">
                  <c:v>0.99130946843822565</c:v>
                </c:pt>
                <c:pt idx="11">
                  <c:v>0.97450373992648243</c:v>
                </c:pt>
                <c:pt idx="12">
                  <c:v>0.95373831104824769</c:v>
                </c:pt>
                <c:pt idx="13">
                  <c:v>0.92772736049658466</c:v>
                </c:pt>
                <c:pt idx="14">
                  <c:v>0.89469661528621813</c:v>
                </c:pt>
                <c:pt idx="15">
                  <c:v>0.85215459012415096</c:v>
                </c:pt>
                <c:pt idx="16">
                  <c:v>0.79650710238218236</c:v>
                </c:pt>
                <c:pt idx="17">
                  <c:v>0.72233976150986734</c:v>
                </c:pt>
                <c:pt idx="18">
                  <c:v>0.62086307882528369</c:v>
                </c:pt>
                <c:pt idx="19">
                  <c:v>0.47556339198136943</c:v>
                </c:pt>
                <c:pt idx="20">
                  <c:v>0.37078427121734742</c:v>
                </c:pt>
                <c:pt idx="21">
                  <c:v>0.29412484051391397</c:v>
                </c:pt>
                <c:pt idx="22">
                  <c:v>0.23841590108975227</c:v>
                </c:pt>
                <c:pt idx="23">
                  <c:v>0.19825645472963987</c:v>
                </c:pt>
                <c:pt idx="24">
                  <c:v>0.16954185755400991</c:v>
                </c:pt>
                <c:pt idx="25">
                  <c:v>0.14914454336366514</c:v>
                </c:pt>
                <c:pt idx="26">
                  <c:v>0.13469555870118036</c:v>
                </c:pt>
                <c:pt idx="27">
                  <c:v>0.12442740440232888</c:v>
                </c:pt>
                <c:pt idx="28">
                  <c:v>0.11704958486849394</c:v>
                </c:pt>
                <c:pt idx="29">
                  <c:v>0.11164221939037734</c:v>
                </c:pt>
                <c:pt idx="30">
                  <c:v>0.10756424010101683</c:v>
                </c:pt>
                <c:pt idx="31">
                  <c:v>0.10437727882542618</c:v>
                </c:pt>
                <c:pt idx="32">
                  <c:v>0.10178595495999213</c:v>
                </c:pt>
                <c:pt idx="33">
                  <c:v>9.9593367935452676E-2</c:v>
                </c:pt>
                <c:pt idx="34">
                  <c:v>9.7669246433655349E-2</c:v>
                </c:pt>
                <c:pt idx="35">
                  <c:v>9.5927829774809389E-2</c:v>
                </c:pt>
                <c:pt idx="36">
                  <c:v>9.4312830836580638E-2</c:v>
                </c:pt>
                <c:pt idx="37">
                  <c:v>9.2787362104327628E-2</c:v>
                </c:pt>
                <c:pt idx="38">
                  <c:v>9.1327253613691331E-2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7-4AFA-A8D1-BB7FDA4E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507119"/>
        <c:axId val="376506159"/>
      </c:lineChart>
      <c:catAx>
        <c:axId val="3765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506159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376506159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Gasoline</a:t>
                </a:r>
                <a:r>
                  <a:rPr lang="pt-BR" baseline="0"/>
                  <a:t> sales (% of 2021)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50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forecast!$BI$5</c:f>
              <c:strCache>
                <c:ptCount val="1"/>
                <c:pt idx="0">
                  <c:v>Acc.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forecast!$BI$6:$BI$46</c:f>
              <c:numCache>
                <c:formatCode>_-[$R$-416]\ * #,##0.00_-;\-[$R$-416]\ * #,##0.00_-;_-[$R$-416]\ * "-"??_-;_-@_-</c:formatCode>
                <c:ptCount val="41"/>
                <c:pt idx="1">
                  <c:v>0</c:v>
                </c:pt>
                <c:pt idx="2">
                  <c:v>3119425982.6682515</c:v>
                </c:pt>
                <c:pt idx="3">
                  <c:v>9636959078.7640533</c:v>
                </c:pt>
                <c:pt idx="4">
                  <c:v>19452589123.542915</c:v>
                </c:pt>
                <c:pt idx="5">
                  <c:v>32579509338.379036</c:v>
                </c:pt>
                <c:pt idx="6">
                  <c:v>49018677017.558243</c:v>
                </c:pt>
                <c:pt idx="7">
                  <c:v>68755617106.525162</c:v>
                </c:pt>
                <c:pt idx="8">
                  <c:v>91755622495.859741</c:v>
                </c:pt>
                <c:pt idx="9">
                  <c:v>117957268651.13243</c:v>
                </c:pt>
                <c:pt idx="10">
                  <c:v>147262603428.65039</c:v>
                </c:pt>
                <c:pt idx="11">
                  <c:v>179521679480.40921</c:v>
                </c:pt>
                <c:pt idx="12">
                  <c:v>214512344789.89688</c:v>
                </c:pt>
                <c:pt idx="13">
                  <c:v>251913440664.65189</c:v>
                </c:pt>
                <c:pt idx="14">
                  <c:v>291263737291.47931</c:v>
                </c:pt>
                <c:pt idx="15">
                  <c:v>331900251934.44214</c:v>
                </c:pt>
                <c:pt idx="16">
                  <c:v>372862714961.30652</c:v>
                </c:pt>
                <c:pt idx="17">
                  <c:v>412737123395.13501</c:v>
                </c:pt>
                <c:pt idx="18">
                  <c:v>449372343942.12854</c:v>
                </c:pt>
                <c:pt idx="19">
                  <c:v>479257233523.08069</c:v>
                </c:pt>
                <c:pt idx="20">
                  <c:v>503989110300.25262</c:v>
                </c:pt>
                <c:pt idx="21">
                  <c:v>524750233552.51434</c:v>
                </c:pt>
                <c:pt idx="22">
                  <c:v>542510440016.0625</c:v>
                </c:pt>
                <c:pt idx="23">
                  <c:v>558057427726.74414</c:v>
                </c:pt>
                <c:pt idx="24">
                  <c:v>572021202863.88318</c:v>
                </c:pt>
                <c:pt idx="25">
                  <c:v>584895310473.63684</c:v>
                </c:pt>
                <c:pt idx="26">
                  <c:v>597056871437.30542</c:v>
                </c:pt>
                <c:pt idx="27">
                  <c:v>608786371322.25024</c:v>
                </c:pt>
                <c:pt idx="28">
                  <c:v>620286840406.51392</c:v>
                </c:pt>
                <c:pt idx="29">
                  <c:v>631701343541.8175</c:v>
                </c:pt>
                <c:pt idx="30">
                  <c:v>643128050008.35608</c:v>
                </c:pt>
                <c:pt idx="31">
                  <c:v>654632400946.255</c:v>
                </c:pt>
                <c:pt idx="32">
                  <c:v>666256507194.07031</c:v>
                </c:pt>
                <c:pt idx="33">
                  <c:v>678026079462.47046</c:v>
                </c:pt>
                <c:pt idx="34">
                  <c:v>689955404968.98022</c:v>
                </c:pt>
                <c:pt idx="35">
                  <c:v>702050911559.22815</c:v>
                </c:pt>
                <c:pt idx="36">
                  <c:v>714313691957.81787</c:v>
                </c:pt>
                <c:pt idx="37">
                  <c:v>726741293347.52881</c:v>
                </c:pt>
                <c:pt idx="38">
                  <c:v>739328817155.18945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EE-488E-AD39-24F6625C7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906223"/>
        <c:axId val="1371914863"/>
      </c:lineChart>
      <c:lineChart>
        <c:grouping val="standard"/>
        <c:varyColors val="0"/>
        <c:ser>
          <c:idx val="0"/>
          <c:order val="0"/>
          <c:tx>
            <c:strRef>
              <c:f>forecast!$BH$5</c:f>
              <c:strCache>
                <c:ptCount val="1"/>
                <c:pt idx="0">
                  <c:v>Annual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forecast!$A$6:$A$46</c:f>
              <c:numCache>
                <c:formatCode>General</c:formatCode>
                <c:ptCount val="4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forecast!$BH$6:$BH$46</c:f>
              <c:numCache>
                <c:formatCode>_-[$R$-416]\ * #,##0.00_-;\-[$R$-416]\ * #,##0.00_-;_-[$R$-416]\ * "-"??_-;_-@_-</c:formatCode>
                <c:ptCount val="41"/>
                <c:pt idx="1">
                  <c:v>0</c:v>
                </c:pt>
                <c:pt idx="2">
                  <c:v>3119425982.6682515</c:v>
                </c:pt>
                <c:pt idx="3">
                  <c:v>6517533096.0958023</c:v>
                </c:pt>
                <c:pt idx="4">
                  <c:v>9815630044.778862</c:v>
                </c:pt>
                <c:pt idx="5">
                  <c:v>13126920214.836123</c:v>
                </c:pt>
                <c:pt idx="6">
                  <c:v>16439167679.179211</c:v>
                </c:pt>
                <c:pt idx="7">
                  <c:v>19736940088.966915</c:v>
                </c:pt>
                <c:pt idx="8">
                  <c:v>23000005389.334579</c:v>
                </c:pt>
                <c:pt idx="9">
                  <c:v>26201646155.27269</c:v>
                </c:pt>
                <c:pt idx="10">
                  <c:v>29305334777.517967</c:v>
                </c:pt>
                <c:pt idx="11">
                  <c:v>32259076051.758827</c:v>
                </c:pt>
                <c:pt idx="12">
                  <c:v>34990665309.487671</c:v>
                </c:pt>
                <c:pt idx="13">
                  <c:v>37401095874.754997</c:v>
                </c:pt>
                <c:pt idx="14">
                  <c:v>39350296626.827415</c:v>
                </c:pt>
                <c:pt idx="15">
                  <c:v>40636514642.962799</c:v>
                </c:pt>
                <c:pt idx="16">
                  <c:v>40962463026.864372</c:v>
                </c:pt>
                <c:pt idx="17">
                  <c:v>39874408433.828484</c:v>
                </c:pt>
                <c:pt idx="18">
                  <c:v>36635220546.99353</c:v>
                </c:pt>
                <c:pt idx="19">
                  <c:v>29884889580.952175</c:v>
                </c:pt>
                <c:pt idx="20">
                  <c:v>24731876777.171917</c:v>
                </c:pt>
                <c:pt idx="21">
                  <c:v>20761123252.261745</c:v>
                </c:pt>
                <c:pt idx="22">
                  <c:v>17760206463.548153</c:v>
                </c:pt>
                <c:pt idx="23">
                  <c:v>15546987710.681614</c:v>
                </c:pt>
                <c:pt idx="24">
                  <c:v>13963775137.138988</c:v>
                </c:pt>
                <c:pt idx="25">
                  <c:v>12874107609.753717</c:v>
                </c:pt>
                <c:pt idx="26">
                  <c:v>12161560963.6686</c:v>
                </c:pt>
                <c:pt idx="27">
                  <c:v>11729499884.94478</c:v>
                </c:pt>
                <c:pt idx="28">
                  <c:v>11500469084.263626</c:v>
                </c:pt>
                <c:pt idx="29">
                  <c:v>11414503135.303555</c:v>
                </c:pt>
                <c:pt idx="30">
                  <c:v>11426706466.538561</c:v>
                </c:pt>
                <c:pt idx="31">
                  <c:v>11504350937.898932</c:v>
                </c:pt>
                <c:pt idx="32">
                  <c:v>11624106247.815252</c:v>
                </c:pt>
                <c:pt idx="33">
                  <c:v>11769572268.400194</c:v>
                </c:pt>
                <c:pt idx="34">
                  <c:v>11929325506.509747</c:v>
                </c:pt>
                <c:pt idx="35">
                  <c:v>12095506590.247911</c:v>
                </c:pt>
                <c:pt idx="36">
                  <c:v>12262780398.589685</c:v>
                </c:pt>
                <c:pt idx="37">
                  <c:v>12427601389.710985</c:v>
                </c:pt>
                <c:pt idx="38">
                  <c:v>12587523807.660696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E-488E-AD39-24F6625C7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778447"/>
        <c:axId val="1504779407"/>
      </c:lineChart>
      <c:catAx>
        <c:axId val="137190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914863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3719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Accumulated revenue (2021 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906223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15047794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Annual</a:t>
                </a:r>
                <a:r>
                  <a:rPr lang="pt-BR" baseline="0"/>
                  <a:t> revenue (2021 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778447"/>
        <c:crosses val="max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150477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477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scenario'!$U$56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scenario'!$V$55:$AC$55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'sales by scenario'!$V$56:$AC$56</c:f>
              <c:numCache>
                <c:formatCode>0%</c:formatCode>
                <c:ptCount val="8"/>
                <c:pt idx="0">
                  <c:v>0.97909438824190698</c:v>
                </c:pt>
                <c:pt idx="1">
                  <c:v>0.95670220876198886</c:v>
                </c:pt>
                <c:pt idx="2">
                  <c:v>1.1004219248529643</c:v>
                </c:pt>
                <c:pt idx="3">
                  <c:v>1.1154845233023583</c:v>
                </c:pt>
                <c:pt idx="4">
                  <c:v>1.1201522795127337</c:v>
                </c:pt>
                <c:pt idx="5">
                  <c:v>1.0165662908223452</c:v>
                </c:pt>
                <c:pt idx="6">
                  <c:v>1.030481071589634</c:v>
                </c:pt>
                <c:pt idx="7">
                  <c:v>1.0347931300011186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7-4C6A-BA24-DBC251EDB872}"/>
            </c:ext>
          </c:extLst>
        </c:ser>
        <c:ser>
          <c:idx val="1"/>
          <c:order val="1"/>
          <c:tx>
            <c:strRef>
              <c:f>'sales by scenario'!$U$57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scenario'!$V$55:$AC$55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'sales by scenario'!$V$57:$AC$57</c:f>
              <c:numCache>
                <c:formatCode>0%</c:formatCode>
                <c:ptCount val="8"/>
                <c:pt idx="0">
                  <c:v>0.97909438824190698</c:v>
                </c:pt>
                <c:pt idx="1">
                  <c:v>0.82389096901409631</c:v>
                </c:pt>
                <c:pt idx="2">
                  <c:v>0.78041642047235116</c:v>
                </c:pt>
                <c:pt idx="3">
                  <c:v>1.1731403912288341</c:v>
                </c:pt>
                <c:pt idx="4">
                  <c:v>1.2170743442731173</c:v>
                </c:pt>
                <c:pt idx="5">
                  <c:v>0.62086307882528369</c:v>
                </c:pt>
                <c:pt idx="6">
                  <c:v>0.93329604053152582</c:v>
                </c:pt>
                <c:pt idx="7">
                  <c:v>0.96824785425109083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7-4C6A-BA24-DBC251EDB872}"/>
            </c:ext>
          </c:extLst>
        </c:ser>
        <c:ser>
          <c:idx val="2"/>
          <c:order val="2"/>
          <c:tx>
            <c:strRef>
              <c:f>'sales by scenario'!$U$58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scenario'!$V$55:$AC$55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'sales by scenario'!$V$58:$AC$58</c:f>
              <c:numCache>
                <c:formatCode>0%</c:formatCode>
                <c:ptCount val="8"/>
                <c:pt idx="0">
                  <c:v>0.97909438824190698</c:v>
                </c:pt>
                <c:pt idx="1">
                  <c:v>0.70951684087922862</c:v>
                </c:pt>
                <c:pt idx="2">
                  <c:v>0.17084704690929237</c:v>
                </c:pt>
                <c:pt idx="3">
                  <c:v>0.85475678864198679</c:v>
                </c:pt>
                <c:pt idx="4">
                  <c:v>1.2357196269414541</c:v>
                </c:pt>
                <c:pt idx="5">
                  <c:v>0.11704958486849394</c:v>
                </c:pt>
                <c:pt idx="6">
                  <c:v>0.58560524799231939</c:v>
                </c:pt>
                <c:pt idx="7">
                  <c:v>0.84660795702334402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7-4C6A-BA24-DBC251EDB872}"/>
            </c:ext>
          </c:extLst>
        </c:ser>
        <c:ser>
          <c:idx val="3"/>
          <c:order val="3"/>
          <c:tx>
            <c:strRef>
              <c:f>'sales by scenario'!$U$59</c:f>
              <c:strCache>
                <c:ptCount val="1"/>
                <c:pt idx="0">
                  <c:v>2060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scenario'!$V$55:$AC$55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'sales by scenario'!$V$59:$AC$59</c:f>
              <c:numCache>
                <c:formatCode>0%</c:formatCode>
                <c:ptCount val="8"/>
                <c:pt idx="0">
                  <c:v>0.97909438824190698</c:v>
                </c:pt>
                <c:pt idx="1">
                  <c:v>0.61102034908047065</c:v>
                </c:pt>
                <c:pt idx="2">
                  <c:v>0.15479075931794253</c:v>
                </c:pt>
                <c:pt idx="3">
                  <c:v>0.17731331772866249</c:v>
                </c:pt>
                <c:pt idx="4">
                  <c:v>0.92621779893016976</c:v>
                </c:pt>
                <c:pt idx="5">
                  <c:v>9.1327253613691331E-2</c:v>
                </c:pt>
                <c:pt idx="6">
                  <c:v>0.10461566574545204</c:v>
                </c:pt>
                <c:pt idx="7">
                  <c:v>0.54647272354717025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7-4C6A-BA24-DBC251ED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4004799"/>
        <c:axId val="1684016799"/>
      </c:barChart>
      <c:catAx>
        <c:axId val="16840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84016799"/>
        <c:crosses val="autoZero"/>
        <c:auto val="1"/>
        <c:lblAlgn val="ctr"/>
        <c:lblOffset val="100"/>
        <c:noMultiLvlLbl val="0"/>
      </c:catAx>
      <c:valAx>
        <c:axId val="168401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Projected gasoline sales</a:t>
                </a:r>
                <a:r>
                  <a:rPr lang="pt-BR" baseline="0"/>
                  <a:t> </a:t>
                </a:r>
                <a:r>
                  <a:rPr lang="pt-BR" i="1" baseline="0"/>
                  <a:t>per capita </a:t>
                </a:r>
                <a:r>
                  <a:rPr lang="pt-BR" i="0" baseline="0"/>
                  <a:t>(% of 2023)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8400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'revenue by scenario'!$B$2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'revenue by scenario'!$A$3:$A$40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'revenue by scenario'!$B$3:$B$40</c:f>
              <c:numCache>
                <c:formatCode>General</c:formatCode>
                <c:ptCount val="38"/>
                <c:pt idx="0">
                  <c:v>0</c:v>
                </c:pt>
                <c:pt idx="1">
                  <c:v>3119425982.6682515</c:v>
                </c:pt>
                <c:pt idx="2">
                  <c:v>6517533096.0958023</c:v>
                </c:pt>
                <c:pt idx="3">
                  <c:v>9815630044.778862</c:v>
                </c:pt>
                <c:pt idx="4">
                  <c:v>13126920214.836123</c:v>
                </c:pt>
                <c:pt idx="5">
                  <c:v>16439167679.179211</c:v>
                </c:pt>
                <c:pt idx="6">
                  <c:v>19736940088.966915</c:v>
                </c:pt>
                <c:pt idx="7">
                  <c:v>23000005389.334579</c:v>
                </c:pt>
                <c:pt idx="8">
                  <c:v>26201646155.27269</c:v>
                </c:pt>
                <c:pt idx="9">
                  <c:v>29305334777.517967</c:v>
                </c:pt>
                <c:pt idx="10">
                  <c:v>32259076051.758827</c:v>
                </c:pt>
                <c:pt idx="11">
                  <c:v>34990665309.487671</c:v>
                </c:pt>
                <c:pt idx="12">
                  <c:v>37401095874.754997</c:v>
                </c:pt>
                <c:pt idx="13">
                  <c:v>39350296626.827415</c:v>
                </c:pt>
                <c:pt idx="14">
                  <c:v>40636514642.962799</c:v>
                </c:pt>
                <c:pt idx="15">
                  <c:v>40962463026.864372</c:v>
                </c:pt>
                <c:pt idx="16">
                  <c:v>39874408433.828484</c:v>
                </c:pt>
                <c:pt idx="17">
                  <c:v>36635220546.99353</c:v>
                </c:pt>
                <c:pt idx="18">
                  <c:v>29884889580.952175</c:v>
                </c:pt>
                <c:pt idx="19">
                  <c:v>24731876777.171917</c:v>
                </c:pt>
                <c:pt idx="20">
                  <c:v>20761123252.261745</c:v>
                </c:pt>
                <c:pt idx="21">
                  <c:v>17760206463.548153</c:v>
                </c:pt>
                <c:pt idx="22">
                  <c:v>15546987710.681614</c:v>
                </c:pt>
                <c:pt idx="23">
                  <c:v>13963775137.138988</c:v>
                </c:pt>
                <c:pt idx="24">
                  <c:v>12874107609.753717</c:v>
                </c:pt>
                <c:pt idx="25">
                  <c:v>12161560963.6686</c:v>
                </c:pt>
                <c:pt idx="26">
                  <c:v>11729499884.94478</c:v>
                </c:pt>
                <c:pt idx="27">
                  <c:v>11500469084.263626</c:v>
                </c:pt>
                <c:pt idx="28">
                  <c:v>11414503135.303555</c:v>
                </c:pt>
                <c:pt idx="29">
                  <c:v>11426706466.538561</c:v>
                </c:pt>
                <c:pt idx="30">
                  <c:v>11504350937.898932</c:v>
                </c:pt>
                <c:pt idx="31">
                  <c:v>11624106247.815252</c:v>
                </c:pt>
                <c:pt idx="32">
                  <c:v>11769572268.400194</c:v>
                </c:pt>
                <c:pt idx="33">
                  <c:v>11929325506.509747</c:v>
                </c:pt>
                <c:pt idx="34">
                  <c:v>12095506590.247911</c:v>
                </c:pt>
                <c:pt idx="35">
                  <c:v>12262780398.589685</c:v>
                </c:pt>
                <c:pt idx="36">
                  <c:v>12427601389.710985</c:v>
                </c:pt>
                <c:pt idx="37">
                  <c:v>12587523807.660696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D0-4F97-B7B3-4FE0F0C06B34}"/>
            </c:ext>
          </c:extLst>
        </c:ser>
        <c:ser>
          <c:idx val="1"/>
          <c:order val="1"/>
          <c:tx>
            <c:strRef>
              <c:f>'revenue by scenario'!$C$2</c:f>
              <c:strCache>
                <c:ptCount val="1"/>
                <c:pt idx="0">
                  <c:v>S7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'revenue by scenario'!$A$3:$A$40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'revenue by scenario'!$C$3:$C$40</c:f>
              <c:numCache>
                <c:formatCode>General</c:formatCode>
                <c:ptCount val="38"/>
                <c:pt idx="0">
                  <c:v>0</c:v>
                </c:pt>
                <c:pt idx="1">
                  <c:v>3121912921.4521146</c:v>
                </c:pt>
                <c:pt idx="2">
                  <c:v>6529191856.1752634</c:v>
                </c:pt>
                <c:pt idx="3">
                  <c:v>9845593923.0859261</c:v>
                </c:pt>
                <c:pt idx="4">
                  <c:v>13188564273.409693</c:v>
                </c:pt>
                <c:pt idx="5">
                  <c:v>16552050105.955889</c:v>
                </c:pt>
                <c:pt idx="6">
                  <c:v>19929754055.552227</c:v>
                </c:pt>
                <c:pt idx="7">
                  <c:v>23314829946.796692</c:v>
                </c:pt>
                <c:pt idx="8">
                  <c:v>26700058680.458755</c:v>
                </c:pt>
                <c:pt idx="9">
                  <c:v>30077182369.094479</c:v>
                </c:pt>
                <c:pt idx="10">
                  <c:v>33435029469.198391</c:v>
                </c:pt>
                <c:pt idx="11">
                  <c:v>36760321798.776222</c:v>
                </c:pt>
                <c:pt idx="12">
                  <c:v>40039403502.977661</c:v>
                </c:pt>
                <c:pt idx="13">
                  <c:v>43256514686.337852</c:v>
                </c:pt>
                <c:pt idx="14">
                  <c:v>46392967790.268333</c:v>
                </c:pt>
                <c:pt idx="15">
                  <c:v>49426326121.635696</c:v>
                </c:pt>
                <c:pt idx="16">
                  <c:v>52329680603.478813</c:v>
                </c:pt>
                <c:pt idx="17">
                  <c:v>55070928593.790718</c:v>
                </c:pt>
                <c:pt idx="18">
                  <c:v>57611140729.746109</c:v>
                </c:pt>
                <c:pt idx="19">
                  <c:v>59902360839.537384</c:v>
                </c:pt>
                <c:pt idx="20">
                  <c:v>61885669378.625214</c:v>
                </c:pt>
                <c:pt idx="21">
                  <c:v>63487964473.757957</c:v>
                </c:pt>
                <c:pt idx="22">
                  <c:v>64617328953.729324</c:v>
                </c:pt>
                <c:pt idx="23">
                  <c:v>65156957038.045998</c:v>
                </c:pt>
                <c:pt idx="24">
                  <c:v>64956077911.978554</c:v>
                </c:pt>
                <c:pt idx="25">
                  <c:v>63816283674.717712</c:v>
                </c:pt>
                <c:pt idx="26">
                  <c:v>61469437195.914078</c:v>
                </c:pt>
                <c:pt idx="27">
                  <c:v>57537453530.35405</c:v>
                </c:pt>
                <c:pt idx="28">
                  <c:v>51449086462.329796</c:v>
                </c:pt>
                <c:pt idx="29">
                  <c:v>41214729557.714958</c:v>
                </c:pt>
                <c:pt idx="30">
                  <c:v>33426208315.863079</c:v>
                </c:pt>
                <c:pt idx="31">
                  <c:v>27562052701.99691</c:v>
                </c:pt>
                <c:pt idx="32">
                  <c:v>23209066005.332142</c:v>
                </c:pt>
                <c:pt idx="33">
                  <c:v>20034554762.185993</c:v>
                </c:pt>
                <c:pt idx="34">
                  <c:v>17767974428.57037</c:v>
                </c:pt>
                <c:pt idx="35">
                  <c:v>16188892724.08967</c:v>
                </c:pt>
                <c:pt idx="36">
                  <c:v>15119465612.200031</c:v>
                </c:pt>
                <c:pt idx="37">
                  <c:v>14419049419.742273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D0-4F97-B7B3-4FE0F0C06B34}"/>
            </c:ext>
          </c:extLst>
        </c:ser>
        <c:ser>
          <c:idx val="2"/>
          <c:order val="2"/>
          <c:tx>
            <c:strRef>
              <c:f>'revenue by scenario'!$D$2</c:f>
              <c:strCache>
                <c:ptCount val="1"/>
                <c:pt idx="0">
                  <c:v>S8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'revenue by scenario'!$A$3:$A$40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'revenue by scenario'!$D$3:$D$40</c:f>
              <c:numCache>
                <c:formatCode>General</c:formatCode>
                <c:ptCount val="38"/>
                <c:pt idx="0">
                  <c:v>0</c:v>
                </c:pt>
                <c:pt idx="1">
                  <c:v>3123026718.3280425</c:v>
                </c:pt>
                <c:pt idx="2">
                  <c:v>6534193450.300293</c:v>
                </c:pt>
                <c:pt idx="3">
                  <c:v>9857812155.0306778</c:v>
                </c:pt>
                <c:pt idx="4">
                  <c:v>13212275445.050598</c:v>
                </c:pt>
                <c:pt idx="5">
                  <c:v>16592713050.973486</c:v>
                </c:pt>
                <c:pt idx="6">
                  <c:v>19994368031.845673</c:v>
                </c:pt>
                <c:pt idx="7">
                  <c:v>23412391087.273861</c:v>
                </c:pt>
                <c:pt idx="8">
                  <c:v>26842142259.752037</c:v>
                </c:pt>
                <c:pt idx="9">
                  <c:v>30278680028.10651</c:v>
                </c:pt>
                <c:pt idx="10">
                  <c:v>33715068314.867489</c:v>
                </c:pt>
                <c:pt idx="11">
                  <c:v>37143423816.694969</c:v>
                </c:pt>
                <c:pt idx="12">
                  <c:v>40556966445.834656</c:v>
                </c:pt>
                <c:pt idx="13">
                  <c:v>43948670819.512413</c:v>
                </c:pt>
                <c:pt idx="14">
                  <c:v>47310923175.819443</c:v>
                </c:pt>
                <c:pt idx="15">
                  <c:v>50635306625.533478</c:v>
                </c:pt>
                <c:pt idx="16">
                  <c:v>53912653443.39537</c:v>
                </c:pt>
                <c:pt idx="17">
                  <c:v>57133327611.874428</c:v>
                </c:pt>
                <c:pt idx="18">
                  <c:v>60286873695.104744</c:v>
                </c:pt>
                <c:pt idx="19">
                  <c:v>63361473769.582901</c:v>
                </c:pt>
                <c:pt idx="20">
                  <c:v>66344239808.360924</c:v>
                </c:pt>
                <c:pt idx="21">
                  <c:v>69220981679.624451</c:v>
                </c:pt>
                <c:pt idx="22">
                  <c:v>71975662355.631958</c:v>
                </c:pt>
                <c:pt idx="23">
                  <c:v>74590138976.861649</c:v>
                </c:pt>
                <c:pt idx="24">
                  <c:v>77043614855.644745</c:v>
                </c:pt>
                <c:pt idx="25">
                  <c:v>79312166949.397598</c:v>
                </c:pt>
                <c:pt idx="26">
                  <c:v>81368565147.018707</c:v>
                </c:pt>
                <c:pt idx="27">
                  <c:v>83181744276.816193</c:v>
                </c:pt>
                <c:pt idx="28">
                  <c:v>84715255357.714691</c:v>
                </c:pt>
                <c:pt idx="29">
                  <c:v>85926631112.129318</c:v>
                </c:pt>
                <c:pt idx="30">
                  <c:v>86765989299.941635</c:v>
                </c:pt>
                <c:pt idx="31">
                  <c:v>87174594118.351028</c:v>
                </c:pt>
                <c:pt idx="32">
                  <c:v>87082223879.960007</c:v>
                </c:pt>
                <c:pt idx="33">
                  <c:v>86403915603.364548</c:v>
                </c:pt>
                <c:pt idx="34">
                  <c:v>85036003971.690186</c:v>
                </c:pt>
                <c:pt idx="35">
                  <c:v>82849960405.111206</c:v>
                </c:pt>
                <c:pt idx="36">
                  <c:v>79682739769.205307</c:v>
                </c:pt>
                <c:pt idx="37">
                  <c:v>75319667960.057449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D0-4F97-B7B3-4FE0F0C06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469007"/>
        <c:axId val="1524462287"/>
      </c:lineChart>
      <c:catAx>
        <c:axId val="152446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4462287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4462287"/>
        <c:scaling>
          <c:orientation val="minMax"/>
          <c:max val="9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(2023)</a:t>
                </a:r>
                <a:r>
                  <a:rPr lang="pt-BR" baseline="0"/>
                  <a:t> R$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4469007"/>
        <c:crosses val="autoZero"/>
        <c:crossBetween val="midCat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8618C9-B444-4885-9F49-F3F2D4DD1EA3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200309-1C05-42EF-85F7-696158E2F541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202F59-211E-424C-8DDB-A6DC7797B042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7E45E-77D8-B736-D104-FCBAF69F42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0.37609</cdr:x>
      <cdr:y>0.68725</cdr:y>
    </cdr:from>
    <cdr:to>
      <cdr:x>0.42159</cdr:x>
      <cdr:y>0.76922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0782AA-2BCE-C51D-4450-1E224762CB29}"/>
            </a:ext>
          </a:extLst>
        </cdr:cNvPr>
        <cdr:cNvSpPr txBox="1"/>
      </cdr:nvSpPr>
      <cdr:spPr>
        <a:xfrm xmlns:a="http://schemas.openxmlformats.org/drawingml/2006/main">
          <a:off x="2748084" y="3488106"/>
          <a:ext cx="332470" cy="416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l-GR" sz="2000" kern="1200">
              <a:latin typeface="Times New Roman" panose="02020603050405020304" pitchFamily="18" charset="0"/>
              <a:cs typeface="Times New Roman" panose="02020603050405020304" pitchFamily="18" charset="0"/>
            </a:rPr>
            <a:t>δ</a:t>
          </a:r>
          <a:endParaRPr lang="pt-BR" sz="20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0.07729</cdr:x>
      <cdr:y>0.35994</cdr:y>
    </cdr:from>
    <cdr:to>
      <cdr:x>0.12279</cdr:x>
      <cdr:y>0.44191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5ED47C7-B4A5-30F9-F9D1-D117613D57FB}"/>
            </a:ext>
          </a:extLst>
        </cdr:cNvPr>
        <cdr:cNvSpPr txBox="1"/>
      </cdr:nvSpPr>
      <cdr:spPr>
        <a:xfrm xmlns:a="http://schemas.openxmlformats.org/drawingml/2006/main">
          <a:off x="451969" y="1462779"/>
          <a:ext cx="266086" cy="333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400" kern="1200">
              <a:latin typeface="Times New Roman" panose="02020603050405020304" pitchFamily="18" charset="0"/>
              <a:cs typeface="Times New Roman" panose="02020603050405020304" pitchFamily="18" charset="0"/>
            </a:rPr>
            <a:t>α</a:t>
          </a:r>
          <a:endParaRPr lang="pt-BR" sz="2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0.53084</cdr:x>
      <cdr:y>0.376</cdr:y>
    </cdr:from>
    <cdr:to>
      <cdr:x>0.57634</cdr:x>
      <cdr:y>0.45797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5ED47C7-B4A5-30F9-F9D1-D117613D57FB}"/>
            </a:ext>
          </a:extLst>
        </cdr:cNvPr>
        <cdr:cNvSpPr txBox="1"/>
      </cdr:nvSpPr>
      <cdr:spPr>
        <a:xfrm xmlns:a="http://schemas.openxmlformats.org/drawingml/2006/main">
          <a:off x="3878856" y="1908357"/>
          <a:ext cx="332470" cy="4160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000" kern="1200">
              <a:latin typeface="Times New Roman" panose="02020603050405020304" pitchFamily="18" charset="0"/>
              <a:cs typeface="Times New Roman" panose="02020603050405020304" pitchFamily="18" charset="0"/>
            </a:rPr>
            <a:t>γ</a:t>
          </a:r>
          <a:endParaRPr lang="pt-BR" sz="20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47</xdr:row>
      <xdr:rowOff>85725</xdr:rowOff>
    </xdr:from>
    <xdr:to>
      <xdr:col>28</xdr:col>
      <xdr:colOff>767175</xdr:colOff>
      <xdr:row>66</xdr:row>
      <xdr:rowOff>66225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E73E3-1E27-7FD5-D8E5-FBECD4088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352425</xdr:colOff>
      <xdr:row>47</xdr:row>
      <xdr:rowOff>85725</xdr:rowOff>
    </xdr:from>
    <xdr:to>
      <xdr:col>38</xdr:col>
      <xdr:colOff>824325</xdr:colOff>
      <xdr:row>66</xdr:row>
      <xdr:rowOff>66225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0DFAB-DB7D-3135-80BB-309B16005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647700</xdr:colOff>
      <xdr:row>47</xdr:row>
      <xdr:rowOff>171450</xdr:rowOff>
    </xdr:from>
    <xdr:to>
      <xdr:col>57</xdr:col>
      <xdr:colOff>919575</xdr:colOff>
      <xdr:row>66</xdr:row>
      <xdr:rowOff>151950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C4037D-B7B1-B4C4-3647-4AB20A36D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1000125</xdr:colOff>
      <xdr:row>48</xdr:row>
      <xdr:rowOff>9525</xdr:rowOff>
    </xdr:from>
    <xdr:to>
      <xdr:col>61</xdr:col>
      <xdr:colOff>433800</xdr:colOff>
      <xdr:row>66</xdr:row>
      <xdr:rowOff>180525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BDC138-6F62-9FA8-4DC9-523057538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D9375-9CBD-6A6F-9154-7957D88603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247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8BF3A-8ECC-4930-C5FF-D4A294525C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098.52959421296" createdVersion="8" refreshedVersion="8" minRefreshableVersion="3" recordCount="486" xr:uid="{6B7BB036-919E-414B-A8EC-9801D0B9ED7E}">
  <cacheSource type="worksheet">
    <worksheetSource ref="A1:W487" sheet="dataset"/>
  </cacheSource>
  <cacheFields count="23">
    <cacheField name="i" numFmtId="0">
      <sharedItems containsSemiMixedTypes="0" containsString="0" containsNumber="1" containsInteger="1" minValue="11" maxValue="53"/>
    </cacheField>
    <cacheField name="t" numFmtId="0">
      <sharedItems containsSemiMixedTypes="0" containsString="0" containsNumber="1" containsInteger="1" minValue="2006" maxValue="2023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ln_Sg_pc" numFmtId="0">
      <sharedItems containsSemiMixedTypes="0" containsString="0" containsNumber="1" minValue="-3.005073666255865" maxValue="-0.86068777455664414"/>
    </cacheField>
    <cacheField name="ln_Pg" numFmtId="0">
      <sharedItems containsSemiMixedTypes="0" containsString="0" containsNumber="1" minValue="0.50675735959003665" maxValue="1.081805170351728"/>
    </cacheField>
    <cacheField name="ln_l1_Pg" numFmtId="0">
      <sharedItems containsSemiMixedTypes="0" containsString="0" containsNumber="1" minValue="0.50675735959003665" maxValue="1.081805170351728"/>
    </cacheField>
    <cacheField name="ln_l2_Pg" numFmtId="0">
      <sharedItems containsSemiMixedTypes="0" containsString="0" containsNumber="1" minValue="0.50675735959003665" maxValue="1.081805170351728"/>
    </cacheField>
    <cacheField name="ln_Pe" numFmtId="0">
      <sharedItems containsSemiMixedTypes="0" containsString="0" containsNumber="1" minValue="0.13802129789737461" maxValue="0.89531221348895718"/>
    </cacheField>
    <cacheField name="ln_l1_Pe" numFmtId="0">
      <sharedItems containsSemiMixedTypes="0" containsString="0" containsNumber="1" minValue="0.13802129789737461" maxValue="0.89531221348895718"/>
    </cacheField>
    <cacheField name="ln_l2_Pe" numFmtId="0">
      <sharedItems containsSemiMixedTypes="0" containsString="0" containsNumber="1" minValue="6.6068599969704711E-2" maxValue="0.89531221348895718"/>
    </cacheField>
    <cacheField name="ln_Mi_e" numFmtId="0">
      <sharedItems containsSemiMixedTypes="0" containsString="0" containsNumber="1" minValue="-11.51292546497023" maxValue="2.3604553240936168"/>
    </cacheField>
    <cacheField name="ln_W_adj_Mi_e" numFmtId="0">
      <sharedItems containsSemiMixedTypes="0" containsString="0" containsNumber="1" minValue="0.1210771896579252" maxValue="2.658156590148268"/>
    </cacheField>
    <cacheField name="ln_Mi_c" numFmtId="0">
      <sharedItems containsSemiMixedTypes="0" containsString="0" containsNumber="1" minValue="-2.9883568839150541" maxValue="-0.51737696039870651"/>
    </cacheField>
    <cacheField name="ln_gdp_pc" numFmtId="0">
      <sharedItems containsSemiMixedTypes="0" containsString="0" containsNumber="1" minValue="1.732619982246111" maxValue="4.012268502708225"/>
    </cacheField>
    <cacheField name="ln_l1_gdp_pc" numFmtId="0">
      <sharedItems containsSemiMixedTypes="0" containsString="0" containsNumber="1" minValue="1.624263083542117" maxValue="4.0116721558895927"/>
    </cacheField>
    <cacheField name="ln_stations" numFmtId="0">
      <sharedItems containsSemiMixedTypes="0" containsString="0" containsNumber="1" minValue="-11.51292546497023" maxValue="8.4658998970286863"/>
    </cacheField>
    <cacheField name="d_ln_gdp" numFmtId="0">
      <sharedItems containsSemiMixedTypes="0" containsString="0" containsNumber="1" minValue="-0.18956328928470612" maxValue="0.21244113147258759"/>
    </cacheField>
    <cacheField name="ipi_red" numFmtId="0">
      <sharedItems containsSemiMixedTypes="0" containsString="0" containsNumber="1" containsInteger="1" minValue="0" maxValue="1"/>
    </cacheField>
    <cacheField name="y2020" numFmtId="0">
      <sharedItems containsSemiMixedTypes="0" containsString="0" containsNumber="1" containsInteger="1" minValue="0" maxValue="1"/>
    </cacheField>
    <cacheField name="d_CW" numFmtId="0">
      <sharedItems containsSemiMixedTypes="0" containsString="0" containsNumber="1" containsInteger="1" minValue="0" maxValue="1"/>
    </cacheField>
    <cacheField name="d_SO" numFmtId="0">
      <sharedItems containsSemiMixedTypes="0" containsString="0" containsNumber="1" containsInteger="1" minValue="0" maxValue="1"/>
    </cacheField>
    <cacheField name="d_SE" numFmtId="0">
      <sharedItems containsSemiMixedTypes="0" containsString="0" containsNumber="1" containsInteger="1" minValue="0" maxValue="1"/>
    </cacheField>
    <cacheField name="d_NE" numFmtId="0">
      <sharedItems containsSemiMixedTypes="0" containsString="0" containsNumber="1" containsInteger="1" minValue="0" maxValue="1"/>
    </cacheField>
    <cacheField name="d_N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11"/>
    <x v="0"/>
    <n v="-2.156698978863159"/>
    <n v="1.004301609196868"/>
    <n v="0.9748237560598092"/>
    <n v="0.96172288327198963"/>
    <n v="0.76080582903376015"/>
    <n v="0.62422573509352353"/>
    <n v="0.56246885691782911"/>
    <n v="-11.51292546497023"/>
    <n v="2.166250221499268"/>
    <n v="-1.951167744570985"/>
    <n v="2.4209187515967989"/>
    <n v="2.44399024352396"/>
    <n v="-11.51292546497023"/>
    <n v="-2.3071492090821266E-2"/>
    <n v="0"/>
    <n v="0"/>
    <n v="0"/>
    <n v="0"/>
    <n v="0"/>
    <n v="0"/>
    <n v="1"/>
  </r>
  <r>
    <n v="11"/>
    <x v="1"/>
    <n v="-2.073636426371209"/>
    <n v="0.94219236939680806"/>
    <n v="1.004301609196868"/>
    <n v="0.9748237560598092"/>
    <n v="0.59823192276365766"/>
    <n v="0.76080582903376015"/>
    <n v="0.62422573509352353"/>
    <n v="-11.51292546497023"/>
    <n v="2.166250221499268"/>
    <n v="-1.7991499751284841"/>
    <n v="2.4815371529483081"/>
    <n v="2.443198932139675"/>
    <n v="-11.51292546497023"/>
    <n v="3.8338221609592438E-2"/>
    <n v="0"/>
    <n v="0"/>
    <n v="0"/>
    <n v="0"/>
    <n v="0"/>
    <n v="0"/>
    <n v="1"/>
  </r>
  <r>
    <n v="11"/>
    <x v="2"/>
    <n v="-1.9560619150649721"/>
    <n v="0.8960063885714481"/>
    <n v="0.94219236939680806"/>
    <n v="1.004301609196868"/>
    <n v="0.51962677971905946"/>
    <n v="0.59823192276365766"/>
    <n v="0.76080582903376015"/>
    <n v="-11.51292546497023"/>
    <n v="2.166250221499268"/>
    <n v="-1.620763450703399"/>
    <n v="2.600161838464861"/>
    <n v="2.504325073967602"/>
    <n v="-11.51292546497023"/>
    <n v="9.5836766064167023E-2"/>
    <n v="0"/>
    <n v="0"/>
    <n v="0"/>
    <n v="0"/>
    <n v="0"/>
    <n v="0"/>
    <n v="1"/>
  </r>
  <r>
    <n v="11"/>
    <x v="3"/>
    <n v="-1.862154149729599"/>
    <n v="0.84264419170585647"/>
    <n v="0.8960063885714481"/>
    <n v="0.94219236939680806"/>
    <n v="0.47741360742074851"/>
    <n v="0.51962677971905946"/>
    <n v="0.59823192276365766"/>
    <n v="-7.3158356310234538"/>
    <n v="2.166250221499268"/>
    <n v="-1.4770532591901959"/>
    <n v="2.654680199807578"/>
    <n v="2.5932473660788871"/>
    <n v="-11.51292546497023"/>
    <n v="6.1432834714651108E-2"/>
    <n v="0"/>
    <n v="0"/>
    <n v="0"/>
    <n v="0"/>
    <n v="0"/>
    <n v="0"/>
    <n v="1"/>
  </r>
  <r>
    <n v="11"/>
    <x v="4"/>
    <n v="-1.6831605423581379"/>
    <n v="0.81828091131671099"/>
    <n v="0.84264419170585647"/>
    <n v="0.8960063885714481"/>
    <n v="0.52212158350784221"/>
    <n v="0.47741360742074851"/>
    <n v="0.51962677971905946"/>
    <n v="-7.3396623629610591"/>
    <n v="2.166250221499268"/>
    <n v="-1.3626010461637901"/>
    <n v="2.74230132052055"/>
    <n v="2.6308534678699922"/>
    <n v="-11.51292546497023"/>
    <n v="0.11144785583019257"/>
    <n v="0"/>
    <n v="0"/>
    <n v="0"/>
    <n v="0"/>
    <n v="0"/>
    <n v="0"/>
    <n v="1"/>
  </r>
  <r>
    <n v="11"/>
    <x v="5"/>
    <n v="-1.5784624378334899"/>
    <n v="0.82162834220848546"/>
    <n v="0.81828091131671099"/>
    <n v="0.84264419170585647"/>
    <n v="0.59933088435566051"/>
    <n v="0.52212158350784221"/>
    <n v="0.47741360742074851"/>
    <n v="-5.2834923926543116"/>
    <n v="2.166250221499268"/>
    <n v="-1.26108028612349"/>
    <n v="2.7818139114313758"/>
    <n v="2.7190297491474351"/>
    <n v="-11.51292546497023"/>
    <n v="6.2784165143966675E-2"/>
    <n v="0"/>
    <n v="0"/>
    <n v="0"/>
    <n v="0"/>
    <n v="0"/>
    <n v="0"/>
    <n v="1"/>
  </r>
  <r>
    <n v="11"/>
    <x v="6"/>
    <n v="-1.4705848809465669"/>
    <n v="0.76150651807328873"/>
    <n v="0.82162834220848546"/>
    <n v="0.81828091131671099"/>
    <n v="0.55933003282560567"/>
    <n v="0.59933088435566051"/>
    <n v="0.52212158350784221"/>
    <n v="-4.8865895636413521"/>
    <n v="2.166250221499268"/>
    <n v="-1.171167583067046"/>
    <n v="2.7848658127694148"/>
    <n v="2.7732516323361791"/>
    <n v="-11.51292546497023"/>
    <n v="1.1614180169999599E-2"/>
    <n v="0"/>
    <n v="0"/>
    <n v="0"/>
    <n v="0"/>
    <n v="0"/>
    <n v="0"/>
    <n v="1"/>
  </r>
  <r>
    <n v="11"/>
    <x v="7"/>
    <n v="-1.518725602596074"/>
    <n v="0.74069848241816771"/>
    <n v="0.76150651807328873"/>
    <n v="0.82162834220848546"/>
    <n v="0.51837703991882511"/>
    <n v="0.55933003282560567"/>
    <n v="0.59933088435566051"/>
    <n v="-4.2359679594205364"/>
    <n v="2.166250221499268"/>
    <n v="-1.1782679664096829"/>
    <n v="2.6621035497832368"/>
    <n v="2.7015182419100219"/>
    <n v="-11.51292546497023"/>
    <n v="-3.9414692670106888E-2"/>
    <n v="0"/>
    <n v="0"/>
    <n v="0"/>
    <n v="0"/>
    <n v="0"/>
    <n v="0"/>
    <n v="1"/>
  </r>
  <r>
    <n v="11"/>
    <x v="8"/>
    <n v="-1.4578474207869181"/>
    <n v="0.72328833747193211"/>
    <n v="0.74069848241816771"/>
    <n v="0.76150651807328873"/>
    <n v="0.52715162636476365"/>
    <n v="0.51837703991882511"/>
    <n v="0.55933003282560567"/>
    <n v="-3.554508280400535"/>
    <n v="2.166250221499268"/>
    <n v="-1.1213792527941719"/>
    <n v="2.6642506113954019"/>
    <n v="2.650416048243291"/>
    <n v="-11.51292546497023"/>
    <n v="1.3834563083946705E-2"/>
    <n v="0"/>
    <n v="0"/>
    <n v="0"/>
    <n v="0"/>
    <n v="0"/>
    <n v="0"/>
    <n v="1"/>
  </r>
  <r>
    <n v="11"/>
    <x v="9"/>
    <n v="-1.4449811096822041"/>
    <n v="0.73692480290583307"/>
    <n v="0.72328833747193211"/>
    <n v="0.74069848241816771"/>
    <n v="0.47759970586736361"/>
    <n v="0.52715162636476365"/>
    <n v="0.51837703991882511"/>
    <n v="-3.1339141993029989"/>
    <n v="2.166250221499268"/>
    <n v="-1.0788235672370079"/>
    <n v="2.651900785014115"/>
    <n v="2.6530622760673999"/>
    <n v="-11.51292546497023"/>
    <n v="-1.1614910326898098E-3"/>
    <n v="1"/>
    <n v="0"/>
    <n v="0"/>
    <n v="0"/>
    <n v="0"/>
    <n v="0"/>
    <n v="1"/>
  </r>
  <r>
    <n v="11"/>
    <x v="10"/>
    <n v="-1.4210112424014689"/>
    <n v="0.75358354936377603"/>
    <n v="0.73692480290583307"/>
    <n v="0.72328833747193211"/>
    <n v="0.61858525923304053"/>
    <n v="0.47759970586736361"/>
    <n v="0.52715162636476365"/>
    <n v="-2.761061811848581"/>
    <n v="2.166250221499268"/>
    <n v="-1.049732047488368"/>
    <n v="2.6395015854418169"/>
    <n v="2.6411707756098739"/>
    <n v="-11.51292546497023"/>
    <n v="-1.6691901255398989E-3"/>
    <n v="1"/>
    <n v="0"/>
    <n v="0"/>
    <n v="0"/>
    <n v="0"/>
    <n v="0"/>
    <n v="1"/>
  </r>
  <r>
    <n v="11"/>
    <x v="11"/>
    <n v="-1.4207559397857561"/>
    <n v="0.74241342186286341"/>
    <n v="0.75358354936377603"/>
    <n v="0.73692480290583307"/>
    <n v="0.60704448150653356"/>
    <n v="0.61858525923304053"/>
    <n v="0.47759970586736361"/>
    <n v="-2.082651938392698"/>
    <n v="2.166250221499268"/>
    <n v="-1.0245113969466151"/>
    <n v="2.690978395396356"/>
    <n v="2.6291988754056201"/>
    <n v="-11.51292546497023"/>
    <n v="6.1779521405696869E-2"/>
    <n v="1"/>
    <n v="0"/>
    <n v="0"/>
    <n v="0"/>
    <n v="0"/>
    <n v="0"/>
    <n v="1"/>
  </r>
  <r>
    <n v="11"/>
    <x v="12"/>
    <n v="-1.4131135997679001"/>
    <n v="0.83373486886959214"/>
    <n v="0.74241342186286341"/>
    <n v="0.75358354936377603"/>
    <n v="0.64825441166920861"/>
    <n v="0.60704448150653356"/>
    <n v="0.61858525923304053"/>
    <n v="-1.602401349382677"/>
    <n v="2.166250221499268"/>
    <n v="-0.95533951972360787"/>
    <n v="2.705694458109142"/>
    <n v="2.7180324734770229"/>
    <n v="3.2580965380214821"/>
    <n v="-1.2338015250861645E-2"/>
    <n v="1"/>
    <n v="0"/>
    <n v="0"/>
    <n v="0"/>
    <n v="0"/>
    <n v="0"/>
    <n v="1"/>
  </r>
  <r>
    <n v="11"/>
    <x v="13"/>
    <n v="-1.3958817226731339"/>
    <n v="0.7959744903594157"/>
    <n v="0.83373486886959214"/>
    <n v="0.74241342186286341"/>
    <n v="0.61939299197128328"/>
    <n v="0.64825441166920861"/>
    <n v="0.60704448150653356"/>
    <n v="-0.87886461343413891"/>
    <n v="2.166250221499268"/>
    <n v="-0.92594627856998246"/>
    <n v="2.700549530427923"/>
    <n v="2.6945842825909812"/>
    <n v="5.393627546352362"/>
    <n v="5.9652477502822876E-3"/>
    <n v="1"/>
    <n v="0"/>
    <n v="0"/>
    <n v="0"/>
    <n v="0"/>
    <n v="0"/>
    <n v="1"/>
  </r>
  <r>
    <n v="11"/>
    <x v="14"/>
    <n v="-1.4296095899018759"/>
    <n v="0.72251178918984926"/>
    <n v="0.7959744903594157"/>
    <n v="0.83373486886959214"/>
    <n v="0.54563276527139615"/>
    <n v="0.61939299197128328"/>
    <n v="0.64825441166920861"/>
    <n v="-0.22604791296123961"/>
    <n v="2.166250221499268"/>
    <n v="-0.90454783102081882"/>
    <n v="2.718476319415351"/>
    <n v="2.6897846276731232"/>
    <n v="5.9914645471079817"/>
    <n v="2.8691692277789116E-2"/>
    <n v="1"/>
    <n v="1"/>
    <n v="0"/>
    <n v="0"/>
    <n v="0"/>
    <n v="0"/>
    <n v="1"/>
  </r>
  <r>
    <n v="11"/>
    <x v="15"/>
    <n v="-1.4174909402989659"/>
    <n v="0.91776963775355425"/>
    <n v="0.72251178918984926"/>
    <n v="0.7959744903594157"/>
    <n v="0.75902854967345812"/>
    <n v="0.54563276527139615"/>
    <n v="0.61939299197128328"/>
    <n v="0.31564239935359079"/>
    <n v="2.166250221499268"/>
    <n v="-0.88493854765177082"/>
    <n v="2.7052698750374469"/>
    <n v="2.708055757190762"/>
    <n v="6.6846117276679271"/>
    <n v="-2.7858822140842676E-3"/>
    <n v="1"/>
    <n v="0"/>
    <n v="0"/>
    <n v="0"/>
    <n v="0"/>
    <n v="0"/>
    <n v="1"/>
  </r>
  <r>
    <n v="11"/>
    <x v="16"/>
    <n v="-1.370120701773238"/>
    <n v="0.91948562277067425"/>
    <n v="0.91776963775355425"/>
    <n v="0.72251178918984926"/>
    <n v="0.79443943204181766"/>
    <n v="0.75902854967345812"/>
    <n v="0.54563276527139615"/>
    <n v="0.83526807990957463"/>
    <n v="2.166250221499268"/>
    <n v="-0.85720866088653058"/>
    <n v="2.761330092439426"/>
    <n v="2.7052698750374469"/>
    <n v="8.0551577318196781"/>
    <n v="5.6060217320919037E-2"/>
    <n v="1"/>
    <n v="0"/>
    <n v="0"/>
    <n v="0"/>
    <n v="0"/>
    <n v="0"/>
    <n v="1"/>
  </r>
  <r>
    <n v="11"/>
    <x v="17"/>
    <n v="-1.3339252000932049"/>
    <n v="0.84822600096002576"/>
    <n v="0.91948562277067425"/>
    <n v="0.91776963775355425"/>
    <n v="0.62919515406742821"/>
    <n v="0.79443943204181766"/>
    <n v="0.75902854967345812"/>
    <n v="1.4276902077177129"/>
    <n v="2.166250221499268"/>
    <n v="-0.83111700997942339"/>
    <n v="2.8461047606429259"/>
    <n v="2.761330092439426"/>
    <n v="8.4658998970286863"/>
    <n v="8.4774665534496307E-2"/>
    <n v="1"/>
    <n v="0"/>
    <n v="0"/>
    <n v="0"/>
    <n v="0"/>
    <n v="0"/>
    <n v="1"/>
  </r>
  <r>
    <n v="12"/>
    <x v="0"/>
    <n v="-2.540522743776382"/>
    <n v="1.0784095813505901"/>
    <n v="1.0092344775168931"/>
    <n v="0.99047013004840656"/>
    <n v="0.81536481328419441"/>
    <n v="0.69873155885384597"/>
    <n v="0.70146251216365918"/>
    <n v="-11.51292546497023"/>
    <n v="1.89659895370424"/>
    <n v="-2.4595923370301058"/>
    <n v="2.2133343213516978"/>
    <n v="2.1982281424695489"/>
    <n v="-11.51292546497023"/>
    <n v="1.5106178820133209E-2"/>
    <n v="0"/>
    <n v="0"/>
    <n v="0"/>
    <n v="0"/>
    <n v="0"/>
    <n v="0"/>
    <n v="1"/>
  </r>
  <r>
    <n v="12"/>
    <x v="1"/>
    <n v="-2.4329042894116562"/>
    <n v="1.027939435373064"/>
    <n v="1.0784095813505901"/>
    <n v="1.0092344775168931"/>
    <n v="0.68390459919301272"/>
    <n v="0.81536481328419441"/>
    <n v="0.69873155885384597"/>
    <n v="-11.51292546497023"/>
    <n v="1.89659895370424"/>
    <n v="-2.3000771337360129"/>
    <n v="2.313442845502276"/>
    <n v="2.218134274509667"/>
    <n v="-11.51292546497023"/>
    <n v="9.5308572053909302E-2"/>
    <n v="0"/>
    <n v="0"/>
    <n v="0"/>
    <n v="0"/>
    <n v="0"/>
    <n v="0"/>
    <n v="1"/>
  </r>
  <r>
    <n v="12"/>
    <x v="2"/>
    <n v="-2.27425156337357"/>
    <n v="0.98760623729075003"/>
    <n v="1.027939435373064"/>
    <n v="1.0784095813505901"/>
    <n v="0.64095874881435921"/>
    <n v="0.68390459919301272"/>
    <n v="0.81536481328419441"/>
    <n v="-11.51292546497023"/>
    <n v="1.89659895370424"/>
    <n v="-2.1314025549806082"/>
    <n v="2.3949085330761819"/>
    <n v="2.3182674198025608"/>
    <n v="-11.51292546497023"/>
    <n v="7.6641112565994263E-2"/>
    <n v="0"/>
    <n v="0"/>
    <n v="0"/>
    <n v="0"/>
    <n v="0"/>
    <n v="0"/>
    <n v="1"/>
  </r>
  <r>
    <n v="12"/>
    <x v="3"/>
    <n v="-2.2112330407058809"/>
    <n v="0.94542225838040261"/>
    <n v="0.98760623729075003"/>
    <n v="1.027939435373064"/>
    <n v="0.60355064674818915"/>
    <n v="0.64095874881435921"/>
    <n v="0.68390459919301272"/>
    <n v="-11.51292546497023"/>
    <n v="1.89659895370424"/>
    <n v="-1.97417015913311"/>
    <n v="2.4528339580987599"/>
    <n v="2.3787807862614101"/>
    <n v="-11.51292546497023"/>
    <n v="7.4053168296813965E-2"/>
    <n v="0"/>
    <n v="0"/>
    <n v="0"/>
    <n v="0"/>
    <n v="0"/>
    <n v="0"/>
    <n v="1"/>
  </r>
  <r>
    <n v="12"/>
    <x v="4"/>
    <n v="-2.0238197630288082"/>
    <n v="0.89469930563067901"/>
    <n v="0.94542225838040261"/>
    <n v="0.98760623729075003"/>
    <n v="0.67904825618044362"/>
    <n v="0.60355064674818915"/>
    <n v="0.64095874881435921"/>
    <n v="-6.5775261137723211"/>
    <n v="1.89659895370424"/>
    <n v="-1.851129937016835"/>
    <n v="2.451574835691376"/>
    <n v="2.4136386773470888"/>
    <n v="-11.51292546497023"/>
    <n v="3.793615847826004E-2"/>
    <n v="0"/>
    <n v="0"/>
    <n v="0"/>
    <n v="0"/>
    <n v="0"/>
    <n v="0"/>
    <n v="1"/>
  </r>
  <r>
    <n v="12"/>
    <x v="5"/>
    <n v="-1.9428928643946779"/>
    <n v="0.87108413903607584"/>
    <n v="0.89469930563067901"/>
    <n v="0.94542225838040261"/>
    <n v="0.64872496300719862"/>
    <n v="0.67904825618044362"/>
    <n v="0.60355064674818915"/>
    <n v="-5.0058049802243119"/>
    <n v="1.89659895370424"/>
    <n v="-1.7662719913196829"/>
    <n v="2.4041960497971822"/>
    <n v="2.413858056805267"/>
    <n v="-11.51292546497023"/>
    <n v="-9.6620069816708565E-3"/>
    <n v="0"/>
    <n v="0"/>
    <n v="0"/>
    <n v="0"/>
    <n v="0"/>
    <n v="0"/>
    <n v="1"/>
  </r>
  <r>
    <n v="12"/>
    <x v="6"/>
    <n v="-1.853506372455425"/>
    <n v="0.82070451397482058"/>
    <n v="0.87108413903607584"/>
    <n v="0.89469930563067901"/>
    <n v="0.60393338001511543"/>
    <n v="0.64872496300719862"/>
    <n v="0.67904825618044362"/>
    <n v="-4.552278246026316"/>
    <n v="1.89659895370424"/>
    <n v="-1.681677032607656"/>
    <n v="2.435977906762917"/>
    <n v="2.3877191547494352"/>
    <n v="-11.51292546497023"/>
    <n v="4.8258751630783081E-2"/>
    <n v="0"/>
    <n v="0"/>
    <n v="0"/>
    <n v="0"/>
    <n v="0"/>
    <n v="0"/>
    <n v="1"/>
  </r>
  <r>
    <n v="12"/>
    <x v="7"/>
    <n v="-1.823798812909148"/>
    <n v="0.80092477273337637"/>
    <n v="0.82070451397482058"/>
    <n v="0.87108413903607584"/>
    <n v="0.59305056402166012"/>
    <n v="0.60393338001511543"/>
    <n v="0.64872496300719862"/>
    <n v="-3.6590167181892319"/>
    <n v="1.89659895370424"/>
    <n v="-1.6211200885215431"/>
    <n v="2.464379744574213"/>
    <n v="2.4129487027258469"/>
    <n v="-11.51292546497023"/>
    <n v="5.1431041210889816E-2"/>
    <n v="0"/>
    <n v="0"/>
    <n v="0"/>
    <n v="0"/>
    <n v="0"/>
    <n v="0"/>
    <n v="1"/>
  </r>
  <r>
    <n v="12"/>
    <x v="8"/>
    <n v="-1.7438080667107489"/>
    <n v="0.78686518443369713"/>
    <n v="0.80092477273337637"/>
    <n v="0.82070451397482058"/>
    <n v="0.60748035380285359"/>
    <n v="0.59305056402166012"/>
    <n v="0.60393338001511543"/>
    <n v="-2.8879711514722008"/>
    <n v="1.89659895370424"/>
    <n v="-1.55917951479725"/>
    <n v="2.5309753553273722"/>
    <n v="2.4469679509269722"/>
    <n v="-11.51292546497023"/>
    <n v="8.4007404744625092E-2"/>
    <n v="0"/>
    <n v="0"/>
    <n v="0"/>
    <n v="0"/>
    <n v="0"/>
    <n v="0"/>
    <n v="1"/>
  </r>
  <r>
    <n v="12"/>
    <x v="9"/>
    <n v="-1.745503791543106"/>
    <n v="0.80424122806553211"/>
    <n v="0.78686518443369713"/>
    <n v="0.80092477273337637"/>
    <n v="0.57717500430752455"/>
    <n v="0.60748035380285359"/>
    <n v="0.59305056402166012"/>
    <n v="-2.545858637871083"/>
    <n v="1.89659895370424"/>
    <n v="-1.50904858212068"/>
    <n v="2.4533261407057392"/>
    <n v="2.514142776455218"/>
    <n v="-11.51292546497023"/>
    <n v="-6.0816634446382523E-2"/>
    <n v="1"/>
    <n v="0"/>
    <n v="0"/>
    <n v="0"/>
    <n v="0"/>
    <n v="0"/>
    <n v="1"/>
  </r>
  <r>
    <n v="12"/>
    <x v="10"/>
    <n v="-1.7866062373763869"/>
    <n v="0.80629727849260113"/>
    <n v="0.80424122806553211"/>
    <n v="0.78686518443369713"/>
    <n v="0.60671745256155762"/>
    <n v="0.57717500430752455"/>
    <n v="0.60748035380285359"/>
    <n v="-2.2509086162663912"/>
    <n v="1.89659895370424"/>
    <n v="-1.479321084465824"/>
    <n v="2.368745845321349"/>
    <n v="2.4370635924484572"/>
    <n v="-11.51292546497023"/>
    <n v="-6.8317748606204987E-2"/>
    <n v="1"/>
    <n v="0"/>
    <n v="0"/>
    <n v="0"/>
    <n v="0"/>
    <n v="0"/>
    <n v="1"/>
  </r>
  <r>
    <n v="12"/>
    <x v="11"/>
    <n v="-1.803964079196309"/>
    <n v="0.84346194121881335"/>
    <n v="0.80629727849260113"/>
    <n v="0.80424122806553211"/>
    <n v="0.6634093622959889"/>
    <n v="0.60671745256155762"/>
    <n v="0.57717500430752455"/>
    <n v="-1.6395621942722589"/>
    <n v="1.89659895370424"/>
    <n v="-1.449845687397157"/>
    <n v="2.353997619072592"/>
    <n v="2.353035198584525"/>
    <n v="-11.51292546497023"/>
    <n v="9.6242048311978579E-4"/>
    <n v="1"/>
    <n v="0"/>
    <n v="0"/>
    <n v="0"/>
    <n v="0"/>
    <n v="0"/>
    <n v="1"/>
  </r>
  <r>
    <n v="12"/>
    <x v="12"/>
    <n v="-1.8707615171010761"/>
    <n v="0.93730830709662494"/>
    <n v="0.84346194121881335"/>
    <n v="0.80629727849260113"/>
    <n v="0.70051993488935849"/>
    <n v="0.6634093622959889"/>
    <n v="0.60671745256155762"/>
    <n v="-1.2704798017012739"/>
    <n v="1.89659895370424"/>
    <n v="-1.447486001868977"/>
    <n v="2.3348805785508659"/>
    <n v="2.3073161513348381"/>
    <n v="3.2580965380214821"/>
    <n v="2.7564426884055138E-2"/>
    <n v="1"/>
    <n v="0"/>
    <n v="0"/>
    <n v="0"/>
    <n v="0"/>
    <n v="0"/>
    <n v="1"/>
  </r>
  <r>
    <n v="12"/>
    <x v="13"/>
    <n v="-1.8548545271126911"/>
    <n v="0.86865390235854689"/>
    <n v="0.93730830709662494"/>
    <n v="0.84346194121881335"/>
    <n v="0.6634093622959889"/>
    <n v="0.70051993488935849"/>
    <n v="0.6634093622959889"/>
    <n v="-0.58160918310328213"/>
    <n v="1.89659895370424"/>
    <n v="-1.413985790649066"/>
    <n v="2.29834380834231"/>
    <n v="2.3204102483993698"/>
    <n v="5.393627546352362"/>
    <n v="-2.2066440433263779E-2"/>
    <n v="1"/>
    <n v="0"/>
    <n v="0"/>
    <n v="0"/>
    <n v="0"/>
    <n v="0"/>
    <n v="1"/>
  </r>
  <r>
    <n v="12"/>
    <x v="14"/>
    <n v="-1.88050971510182"/>
    <n v="0.81823679139876693"/>
    <n v="0.86865390235854689"/>
    <n v="0.93730830709662494"/>
    <n v="0.61917766035977084"/>
    <n v="0.6634093622959889"/>
    <n v="0.70051993488935849"/>
    <n v="2.7054758258881369E-2"/>
    <n v="1.89659895370424"/>
    <n v="-1.3876704234500099"/>
    <n v="2.274248317061752"/>
    <n v="2.2842308013914758"/>
    <n v="5.9914645471079817"/>
    <n v="-9.9824843928217888E-3"/>
    <n v="1"/>
    <n v="1"/>
    <n v="0"/>
    <n v="0"/>
    <n v="0"/>
    <n v="0"/>
    <n v="1"/>
  </r>
  <r>
    <n v="12"/>
    <x v="15"/>
    <n v="-1.878643824790587"/>
    <n v="0.99332584434100879"/>
    <n v="0.81823679139876693"/>
    <n v="0.86865390235854689"/>
    <n v="0.81730982318036782"/>
    <n v="0.61917766035977084"/>
    <n v="0.6634093622959889"/>
    <n v="0.70261181834886477"/>
    <n v="1.89659895370424"/>
    <n v="-1.364484611240979"/>
    <n v="2.3980824642529059"/>
    <n v="2.2604739548329111"/>
    <n v="6.6846117276679271"/>
    <n v="0.13760851323604584"/>
    <n v="1"/>
    <n v="0"/>
    <n v="0"/>
    <n v="0"/>
    <n v="0"/>
    <n v="0"/>
    <n v="1"/>
  </r>
  <r>
    <n v="12"/>
    <x v="16"/>
    <n v="-1.803714186016224"/>
    <n v="0.96667961740728414"/>
    <n v="0.99332584434100879"/>
    <n v="0.81823679139876693"/>
    <n v="0.77785590848689956"/>
    <n v="0.81730982318036782"/>
    <n v="0.61917766035977084"/>
    <n v="1.185974748438114"/>
    <n v="1.89659895370424"/>
    <n v="-1.3314857129553219"/>
    <n v="2.418150875718347"/>
    <n v="2.3980824642529059"/>
    <n v="8.0551577318196781"/>
    <n v="2.0068410784006119E-2"/>
    <n v="1"/>
    <n v="0"/>
    <n v="0"/>
    <n v="0"/>
    <n v="0"/>
    <n v="0"/>
    <n v="1"/>
  </r>
  <r>
    <n v="12"/>
    <x v="17"/>
    <n v="-1.763170302088207"/>
    <n v="0.88232021230300173"/>
    <n v="0.96667961740728414"/>
    <n v="0.99332584434100879"/>
    <n v="0.58070610121419586"/>
    <n v="0.77785590848689956"/>
    <n v="0.81730982318036782"/>
    <n v="1.748137451419546"/>
    <n v="1.89659895370424"/>
    <n v="-1.300184285120431"/>
    <n v="2.4726140688728968"/>
    <n v="2.418150875718347"/>
    <n v="8.4658998970286863"/>
    <n v="5.4463192820549011E-2"/>
    <n v="1"/>
    <n v="0"/>
    <n v="0"/>
    <n v="0"/>
    <n v="0"/>
    <n v="0"/>
    <n v="1"/>
  </r>
  <r>
    <n v="13"/>
    <x v="0"/>
    <n v="-2.2996931070588582"/>
    <n v="0.94000725849147115"/>
    <n v="0.9748237560598092"/>
    <n v="0.83768033129224362"/>
    <n v="0.71783979315031676"/>
    <n v="0.63525320214104264"/>
    <n v="0.52449181452980531"/>
    <n v="-11.51292546497023"/>
    <n v="2.4442681395872339"/>
    <n v="-2.6013661987380088"/>
    <n v="2.787953787326388"/>
    <n v="2.6920901613696402"/>
    <n v="-11.51292546497023"/>
    <n v="9.5863625407218933E-2"/>
    <n v="0"/>
    <n v="0"/>
    <n v="0"/>
    <n v="0"/>
    <n v="0"/>
    <n v="0"/>
    <n v="1"/>
  </r>
  <r>
    <n v="13"/>
    <x v="1"/>
    <n v="-2.2393959335322"/>
    <n v="0.86056658310179346"/>
    <n v="0.94000725849147115"/>
    <n v="0.9748237560598092"/>
    <n v="0.52732869586500486"/>
    <n v="0.71783979315031676"/>
    <n v="0.63525320214104264"/>
    <n v="-11.51292546497023"/>
    <n v="2.4442681395872339"/>
    <n v="-2.4906512169756301"/>
    <n v="2.806108713008526"/>
    <n v="2.7834234781778342"/>
    <n v="-11.51292546497023"/>
    <n v="2.2685235366225243E-2"/>
    <n v="0"/>
    <n v="0"/>
    <n v="0"/>
    <n v="0"/>
    <n v="0"/>
    <n v="0"/>
    <n v="1"/>
  </r>
  <r>
    <n v="13"/>
    <x v="2"/>
    <n v="-2.1516233254611739"/>
    <n v="0.79104491883640526"/>
    <n v="0.86056658310179346"/>
    <n v="0.94000725849147115"/>
    <n v="0.47567501648296739"/>
    <n v="0.52732869586500486"/>
    <n v="0.71783979315031676"/>
    <n v="-11.51292546497023"/>
    <n v="2.4442681395872339"/>
    <n v="-2.3800620263891141"/>
    <n v="2.8187584767341138"/>
    <n v="2.8015988350361951"/>
    <n v="-11.51292546497023"/>
    <n v="1.7159640789031982E-2"/>
    <n v="0"/>
    <n v="0"/>
    <n v="0"/>
    <n v="0"/>
    <n v="0"/>
    <n v="0"/>
    <n v="1"/>
  </r>
  <r>
    <n v="13"/>
    <x v="3"/>
    <n v="-2.129867287589434"/>
    <n v="0.80074519115796339"/>
    <n v="0.79104491883640526"/>
    <n v="0.86056658310179346"/>
    <n v="0.45018350179642908"/>
    <n v="0.47567501648296739"/>
    <n v="0.52732869586500486"/>
    <n v="-8.129578512186745"/>
    <n v="2.4442681395872339"/>
    <n v="-2.2873741230265301"/>
    <n v="2.7822075302180531"/>
    <n v="2.8032335417972489"/>
    <n v="-11.51292546497023"/>
    <n v="-2.1026011556386948E-2"/>
    <n v="0"/>
    <n v="0"/>
    <n v="0"/>
    <n v="0"/>
    <n v="0"/>
    <n v="0"/>
    <n v="1"/>
  </r>
  <r>
    <n v="13"/>
    <x v="4"/>
    <n v="-2.00078354198634"/>
    <n v="0.75879446179580023"/>
    <n v="0.80074519115796339"/>
    <n v="0.79104491883640526"/>
    <n v="0.50748003351489412"/>
    <n v="0.45018350179642908"/>
    <n v="0.47567501648296739"/>
    <n v="-7.4575740900194392"/>
    <n v="2.4442681395872339"/>
    <n v="-2.1949797606311301"/>
    <n v="2.865891463940804"/>
    <n v="2.7610647718254149"/>
    <n v="-11.51292546497023"/>
    <n v="0.10482668876647949"/>
    <n v="0"/>
    <n v="0"/>
    <n v="0"/>
    <n v="0"/>
    <n v="0"/>
    <n v="0"/>
    <n v="1"/>
  </r>
  <r>
    <n v="13"/>
    <x v="5"/>
    <n v="-1.9149948690867109"/>
    <n v="0.75888810352262204"/>
    <n v="0.75879446179580023"/>
    <n v="0.80074519115796339"/>
    <n v="0.56502967777950286"/>
    <n v="0.50748003351489412"/>
    <n v="0.45018350179642908"/>
    <n v="-5.974201675234224"/>
    <n v="2.4442681395872339"/>
    <n v="-2.1132146873506201"/>
    <n v="2.9153544314711932"/>
    <n v="2.8451864819496779"/>
    <n v="-11.51292546497023"/>
    <n v="7.0167951285839081E-2"/>
    <n v="0"/>
    <n v="0"/>
    <n v="0"/>
    <n v="0"/>
    <n v="0"/>
    <n v="0"/>
    <n v="1"/>
  </r>
  <r>
    <n v="13"/>
    <x v="6"/>
    <n v="-1.8416043500428281"/>
    <n v="0.74093684439579388"/>
    <n v="0.75888810352262204"/>
    <n v="0.75879446179580023"/>
    <n v="0.52555658836598484"/>
    <n v="0.56502967777950286"/>
    <n v="0.50748003351489412"/>
    <n v="-5.6212324596463992"/>
    <n v="2.4442681395872339"/>
    <n v="-2.039432947274388"/>
    <n v="2.8452638329088011"/>
    <n v="2.9005988669337039"/>
    <n v="-11.51292546497023"/>
    <n v="-5.5335033684968948E-2"/>
    <n v="0"/>
    <n v="0"/>
    <n v="0"/>
    <n v="0"/>
    <n v="0"/>
    <n v="0"/>
    <n v="1"/>
  </r>
  <r>
    <n v="13"/>
    <x v="7"/>
    <n v="-1.8634470711147311"/>
    <n v="0.7175470673834804"/>
    <n v="0.74093684439579388"/>
    <n v="0.75888810352262204"/>
    <n v="0.51018541887856739"/>
    <n v="0.52555658836598484"/>
    <n v="0.56502967777950286"/>
    <n v="-4.8436412682355856"/>
    <n v="2.4442681395872339"/>
    <n v="-2.0111046236770722"/>
    <n v="2.8536702634377278"/>
    <n v="2.78660700011898"/>
    <n v="-11.51292546497023"/>
    <n v="6.7063264548778534E-2"/>
    <n v="0"/>
    <n v="0"/>
    <n v="0"/>
    <n v="0"/>
    <n v="0"/>
    <n v="0"/>
    <n v="1"/>
  </r>
  <r>
    <n v="13"/>
    <x v="8"/>
    <n v="-1.820465575274167"/>
    <n v="0.71069235977569423"/>
    <n v="0.7175470673834804"/>
    <n v="0.74093684439579388"/>
    <n v="0.49231536100689388"/>
    <n v="0.51018541887856739"/>
    <n v="0.52555658836598484"/>
    <n v="-4.2015334915193838"/>
    <n v="2.4442681395872339"/>
    <n v="-1.950555716804877"/>
    <n v="2.8036262076416598"/>
    <n v="2.8365324112696699"/>
    <n v="-11.51292546497023"/>
    <n v="-3.2906204462051392E-2"/>
    <n v="0"/>
    <n v="0"/>
    <n v="0"/>
    <n v="0"/>
    <n v="0"/>
    <n v="0"/>
    <n v="1"/>
  </r>
  <r>
    <n v="13"/>
    <x v="9"/>
    <n v="-1.85331490022868"/>
    <n v="0.74246101711286649"/>
    <n v="0.71069235977569423"/>
    <n v="0.7175470673834804"/>
    <n v="0.4848306634889048"/>
    <n v="0.49231536100689388"/>
    <n v="0.51018541887856739"/>
    <n v="-3.8717943307937941"/>
    <n v="2.4442681395872339"/>
    <n v="-1.915266532969788"/>
    <n v="2.712993278238522"/>
    <n v="2.787089131649414"/>
    <n v="-11.51292546497023"/>
    <n v="-7.4095852673053741E-2"/>
    <n v="1"/>
    <n v="0"/>
    <n v="0"/>
    <n v="0"/>
    <n v="0"/>
    <n v="0"/>
    <n v="1"/>
  </r>
  <r>
    <n v="13"/>
    <x v="10"/>
    <n v="-1.8421449569286059"/>
    <n v="0.71417454775202094"/>
    <n v="0.74246101711286649"/>
    <n v="0.71069235977569423"/>
    <n v="0.5886196512060109"/>
    <n v="0.4848306634889048"/>
    <n v="0.49231536100689388"/>
    <n v="-3.5582678548913709"/>
    <n v="2.4442681395872339"/>
    <n v="-1.898090134548438"/>
    <n v="2.647271572969601"/>
    <n v="2.6970405530106989"/>
    <n v="-11.51292546497023"/>
    <n v="-4.9768980592489243E-2"/>
    <n v="1"/>
    <n v="0"/>
    <n v="0"/>
    <n v="0"/>
    <n v="0"/>
    <n v="0"/>
    <n v="1"/>
  </r>
  <r>
    <n v="13"/>
    <x v="11"/>
    <n v="-1.8414703029534769"/>
    <n v="0.70631016708622618"/>
    <n v="0.71417454775202094"/>
    <n v="0.74246101711286649"/>
    <n v="0.55652530301698111"/>
    <n v="0.5886196512060109"/>
    <n v="0.4848306634889048"/>
    <n v="-2.9391899763047791"/>
    <n v="2.4442681395872339"/>
    <n v="-1.8769940266480141"/>
    <n v="2.6419495295814581"/>
    <n v="2.631909871823026"/>
    <n v="-11.51292546497023"/>
    <n v="1.0039657354354858E-2"/>
    <n v="1"/>
    <n v="0"/>
    <n v="0"/>
    <n v="0"/>
    <n v="0"/>
    <n v="0"/>
    <n v="1"/>
  </r>
  <r>
    <n v="13"/>
    <x v="12"/>
    <n v="-1.893715057180644"/>
    <n v="0.83594797919161656"/>
    <n v="0.70631016708622618"/>
    <n v="0.71417454775202094"/>
    <n v="0.59033896057826329"/>
    <n v="0.55652530301698111"/>
    <n v="0.5886196512060109"/>
    <n v="-2.4850563934778158"/>
    <n v="2.4442681395872339"/>
    <n v="-1.8369834954172419"/>
    <n v="2.6649035890130319"/>
    <n v="2.6377755229258768"/>
    <n v="3.2580965380214821"/>
    <n v="2.7128066867589951E-2"/>
    <n v="1"/>
    <n v="0"/>
    <n v="0"/>
    <n v="0"/>
    <n v="0"/>
    <n v="0"/>
    <n v="1"/>
  </r>
  <r>
    <n v="13"/>
    <x v="13"/>
    <n v="-1.856070637772256"/>
    <n v="0.72952732465269587"/>
    <n v="0.83594797919161656"/>
    <n v="0.70631016708622618"/>
    <n v="0.50162341300119118"/>
    <n v="0.59033896057826329"/>
    <n v="0.55652530301698111"/>
    <n v="-1.740634359736184"/>
    <n v="2.4442681395872339"/>
    <n v="-1.801472811152566"/>
    <n v="2.6855146875716001"/>
    <n v="2.6493447628313511"/>
    <n v="5.393627546352362"/>
    <n v="3.6169923841953278E-2"/>
    <n v="1"/>
    <n v="0"/>
    <n v="0"/>
    <n v="0"/>
    <n v="0"/>
    <n v="0"/>
    <n v="1"/>
  </r>
  <r>
    <n v="13"/>
    <x v="14"/>
    <n v="-1.9054095945747089"/>
    <n v="0.69708939979256901"/>
    <n v="0.72952732465269587"/>
    <n v="0.83594797919161656"/>
    <n v="0.4633565865239419"/>
    <n v="0.50162341300119118"/>
    <n v="0.59033896057826329"/>
    <n v="-1.117738767835011"/>
    <n v="2.4442681395872339"/>
    <n v="-1.772662210141901"/>
    <n v="2.6776327697878859"/>
    <n v="2.670400738513004"/>
    <n v="5.9914645471079817"/>
    <n v="7.2320313192903996E-3"/>
    <n v="1"/>
    <n v="1"/>
    <n v="0"/>
    <n v="0"/>
    <n v="0"/>
    <n v="0"/>
    <n v="1"/>
  </r>
  <r>
    <n v="13"/>
    <x v="15"/>
    <n v="-1.9488072066913751"/>
    <n v="0.87950225842631924"/>
    <n v="0.69708939979256901"/>
    <n v="0.72952732465269587"/>
    <n v="0.64699852453396511"/>
    <n v="0.4633565865239419"/>
    <n v="0.50162341300119118"/>
    <n v="-0.57906484735342401"/>
    <n v="2.4442681395872339"/>
    <n v="-1.7476804575463141"/>
    <n v="2.66576729161737"/>
    <n v="2.662939620854389"/>
    <n v="6.6846117276679271"/>
    <n v="2.8276706580072641E-3"/>
    <n v="1"/>
    <n v="0"/>
    <n v="0"/>
    <n v="0"/>
    <n v="0"/>
    <n v="0"/>
    <n v="1"/>
  </r>
  <r>
    <n v="13"/>
    <x v="16"/>
    <n v="-1.8916762122875559"/>
    <n v="0.91788945323785209"/>
    <n v="0.87950225842631924"/>
    <n v="0.69708939979256901"/>
    <n v="0.6722809878785605"/>
    <n v="0.64699852453396511"/>
    <n v="0.4633565865239419"/>
    <n v="-9.9392275493521157E-2"/>
    <n v="2.4442681395872339"/>
    <n v="-1.698044026119633"/>
    <n v="2.6820230415454902"/>
    <n v="2.66576729161737"/>
    <n v="8.0551577318196781"/>
    <n v="1.6255749389529228E-2"/>
    <n v="1"/>
    <n v="0"/>
    <n v="0"/>
    <n v="0"/>
    <n v="0"/>
    <n v="0"/>
    <n v="1"/>
  </r>
  <r>
    <n v="13"/>
    <x v="17"/>
    <n v="-1.9308834614620309"/>
    <n v="0.87592696568459394"/>
    <n v="0.91788945323785209"/>
    <n v="0.87950225842631924"/>
    <n v="0.55002710596512761"/>
    <n v="0.6722809878785605"/>
    <n v="0.64699852453396511"/>
    <n v="0.46648573499141283"/>
    <n v="2.4442681395872339"/>
    <n v="-1.6486901483693741"/>
    <n v="2.7403429286794632"/>
    <n v="2.6820230415454902"/>
    <n v="8.4658998970286863"/>
    <n v="5.8319885283708572E-2"/>
    <n v="1"/>
    <n v="0"/>
    <n v="0"/>
    <n v="0"/>
    <n v="0"/>
    <n v="0"/>
    <n v="1"/>
  </r>
  <r>
    <n v="14"/>
    <x v="0"/>
    <n v="-2.1214280261521119"/>
    <n v="1.050821624831761"/>
    <n v="0.97093042083247871"/>
    <n v="0.82342955082286751"/>
    <n v="0.80200158547202738"/>
    <n v="0.74388782226312944"/>
    <n v="0.56866047543694154"/>
    <n v="-11.51292546497023"/>
    <n v="0.96965976941242327"/>
    <n v="-2.0658096230737839"/>
    <n v="2.5416151197443391"/>
    <n v="2.4326114046976972"/>
    <n v="-11.51292546497023"/>
    <n v="0.10900371521711349"/>
    <n v="0"/>
    <n v="0"/>
    <n v="0"/>
    <n v="0"/>
    <n v="0"/>
    <n v="0"/>
    <n v="1"/>
  </r>
  <r>
    <n v="14"/>
    <x v="1"/>
    <n v="-2.0488611487842991"/>
    <n v="0.92715153920690085"/>
    <n v="1.050821624831761"/>
    <n v="0.97093042083247871"/>
    <n v="0.67904825618044362"/>
    <n v="0.80200158547202738"/>
    <n v="0.74388782226312944"/>
    <n v="-11.51292546497023"/>
    <n v="0.96965976941242327"/>
    <n v="-1.9236342315961601"/>
    <n v="2.5678029528627571"/>
    <n v="2.5299808907507249"/>
    <n v="-11.51292546497023"/>
    <n v="3.7822060286998749E-2"/>
    <n v="0"/>
    <n v="0"/>
    <n v="0"/>
    <n v="0"/>
    <n v="0"/>
    <n v="0"/>
    <n v="1"/>
  </r>
  <r>
    <n v="14"/>
    <x v="2"/>
    <n v="-1.8916961888322019"/>
    <n v="0.8885906012318765"/>
    <n v="0.92715153920690085"/>
    <n v="1.050821624831761"/>
    <n v="0.6598488951584307"/>
    <n v="0.67904825618044362"/>
    <n v="0.80200158547202738"/>
    <n v="-11.51292546497023"/>
    <n v="0.96965976941242327"/>
    <n v="-1.786369245775409"/>
    <n v="2.613589893895834"/>
    <n v="2.5563049465615411"/>
    <n v="-11.51292546497023"/>
    <n v="5.7284947484731674E-2"/>
    <n v="0"/>
    <n v="0"/>
    <n v="0"/>
    <n v="0"/>
    <n v="0"/>
    <n v="0"/>
    <n v="1"/>
  </r>
  <r>
    <n v="14"/>
    <x v="3"/>
    <n v="-1.731314898936454"/>
    <n v="0.85010819341370714"/>
    <n v="0.8885906012318765"/>
    <n v="0.92715153920690085"/>
    <n v="0.6269539578251464"/>
    <n v="0.6598488951584307"/>
    <n v="0.67904825618044362"/>
    <n v="-6.0438174049598743"/>
    <n v="0.96965976941242327"/>
    <n v="-1.6727758863447291"/>
    <n v="2.680348433775428"/>
    <n v="2.59269452008478"/>
    <n v="-11.51292546497023"/>
    <n v="8.7653912603855133E-2"/>
    <n v="0"/>
    <n v="0"/>
    <n v="0"/>
    <n v="0"/>
    <n v="0"/>
    <n v="0"/>
    <n v="1"/>
  </r>
  <r>
    <n v="14"/>
    <x v="4"/>
    <n v="-1.6370132101979851"/>
    <n v="0.83971201764178083"/>
    <n v="0.85010819341370714"/>
    <n v="0.8885906012318765"/>
    <n v="0.63668264357881876"/>
    <n v="0.6269539578251464"/>
    <n v="0.6598488951584307"/>
    <n v="-6.0886638504851271"/>
    <n v="0.96965976941242327"/>
    <n v="-1.5818013322830919"/>
    <n v="2.712075371742944"/>
    <n v="2.6355019882501809"/>
    <n v="-11.51292546497023"/>
    <n v="7.6573386788368225E-2"/>
    <n v="0"/>
    <n v="0"/>
    <n v="0"/>
    <n v="0"/>
    <n v="0"/>
    <n v="0"/>
    <n v="1"/>
  </r>
  <r>
    <n v="14"/>
    <x v="5"/>
    <n v="-1.6511480036138131"/>
    <n v="0.78024188741087908"/>
    <n v="0.83971201764178083"/>
    <n v="0.85010819341370714"/>
    <n v="0.63254755843101573"/>
    <n v="0.63668264357881876"/>
    <n v="0.6269539578251464"/>
    <n v="-4.1856749717641"/>
    <n v="0.96965976941242327"/>
    <n v="-1.524027786338819"/>
    <n v="2.6846472020599572"/>
    <n v="2.6691541014086368"/>
    <n v="-11.51292546497023"/>
    <n v="1.5493100509047508E-2"/>
    <n v="0"/>
    <n v="0"/>
    <n v="0"/>
    <n v="0"/>
    <n v="0"/>
    <n v="0"/>
    <n v="1"/>
  </r>
  <r>
    <n v="14"/>
    <x v="6"/>
    <n v="-1.552265536560707"/>
    <n v="0.73400117456821146"/>
    <n v="0.78024188741087908"/>
    <n v="0.83971201764178083"/>
    <n v="0.61971590247406239"/>
    <n v="0.63254755843101573"/>
    <n v="0.63668264357881876"/>
    <n v="-3.849134322558645"/>
    <n v="0.96965976941242327"/>
    <n v="-1.457586424516502"/>
    <n v="2.6424033786447718"/>
    <n v="2.6645129073266771"/>
    <n v="-11.51292546497023"/>
    <n v="-2.2109529003500938E-2"/>
    <n v="0"/>
    <n v="0"/>
    <n v="0"/>
    <n v="0"/>
    <n v="0"/>
    <n v="0"/>
    <n v="1"/>
  </r>
  <r>
    <n v="14"/>
    <x v="7"/>
    <n v="-1.5003883410751231"/>
    <n v="0.72420970601176304"/>
    <n v="0.73400117456821146"/>
    <n v="0.78024188741087908"/>
    <n v="0.61550991083279283"/>
    <n v="0.61971590247406239"/>
    <n v="0.63254755843101573"/>
    <n v="-2.932366397932173"/>
    <n v="0.96965976941242327"/>
    <n v="-1.4167828025081901"/>
    <n v="2.687003829487947"/>
    <n v="2.603659858243808"/>
    <n v="-11.51292546497023"/>
    <n v="8.3343967795372009E-2"/>
    <n v="0"/>
    <n v="0"/>
    <n v="0"/>
    <n v="0"/>
    <n v="0"/>
    <n v="0"/>
    <n v="1"/>
  </r>
  <r>
    <n v="14"/>
    <x v="8"/>
    <n v="-1.397781435692395"/>
    <n v="0.69154589919297138"/>
    <n v="0.72420970601176304"/>
    <n v="0.73400117456821146"/>
    <n v="0.57537664482543749"/>
    <n v="0.61550991083279283"/>
    <n v="0.61971590247406239"/>
    <n v="-2.2964382397407608"/>
    <n v="0.96965976941242327"/>
    <n v="-1.360431158802089"/>
    <n v="2.6717135384811321"/>
    <n v="2.669005520272695"/>
    <n v="-11.51292546497023"/>
    <n v="2.7080182917416096E-3"/>
    <n v="0"/>
    <n v="0"/>
    <n v="0"/>
    <n v="0"/>
    <n v="0"/>
    <n v="0"/>
    <n v="1"/>
  </r>
  <r>
    <n v="14"/>
    <x v="9"/>
    <n v="-1.406478382367957"/>
    <n v="0.72851432439723662"/>
    <n v="0.69154589919297138"/>
    <n v="0.72420970601176304"/>
    <n v="0.57391309263624701"/>
    <n v="0.57537664482543749"/>
    <n v="0.61550991083279283"/>
    <n v="-1.895141054409754"/>
    <n v="0.96965976941242327"/>
    <n v="-1.315803727531329"/>
    <n v="2.6312853746276921"/>
    <n v="2.6543003889539531"/>
    <n v="-11.51292546497023"/>
    <n v="-2.3015014827251434E-2"/>
    <n v="1"/>
    <n v="0"/>
    <n v="0"/>
    <n v="0"/>
    <n v="0"/>
    <n v="0"/>
    <n v="1"/>
  </r>
  <r>
    <n v="14"/>
    <x v="10"/>
    <n v="-1.3755681813668039"/>
    <n v="0.75358354936377603"/>
    <n v="0.72851432439723662"/>
    <n v="0.69154589919297138"/>
    <n v="0.70066882195879143"/>
    <n v="0.57391309263624701"/>
    <n v="0.57537664482543749"/>
    <n v="-1.542188325737653"/>
    <n v="0.96965976941242327"/>
    <n v="-1.28585620413132"/>
    <n v="2.6090838390708408"/>
    <n v="2.614491077793708"/>
    <n v="-11.51292546497023"/>
    <n v="-5.407238844782114E-3"/>
    <n v="1"/>
    <n v="0"/>
    <n v="0"/>
    <n v="0"/>
    <n v="0"/>
    <n v="0"/>
    <n v="1"/>
  </r>
  <r>
    <n v="14"/>
    <x v="11"/>
    <n v="-1.3358158736813781"/>
    <n v="0.69309717930990367"/>
    <n v="0.75358354936377603"/>
    <n v="0.72851432439723662"/>
    <n v="0.6661356313130955"/>
    <n v="0.70066882195879143"/>
    <n v="0.57391309263624701"/>
    <n v="-0.87898788351104096"/>
    <n v="0.96965976941242327"/>
    <n v="-1.262937275707122"/>
    <n v="2.651307984761778"/>
    <n v="2.5928672935494101"/>
    <n v="-11.51292546497023"/>
    <n v="5.8440692722797394E-2"/>
    <n v="1"/>
    <n v="0"/>
    <n v="0"/>
    <n v="0"/>
    <n v="0"/>
    <n v="0"/>
    <n v="1"/>
  </r>
  <r>
    <n v="14"/>
    <x v="12"/>
    <n v="-1.4085563991275289"/>
    <n v="0.78115805788265869"/>
    <n v="0.69309717930990367"/>
    <n v="0.75358354936377603"/>
    <n v="0.6562757057840406"/>
    <n v="0.6661356313130955"/>
    <n v="0.70066882195879143"/>
    <n v="-0.58565216278882493"/>
    <n v="0.96965976941242327"/>
    <n v="-1.324389958640908"/>
    <n v="2.608562867960984"/>
    <n v="2.5530999358944371"/>
    <n v="3.2580965380214821"/>
    <n v="5.5462930351495743E-2"/>
    <n v="1"/>
    <n v="0"/>
    <n v="0"/>
    <n v="0"/>
    <n v="0"/>
    <n v="0"/>
    <n v="1"/>
  </r>
  <r>
    <n v="14"/>
    <x v="13"/>
    <n v="-1.3716381828919499"/>
    <n v="0.70309751141311339"/>
    <n v="0.78115805788265869"/>
    <n v="0.69309717930990367"/>
    <n v="0.62202704805681974"/>
    <n v="0.6562757057840406"/>
    <n v="0.6661356313130955"/>
    <n v="8.1198499646209024E-2"/>
    <n v="0.96965976941242327"/>
    <n v="-1.3347112254365761"/>
    <n v="2.5844992376152001"/>
    <n v="2.5591706350414238"/>
    <n v="5.393627546352362"/>
    <n v="2.5328602641820908E-2"/>
    <n v="1"/>
    <n v="0"/>
    <n v="0"/>
    <n v="0"/>
    <n v="0"/>
    <n v="0"/>
    <n v="1"/>
  </r>
  <r>
    <n v="14"/>
    <x v="14"/>
    <n v="-1.394184195864542"/>
    <n v="0.62924845470971358"/>
    <n v="0.70309751141311339"/>
    <n v="0.78115805788265869"/>
    <n v="0.55382764031053344"/>
    <n v="0.62202704805681974"/>
    <n v="0.6562757057840406"/>
    <n v="0.69681451263670058"/>
    <n v="0.96965976941242327"/>
    <n v="-1.3391835643458849"/>
    <n v="2.5950645419388749"/>
    <n v="2.543392088769163"/>
    <n v="5.9914645471079817"/>
    <n v="5.1672454923391342E-2"/>
    <n v="1"/>
    <n v="1"/>
    <n v="0"/>
    <n v="0"/>
    <n v="0"/>
    <n v="0"/>
    <n v="1"/>
  </r>
  <r>
    <n v="14"/>
    <x v="15"/>
    <n v="-1.3579953094350481"/>
    <n v="0.85437277405916545"/>
    <n v="0.62924845470971358"/>
    <n v="0.70309751141311339"/>
    <n v="0.74293684506246094"/>
    <n v="0.55382764031053344"/>
    <n v="0.62202704805681974"/>
    <n v="1.1994999048513719"/>
    <n v="0.96965976941242327"/>
    <n v="-1.3385504162023421"/>
    <n v="2.5663181660538141"/>
    <n v="2.56151968691375"/>
    <n v="6.6846117276679271"/>
    <n v="4.7984789125621319E-3"/>
    <n v="1"/>
    <n v="0"/>
    <n v="0"/>
    <n v="0"/>
    <n v="0"/>
    <n v="0"/>
    <n v="1"/>
  </r>
  <r>
    <n v="14"/>
    <x v="16"/>
    <n v="-1.256103145630141"/>
    <n v="0.91625073107413368"/>
    <n v="0.85437277405916545"/>
    <n v="0.62924845470971358"/>
    <n v="0.82850814849039722"/>
    <n v="0.74293684506246094"/>
    <n v="0.55382764031053344"/>
    <n v="1.728170888937373"/>
    <n v="0.96965976941242327"/>
    <n v="-1.302099310445449"/>
    <n v="2.6316037050358618"/>
    <n v="2.5663181660538141"/>
    <n v="8.0551577318196781"/>
    <n v="6.5285541117191315E-2"/>
    <n v="1"/>
    <n v="0"/>
    <n v="0"/>
    <n v="0"/>
    <n v="0"/>
    <n v="0"/>
    <n v="1"/>
  </r>
  <r>
    <n v="14"/>
    <x v="17"/>
    <n v="-1.270274722254032"/>
    <n v="0.81801616260581456"/>
    <n v="0.91625073107413368"/>
    <n v="0.85437277405916545"/>
    <n v="0.64752200253366976"/>
    <n v="0.82850814849039722"/>
    <n v="0.74293684506246094"/>
    <n v="2.3604553240936168"/>
    <n v="0.96965976941242327"/>
    <n v="-1.2773671272837059"/>
    <n v="2.7560989929225941"/>
    <n v="2.6316037050358618"/>
    <n v="8.4658998970286863"/>
    <n v="0.12449529021978378"/>
    <n v="1"/>
    <n v="0"/>
    <n v="0"/>
    <n v="0"/>
    <n v="0"/>
    <n v="0"/>
    <n v="1"/>
  </r>
  <r>
    <n v="15"/>
    <x v="0"/>
    <n v="-2.791819724517338"/>
    <n v="0.97832612279360776"/>
    <n v="0.93106111077760501"/>
    <n v="0.94067110059953318"/>
    <n v="0.84156718567821853"/>
    <n v="0.73400117456821146"/>
    <n v="0.7437927652288373"/>
    <n v="-11.51292546497023"/>
    <n v="2.658156590148268"/>
    <n v="-2.8864098341244109"/>
    <n v="2.164708222438771"/>
    <n v="2.1038497784591632"/>
    <n v="-11.51292546497023"/>
    <n v="6.0858443379402161E-2"/>
    <n v="0"/>
    <n v="0"/>
    <n v="0"/>
    <n v="0"/>
    <n v="0"/>
    <n v="0"/>
    <n v="1"/>
  </r>
  <r>
    <n v="15"/>
    <x v="1"/>
    <n v="-2.6827612243448291"/>
    <n v="0.92334578634783215"/>
    <n v="0.97832612279360776"/>
    <n v="0.93106111077760501"/>
    <n v="0.71250853403856518"/>
    <n v="0.84156718567821853"/>
    <n v="0.73400117456821146"/>
    <n v="-11.51292546497023"/>
    <n v="2.658156590148268"/>
    <n v="-2.761647926588747"/>
    <n v="2.2075982400187821"/>
    <n v="2.149978130984072"/>
    <n v="-11.51292546497023"/>
    <n v="5.7620108127593994E-2"/>
    <n v="0"/>
    <n v="0"/>
    <n v="0"/>
    <n v="0"/>
    <n v="0"/>
    <n v="0"/>
    <n v="1"/>
  </r>
  <r>
    <n v="15"/>
    <x v="2"/>
    <n v="-2.572277832481626"/>
    <n v="0.91063476701799762"/>
    <n v="0.92334578634783215"/>
    <n v="0.97832612279360776"/>
    <n v="0.66449047131014083"/>
    <n v="0.71250853403856518"/>
    <n v="0.84156718567821853"/>
    <n v="-11.51292546497023"/>
    <n v="2.658156590148268"/>
    <n v="-2.6214783804307662"/>
    <n v="2.2708117660566969"/>
    <n v="2.1930821148220612"/>
    <n v="-11.51292546497023"/>
    <n v="7.7729649841785431E-2"/>
    <n v="0"/>
    <n v="0"/>
    <n v="0"/>
    <n v="0"/>
    <n v="0"/>
    <n v="0"/>
    <n v="1"/>
  </r>
  <r>
    <n v="15"/>
    <x v="3"/>
    <n v="-2.5411629062929411"/>
    <n v="0.87208802919442241"/>
    <n v="0.91063476701799762"/>
    <n v="0.92334578634783215"/>
    <n v="0.5987815545242241"/>
    <n v="0.66449047131014083"/>
    <n v="0.71250853403856518"/>
    <n v="-11.51292546497023"/>
    <n v="2.658156590148268"/>
    <n v="-2.4867244716184009"/>
    <n v="2.196928113362755"/>
    <n v="2.255962494629093"/>
    <n v="-11.51292546497023"/>
    <n v="-5.9034381061792374E-2"/>
    <n v="0"/>
    <n v="0"/>
    <n v="0"/>
    <n v="0"/>
    <n v="0"/>
    <n v="0"/>
    <n v="1"/>
  </r>
  <r>
    <n v="15"/>
    <x v="4"/>
    <n v="-2.415976061203883"/>
    <n v="0.81828091131671099"/>
    <n v="0.87208802919442241"/>
    <n v="0.91063476701799762"/>
    <n v="0.55555039254549876"/>
    <n v="0.5987815545242241"/>
    <n v="0.66449047131014083"/>
    <n v="-8.9306008074694034"/>
    <n v="2.658156590148268"/>
    <n v="-2.3643504076358099"/>
    <n v="2.3921868492462859"/>
    <n v="2.1797457154757458"/>
    <n v="-11.51292546497023"/>
    <n v="0.21244113147258759"/>
    <n v="0"/>
    <n v="0"/>
    <n v="0"/>
    <n v="0"/>
    <n v="0"/>
    <n v="0"/>
    <n v="1"/>
  </r>
  <r>
    <n v="15"/>
    <x v="5"/>
    <n v="-2.3029320827237609"/>
    <n v="0.77320527273052442"/>
    <n v="0.81828091131671099"/>
    <n v="0.87208802919442241"/>
    <n v="0.58661931715011228"/>
    <n v="0.55555039254549876"/>
    <n v="0.5987815545242241"/>
    <n v="-7.155733611642173"/>
    <n v="2.658156590148268"/>
    <n v="-2.244777471879833"/>
    <n v="2.472549286109806"/>
    <n v="2.3752945758448392"/>
    <n v="-11.51292546497023"/>
    <n v="9.7254708409309387E-2"/>
    <n v="0"/>
    <n v="0"/>
    <n v="0"/>
    <n v="0"/>
    <n v="0"/>
    <n v="0"/>
    <n v="1"/>
  </r>
  <r>
    <n v="15"/>
    <x v="6"/>
    <n v="-2.1460947892716802"/>
    <n v="0.7234823803560182"/>
    <n v="0.77320527273052442"/>
    <n v="0.81828091131671099"/>
    <n v="0.52986325264312839"/>
    <n v="0.58661931715011228"/>
    <n v="0.55555039254549876"/>
    <n v="-6.7617711801891964"/>
    <n v="2.658156590148268"/>
    <n v="-2.1238520324279468"/>
    <n v="2.466003040936068"/>
    <n v="2.4610466094545189"/>
    <n v="-11.51292546497023"/>
    <n v="4.9564316868782043E-3"/>
    <n v="0"/>
    <n v="0"/>
    <n v="0"/>
    <n v="0"/>
    <n v="0"/>
    <n v="0"/>
    <n v="1"/>
  </r>
  <r>
    <n v="15"/>
    <x v="7"/>
    <n v="-2.0794751396877462"/>
    <n v="0.71417454775202094"/>
    <n v="0.7234823803560182"/>
    <n v="0.77320527273052442"/>
    <n v="0.55048854682236659"/>
    <n v="0.52986325264312839"/>
    <n v="0.58661931715011228"/>
    <n v="-5.9388739203204928"/>
    <n v="2.658156590148268"/>
    <n v="-2.0273691443881439"/>
    <n v="2.4933019337384188"/>
    <n v="2.4416024404175549"/>
    <n v="-11.51292546497023"/>
    <n v="5.1699493080377579E-2"/>
    <n v="0"/>
    <n v="0"/>
    <n v="0"/>
    <n v="0"/>
    <n v="0"/>
    <n v="0"/>
    <n v="1"/>
  </r>
  <r>
    <n v="15"/>
    <x v="8"/>
    <n v="-1.9944988859265049"/>
    <n v="0.69798545720019456"/>
    <n v="0.71417454775202094"/>
    <n v="0.7234823803560182"/>
    <n v="0.54968088553466399"/>
    <n v="0.55048854682236659"/>
    <n v="0.52986325264312839"/>
    <n v="-5.3075154343242641"/>
    <n v="2.658156590148268"/>
    <n v="-1.937401166075847"/>
    <n v="2.4321034362056979"/>
    <n v="2.4803034033441338"/>
    <n v="-11.51292546497023"/>
    <n v="-4.8199966549873352E-2"/>
    <n v="0"/>
    <n v="0"/>
    <n v="0"/>
    <n v="0"/>
    <n v="0"/>
    <n v="0"/>
    <n v="1"/>
  </r>
  <r>
    <n v="15"/>
    <x v="9"/>
    <n v="-1.977138365634671"/>
    <n v="0.72290013870929315"/>
    <n v="0.69798545720019456"/>
    <n v="0.71417454775202094"/>
    <n v="0.53719487878605887"/>
    <n v="0.54968088553466399"/>
    <n v="0.55048854682236659"/>
    <n v="-4.914505256077792"/>
    <n v="2.658156590148268"/>
    <n v="-1.8675500656126871"/>
    <n v="2.3961545716299142"/>
    <n v="2.419648506343997"/>
    <n v="-11.51292546497023"/>
    <n v="-2.34939344227314E-2"/>
    <n v="1"/>
    <n v="0"/>
    <n v="0"/>
    <n v="0"/>
    <n v="0"/>
    <n v="0"/>
    <n v="1"/>
  </r>
  <r>
    <n v="15"/>
    <x v="10"/>
    <n v="-1.969222467654441"/>
    <n v="0.77904960956064861"/>
    <n v="0.72290013870929315"/>
    <n v="0.69798545720019456"/>
    <n v="0.66186289052017888"/>
    <n v="0.53719487878605887"/>
    <n v="0.54968088553466399"/>
    <n v="-4.5780678606058327"/>
    <n v="2.658156590148268"/>
    <n v="-1.8200658920119981"/>
    <n v="2.359967969315607"/>
    <n v="2.384285272833663"/>
    <n v="-11.51292546497023"/>
    <n v="-2.4317303672432899E-2"/>
    <n v="1"/>
    <n v="0"/>
    <n v="0"/>
    <n v="0"/>
    <n v="0"/>
    <n v="0"/>
    <n v="1"/>
  </r>
  <r>
    <n v="15"/>
    <x v="11"/>
    <n v="-1.980966370515546"/>
    <n v="0.75996435359726244"/>
    <n v="0.77904960956064861"/>
    <n v="0.72290013870929315"/>
    <n v="0.64961317853621692"/>
    <n v="0.66186289052017888"/>
    <n v="0.53719487878605887"/>
    <n v="-3.8787146204293661"/>
    <n v="2.658156590148268"/>
    <n v="-1.78349431897405"/>
    <n v="2.429515831059414"/>
    <n v="2.348680871484607"/>
    <n v="-11.51292546497023"/>
    <n v="8.0834962427616119E-2"/>
    <n v="1"/>
    <n v="0"/>
    <n v="0"/>
    <n v="0"/>
    <n v="0"/>
    <n v="0"/>
    <n v="1"/>
  </r>
  <r>
    <n v="15"/>
    <x v="12"/>
    <n v="-2.0136574169095001"/>
    <n v="0.83373486886959214"/>
    <n v="0.75996435359726244"/>
    <n v="0.77904960956064861"/>
    <n v="0.63747589568948049"/>
    <n v="0.64961317853621692"/>
    <n v="0.66186289052017888"/>
    <n v="-3.4772540333013628"/>
    <n v="2.658156590148268"/>
    <n v="-1.7534362500636049"/>
    <n v="2.4068090466206389"/>
    <n v="2.412113980507431"/>
    <n v="3.2580965380214821"/>
    <n v="-5.3049339912831783E-3"/>
    <n v="1"/>
    <n v="0"/>
    <n v="0"/>
    <n v="0"/>
    <n v="0"/>
    <n v="0"/>
    <n v="1"/>
  </r>
  <r>
    <n v="15"/>
    <x v="13"/>
    <n v="-1.989495320601522"/>
    <n v="0.80258437525832049"/>
    <n v="0.83373486886959214"/>
    <n v="0.75996435359726244"/>
    <n v="0.6141039732194925"/>
    <n v="0.63747589568948049"/>
    <n v="0.64961317853621692"/>
    <n v="-2.7020082997897301"/>
    <n v="2.658156590148268"/>
    <n v="-1.7152019280639921"/>
    <n v="2.4553175654782078"/>
    <n v="2.3963665458019352"/>
    <n v="5.393627546352362"/>
    <n v="5.8951020240783691E-2"/>
    <n v="1"/>
    <n v="0"/>
    <n v="0"/>
    <n v="0"/>
    <n v="0"/>
    <n v="0"/>
    <n v="1"/>
  </r>
  <r>
    <n v="15"/>
    <x v="14"/>
    <n v="-1.9726510838674469"/>
    <n v="0.72251178918984926"/>
    <n v="0.80258437525832049"/>
    <n v="0.83373486886959214"/>
    <n v="0.59094832823969778"/>
    <n v="0.6141039732194925"/>
    <n v="0.63747589568948049"/>
    <n v="-1.9471472867106581"/>
    <n v="2.658156590148268"/>
    <n v="-1.6794511083473891"/>
    <n v="2.5735186755350341"/>
    <n v="2.4451541864662971"/>
    <n v="5.9914645471079817"/>
    <n v="0.12836448848247528"/>
    <n v="1"/>
    <n v="1"/>
    <n v="0"/>
    <n v="0"/>
    <n v="0"/>
    <n v="0"/>
    <n v="1"/>
  </r>
  <r>
    <n v="15"/>
    <x v="15"/>
    <n v="-1.9530323459470831"/>
    <n v="0.91432880856061438"/>
    <n v="0.72251178918984926"/>
    <n v="0.80258437525832049"/>
    <n v="0.80209126754912441"/>
    <n v="0.59094832823969778"/>
    <n v="0.6141039732194925"/>
    <n v="-1.327568907024141"/>
    <n v="2.658156590148268"/>
    <n v="-1.6435472986523569"/>
    <n v="2.637780974935688"/>
    <n v="2.563628550518342"/>
    <n v="6.6846117276679271"/>
    <n v="7.4152424931526184E-2"/>
    <n v="1"/>
    <n v="0"/>
    <n v="0"/>
    <n v="0"/>
    <n v="0"/>
    <n v="0"/>
    <n v="1"/>
  </r>
  <r>
    <n v="15"/>
    <x v="16"/>
    <n v="-1.908586636941215"/>
    <n v="0.91464938560202946"/>
    <n v="0.91432880856061438"/>
    <n v="0.72251178918984926"/>
    <n v="0.79443943204181766"/>
    <n v="0.80209126754912441"/>
    <n v="0.59094832823969778"/>
    <n v="-1.0537338753800061"/>
    <n v="2.658156590148268"/>
    <n v="-1.5993037542301021"/>
    <n v="2.448217692813218"/>
    <n v="2.637780974935688"/>
    <n v="8.0551577318196781"/>
    <n v="-0.18956328928470612"/>
    <n v="1"/>
    <n v="0"/>
    <n v="0"/>
    <n v="0"/>
    <n v="0"/>
    <n v="0"/>
    <n v="1"/>
  </r>
  <r>
    <n v="15"/>
    <x v="17"/>
    <n v="-1.847081082694251"/>
    <n v="0.75832612158491663"/>
    <n v="0.91464938560202946"/>
    <n v="0.91432880856061438"/>
    <n v="0.56326625970542532"/>
    <n v="0.79443943204181766"/>
    <n v="0.80209126754912441"/>
    <n v="-0.52137701541721804"/>
    <n v="2.658156590148268"/>
    <n v="-1.548441725126622"/>
    <n v="2.4729604138669519"/>
    <n v="2.448217692813218"/>
    <n v="8.4658998970286863"/>
    <n v="2.4742720648646355E-2"/>
    <n v="1"/>
    <n v="0"/>
    <n v="0"/>
    <n v="0"/>
    <n v="0"/>
    <n v="0"/>
    <n v="1"/>
  </r>
  <r>
    <n v="16"/>
    <x v="0"/>
    <n v="-2.253877144019103"/>
    <n v="0.94778939893352609"/>
    <n v="0.93106111077760501"/>
    <n v="0.91916659261961942"/>
    <n v="0.78390154382840938"/>
    <n v="0.73400117456821146"/>
    <n v="0.71221424327717098"/>
    <n v="-11.51292546497023"/>
    <n v="0.40282887289318459"/>
    <n v="-2.549210999081668"/>
    <n v="2.4470563670874861"/>
    <n v="2.308626042536269"/>
    <n v="-11.51292546497023"/>
    <n v="0.13843032717704773"/>
    <n v="0"/>
    <n v="0"/>
    <n v="0"/>
    <n v="0"/>
    <n v="0"/>
    <n v="0"/>
    <n v="1"/>
  </r>
  <r>
    <n v="16"/>
    <x v="1"/>
    <n v="-2.139332813232802"/>
    <n v="0.84835444486232792"/>
    <n v="0.94778939893352609"/>
    <n v="0.93106111077760501"/>
    <n v="0.64950872353011579"/>
    <n v="0.78390154382840938"/>
    <n v="0.73400117456821146"/>
    <n v="-11.51292546497023"/>
    <n v="0.40282887289318459"/>
    <n v="-2.398758219080602"/>
    <n v="2.5164897477429151"/>
    <n v="2.4491292773411559"/>
    <n v="-11.51292546497023"/>
    <n v="6.7360468208789825E-2"/>
    <n v="0"/>
    <n v="0"/>
    <n v="0"/>
    <n v="0"/>
    <n v="0"/>
    <n v="0"/>
    <n v="1"/>
  </r>
  <r>
    <n v="16"/>
    <x v="2"/>
    <n v="-2.0057206848228928"/>
    <n v="0.85840734942560504"/>
    <n v="0.84835444486232792"/>
    <n v="0.94778939893352609"/>
    <n v="0.6598488951584307"/>
    <n v="0.64950872353011579"/>
    <n v="0.78390154382840938"/>
    <n v="-11.51292546497023"/>
    <n v="0.40282887289318459"/>
    <n v="-2.2470832121638229"/>
    <n v="2.57937795119713"/>
    <n v="2.5185653329997022"/>
    <n v="-11.51292546497023"/>
    <n v="6.0812618583440781E-2"/>
    <n v="0"/>
    <n v="0"/>
    <n v="0"/>
    <n v="0"/>
    <n v="0"/>
    <n v="0"/>
    <n v="1"/>
  </r>
  <r>
    <n v="16"/>
    <x v="3"/>
    <n v="-1.9859295162137669"/>
    <n v="0.85377682648491271"/>
    <n v="0.85840734942560504"/>
    <n v="0.84835444486232792"/>
    <n v="0.55995858631620055"/>
    <n v="0.6598488951584307"/>
    <n v="0.64950872353011579"/>
    <n v="-11.51292546497023"/>
    <n v="0.40282887289318459"/>
    <n v="-2.1205439204507179"/>
    <n v="2.561962092626465"/>
    <n v="2.5576909081762151"/>
    <n v="-11.51292546497023"/>
    <n v="4.2711845599114895E-3"/>
    <n v="0"/>
    <n v="0"/>
    <n v="0"/>
    <n v="0"/>
    <n v="0"/>
    <n v="0"/>
    <n v="1"/>
  </r>
  <r>
    <n v="16"/>
    <x v="4"/>
    <n v="-1.886218851799045"/>
    <n v="0.84672626848824584"/>
    <n v="0.85377682648491271"/>
    <n v="0.85840734942560504"/>
    <n v="0.57874592024996996"/>
    <n v="0.55995858631620055"/>
    <n v="0.6598488951584307"/>
    <n v="-6.4853357535740814"/>
    <n v="0.40282887289318459"/>
    <n v="-2.013719817614553"/>
    <n v="2.5311522364316139"/>
    <n v="2.516949080697501"/>
    <n v="-11.51292546497023"/>
    <n v="1.4203155413269997E-2"/>
    <n v="0"/>
    <n v="0"/>
    <n v="0"/>
    <n v="0"/>
    <n v="0"/>
    <n v="0"/>
    <n v="1"/>
  </r>
  <r>
    <n v="16"/>
    <x v="5"/>
    <n v="-1.8323425651355261"/>
    <n v="0.76607231057450187"/>
    <n v="0.84672626848824584"/>
    <n v="0.85377682648491271"/>
    <n v="0.56064383074685153"/>
    <n v="0.57874592024996996"/>
    <n v="0.55995858631620055"/>
    <n v="-4.7366501007701718"/>
    <n v="0.40282887289318459"/>
    <n v="-1.9358485464253019"/>
    <n v="2.5411299922494281"/>
    <n v="2.488078420007426"/>
    <n v="-11.51292546497023"/>
    <n v="5.3051572293043137E-2"/>
    <n v="0"/>
    <n v="0"/>
    <n v="0"/>
    <n v="0"/>
    <n v="0"/>
    <n v="0"/>
    <n v="1"/>
  </r>
  <r>
    <n v="16"/>
    <x v="6"/>
    <n v="-1.697172032400051"/>
    <n v="0.67666204430008292"/>
    <n v="0.76607231057450187"/>
    <n v="0.84672626848824584"/>
    <n v="0.50386142996435779"/>
    <n v="0.56064383074685153"/>
    <n v="0.57874592024996996"/>
    <n v="-4.2464961022431877"/>
    <n v="0.40282887289318459"/>
    <n v="-1.8797725681329061"/>
    <n v="2.6120553067830841"/>
    <n v="2.5204583670104239"/>
    <n v="-11.51292546497023"/>
    <n v="9.1596938669681549E-2"/>
    <n v="0"/>
    <n v="0"/>
    <n v="0"/>
    <n v="0"/>
    <n v="0"/>
    <n v="0"/>
    <n v="1"/>
  </r>
  <r>
    <n v="16"/>
    <x v="7"/>
    <n v="-1.673337722549276"/>
    <n v="0.66957144403123958"/>
    <n v="0.67666204430008292"/>
    <n v="0.76607231057450187"/>
    <n v="0.50603416302985993"/>
    <n v="0.50386142996435779"/>
    <n v="0.56064383074685153"/>
    <n v="-3.421811226673213"/>
    <n v="0.40282887289318459"/>
    <n v="-1.857649659108747"/>
    <n v="2.625774611983184"/>
    <n v="2.561271444999154"/>
    <n v="-11.51292546497023"/>
    <n v="6.4503170549869537E-2"/>
    <n v="0"/>
    <n v="0"/>
    <n v="0"/>
    <n v="0"/>
    <n v="0"/>
    <n v="0"/>
    <n v="1"/>
  </r>
  <r>
    <n v="16"/>
    <x v="8"/>
    <n v="-1.5816291422594899"/>
    <n v="0.64532155107734079"/>
    <n v="0.66957144403123958"/>
    <n v="0.67666204430008292"/>
    <n v="0.58978466756479209"/>
    <n v="0.50603416302985993"/>
    <n v="0.50386142996435779"/>
    <n v="-2.7926470713120639"/>
    <n v="0.40282887289318459"/>
    <n v="-1.807593059522477"/>
    <n v="2.5774979851936082"/>
    <n v="2.6043512012031829"/>
    <n v="-11.51292546497023"/>
    <n v="-2.685321681201458E-2"/>
    <n v="0"/>
    <n v="0"/>
    <n v="0"/>
    <n v="0"/>
    <n v="0"/>
    <n v="0"/>
    <n v="1"/>
  </r>
  <r>
    <n v="16"/>
    <x v="9"/>
    <n v="-1.606719350519505"/>
    <n v="0.66474770603824729"/>
    <n v="0.64532155107734079"/>
    <n v="0.66957144403123958"/>
    <n v="0.50609444939008918"/>
    <n v="0.58978466756479209"/>
    <n v="0.50603416302985993"/>
    <n v="-2.437375580685293"/>
    <n v="0.40282887289318459"/>
    <n v="-1.7745875972242799"/>
    <n v="2.517606577909357"/>
    <n v="2.5567182529185071"/>
    <n v="-11.51292546497023"/>
    <n v="-3.9111673831939697E-2"/>
    <n v="1"/>
    <n v="0"/>
    <n v="0"/>
    <n v="0"/>
    <n v="0"/>
    <n v="0"/>
    <n v="1"/>
  </r>
  <r>
    <n v="16"/>
    <x v="10"/>
    <n v="-1.6413975343736871"/>
    <n v="0.6924969692183589"/>
    <n v="0.66474770603824729"/>
    <n v="0.64532155107734079"/>
    <n v="0.69524497864209145"/>
    <n v="0.50609444939008918"/>
    <n v="0.58978466756479209"/>
    <n v="-2.1189371249906608"/>
    <n v="0.40282887289318459"/>
    <n v="-1.7664090653759601"/>
    <n v="2.453624418700683"/>
    <n v="2.4974428707249521"/>
    <n v="-11.51292546497023"/>
    <n v="-4.3818451464176178E-2"/>
    <n v="1"/>
    <n v="0"/>
    <n v="0"/>
    <n v="0"/>
    <n v="0"/>
    <n v="0"/>
    <n v="1"/>
  </r>
  <r>
    <n v="16"/>
    <x v="11"/>
    <n v="-1.640089231748751"/>
    <n v="0.67701779863006162"/>
    <n v="0.6924969692183589"/>
    <n v="0.66474770603824729"/>
    <n v="0.68778281806079467"/>
    <n v="0.69524497864209145"/>
    <n v="0.50609444939008918"/>
    <n v="-1.4832631345614169"/>
    <n v="0.40282887289318459"/>
    <n v="-1.7503629032432411"/>
    <n v="2.4745106219275401"/>
    <n v="2.4340961601341049"/>
    <n v="-11.51292546497023"/>
    <n v="4.0414460003376007E-2"/>
    <n v="1"/>
    <n v="0"/>
    <n v="0"/>
    <n v="0"/>
    <n v="0"/>
    <n v="0"/>
    <n v="1"/>
  </r>
  <r>
    <n v="16"/>
    <x v="12"/>
    <n v="-1.6581562884260019"/>
    <n v="0.73553594705173186"/>
    <n v="0.67701779863006162"/>
    <n v="0.6924969692183589"/>
    <n v="0.6773226302129739"/>
    <n v="0.68778281806079467"/>
    <n v="0.69524497864209145"/>
    <n v="-1.082461206997537"/>
    <n v="0.40282887289318459"/>
    <n v="-1.7459804863662149"/>
    <n v="2.4729213320469849"/>
    <n v="2.4354549114234989"/>
    <n v="3.2580965380214821"/>
    <n v="3.7466421723365784E-2"/>
    <n v="1"/>
    <n v="0"/>
    <n v="0"/>
    <n v="0"/>
    <n v="0"/>
    <n v="0"/>
    <n v="1"/>
  </r>
  <r>
    <n v="16"/>
    <x v="13"/>
    <n v="-1.603972938715956"/>
    <n v="0.6634093622959889"/>
    <n v="0.73553594705173186"/>
    <n v="0.67701779863006162"/>
    <n v="0.60070289016866529"/>
    <n v="0.6773226302129739"/>
    <n v="0.68778281806079467"/>
    <n v="-0.38409368144506473"/>
    <n v="0.40282887289318459"/>
    <n v="-1.713594278535002"/>
    <n v="2.45307765398797"/>
    <n v="2.4535358662373121"/>
    <n v="5.393627546352362"/>
    <n v="-4.5821224921382964E-4"/>
    <n v="1"/>
    <n v="0"/>
    <n v="0"/>
    <n v="0"/>
    <n v="0"/>
    <n v="0"/>
    <n v="1"/>
  </r>
  <r>
    <n v="16"/>
    <x v="14"/>
    <n v="-1.603693240766175"/>
    <n v="0.50675735959003665"/>
    <n v="0.6634093622959889"/>
    <n v="0.73553594705173186"/>
    <n v="0.57784855619648245"/>
    <n v="0.60070289016866529"/>
    <n v="0.6773226302129739"/>
    <n v="0.21548701610898499"/>
    <n v="0.40282887289318459"/>
    <n v="-1.688855747449572"/>
    <n v="2.4256603698466122"/>
    <n v="2.4342871012128651"/>
    <n v="5.9914645471079817"/>
    <n v="-8.6267311125993729E-3"/>
    <n v="1"/>
    <n v="1"/>
    <n v="0"/>
    <n v="0"/>
    <n v="0"/>
    <n v="0"/>
    <n v="1"/>
  </r>
  <r>
    <n v="16"/>
    <x v="15"/>
    <n v="-1.528306146515986"/>
    <n v="0.76504914984902317"/>
    <n v="0.50675735959003665"/>
    <n v="0.6634093622959889"/>
    <n v="0.81920698022067795"/>
    <n v="0.57784855619648245"/>
    <n v="0.60070289016866529"/>
    <n v="0.70660096568781861"/>
    <n v="0.40282887289318459"/>
    <n v="-1.675913481839175"/>
    <n v="2.3693990305980459"/>
    <n v="2.4074465427846561"/>
    <n v="6.6846117276679271"/>
    <n v="-3.8047511130571365E-2"/>
    <n v="1"/>
    <n v="0"/>
    <n v="0"/>
    <n v="0"/>
    <n v="0"/>
    <n v="0"/>
    <n v="1"/>
  </r>
  <r>
    <n v="16"/>
    <x v="16"/>
    <n v="-1.4997510253728921"/>
    <n v="0.79624513856351264"/>
    <n v="0.76504914984902317"/>
    <n v="0.50675735959003665"/>
    <n v="0.85462807148204811"/>
    <n v="0.81920698022067795"/>
    <n v="0.57784855619648245"/>
    <n v="1.24896447296841"/>
    <n v="0.40282887289318459"/>
    <n v="-1.6517963590735101"/>
    <n v="2.4483353558842298"/>
    <n v="2.3693990305980459"/>
    <n v="8.0551577318196781"/>
    <n v="7.8936323523521423E-2"/>
    <n v="1"/>
    <n v="0"/>
    <n v="0"/>
    <n v="0"/>
    <n v="0"/>
    <n v="0"/>
    <n v="1"/>
  </r>
  <r>
    <n v="16"/>
    <x v="17"/>
    <n v="-1.4824782413667701"/>
    <n v="0.70255280863404101"/>
    <n v="0.79624513856351264"/>
    <n v="0.76504914984902317"/>
    <n v="0.72338536362055528"/>
    <n v="0.85462807148204811"/>
    <n v="0.81920698022067795"/>
    <n v="1.877485982623855"/>
    <n v="0.40282887289318459"/>
    <n v="-1.6311483237791999"/>
    <n v="2.5690980120587579"/>
    <n v="2.4483353558842298"/>
    <n v="8.4658998970286863"/>
    <n v="0.1207626536488533"/>
    <n v="1"/>
    <n v="0"/>
    <n v="0"/>
    <n v="0"/>
    <n v="0"/>
    <n v="0"/>
    <n v="1"/>
  </r>
  <r>
    <n v="17"/>
    <x v="0"/>
    <n v="-2.302468246616844"/>
    <n v="1.0116009116784801"/>
    <n v="0.94720783450887658"/>
    <n v="0.8792532337715917"/>
    <n v="0.70309751141311339"/>
    <n v="0.51950782414882457"/>
    <n v="0.40832767372164103"/>
    <n v="-11.51292546497023"/>
    <n v="1.221842963958693"/>
    <n v="-2.1105228304649279"/>
    <n v="2.1691989286444682"/>
    <n v="2.1187108704670079"/>
    <n v="-11.51292546497023"/>
    <n v="5.0488058477640152E-2"/>
    <n v="0"/>
    <n v="0"/>
    <n v="0"/>
    <n v="0"/>
    <n v="0"/>
    <n v="0"/>
    <n v="1"/>
  </r>
  <r>
    <n v="17"/>
    <x v="1"/>
    <n v="-2.11853423260757"/>
    <n v="0.96065205557290867"/>
    <n v="1.0116009116784801"/>
    <n v="0.94720783450887658"/>
    <n v="0.51024545550092504"/>
    <n v="0.70309751141311339"/>
    <n v="0.51950782414882457"/>
    <n v="-11.51292546497023"/>
    <n v="1.221842963958693"/>
    <n v="-1.9746220161420369"/>
    <n v="2.2899529957657978"/>
    <n v="2.1888773255111871"/>
    <n v="-11.51292546497023"/>
    <n v="0.1010756716132164"/>
    <n v="0"/>
    <n v="0"/>
    <n v="0"/>
    <n v="0"/>
    <n v="0"/>
    <n v="0"/>
    <n v="1"/>
  </r>
  <r>
    <n v="17"/>
    <x v="2"/>
    <n v="-1.995429635360918"/>
    <n v="0.90700777827523826"/>
    <n v="0.96065205557290867"/>
    <n v="1.0116009116784801"/>
    <n v="0.4529210492644597"/>
    <n v="0.51024545550092504"/>
    <n v="0.70309751141311339"/>
    <n v="-11.51292546497023"/>
    <n v="1.221842963958693"/>
    <n v="-1.841829783458155"/>
    <n v="2.398755838764338"/>
    <n v="2.3100264184129382"/>
    <n v="-11.51292546497023"/>
    <n v="8.8729418814182281E-2"/>
    <n v="0"/>
    <n v="0"/>
    <n v="0"/>
    <n v="0"/>
    <n v="0"/>
    <n v="0"/>
    <n v="1"/>
  </r>
  <r>
    <n v="17"/>
    <x v="3"/>
    <n v="-1.9843049276434861"/>
    <n v="0.86478688900703937"/>
    <n v="0.90700777827523826"/>
    <n v="0.96065205557290867"/>
    <n v="0.40499833251872053"/>
    <n v="0.4529210492644597"/>
    <n v="0.51024545550092504"/>
    <n v="-11.51292546497023"/>
    <n v="1.221842963958693"/>
    <n v="-1.742575435337741"/>
    <n v="2.4412936220622892"/>
    <n v="2.3897857393889552"/>
    <n v="-11.51292546497023"/>
    <n v="5.150788277387619E-2"/>
    <n v="0"/>
    <n v="0"/>
    <n v="0"/>
    <n v="0"/>
    <n v="0"/>
    <n v="0"/>
    <n v="1"/>
  </r>
  <r>
    <n v="17"/>
    <x v="4"/>
    <n v="-1.824144273938767"/>
    <n v="0.83616468739487027"/>
    <n v="0.86478688900703937"/>
    <n v="0.90700777827523826"/>
    <n v="0.43599431314298731"/>
    <n v="0.40499833251872053"/>
    <n v="0.4529210492644597"/>
    <n v="-7.2052431173826657"/>
    <n v="1.221842963958693"/>
    <n v="-1.6607651362205169"/>
    <n v="2.5000871118570078"/>
    <n v="2.4000366619273419"/>
    <n v="-11.51292546497023"/>
    <n v="0.10005044937133789"/>
    <n v="0"/>
    <n v="0"/>
    <n v="0"/>
    <n v="0"/>
    <n v="0"/>
    <n v="0"/>
    <n v="1"/>
  </r>
  <r>
    <n v="17"/>
    <x v="5"/>
    <n v="-1.7247077077691031"/>
    <n v="0.80459910585408823"/>
    <n v="0.83616468739487027"/>
    <n v="0.86478688900703937"/>
    <n v="0.48316661577201642"/>
    <n v="0.43599431314298731"/>
    <n v="0.40499833251872053"/>
    <n v="-5.4531049863431234"/>
    <n v="1.221842963958693"/>
    <n v="-1.5932247588185009"/>
    <n v="2.4923787573361502"/>
    <n v="2.460465773668489"/>
    <n v="-11.51292546497023"/>
    <n v="3.191298246383667E-2"/>
    <n v="0"/>
    <n v="0"/>
    <n v="0"/>
    <n v="0"/>
    <n v="0"/>
    <n v="0"/>
    <n v="1"/>
  </r>
  <r>
    <n v="17"/>
    <x v="6"/>
    <n v="-1.5657446252089551"/>
    <n v="0.74782474185064107"/>
    <n v="0.80459910585408823"/>
    <n v="0.83616468739487027"/>
    <n v="0.45444573032978619"/>
    <n v="0.48316661577201642"/>
    <n v="0.43599431314298731"/>
    <n v="-5.0595623095713167"/>
    <n v="1.221842963958693"/>
    <n v="-1.5064707603457781"/>
    <n v="2.5240087087748391"/>
    <n v="2.4804563259997732"/>
    <n v="-11.51292546497023"/>
    <n v="4.3552383780479431E-2"/>
    <n v="0"/>
    <n v="0"/>
    <n v="0"/>
    <n v="0"/>
    <n v="0"/>
    <n v="0"/>
    <n v="1"/>
  </r>
  <r>
    <n v="17"/>
    <x v="7"/>
    <n v="-1.5546741198978691"/>
    <n v="0.73414515959401738"/>
    <n v="0.74782474185064107"/>
    <n v="0.80459910585408823"/>
    <n v="0.43320996841672321"/>
    <n v="0.45444573032978619"/>
    <n v="0.48316661577201642"/>
    <n v="-4.2075136027519253"/>
    <n v="1.221842963958693"/>
    <n v="-1.4613651130510541"/>
    <n v="2.550040241402205"/>
    <n v="2.4822395395721339"/>
    <n v="-11.51292546497023"/>
    <n v="6.7800700664520264E-2"/>
    <n v="0"/>
    <n v="0"/>
    <n v="0"/>
    <n v="0"/>
    <n v="0"/>
    <n v="0"/>
    <n v="1"/>
  </r>
  <r>
    <n v="17"/>
    <x v="8"/>
    <n v="-1.4522185817100099"/>
    <n v="0.69798545720019456"/>
    <n v="0.73414515959401738"/>
    <n v="0.74782474185064107"/>
    <n v="0.41031997083434663"/>
    <n v="0.43320996841672321"/>
    <n v="0.45444573032978619"/>
    <n v="-3.5044757311156589"/>
    <n v="1.221842963958693"/>
    <n v="-1.396360352554918"/>
    <n v="2.5577241399757078"/>
    <n v="2.5374580766264669"/>
    <n v="-11.51292546497023"/>
    <n v="2.0266063511371613E-2"/>
    <n v="0"/>
    <n v="0"/>
    <n v="0"/>
    <n v="0"/>
    <n v="0"/>
    <n v="0"/>
    <n v="1"/>
  </r>
  <r>
    <n v="17"/>
    <x v="9"/>
    <n v="-1.470524415473089"/>
    <n v="0.71720544565301625"/>
    <n v="0.69798545720019456"/>
    <n v="0.73414515959401738"/>
    <n v="0.4295071025884023"/>
    <n v="0.41031997083434663"/>
    <n v="0.43320996841672321"/>
    <n v="-3.060574005760694"/>
    <n v="1.221842963958693"/>
    <n v="-1.3427466483832651"/>
    <n v="2.5722097934308761"/>
    <n v="2.5456084780596759"/>
    <n v="-11.51292546497023"/>
    <n v="2.6601314544677734E-2"/>
    <n v="1"/>
    <n v="0"/>
    <n v="0"/>
    <n v="0"/>
    <n v="0"/>
    <n v="0"/>
    <n v="1"/>
  </r>
  <r>
    <n v="17"/>
    <x v="10"/>
    <n v="-1.438978308135985"/>
    <n v="0.74843996630865406"/>
    <n v="0.71720544565301625"/>
    <n v="0.69798545720019456"/>
    <n v="0.57334961710434951"/>
    <n v="0.4295071025884023"/>
    <n v="0.41031997083434663"/>
    <n v="-2.6809575997302382"/>
    <n v="1.221842963958693"/>
    <n v="-1.313431115730904"/>
    <n v="2.5704131665247072"/>
    <n v="2.560545726345123"/>
    <n v="-11.51292546497023"/>
    <n v="9.867439977824688E-3"/>
    <n v="1"/>
    <n v="0"/>
    <n v="0"/>
    <n v="0"/>
    <n v="0"/>
    <n v="0"/>
    <n v="1"/>
  </r>
  <r>
    <n v="17"/>
    <x v="11"/>
    <n v="-1.407715696413816"/>
    <n v="0.724500488217941"/>
    <n v="0.74843996630865406"/>
    <n v="0.71720544565301625"/>
    <n v="0.58950740580018557"/>
    <n v="0.57334961710434951"/>
    <n v="0.4295071025884023"/>
    <n v="-2.0182591945820141"/>
    <n v="1.221842963958693"/>
    <n v="-1.2870098313439291"/>
    <n v="2.5999991389301131"/>
    <n v="2.559195753040874"/>
    <n v="-11.51292546497023"/>
    <n v="4.0803384035825729E-2"/>
    <n v="1"/>
    <n v="0"/>
    <n v="0"/>
    <n v="0"/>
    <n v="0"/>
    <n v="0"/>
    <n v="1"/>
  </r>
  <r>
    <n v="17"/>
    <x v="12"/>
    <n v="-1.4943806311362959"/>
    <n v="0.86873780201460749"/>
    <n v="0.724500488217941"/>
    <n v="0.74843996630865406"/>
    <n v="0.63206933105135488"/>
    <n v="0.58950740580018557"/>
    <n v="0.57334961710434951"/>
    <n v="-1.5873266978714839"/>
    <n v="1.221842963958693"/>
    <n v="-1.2511554948762029"/>
    <n v="2.5974685645963511"/>
    <n v="2.5967564216500461"/>
    <n v="3.2580965380214821"/>
    <n v="7.12142966222018E-4"/>
    <n v="1"/>
    <n v="0"/>
    <n v="0"/>
    <n v="0"/>
    <n v="0"/>
    <n v="0"/>
    <n v="1"/>
  </r>
  <r>
    <n v="17"/>
    <x v="13"/>
    <n v="-1.4596560471649751"/>
    <n v="0.80919537892261229"/>
    <n v="0.86873780201460749"/>
    <n v="0.724500488217941"/>
    <n v="0.59260835518133248"/>
    <n v="0.63206933105135488"/>
    <n v="0.58950740580018557"/>
    <n v="-0.81386930112935651"/>
    <n v="1.221842963958693"/>
    <n v="-1.222852066708241"/>
    <n v="2.6432611633831229"/>
    <n v="2.5861919333581311"/>
    <n v="5.393627546352362"/>
    <n v="5.7069230824708939E-2"/>
    <n v="1"/>
    <n v="0"/>
    <n v="0"/>
    <n v="0"/>
    <n v="0"/>
    <n v="0"/>
    <n v="1"/>
  </r>
  <r>
    <n v="17"/>
    <x v="14"/>
    <n v="-1.5052165785067599"/>
    <n v="0.76057215687473445"/>
    <n v="0.80919537892261229"/>
    <n v="0.86873780201460749"/>
    <n v="0.52915658045071412"/>
    <n v="0.59260835518133248"/>
    <n v="0.63206933105135488"/>
    <n v="-0.14907923907206291"/>
    <n v="1.221842963958693"/>
    <n v="-1.195705225362957"/>
    <n v="2.673105898450244"/>
    <n v="2.63227061737877"/>
    <n v="5.9914645471079817"/>
    <n v="4.083527997136116E-2"/>
    <n v="1"/>
    <n v="1"/>
    <n v="0"/>
    <n v="0"/>
    <n v="0"/>
    <n v="0"/>
    <n v="1"/>
  </r>
  <r>
    <n v="17"/>
    <x v="15"/>
    <n v="-1.472059130755873"/>
    <n v="0.94468380637537297"/>
    <n v="0.76057215687473445"/>
    <n v="0.80919537892261229"/>
    <n v="0.75902854967345812"/>
    <n v="0.52915658045071412"/>
    <n v="0.59260835518133248"/>
    <n v="0.44249546405242501"/>
    <n v="1.221842963958693"/>
    <n v="-1.168648539218301"/>
    <n v="2.7105608839877759"/>
    <n v="2.662400929370047"/>
    <n v="6.6846117276679271"/>
    <n v="4.8159953206777573E-2"/>
    <n v="1"/>
    <n v="0"/>
    <n v="0"/>
    <n v="0"/>
    <n v="0"/>
    <n v="0"/>
    <n v="1"/>
  </r>
  <r>
    <n v="17"/>
    <x v="16"/>
    <n v="-1.4005988251003509"/>
    <n v="0.94491706066247805"/>
    <n v="0.94468380637537297"/>
    <n v="0.76057215687473445"/>
    <n v="0.75155758810636775"/>
    <n v="0.75902854967345812"/>
    <n v="0.52915658045071412"/>
    <n v="0.94077266061330322"/>
    <n v="1.221842963958693"/>
    <n v="-1.132133701084872"/>
    <n v="2.745375215049402"/>
    <n v="2.7105608839877759"/>
    <n v="8.0551577318196781"/>
    <n v="3.481433168053627E-2"/>
    <n v="1"/>
    <n v="0"/>
    <n v="0"/>
    <n v="0"/>
    <n v="0"/>
    <n v="0"/>
    <n v="1"/>
  </r>
  <r>
    <n v="17"/>
    <x v="17"/>
    <n v="-1.3222695926871251"/>
    <n v="0.79908253096861415"/>
    <n v="0.94491706066247805"/>
    <n v="0.94468380637537297"/>
    <n v="0.538829820175588"/>
    <n v="0.75155758810636775"/>
    <n v="0.75902854967345812"/>
    <n v="1.498096223740661"/>
    <n v="1.221842963958693"/>
    <n v="-1.0940140857053751"/>
    <n v="2.794865533481202"/>
    <n v="2.745375215049402"/>
    <n v="8.4658998970286863"/>
    <n v="4.9490317702293396E-2"/>
    <n v="1"/>
    <n v="0"/>
    <n v="0"/>
    <n v="0"/>
    <n v="0"/>
    <n v="0"/>
    <n v="1"/>
  </r>
  <r>
    <n v="21"/>
    <x v="0"/>
    <n v="-3.005073666255865"/>
    <n v="1.004301609196868"/>
    <n v="0.88533655655224996"/>
    <n v="0.83768033129224362"/>
    <n v="0.72754860727727766"/>
    <n v="0.62972803269029043"/>
    <n v="0.59305056402166012"/>
    <n v="-11.51292546497023"/>
    <n v="1.9117730239483881"/>
    <n v="-2.9883568839150541"/>
    <n v="1.86745654039763"/>
    <n v="1.7645335624207239"/>
    <n v="-11.51292546497023"/>
    <n v="0.10292297601699829"/>
    <n v="0"/>
    <n v="0"/>
    <n v="0"/>
    <n v="0"/>
    <n v="0"/>
    <n v="1"/>
    <n v="0"/>
  </r>
  <r>
    <n v="21"/>
    <x v="1"/>
    <n v="-2.9476599042238991"/>
    <n v="0.96065205557290867"/>
    <n v="1.004301609196868"/>
    <n v="0.88533655655224996"/>
    <n v="0.58232734545470155"/>
    <n v="0.72754860727727766"/>
    <n v="0.62972803269029043"/>
    <n v="-11.51292546497023"/>
    <n v="1.9117730239483881"/>
    <n v="-2.8345867363429988"/>
    <n v="1.829081620106173"/>
    <n v="1.857721618177999"/>
    <n v="-11.51292546497023"/>
    <n v="-2.8639998286962509E-2"/>
    <n v="0"/>
    <n v="0"/>
    <n v="0"/>
    <n v="0"/>
    <n v="0"/>
    <n v="1"/>
    <n v="0"/>
  </r>
  <r>
    <n v="21"/>
    <x v="2"/>
    <n v="-2.8313528680447839"/>
    <n v="0.87359197734103988"/>
    <n v="0.96065205557290867"/>
    <n v="1.004301609196868"/>
    <n v="0.48679928916313631"/>
    <n v="0.58232734545470155"/>
    <n v="0.72754860727727766"/>
    <n v="-11.51292546497023"/>
    <n v="1.9117730239483881"/>
    <n v="-2.681932127359647"/>
    <n v="1.945834833156987"/>
    <n v="1.81944071224341"/>
    <n v="-11.51292546497023"/>
    <n v="0.126394122838974"/>
    <n v="0"/>
    <n v="0"/>
    <n v="0"/>
    <n v="0"/>
    <n v="0"/>
    <n v="1"/>
    <n v="0"/>
  </r>
  <r>
    <n v="21"/>
    <x v="3"/>
    <n v="-2.786799355345857"/>
    <n v="0.81235142803842186"/>
    <n v="0.87359197734103988"/>
    <n v="0.96065205557290867"/>
    <n v="0.43346930451776172"/>
    <n v="0.48679928916313631"/>
    <n v="0.58232734545470155"/>
    <n v="-11.51292546497023"/>
    <n v="1.9117730239483881"/>
    <n v="-2.5194505085653351"/>
    <n v="1.9431627463908681"/>
    <n v="1.936112894388776"/>
    <n v="-11.51292546497023"/>
    <n v="7.0498520508408546E-3"/>
    <n v="0"/>
    <n v="0"/>
    <n v="0"/>
    <n v="0"/>
    <n v="0"/>
    <n v="1"/>
    <n v="0"/>
  </r>
  <r>
    <n v="21"/>
    <x v="4"/>
    <n v="-2.5223313753588679"/>
    <n v="0.74720913865847582"/>
    <n v="0.81235142803842186"/>
    <n v="0.87359197734103988"/>
    <n v="0.44654306986601078"/>
    <n v="0.43346930451776172"/>
    <n v="0.48679928916313631"/>
    <n v="-11.51292546497023"/>
    <n v="1.9117730239483881"/>
    <n v="-2.357243868179896"/>
    <n v="1.9625560030249369"/>
    <n v="1.921518828866686"/>
    <n v="-11.51292546497023"/>
    <n v="4.1037175804376602E-2"/>
    <n v="0"/>
    <n v="0"/>
    <n v="0"/>
    <n v="0"/>
    <n v="0"/>
    <n v="1"/>
    <n v="0"/>
  </r>
  <r>
    <n v="21"/>
    <x v="5"/>
    <n v="-2.3577793505236322"/>
    <n v="0.71098709868827636"/>
    <n v="0.74720913865847582"/>
    <n v="0.81235142803842186"/>
    <n v="0.52034021613457626"/>
    <n v="0.44654306986601078"/>
    <n v="0.43346930451776172"/>
    <n v="-7.7031221981193232"/>
    <n v="1.9117730239483881"/>
    <n v="-2.2084365600939542"/>
    <n v="1.98011437004853"/>
    <n v="1.941370787801832"/>
    <n v="-11.51292546497023"/>
    <n v="3.8743581622838974E-2"/>
    <n v="0"/>
    <n v="0"/>
    <n v="0"/>
    <n v="0"/>
    <n v="0"/>
    <n v="1"/>
    <n v="0"/>
  </r>
  <r>
    <n v="21"/>
    <x v="6"/>
    <n v="-2.190907054860967"/>
    <n v="0.65044842602683006"/>
    <n v="0.71098709868827636"/>
    <n v="0.74720913865847582"/>
    <n v="0.46360822215687519"/>
    <n v="0.52034021613457626"/>
    <n v="0.44654306986601078"/>
    <n v="-7.2025590319598756"/>
    <n v="1.9117730239483881"/>
    <n v="-2.0839929282431999"/>
    <n v="2.0418972720225601"/>
    <n v="1.969851912441885"/>
    <n v="-11.51292546497023"/>
    <n v="7.2045356035232544E-2"/>
    <n v="0"/>
    <n v="0"/>
    <n v="0"/>
    <n v="0"/>
    <n v="0"/>
    <n v="1"/>
    <n v="0"/>
  </r>
  <r>
    <n v="21"/>
    <x v="7"/>
    <n v="-2.135224945684894"/>
    <n v="0.65902146583056942"/>
    <n v="0.65044842602683006"/>
    <n v="0.71098709868827636"/>
    <n v="0.47666886711449652"/>
    <n v="0.46360822215687519"/>
    <n v="0.52034021613457626"/>
    <n v="-6.1847821219213737"/>
    <n v="1.9117730239483881"/>
    <n v="-1.9804072502349901"/>
    <n v="2.0702218116349851"/>
    <n v="2.030054764879913"/>
    <n v="-11.51292546497023"/>
    <n v="4.0167048573493958E-2"/>
    <n v="0"/>
    <n v="0"/>
    <n v="0"/>
    <n v="0"/>
    <n v="0"/>
    <n v="1"/>
    <n v="0"/>
  </r>
  <r>
    <n v="21"/>
    <x v="8"/>
    <n v="-2.044258364194691"/>
    <n v="0.6553933909480294"/>
    <n v="0.65902146583056942"/>
    <n v="0.65044842602683006"/>
    <n v="0.49231536100689388"/>
    <n v="0.47666886711449652"/>
    <n v="0.46360822215687519"/>
    <n v="-5.464837144038321"/>
    <n v="1.9117730239483881"/>
    <n v="-1.891020291388652"/>
    <n v="2.1131293082677032"/>
    <n v="2.0619282891468131"/>
    <n v="-11.51292546497023"/>
    <n v="5.1201019436120987E-2"/>
    <n v="0"/>
    <n v="0"/>
    <n v="0"/>
    <n v="0"/>
    <n v="0"/>
    <n v="1"/>
    <n v="0"/>
  </r>
  <r>
    <n v="21"/>
    <x v="9"/>
    <n v="-2.0487350496512291"/>
    <n v="0.65570488508407532"/>
    <n v="0.6553933909480294"/>
    <n v="0.65902146583056942"/>
    <n v="0.46304195291218431"/>
    <n v="0.49231536100689388"/>
    <n v="0.47666886711449652"/>
    <n v="-5.1022215211707733"/>
    <n v="1.9117730239483881"/>
    <n v="-1.8198934792654149"/>
    <n v="2.05347612818084"/>
    <n v="2.1053711428383539"/>
    <n v="-11.51292546497023"/>
    <n v="-5.1895014941692352E-2"/>
    <n v="1"/>
    <n v="0"/>
    <n v="0"/>
    <n v="0"/>
    <n v="0"/>
    <n v="1"/>
    <n v="0"/>
  </r>
  <r>
    <n v="21"/>
    <x v="10"/>
    <n v="-2.0136726042920658"/>
    <n v="0.67309752275424151"/>
    <n v="0.65570488508407532"/>
    <n v="0.6553933909480294"/>
    <n v="0.56713033997645834"/>
    <n v="0.46304195291218431"/>
    <n v="0.49231536100689388"/>
    <n v="-4.7039427630394961"/>
    <n v="1.9117730239483881"/>
    <n v="-1.7743265505814669"/>
    <n v="2.0518692545532669"/>
    <n v="2.04628977820395"/>
    <n v="-11.51292546497023"/>
    <n v="5.5794762447476387E-3"/>
    <n v="1"/>
    <n v="0"/>
    <n v="0"/>
    <n v="0"/>
    <n v="0"/>
    <n v="1"/>
    <n v="0"/>
  </r>
  <r>
    <n v="21"/>
    <x v="11"/>
    <n v="-1.9919801311725109"/>
    <n v="0.64684142768343389"/>
    <n v="0.67309752275424151"/>
    <n v="0.65570488508407532"/>
    <n v="0.55652530301698111"/>
    <n v="0.56713033997645834"/>
    <n v="0.46304195291218431"/>
    <n v="-4.0745746486765393"/>
    <n v="1.9117730239483881"/>
    <n v="-1.7337510635998139"/>
    <n v="2.0576167726293"/>
    <n v="2.0452486021962279"/>
    <n v="-11.51292546497023"/>
    <n v="1.2368170544505119E-2"/>
    <n v="1"/>
    <n v="0"/>
    <n v="0"/>
    <n v="0"/>
    <n v="0"/>
    <n v="1"/>
    <n v="0"/>
  </r>
  <r>
    <n v="21"/>
    <x v="12"/>
    <n v="-2.0092145665183549"/>
    <n v="0.75738878262140996"/>
    <n v="0.64684142768343389"/>
    <n v="0.67309752275424151"/>
    <n v="0.59597526880767171"/>
    <n v="0.55652530301698111"/>
    <n v="0.56713033997645834"/>
    <n v="-3.5959705986656392"/>
    <n v="1.9117730239483881"/>
    <n v="-1.694604976055627"/>
    <n v="2.1007802679097818"/>
    <n v="2.052654126846841"/>
    <n v="3.2580965380214821"/>
    <n v="4.8126142472028732E-2"/>
    <n v="1"/>
    <n v="0"/>
    <n v="0"/>
    <n v="0"/>
    <n v="0"/>
    <n v="1"/>
    <n v="0"/>
  </r>
  <r>
    <n v="21"/>
    <x v="13"/>
    <n v="-2.0085411139061842"/>
    <n v="0.76216005184689939"/>
    <n v="0.75738878262140996"/>
    <n v="0.64684142768343389"/>
    <n v="0.58439202072290786"/>
    <n v="0.59597526880767171"/>
    <n v="0.55652530301698111"/>
    <n v="-2.9163133160424231"/>
    <n v="1.9117730239483881"/>
    <n v="-1.6580637480208309"/>
    <n v="2.045129995645639"/>
    <n v="2.095092750257237"/>
    <n v="5.393627546352362"/>
    <n v="-4.9962755292654037E-2"/>
    <n v="1"/>
    <n v="0"/>
    <n v="0"/>
    <n v="0"/>
    <n v="0"/>
    <n v="1"/>
    <n v="0"/>
  </r>
  <r>
    <n v="21"/>
    <x v="14"/>
    <n v="-2.0383230366867711"/>
    <n v="0.67818581541978507"/>
    <n v="0.76216005184689939"/>
    <n v="0.75738878262140996"/>
    <n v="0.53192153206072357"/>
    <n v="0.58439202072290786"/>
    <n v="0.59597526880767171"/>
    <n v="-2.2498308020460218"/>
    <n v="1.9117730239483881"/>
    <n v="-1.624555692732911"/>
    <n v="2.0706915026668651"/>
    <n v="2.039574292292329"/>
    <n v="5.9914645471079817"/>
    <n v="3.1117210164666176E-2"/>
    <n v="1"/>
    <n v="1"/>
    <n v="0"/>
    <n v="0"/>
    <n v="0"/>
    <n v="1"/>
    <n v="0"/>
  </r>
  <r>
    <n v="21"/>
    <x v="15"/>
    <n v="-2.0070508998401348"/>
    <n v="0.87771620989437926"/>
    <n v="0.67818581541978507"/>
    <n v="0.76216005184689939"/>
    <n v="0.73476885525076474"/>
    <n v="0.53192153206072357"/>
    <n v="0.58439202072290786"/>
    <n v="-1.662292095590983"/>
    <n v="1.9117730239483881"/>
    <n v="-1.5916949111130609"/>
    <n v="2.0987281041157519"/>
    <n v="2.0652717558173901"/>
    <n v="6.6846117276679271"/>
    <n v="3.345634788274765E-2"/>
    <n v="1"/>
    <n v="0"/>
    <n v="0"/>
    <n v="0"/>
    <n v="0"/>
    <n v="1"/>
    <n v="0"/>
  </r>
  <r>
    <n v="21"/>
    <x v="16"/>
    <n v="-1.96379964741039"/>
    <n v="0.8950262365694307"/>
    <n v="0.87771620989437926"/>
    <n v="0.67818581541978507"/>
    <n v="0.75155758810636775"/>
    <n v="0.73476885525076474"/>
    <n v="0.53192153206072357"/>
    <n v="-1.1691607852262771"/>
    <n v="1.9117730239483881"/>
    <n v="-1.553505106231033"/>
    <n v="2.1285004102261289"/>
    <n v="2.0987281041157519"/>
    <n v="8.0551577318196781"/>
    <n v="2.9772305861115456E-2"/>
    <n v="1"/>
    <n v="0"/>
    <n v="0"/>
    <n v="0"/>
    <n v="0"/>
    <n v="1"/>
    <n v="0"/>
  </r>
  <r>
    <n v="21"/>
    <x v="17"/>
    <n v="-1.8928906138512589"/>
    <n v="0.71397869013987836"/>
    <n v="0.8950262365694307"/>
    <n v="0.87771620989437926"/>
    <n v="0.538829820175588"/>
    <n v="0.75155758810636775"/>
    <n v="0.73476885525076474"/>
    <n v="-0.64634611206753934"/>
    <n v="1.9117730239483881"/>
    <n v="-1.512016901871964"/>
    <n v="2.1435270983319512"/>
    <n v="2.1285004102261289"/>
    <n v="8.4658998970286863"/>
    <n v="1.5026687644422054E-2"/>
    <n v="1"/>
    <n v="0"/>
    <n v="0"/>
    <n v="0"/>
    <n v="0"/>
    <n v="1"/>
    <n v="0"/>
  </r>
  <r>
    <n v="22"/>
    <x v="0"/>
    <n v="-2.7417032668890182"/>
    <n v="0.9242589015233319"/>
    <n v="0.91880756199842939"/>
    <n v="0.86558673749944925"/>
    <n v="0.75141608868392118"/>
    <n v="0.6832483483806977"/>
    <n v="0.58700858449827797"/>
    <n v="-11.51292546497023"/>
    <n v="1.090797042355631"/>
    <n v="-2.4851958602947479"/>
    <n v="1.7796680853385549"/>
    <n v="1.624263083542117"/>
    <n v="-11.51292546497023"/>
    <n v="0.15540499985218048"/>
    <n v="0"/>
    <n v="0"/>
    <n v="0"/>
    <n v="0"/>
    <n v="0"/>
    <n v="1"/>
    <n v="0"/>
  </r>
  <r>
    <n v="22"/>
    <x v="1"/>
    <n v="-2.6679518417291561"/>
    <n v="0.89637369803379618"/>
    <n v="0.9242589015233319"/>
    <n v="0.91880756199842939"/>
    <n v="0.60867802393349535"/>
    <n v="0.75141608868392118"/>
    <n v="0.6832483483806977"/>
    <n v="-11.51292546497023"/>
    <n v="1.090797042355631"/>
    <n v="-2.364682292812764"/>
    <n v="1.732619982246111"/>
    <n v="1.767296839428945"/>
    <n v="-11.51292546497023"/>
    <n v="-3.467685729265213E-2"/>
    <n v="0"/>
    <n v="0"/>
    <n v="0"/>
    <n v="0"/>
    <n v="0"/>
    <n v="1"/>
    <n v="0"/>
  </r>
  <r>
    <n v="22"/>
    <x v="2"/>
    <n v="-2.5370566115124791"/>
    <n v="0.8545429795827455"/>
    <n v="0.89637369803379618"/>
    <n v="0.9242589015233319"/>
    <n v="0.54615415681928514"/>
    <n v="0.60867802393349535"/>
    <n v="0.75141608868392118"/>
    <n v="-11.51292546497023"/>
    <n v="1.090797042355631"/>
    <n v="-2.2254787055347012"/>
    <n v="1.8014473158845341"/>
    <n v="1.7204002370384639"/>
    <n v="-11.51292546497023"/>
    <n v="8.1047080457210541E-2"/>
    <n v="0"/>
    <n v="0"/>
    <n v="0"/>
    <n v="0"/>
    <n v="0"/>
    <n v="1"/>
    <n v="0"/>
  </r>
  <r>
    <n v="22"/>
    <x v="3"/>
    <n v="-2.4214216906929669"/>
    <n v="0.80074519115796339"/>
    <n v="0.8545429795827455"/>
    <n v="0.89637369803379618"/>
    <n v="0.49341493350619681"/>
    <n v="0.54615415681928514"/>
    <n v="0.60867802393349535"/>
    <n v="-11.51292546497023"/>
    <n v="1.090797042355631"/>
    <n v="-2.0901934209052611"/>
    <n v="1.8765724808055899"/>
    <n v="1.790757458948911"/>
    <n v="-11.51292546497023"/>
    <n v="8.5815019905567169E-2"/>
    <n v="0"/>
    <n v="0"/>
    <n v="0"/>
    <n v="0"/>
    <n v="0"/>
    <n v="1"/>
    <n v="0"/>
  </r>
  <r>
    <n v="22"/>
    <x v="4"/>
    <n v="-2.2082007102813228"/>
    <n v="0.7236763855947681"/>
    <n v="0.80074519115796339"/>
    <n v="0.8545429795827455"/>
    <n v="0.49255981495909817"/>
    <n v="0.49341493350619681"/>
    <n v="0.54615415681928514"/>
    <n v="-11.51292546497023"/>
    <n v="1.090797042355631"/>
    <n v="-1.931148313878714"/>
    <n v="1.95807987253376"/>
    <n v="1.8773673090886771"/>
    <n v="-11.51292546497023"/>
    <n v="8.0712564289569855E-2"/>
    <n v="0"/>
    <n v="0"/>
    <n v="0"/>
    <n v="0"/>
    <n v="0"/>
    <n v="1"/>
    <n v="0"/>
  </r>
  <r>
    <n v="22"/>
    <x v="5"/>
    <n v="-2.127864435876516"/>
    <n v="0.71476189053235328"/>
    <n v="0.7236763855947681"/>
    <n v="0.80074519115796339"/>
    <n v="0.56064383074685153"/>
    <n v="0.49255981495909817"/>
    <n v="0.49341493350619681"/>
    <n v="-6.6657881709257252"/>
    <n v="1.090797042355631"/>
    <n v="-1.7876086576556209"/>
    <n v="2.0316048036389418"/>
    <n v="1.9588750146332901"/>
    <n v="-11.51292546497023"/>
    <n v="7.2729788720607758E-2"/>
    <n v="0"/>
    <n v="0"/>
    <n v="0"/>
    <n v="0"/>
    <n v="0"/>
    <n v="1"/>
    <n v="0"/>
  </r>
  <r>
    <n v="22"/>
    <x v="6"/>
    <n v="-1.9384638846484969"/>
    <n v="0.62748803175367107"/>
    <n v="0.71476189053235328"/>
    <n v="0.7236763855947681"/>
    <n v="0.50386142996435779"/>
    <n v="0.56064383074685153"/>
    <n v="0.49255981495909817"/>
    <n v="-6.4491260749965029"/>
    <n v="1.090797042355631"/>
    <n v="-1.669451473269018"/>
    <n v="2.047573872737356"/>
    <n v="2.025123348253953"/>
    <n v="-11.51292546497023"/>
    <n v="2.2450525313615799E-2"/>
    <n v="0"/>
    <n v="0"/>
    <n v="0"/>
    <n v="0"/>
    <n v="0"/>
    <n v="1"/>
    <n v="0"/>
  </r>
  <r>
    <n v="22"/>
    <x v="7"/>
    <n v="-1.851334602865897"/>
    <n v="0.62288564751927877"/>
    <n v="0.62748803175367107"/>
    <n v="0.71476189053235328"/>
    <n v="0.5019261405789579"/>
    <n v="0.50386142996435779"/>
    <n v="0.56064383074685153"/>
    <n v="-5.5009963238221262"/>
    <n v="1.090797042355631"/>
    <n v="-1.5648872687125539"/>
    <n v="2.056199324434782"/>
    <n v="2.0401921788843018"/>
    <n v="-11.51292546497023"/>
    <n v="1.6007145866751671E-2"/>
    <n v="0"/>
    <n v="0"/>
    <n v="0"/>
    <n v="0"/>
    <n v="0"/>
    <n v="1"/>
    <n v="0"/>
  </r>
  <r>
    <n v="22"/>
    <x v="8"/>
    <n v="-1.7250043316309409"/>
    <n v="0.60042863955673875"/>
    <n v="0.62288564751927877"/>
    <n v="0.62748803175367107"/>
    <n v="0.49621947137662858"/>
    <n v="0.5019261405789579"/>
    <n v="0.50386142996435779"/>
    <n v="-4.6680567183432871"/>
    <n v="1.090797042355631"/>
    <n v="-1.4703241790521"/>
    <n v="2.1645396151373499"/>
    <n v="2.052890905712994"/>
    <n v="-11.51292546497023"/>
    <n v="0.11164870858192444"/>
    <n v="0"/>
    <n v="0"/>
    <n v="0"/>
    <n v="0"/>
    <n v="0"/>
    <n v="1"/>
    <n v="0"/>
  </r>
  <r>
    <n v="22"/>
    <x v="9"/>
    <n v="-1.709276608751034"/>
    <n v="0.64048452797663935"/>
    <n v="0.60042863955673875"/>
    <n v="0.62288564751927877"/>
    <n v="0.46304195291218431"/>
    <n v="0.49621947137662858"/>
    <n v="0.5019261405789579"/>
    <n v="-4.2655015574558997"/>
    <n v="1.090797042355631"/>
    <n v="-1.3976885176837111"/>
    <n v="2.1258028532792732"/>
    <n v="2.1616296679165679"/>
    <n v="-11.51292546497023"/>
    <n v="-3.582681342959404E-2"/>
    <n v="1"/>
    <n v="0"/>
    <n v="0"/>
    <n v="0"/>
    <n v="0"/>
    <n v="1"/>
    <n v="0"/>
  </r>
  <r>
    <n v="22"/>
    <x v="10"/>
    <n v="-1.684419044627796"/>
    <n v="0.69524497864209145"/>
    <n v="0.64048452797663935"/>
    <n v="0.60042863955673875"/>
    <n v="0.52591126118403153"/>
    <n v="0.46304195291218431"/>
    <n v="0.49621947137662858"/>
    <n v="-3.8850503713206179"/>
    <n v="1.090797042355631"/>
    <n v="-1.3445155182719659"/>
    <n v="2.1016394077339058"/>
    <n v="2.1232617871584529"/>
    <n v="-11.51292546497023"/>
    <n v="-2.1622380241751671E-2"/>
    <n v="1"/>
    <n v="0"/>
    <n v="0"/>
    <n v="0"/>
    <n v="0"/>
    <n v="1"/>
    <n v="0"/>
  </r>
  <r>
    <n v="22"/>
    <x v="11"/>
    <n v="-1.667094603337729"/>
    <n v="0.6634093622959889"/>
    <n v="0.69524497864209145"/>
    <n v="0.64048452797663935"/>
    <n v="0.49035757512612699"/>
    <n v="0.52591126118403153"/>
    <n v="0.46304195291218431"/>
    <n v="-3.1941039439846679"/>
    <n v="1.090797042355631"/>
    <n v="-1.29862280126731"/>
    <n v="2.1544456128443699"/>
    <n v="2.0994386545099091"/>
    <n v="-11.51292546497023"/>
    <n v="5.5006958544254303E-2"/>
    <n v="1"/>
    <n v="0"/>
    <n v="0"/>
    <n v="0"/>
    <n v="0"/>
    <n v="1"/>
    <n v="0"/>
  </r>
  <r>
    <n v="22"/>
    <x v="12"/>
    <n v="-1.7671186474372851"/>
    <n v="0.81801616260581456"/>
    <n v="0.6634093622959889"/>
    <n v="0.69524497864209145"/>
    <n v="0.55566513723868272"/>
    <n v="0.49035757512612699"/>
    <n v="0.52591126118403153"/>
    <n v="-2.7248953716540978"/>
    <n v="1.090797042355631"/>
    <n v="-1.2680772242681011"/>
    <n v="2.2013351426972991"/>
    <n v="2.1404800927394581"/>
    <n v="3.2580965380214821"/>
    <n v="6.0855049639940262E-2"/>
    <n v="1"/>
    <n v="0"/>
    <n v="0"/>
    <n v="0"/>
    <n v="0"/>
    <n v="1"/>
    <n v="0"/>
  </r>
  <r>
    <n v="22"/>
    <x v="13"/>
    <n v="-1.764018016116248"/>
    <n v="0.80258437525832049"/>
    <n v="0.81801616260581456"/>
    <n v="0.6634093622959889"/>
    <n v="0.52514264436078373"/>
    <n v="0.55566513723868272"/>
    <n v="0.49035757512612699"/>
    <n v="-1.986508739685457"/>
    <n v="1.090797042355631"/>
    <n v="-1.22934168582551"/>
    <n v="2.2038845100015569"/>
    <n v="2.1986749019455369"/>
    <n v="5.393627546352362"/>
    <n v="5.2096080034971237E-3"/>
    <n v="1"/>
    <n v="0"/>
    <n v="0"/>
    <n v="0"/>
    <n v="0"/>
    <n v="1"/>
    <n v="0"/>
  </r>
  <r>
    <n v="22"/>
    <x v="14"/>
    <n v="-1.8427194394348461"/>
    <n v="0.72479118589440672"/>
    <n v="0.80258437525832049"/>
    <n v="0.81801616260581456"/>
    <n v="0.47803380094099979"/>
    <n v="0.52514264436078373"/>
    <n v="0.55566513723868272"/>
    <n v="-1.3426119005236929"/>
    <n v="1.090797042355631"/>
    <n v="-1.202562850060513"/>
    <n v="2.2048166968771068"/>
    <n v="2.2013663183077949"/>
    <n v="5.9914645471079817"/>
    <n v="3.450378542765975E-3"/>
    <n v="1"/>
    <n v="1"/>
    <n v="0"/>
    <n v="0"/>
    <n v="0"/>
    <n v="1"/>
    <n v="0"/>
  </r>
  <r>
    <n v="22"/>
    <x v="15"/>
    <n v="-1.814326231350831"/>
    <n v="0.95789322172866853"/>
    <n v="0.72479118589440672"/>
    <n v="0.80258437525832049"/>
    <n v="0.74088917654536646"/>
    <n v="0.47803380094099979"/>
    <n v="0.52514264436078373"/>
    <n v="-0.77723845825946336"/>
    <n v="1.090797042355631"/>
    <n v="-1.1732130300297841"/>
    <n v="2.2067905766247828"/>
    <n v="2.2024395009996378"/>
    <n v="6.6846117276679271"/>
    <n v="4.3510757386684418E-3"/>
    <n v="1"/>
    <n v="0"/>
    <n v="0"/>
    <n v="0"/>
    <n v="0"/>
    <n v="1"/>
    <n v="0"/>
  </r>
  <r>
    <n v="22"/>
    <x v="16"/>
    <n v="-1.784177638624346"/>
    <n v="0.9681998366115846"/>
    <n v="0.95789322172866853"/>
    <n v="0.72479118589440672"/>
    <n v="0.71074148896089639"/>
    <n v="0.74088917654536646"/>
    <n v="0.47803380094099979"/>
    <n v="-0.26720680039464911"/>
    <n v="1.090797042355631"/>
    <n v="-1.1438969346607319"/>
    <n v="2.2534517562846741"/>
    <n v="2.2067905766247828"/>
    <n v="8.0551577318196781"/>
    <n v="4.6661179512739182E-2"/>
    <n v="1"/>
    <n v="0"/>
    <n v="0"/>
    <n v="0"/>
    <n v="0"/>
    <n v="1"/>
    <n v="0"/>
  </r>
  <r>
    <n v="22"/>
    <x v="17"/>
    <n v="-1.665849576435277"/>
    <n v="0.7437927652288373"/>
    <n v="0.9681998366115846"/>
    <n v="0.95789322172866853"/>
    <n v="0.49743638664697459"/>
    <n v="0.71074148896089639"/>
    <n v="0.74088917654536646"/>
    <n v="0.29546796007280218"/>
    <n v="1.090797042355631"/>
    <n v="-1.1046766252508049"/>
    <n v="2.3083760538358988"/>
    <n v="2.2534517562846741"/>
    <n v="8.4658998970286863"/>
    <n v="5.4924298077821732E-2"/>
    <n v="1"/>
    <n v="0"/>
    <n v="0"/>
    <n v="0"/>
    <n v="0"/>
    <n v="1"/>
    <n v="0"/>
  </r>
  <r>
    <n v="23"/>
    <x v="0"/>
    <n v="-2.7400225207029112"/>
    <n v="0.99325177301028345"/>
    <n v="0.92290878417573041"/>
    <n v="0.88826155915265215"/>
    <n v="0.65232518603969014"/>
    <n v="0.54371866706801619"/>
    <n v="0.47828177068996119"/>
    <n v="-11.51292546497023"/>
    <n v="0.94240070955773636"/>
    <n v="-2.275966422923585"/>
    <n v="2.031247207311957"/>
    <n v="1.9723560596672469"/>
    <n v="-11.51292546497023"/>
    <n v="5.8891147375106812E-2"/>
    <n v="0"/>
    <n v="0"/>
    <n v="0"/>
    <n v="0"/>
    <n v="0"/>
    <n v="1"/>
    <n v="0"/>
  </r>
  <r>
    <n v="23"/>
    <x v="1"/>
    <n v="-2.713468700183479"/>
    <n v="0.91573057501559185"/>
    <n v="0.99325177301028345"/>
    <n v="0.92290878417573041"/>
    <n v="0.50446544061330811"/>
    <n v="0.65232518603969014"/>
    <n v="0.54371866706801619"/>
    <n v="-11.51292546497023"/>
    <n v="0.94240070955773636"/>
    <n v="-2.176155426655149"/>
    <n v="2.0435463985610518"/>
    <n v="2.0171424760238659"/>
    <n v="-11.51292546497023"/>
    <n v="2.6403922587633133E-2"/>
    <n v="0"/>
    <n v="0"/>
    <n v="0"/>
    <n v="0"/>
    <n v="0"/>
    <n v="1"/>
    <n v="0"/>
  </r>
  <r>
    <n v="23"/>
    <x v="2"/>
    <n v="-2.6194848246392071"/>
    <n v="0.8429455456483399"/>
    <n v="0.91573057501559185"/>
    <n v="0.99325177301028345"/>
    <n v="0.49786195737413202"/>
    <n v="0.50446544061330811"/>
    <n v="0.65232518603969014"/>
    <n v="-11.51292546497023"/>
    <n v="0.94240070955773636"/>
    <n v="-2.0768434254588288"/>
    <n v="2.1184752833322422"/>
    <n v="2.0296377285285612"/>
    <n v="-11.51292546497023"/>
    <n v="8.8837556540966034E-2"/>
    <n v="0"/>
    <n v="0"/>
    <n v="0"/>
    <n v="0"/>
    <n v="0"/>
    <n v="1"/>
    <n v="0"/>
  </r>
  <r>
    <n v="23"/>
    <x v="3"/>
    <n v="-2.5522791844167401"/>
    <n v="0.78900266620346671"/>
    <n v="0.8429455456483399"/>
    <n v="0.91573057501559185"/>
    <n v="0.44462171664268602"/>
    <n v="0.49786195737413202"/>
    <n v="0.50446544061330811"/>
    <n v="-11.51292546497023"/>
    <n v="0.94240070955773636"/>
    <n v="-1.96366765203261"/>
    <n v="2.142870807876518"/>
    <n v="2.1070292151570942"/>
    <n v="-11.51292546497023"/>
    <n v="3.5841591656208038E-2"/>
    <n v="0"/>
    <n v="0"/>
    <n v="0"/>
    <n v="0"/>
    <n v="0"/>
    <n v="1"/>
    <n v="0"/>
  </r>
  <r>
    <n v="23"/>
    <x v="4"/>
    <n v="-2.3428914998236441"/>
    <n v="0.766397642299538"/>
    <n v="0.78900266620346671"/>
    <n v="0.8429455456483399"/>
    <n v="0.44654306986601078"/>
    <n v="0.44462171664268602"/>
    <n v="0.49786195737413202"/>
    <n v="-9.0523970759305676"/>
    <n v="0.94240070955773636"/>
    <n v="-1.822121436694923"/>
    <n v="2.2290539697095291"/>
    <n v="2.1439040037276569"/>
    <n v="-11.51292546497023"/>
    <n v="8.5149966180324554E-2"/>
    <n v="0"/>
    <n v="0"/>
    <n v="0"/>
    <n v="0"/>
    <n v="0"/>
    <n v="1"/>
    <n v="0"/>
  </r>
  <r>
    <n v="23"/>
    <x v="5"/>
    <n v="-2.2019487102344648"/>
    <n v="0.73706836761787342"/>
    <n v="0.766397642299538"/>
    <n v="0.78900266620346671"/>
    <n v="0.49255981495909817"/>
    <n v="0.44654306986601078"/>
    <n v="0.44462171664268602"/>
    <n v="-7.441924899047299"/>
    <n v="0.94240070955773636"/>
    <n v="-1.6897625030897661"/>
    <n v="2.272910098304564"/>
    <n v="2.2300882341585"/>
    <n v="-11.51292546497023"/>
    <n v="4.2821865528821945E-2"/>
    <n v="0"/>
    <n v="0"/>
    <n v="0"/>
    <n v="0"/>
    <n v="0"/>
    <n v="1"/>
    <n v="0"/>
  </r>
  <r>
    <n v="23"/>
    <x v="6"/>
    <n v="-2.0384463184817809"/>
    <n v="0.67666204430008292"/>
    <n v="0.73706836761787342"/>
    <n v="0.766397642299538"/>
    <n v="0.44980092192821608"/>
    <n v="0.49255981495909817"/>
    <n v="0.44654306986601078"/>
    <n v="-7.1143053453331477"/>
    <n v="0.94240070955773636"/>
    <n v="-1.5917296205276319"/>
    <n v="2.2656392122203219"/>
    <n v="2.2640574153974211"/>
    <n v="-11.51292546497023"/>
    <n v="1.5817967941984534E-3"/>
    <n v="0"/>
    <n v="0"/>
    <n v="0"/>
    <n v="0"/>
    <n v="0"/>
    <n v="1"/>
    <n v="0"/>
  </r>
  <r>
    <n v="23"/>
    <x v="7"/>
    <n v="-1.9764717302603569"/>
    <n v="0.6660842610102562"/>
    <n v="0.67666204430008292"/>
    <n v="0.73706836761787342"/>
    <n v="0.46812686923287539"/>
    <n v="0.44980092192821608"/>
    <n v="0.49255981495909817"/>
    <n v="-6.2468561426310938"/>
    <n v="0.94240070955773636"/>
    <n v="-1.5165408069304569"/>
    <n v="2.290664946370319"/>
    <n v="2.2457852199213981"/>
    <n v="-11.51292546497023"/>
    <n v="4.4879727065563202E-2"/>
    <n v="0"/>
    <n v="0"/>
    <n v="0"/>
    <n v="0"/>
    <n v="0"/>
    <n v="1"/>
    <n v="0"/>
  </r>
  <r>
    <n v="23"/>
    <x v="8"/>
    <n v="-1.8804784092060529"/>
    <n v="0.6553933909480294"/>
    <n v="0.6660842610102562"/>
    <n v="0.67666204430008292"/>
    <n v="0.46033200954900449"/>
    <n v="0.46812686923287539"/>
    <n v="0.44980092192821608"/>
    <n v="-5.4764399171390501"/>
    <n v="0.94240070955773636"/>
    <n v="-1.440590910345094"/>
    <n v="2.3528668534425492"/>
    <n v="2.2833766032743652"/>
    <n v="-11.51292546497023"/>
    <n v="6.9490246474742889E-2"/>
    <n v="0"/>
    <n v="0"/>
    <n v="0"/>
    <n v="0"/>
    <n v="0"/>
    <n v="1"/>
    <n v="0"/>
  </r>
  <r>
    <n v="23"/>
    <x v="9"/>
    <n v="-1.900325340922125"/>
    <n v="0.69713920182948275"/>
    <n v="0.6553933909480294"/>
    <n v="0.6660842610102562"/>
    <n v="0.44455760791426069"/>
    <n v="0.46033200954900449"/>
    <n v="0.46812686923287539"/>
    <n v="-5.0869742562594968"/>
    <n v="0.94240070955773636"/>
    <n v="-1.3804406487253209"/>
    <n v="2.308634800602293"/>
    <n v="2.345917241733849"/>
    <n v="-11.51292546497023"/>
    <n v="-3.7282440811395645E-2"/>
    <n v="1"/>
    <n v="0"/>
    <n v="0"/>
    <n v="0"/>
    <n v="0"/>
    <n v="1"/>
    <n v="0"/>
  </r>
  <r>
    <n v="23"/>
    <x v="10"/>
    <n v="-1.876780802351339"/>
    <n v="0.76127300960754574"/>
    <n v="0.69713920182948275"/>
    <n v="0.6553933909480294"/>
    <n v="0.56713033997645834"/>
    <n v="0.44455760791426069"/>
    <n v="0.46033200954900449"/>
    <n v="-4.7314863869233648"/>
    <n v="0.94240070955773636"/>
    <n v="-1.34328618401536"/>
    <n v="2.282031132172003"/>
    <n v="2.3020080027038801"/>
    <n v="-11.51292546497023"/>
    <n v="-1.9976871088147163E-2"/>
    <n v="1"/>
    <n v="0"/>
    <n v="0"/>
    <n v="0"/>
    <n v="0"/>
    <n v="1"/>
    <n v="0"/>
  </r>
  <r>
    <n v="23"/>
    <x v="11"/>
    <n v="-1.8762247898236599"/>
    <n v="0.73730759634559995"/>
    <n v="0.76127300960754574"/>
    <n v="0.69713920182948275"/>
    <n v="0.55348273343197063"/>
    <n v="0.56713033997645834"/>
    <n v="0.44455760791426069"/>
    <n v="-4.0768126881465969"/>
    <n v="0.94240070955773636"/>
    <n v="-1.3129630208470151"/>
    <n v="2.306030019327109"/>
    <n v="2.275714762023346"/>
    <n v="-11.51292546497023"/>
    <n v="3.0315257608890533E-2"/>
    <n v="1"/>
    <n v="0"/>
    <n v="0"/>
    <n v="0"/>
    <n v="0"/>
    <n v="1"/>
    <n v="0"/>
  </r>
  <r>
    <n v="23"/>
    <x v="12"/>
    <n v="-1.9205895670859261"/>
    <n v="0.83594797919161656"/>
    <n v="0.73730759634559995"/>
    <n v="0.76127300960754574"/>
    <n v="0.61003727383693873"/>
    <n v="0.55348273343197063"/>
    <n v="0.56713033997645834"/>
    <n v="-3.6410794980560079"/>
    <n v="0.94240070955773636"/>
    <n v="-1.2814082160523841"/>
    <n v="2.3085327992865792"/>
    <n v="2.299930457138661"/>
    <n v="3.2580965380214821"/>
    <n v="8.6023425683379173E-3"/>
    <n v="1"/>
    <n v="0"/>
    <n v="0"/>
    <n v="0"/>
    <n v="0"/>
    <n v="1"/>
    <n v="0"/>
  </r>
  <r>
    <n v="23"/>
    <x v="13"/>
    <n v="-1.885905559529534"/>
    <n v="0.79818264339382605"/>
    <n v="0.83594797919161656"/>
    <n v="0.73730759634559995"/>
    <n v="0.59801198544490664"/>
    <n v="0.61003727383693873"/>
    <n v="0.55348273343197063"/>
    <n v="-2.908948471981462"/>
    <n v="0.94240070955773636"/>
    <n v="-1.2479508548670499"/>
    <n v="2.308993984237167"/>
    <n v="2.302334422007946"/>
    <n v="5.393627546352362"/>
    <n v="6.6595622338354588E-3"/>
    <n v="1"/>
    <n v="0"/>
    <n v="0"/>
    <n v="0"/>
    <n v="0"/>
    <n v="1"/>
    <n v="0"/>
  </r>
  <r>
    <n v="23"/>
    <x v="14"/>
    <n v="-1.972287231124215"/>
    <n v="0.72706539876340592"/>
    <n v="0.79818264339382605"/>
    <n v="0.83594797919161656"/>
    <n v="0.53467885978815022"/>
    <n v="0.59801198544490664"/>
    <n v="0.61003727383693873"/>
    <n v="-2.3165166256601419"/>
    <n v="0.94240070955773636"/>
    <n v="-1.2230636868595159"/>
    <n v="2.2604783764800769"/>
    <n v="2.3029866015401592"/>
    <n v="5.9914645471079817"/>
    <n v="-4.250822588801384E-2"/>
    <n v="1"/>
    <n v="1"/>
    <n v="0"/>
    <n v="0"/>
    <n v="0"/>
    <n v="1"/>
    <n v="0"/>
  </r>
  <r>
    <n v="23"/>
    <x v="15"/>
    <n v="-1.941188736177095"/>
    <n v="0.91776963775355425"/>
    <n v="0.72706539876340592"/>
    <n v="0.79818264339382605"/>
    <n v="0.75902854967345812"/>
    <n v="0.53467885978815022"/>
    <n v="0.59801198544490664"/>
    <n v="-1.7301286688154971"/>
    <n v="0.94240070955773636"/>
    <n v="-1.199099363373487"/>
    <n v="2.2869410639737482"/>
    <n v="2.2546743749546869"/>
    <n v="6.6846117276679271"/>
    <n v="3.2266687601804733E-2"/>
    <n v="1"/>
    <n v="0"/>
    <n v="0"/>
    <n v="0"/>
    <n v="0"/>
    <n v="1"/>
    <n v="0"/>
  </r>
  <r>
    <n v="23"/>
    <x v="16"/>
    <n v="-1.865273851998017"/>
    <n v="0.92271008367633833"/>
    <n v="0.91776963775355425"/>
    <n v="0.72706539876340592"/>
    <n v="0.75724810596646897"/>
    <n v="0.75902854967345812"/>
    <n v="0.53467885978815022"/>
    <n v="-1.2570011084986299"/>
    <n v="0.94240070955773636"/>
    <n v="-1.1721363853870821"/>
    <n v="2.2964373068991701"/>
    <n v="2.2869410639737482"/>
    <n v="8.0551577318196781"/>
    <n v="9.4962427392601967E-3"/>
    <n v="1"/>
    <n v="0"/>
    <n v="0"/>
    <n v="0"/>
    <n v="0"/>
    <n v="1"/>
    <n v="0"/>
  </r>
  <r>
    <n v="23"/>
    <x v="17"/>
    <n v="-1.8008710027392021"/>
    <n v="0.79908253096861415"/>
    <n v="0.92271008367633833"/>
    <n v="0.91776963775355425"/>
    <n v="0.56984896421545173"/>
    <n v="0.75724810596646897"/>
    <n v="0.75902854967345812"/>
    <n v="-0.7159780079589585"/>
    <n v="0.94240070955773636"/>
    <n v="-1.1419418669119821"/>
    <n v="2.329789097685202"/>
    <n v="2.2964373068991701"/>
    <n v="8.4658998970286863"/>
    <n v="3.335179015994072E-2"/>
    <n v="1"/>
    <n v="0"/>
    <n v="0"/>
    <n v="0"/>
    <n v="0"/>
    <n v="1"/>
    <n v="0"/>
  </r>
  <r>
    <n v="24"/>
    <x v="0"/>
    <n v="-2.4349504883525261"/>
    <n v="0.96317431777300555"/>
    <n v="0.88107797611841054"/>
    <n v="0.82342955082286751"/>
    <n v="0.636576829071551"/>
    <n v="0.53168651443331993"/>
    <n v="0.42983246455645868"/>
    <n v="-11.51292546497023"/>
    <n v="0.60360268067701006"/>
    <n v="-2.1371338032071021"/>
    <n v="2.315615472719339"/>
    <n v="2.2445335580631198"/>
    <n v="-11.51292546497023"/>
    <n v="7.1081914007663727E-2"/>
    <n v="0"/>
    <n v="0"/>
    <n v="0"/>
    <n v="0"/>
    <n v="0"/>
    <n v="1"/>
    <n v="0"/>
  </r>
  <r>
    <n v="24"/>
    <x v="1"/>
    <n v="-2.424065218979786"/>
    <n v="0.8924487573885842"/>
    <n v="0.96317431777300555"/>
    <n v="0.88107797611841054"/>
    <n v="0.45717165043035718"/>
    <n v="0.636576829071551"/>
    <n v="0.53168651443331993"/>
    <n v="-11.51292546497023"/>
    <n v="0.60360268067701006"/>
    <n v="-2.008082809411563"/>
    <n v="2.3825274780410539"/>
    <n v="2.3053722953143039"/>
    <n v="-11.51292546497023"/>
    <n v="7.7155180275440216E-2"/>
    <n v="0"/>
    <n v="0"/>
    <n v="0"/>
    <n v="0"/>
    <n v="0"/>
    <n v="1"/>
    <n v="0"/>
  </r>
  <r>
    <n v="24"/>
    <x v="2"/>
    <n v="-2.32403325281124"/>
    <n v="0.85070633066131007"/>
    <n v="0.8924487573885842"/>
    <n v="0.96317431777300555"/>
    <n v="0.49237648009746082"/>
    <n v="0.45717165043035718"/>
    <n v="0.636576829071551"/>
    <n v="-11.51292546497023"/>
    <n v="0.60360268067701006"/>
    <n v="-1.8931114226758019"/>
    <n v="2.3817833481987249"/>
    <n v="2.3723881603646371"/>
    <n v="-11.51292546497023"/>
    <n v="9.395187720656395E-3"/>
    <n v="0"/>
    <n v="0"/>
    <n v="0"/>
    <n v="0"/>
    <n v="0"/>
    <n v="1"/>
    <n v="0"/>
  </r>
  <r>
    <n v="24"/>
    <x v="3"/>
    <n v="-2.2391758099955328"/>
    <n v="0.80848277923984968"/>
    <n v="0.85070633066131007"/>
    <n v="0.8924487573885842"/>
    <n v="0.46115206952241822"/>
    <n v="0.49237648009746082"/>
    <n v="0.45717165043035718"/>
    <n v="-11.51292546497023"/>
    <n v="0.60360268067701006"/>
    <n v="-1.793837456195611"/>
    <n v="2.3695177165425099"/>
    <n v="2.3718200644428848"/>
    <n v="-11.51292546497023"/>
    <n v="-2.3023479152470827E-3"/>
    <n v="0"/>
    <n v="0"/>
    <n v="0"/>
    <n v="0"/>
    <n v="0"/>
    <n v="1"/>
    <n v="0"/>
  </r>
  <r>
    <n v="24"/>
    <x v="4"/>
    <n v="-2.0605872757379622"/>
    <n v="0.78522486876085318"/>
    <n v="0.80848277923984968"/>
    <n v="0.85070633066131007"/>
    <n v="0.47237581339079121"/>
    <n v="0.46115206952241822"/>
    <n v="0.49237648009746082"/>
    <n v="-8.0608870024461652"/>
    <n v="0.60360268067701006"/>
    <n v="-1.6886326266371581"/>
    <n v="2.4354991821506609"/>
    <n v="2.359825365180205"/>
    <n v="-11.51292546497023"/>
    <n v="7.5673818588256836E-2"/>
    <n v="0"/>
    <n v="0"/>
    <n v="0"/>
    <n v="0"/>
    <n v="0"/>
    <n v="1"/>
    <n v="0"/>
  </r>
  <r>
    <n v="24"/>
    <x v="5"/>
    <n v="-1.887333588368725"/>
    <n v="0.73706836761787342"/>
    <n v="0.78522486876085318"/>
    <n v="0.80848277923984968"/>
    <n v="0.53397558366469022"/>
    <n v="0.47237581339079121"/>
    <n v="0.46115206952241822"/>
    <n v="-6.2787268439663473"/>
    <n v="0.60360268067701006"/>
    <n v="-1.598679576902704"/>
    <n v="2.4707618300385872"/>
    <n v="2.4258998714023359"/>
    <n v="-11.51292546497023"/>
    <n v="4.4861957430839539E-2"/>
    <n v="0"/>
    <n v="0"/>
    <n v="0"/>
    <n v="0"/>
    <n v="0"/>
    <n v="1"/>
    <n v="0"/>
  </r>
  <r>
    <n v="24"/>
    <x v="6"/>
    <n v="-1.7483490252738081"/>
    <n v="0.67294447324242579"/>
    <n v="0.73706836761787342"/>
    <n v="0.78522486876085318"/>
    <n v="0.48168513401957352"/>
    <n v="0.53397558366469022"/>
    <n v="0.47237581339079121"/>
    <n v="-5.8824547884624812"/>
    <n v="0.60360268067701006"/>
    <n v="-1.51478770487112"/>
    <n v="2.509297514626756"/>
    <n v="2.4615687774342709"/>
    <n v="-11.51292546497023"/>
    <n v="4.7728735953569412E-2"/>
    <n v="0"/>
    <n v="0"/>
    <n v="0"/>
    <n v="0"/>
    <n v="0"/>
    <n v="1"/>
    <n v="0"/>
  </r>
  <r>
    <n v="24"/>
    <x v="7"/>
    <n v="-1.7176212697949069"/>
    <n v="0.68006194101128981"/>
    <n v="0.67294447324242579"/>
    <n v="0.73706836761787342"/>
    <n v="0.50603416302985993"/>
    <n v="0.48168513401957352"/>
    <n v="0.53397558366469022"/>
    <n v="-5.079319673559997"/>
    <n v="0.60360268067701006"/>
    <n v="-1.475912521678826"/>
    <n v="2.497149251437806"/>
    <n v="2.4651347691420278"/>
    <n v="-11.51292546497023"/>
    <n v="3.2014481723308563E-2"/>
    <n v="0"/>
    <n v="0"/>
    <n v="0"/>
    <n v="0"/>
    <n v="0"/>
    <n v="1"/>
    <n v="0"/>
  </r>
  <r>
    <n v="24"/>
    <x v="8"/>
    <n v="-1.6534556585645781"/>
    <n v="0.66870078765501906"/>
    <n v="0.68006194101128981"/>
    <n v="0.67294447324242579"/>
    <n v="0.52330740126804653"/>
    <n v="0.50603416302985993"/>
    <n v="0.48168513401957352"/>
    <n v="-4.4204584579360944"/>
    <n v="0.60360268067701006"/>
    <n v="-1.413824844881286"/>
    <n v="2.458882208951175"/>
    <n v="2.4869608380808188"/>
    <n v="-11.51292546497023"/>
    <n v="-2.8078628703951836E-2"/>
    <n v="0"/>
    <n v="0"/>
    <n v="0"/>
    <n v="0"/>
    <n v="0"/>
    <n v="1"/>
    <n v="0"/>
  </r>
  <r>
    <n v="24"/>
    <x v="9"/>
    <n v="-1.674943828750509"/>
    <n v="0.67365850397608285"/>
    <n v="0.66870078765501906"/>
    <n v="0.68006194101128981"/>
    <n v="0.45203057725548518"/>
    <n v="0.52330740126804653"/>
    <n v="0.50603416302985993"/>
    <n v="-4.0167244329673659"/>
    <n v="0.60360268067701006"/>
    <n v="-1.3656918586521201"/>
    <n v="2.4341584669458749"/>
    <n v="2.4490539155791202"/>
    <n v="-11.51292546497023"/>
    <n v="-1.4895448461174965E-2"/>
    <n v="1"/>
    <n v="0"/>
    <n v="0"/>
    <n v="0"/>
    <n v="0"/>
    <n v="1"/>
    <n v="0"/>
  </r>
  <r>
    <n v="24"/>
    <x v="10"/>
    <n v="-1.6737951702802141"/>
    <n v="0.74060312171624065"/>
    <n v="0.67365850397608285"/>
    <n v="0.66870078765501906"/>
    <n v="0.55778554262926883"/>
    <n v="0.45203057725548518"/>
    <n v="0.52330740126804653"/>
    <n v="-3.676012367980952"/>
    <n v="0.60360268067701006"/>
    <n v="-1.3317652697381079"/>
    <n v="2.3882586401077348"/>
    <n v="2.4246681024991741"/>
    <n v="-11.51292546497023"/>
    <n v="-3.6409463733434677E-2"/>
    <n v="1"/>
    <n v="0"/>
    <n v="0"/>
    <n v="0"/>
    <n v="0"/>
    <n v="1"/>
    <n v="0"/>
  </r>
  <r>
    <n v="24"/>
    <x v="11"/>
    <n v="-1.6687327971979049"/>
    <n v="0.71935084605658173"/>
    <n v="0.74060312171624065"/>
    <n v="0.67365850397608285"/>
    <n v="0.53807107265618603"/>
    <n v="0.55778554262926883"/>
    <n v="0.45203057725548518"/>
    <n v="-3.0208535490691468"/>
    <n v="0.60360268067701006"/>
    <n v="-1.298643706120147"/>
    <n v="2.4177344275341879"/>
    <n v="2.3790907169950879"/>
    <n v="-11.51292546497023"/>
    <n v="3.8643710315227509E-2"/>
    <n v="1"/>
    <n v="0"/>
    <n v="0"/>
    <n v="0"/>
    <n v="0"/>
    <n v="1"/>
    <n v="0"/>
  </r>
  <r>
    <n v="24"/>
    <x v="12"/>
    <n v="-1.744181599365112"/>
    <n v="0.81801616260581456"/>
    <n v="0.71935084605658173"/>
    <n v="0.74060312171624065"/>
    <n v="0.57605140868369809"/>
    <n v="0.53807107265618603"/>
    <n v="0.55778554262926883"/>
    <n v="-2.5672543911367551"/>
    <n v="0.60360268067701006"/>
    <n v="-1.2524127864998951"/>
    <n v="2.422378828415336"/>
    <n v="2.4257484835689902"/>
    <n v="3.2580965380214821"/>
    <n v="-3.3696552272886038E-3"/>
    <n v="1"/>
    <n v="0"/>
    <n v="0"/>
    <n v="0"/>
    <n v="0"/>
    <n v="1"/>
    <n v="0"/>
  </r>
  <r>
    <n v="24"/>
    <x v="13"/>
    <n v="-1.7319081974415671"/>
    <n v="0.79154350241613858"/>
    <n v="0.81801616260581456"/>
    <n v="0.71935084605658173"/>
    <n v="0.57340597894739664"/>
    <n v="0.57605140868369809"/>
    <n v="0.53807107265618603"/>
    <n v="-1.8238802548908231"/>
    <n v="0.60360268067701006"/>
    <n v="-1.223270775918895"/>
    <n v="2.4362066432551361"/>
    <n v="2.4144075448583329"/>
    <n v="5.393627546352362"/>
    <n v="2.1799098700284958E-2"/>
    <n v="1"/>
    <n v="0"/>
    <n v="0"/>
    <n v="0"/>
    <n v="0"/>
    <n v="1"/>
    <n v="0"/>
  </r>
  <r>
    <n v="24"/>
    <x v="14"/>
    <n v="-1.81103430428288"/>
    <n v="0.74507527342030444"/>
    <n v="0.79154350241613858"/>
    <n v="0.81801616260581456"/>
    <n v="0.52915658045071412"/>
    <n v="0.57340597894739664"/>
    <n v="0.57605140868369809"/>
    <n v="-1.2525267312583299"/>
    <n v="0.60360268067701006"/>
    <n v="-1.2030013353163891"/>
    <n v="2.3690953343502521"/>
    <n v="2.4284486352555081"/>
    <n v="5.9914645471079817"/>
    <n v="-5.93532994389534E-2"/>
    <n v="1"/>
    <n v="1"/>
    <n v="0"/>
    <n v="0"/>
    <n v="0"/>
    <n v="1"/>
    <n v="0"/>
  </r>
  <r>
    <n v="24"/>
    <x v="15"/>
    <n v="-1.788809764201982"/>
    <n v="0.95624194737638279"/>
    <n v="0.74507527342030444"/>
    <n v="0.79154350241613858"/>
    <n v="0.78472312404715483"/>
    <n v="0.52915658045071412"/>
    <n v="0.57340597894739664"/>
    <n v="-0.71096996834871751"/>
    <n v="0.60360268067701006"/>
    <n v="-1.179439725978024"/>
    <n v="2.3524061814011019"/>
    <n v="2.3615582320765669"/>
    <n v="6.6846117276679271"/>
    <n v="-9.1520510613918304E-3"/>
    <n v="1"/>
    <n v="0"/>
    <n v="0"/>
    <n v="0"/>
    <n v="0"/>
    <n v="1"/>
    <n v="0"/>
  </r>
  <r>
    <n v="24"/>
    <x v="16"/>
    <n v="-1.752015770360724"/>
    <n v="0.95896700615459141"/>
    <n v="0.95624194737638279"/>
    <n v="0.74507527342030444"/>
    <n v="0.75912216948347822"/>
    <n v="0.78472312404715483"/>
    <n v="0.52915658045071412"/>
    <n v="-0.1727360987302094"/>
    <n v="0.60360268067701006"/>
    <n v="-1.1500920847820439"/>
    <n v="2.4272900357337601"/>
    <n v="2.3524061814011019"/>
    <n v="8.0551577318196781"/>
    <n v="7.4883855879306793E-2"/>
    <n v="1"/>
    <n v="0"/>
    <n v="0"/>
    <n v="0"/>
    <n v="0"/>
    <n v="1"/>
    <n v="0"/>
  </r>
  <r>
    <n v="24"/>
    <x v="17"/>
    <n v="-1.667685180494805"/>
    <n v="0.79389708366008849"/>
    <n v="0.95896700615459141"/>
    <n v="0.95624194737638279"/>
    <n v="0.56326625970542532"/>
    <n v="0.75912216948347822"/>
    <n v="0.78472312404715483"/>
    <n v="0.36587091806376609"/>
    <n v="0.60360268067701006"/>
    <n v="-1.1176948748155009"/>
    <n v="2.4580347094703971"/>
    <n v="2.4272900357337601"/>
    <n v="8.4658998970286863"/>
    <n v="3.0744673684239388E-2"/>
    <n v="1"/>
    <n v="0"/>
    <n v="0"/>
    <n v="0"/>
    <n v="0"/>
    <n v="1"/>
    <n v="0"/>
  </r>
  <r>
    <n v="25"/>
    <x v="0"/>
    <n v="-2.5567321498197288"/>
    <n v="0.95165787571144633"/>
    <n v="0.88107797611841054"/>
    <n v="0.80897274606553571"/>
    <n v="0.636576829071551"/>
    <n v="0.52561570923862611"/>
    <n v="0.42271546151469203"/>
    <n v="-11.51292546497023"/>
    <n v="0.66290777834686254"/>
    <n v="-2.3834282850965671"/>
    <n v="2.0474207723978028"/>
    <n v="1.941654197132562"/>
    <n v="-11.51292546497023"/>
    <n v="0.10576657205820084"/>
    <n v="0"/>
    <n v="0"/>
    <n v="0"/>
    <n v="0"/>
    <n v="0"/>
    <n v="1"/>
    <n v="0"/>
  </r>
  <r>
    <n v="25"/>
    <x v="1"/>
    <n v="-2.5042752606476011"/>
    <n v="0.88459364513090055"/>
    <n v="0.95165787571144633"/>
    <n v="0.88107797611841054"/>
    <n v="0.50446544061330811"/>
    <n v="0.636576829071551"/>
    <n v="0.52561570923862611"/>
    <n v="-11.51292546497023"/>
    <n v="0.66290777834686254"/>
    <n v="-2.270006468399421"/>
    <n v="2.06346333805116"/>
    <n v="2.0310793250721"/>
    <n v="-11.51292546497023"/>
    <n v="3.2384011894464493E-2"/>
    <n v="0"/>
    <n v="0"/>
    <n v="0"/>
    <n v="0"/>
    <n v="0"/>
    <n v="1"/>
    <n v="0"/>
  </r>
  <r>
    <n v="25"/>
    <x v="2"/>
    <n v="-2.394683198451248"/>
    <n v="0.79511695414366257"/>
    <n v="0.88459364513090055"/>
    <n v="0.95165787571144633"/>
    <n v="0.46436274935564981"/>
    <n v="0.50446544061330811"/>
    <n v="0.636576829071551"/>
    <n v="-11.51292546497023"/>
    <n v="0.66290777834686254"/>
    <n v="-2.1509158248815639"/>
    <n v="2.123414253380127"/>
    <n v="2.047384912778214"/>
    <n v="-11.51292546497023"/>
    <n v="7.602933794260025E-2"/>
    <n v="0"/>
    <n v="0"/>
    <n v="0"/>
    <n v="0"/>
    <n v="0"/>
    <n v="1"/>
    <n v="0"/>
  </r>
  <r>
    <n v="25"/>
    <x v="3"/>
    <n v="-2.3512659415167949"/>
    <n v="0.74060312171624065"/>
    <n v="0.79511695414366257"/>
    <n v="0.88459364513090055"/>
    <n v="0.38158216764483233"/>
    <n v="0.46436274935564981"/>
    <n v="0.50446544061330811"/>
    <n v="-11.51292546497023"/>
    <n v="0.66290777834686254"/>
    <n v="-2.0323858331525919"/>
    <n v="2.1626525165686892"/>
    <n v="2.1161269785712711"/>
    <n v="-11.51292546497023"/>
    <n v="4.6525537967681885E-2"/>
    <n v="0"/>
    <n v="0"/>
    <n v="0"/>
    <n v="0"/>
    <n v="0"/>
    <n v="1"/>
    <n v="0"/>
  </r>
  <r>
    <n v="25"/>
    <x v="4"/>
    <n v="-2.1399677883229629"/>
    <n v="0.6954944236282935"/>
    <n v="0.74060312171624065"/>
    <n v="0.79511695414366257"/>
    <n v="0.41462304589292998"/>
    <n v="0.38158216764483233"/>
    <n v="0.46436274935564981"/>
    <n v="-8.2376501734829866"/>
    <n v="0.66290777834686254"/>
    <n v="-1.900139721059356"/>
    <n v="2.1823217220252009"/>
    <n v="2.1598265227134981"/>
    <n v="-11.51292546497023"/>
    <n v="2.2495198994874954E-2"/>
    <n v="0"/>
    <n v="0"/>
    <n v="0"/>
    <n v="0"/>
    <n v="0"/>
    <n v="1"/>
    <n v="0"/>
  </r>
  <r>
    <n v="25"/>
    <x v="5"/>
    <n v="-2.0027505400651182"/>
    <n v="0.67645869927370994"/>
    <n v="0.6954944236282935"/>
    <n v="0.74060312171624065"/>
    <n v="0.47840573250987939"/>
    <n v="0.41462304589292998"/>
    <n v="0.38158216764483233"/>
    <n v="-6.8541738424771443"/>
    <n v="0.66290777834686254"/>
    <n v="-1.7739440801117641"/>
    <n v="2.2012436684120029"/>
    <n v="2.1795036919110808"/>
    <n v="-11.51292546497023"/>
    <n v="2.1739976480603218E-2"/>
    <n v="0"/>
    <n v="0"/>
    <n v="0"/>
    <n v="0"/>
    <n v="0"/>
    <n v="1"/>
    <n v="0"/>
  </r>
  <r>
    <n v="25"/>
    <x v="6"/>
    <n v="-1.869420099610005"/>
    <n v="0.63520022060509562"/>
    <n v="0.67645869927370994"/>
    <n v="0.6954944236282935"/>
    <n v="0.45444573032978619"/>
    <n v="0.47840573250987939"/>
    <n v="0.41462304589292998"/>
    <n v="-6.3008306167255776"/>
    <n v="0.66290777834686254"/>
    <n v="-1.679318968441075"/>
    <n v="2.2539034837379779"/>
    <n v="2.1949711062281301"/>
    <n v="-11.51292546497023"/>
    <n v="5.8932378888130188E-2"/>
    <n v="0"/>
    <n v="0"/>
    <n v="0"/>
    <n v="0"/>
    <n v="0"/>
    <n v="1"/>
    <n v="0"/>
  </r>
  <r>
    <n v="25"/>
    <x v="7"/>
    <n v="-1.8343803932772089"/>
    <n v="0.64474444133177788"/>
    <n v="0.63520022060509562"/>
    <n v="0.67645869927370994"/>
    <n v="0.43760956143473151"/>
    <n v="0.45444573032978619"/>
    <n v="0.47840573250987939"/>
    <n v="-5.4998339825276146"/>
    <n v="0.66290777834686254"/>
    <n v="-1.620454268991969"/>
    <n v="2.2434386199640328"/>
    <n v="2.2282215447514639"/>
    <n v="-11.51292546497023"/>
    <n v="1.5217075124382973E-2"/>
    <n v="0"/>
    <n v="0"/>
    <n v="0"/>
    <n v="0"/>
    <n v="0"/>
    <n v="1"/>
    <n v="0"/>
  </r>
  <r>
    <n v="25"/>
    <x v="8"/>
    <n v="-1.7486504936429701"/>
    <n v="0.61096050957199821"/>
    <n v="0.64474444133177788"/>
    <n v="0.63520022060509562"/>
    <n v="0.38872578410386638"/>
    <n v="0.43760956143473151"/>
    <n v="0.45444573032978619"/>
    <n v="-4.7535610324662514"/>
    <n v="0.66290777834686254"/>
    <n v="-1.553078029137535"/>
    <n v="2.292681756046643"/>
    <n v="2.235939767649016"/>
    <n v="-11.51292546497023"/>
    <n v="5.6741990149021149E-2"/>
    <n v="0"/>
    <n v="0"/>
    <n v="0"/>
    <n v="0"/>
    <n v="0"/>
    <n v="1"/>
    <n v="0"/>
  </r>
  <r>
    <n v="25"/>
    <x v="9"/>
    <n v="-1.7912111832058371"/>
    <n v="0.61880071843128848"/>
    <n v="0.61096050957199821"/>
    <n v="0.64474444133177788"/>
    <n v="0.3342554957513682"/>
    <n v="0.38872578410386638"/>
    <n v="0.43760956143473151"/>
    <n v="-4.316783966311764"/>
    <n v="0.66290777834686254"/>
    <n v="-1.4964916988102199"/>
    <n v="2.2713808548730379"/>
    <n v="2.2855274332651661"/>
    <n v="-11.51292546497023"/>
    <n v="-1.4146578498184681E-2"/>
    <n v="1"/>
    <n v="0"/>
    <n v="0"/>
    <n v="0"/>
    <n v="0"/>
    <n v="1"/>
    <n v="0"/>
  </r>
  <r>
    <n v="25"/>
    <x v="10"/>
    <n v="-1.7505820678848021"/>
    <n v="0.69524497864209145"/>
    <n v="0.61880071843128848"/>
    <n v="0.61096050957199821"/>
    <n v="0.50301520167401359"/>
    <n v="0.3342554957513682"/>
    <n v="0.38872578410386638"/>
    <n v="-3.9631700391201239"/>
    <n v="0.66290777834686254"/>
    <n v="-1.4557608068263881"/>
    <n v="2.238063056147455"/>
    <n v="2.2645533553304689"/>
    <n v="-11.51292546497023"/>
    <n v="-2.649029903113842E-2"/>
    <n v="1"/>
    <n v="0"/>
    <n v="0"/>
    <n v="0"/>
    <n v="0"/>
    <n v="1"/>
    <n v="0"/>
  </r>
  <r>
    <n v="25"/>
    <x v="11"/>
    <n v="-1.730906748678263"/>
    <n v="0.6634093622959889"/>
    <n v="0.69524497864209145"/>
    <n v="0.61880071843128848"/>
    <n v="0.46731251143424452"/>
    <n v="0.50301520167401359"/>
    <n v="0.3342554957513682"/>
    <n v="-3.3236850713637218"/>
    <n v="0.66290777834686254"/>
    <n v="-1.419417244995647"/>
    <n v="2.2496934649603402"/>
    <n v="2.231547621769614"/>
    <n v="-11.51292546497023"/>
    <n v="1.8145842477679253E-2"/>
    <n v="1"/>
    <n v="0"/>
    <n v="0"/>
    <n v="0"/>
    <n v="0"/>
    <n v="1"/>
    <n v="0"/>
  </r>
  <r>
    <n v="25"/>
    <x v="12"/>
    <n v="-1.8351671753535841"/>
    <n v="0.77408179805594457"/>
    <n v="0.6634093622959889"/>
    <n v="0.69524497864209145"/>
    <n v="0.4856308851314346"/>
    <n v="0.46731251143424452"/>
    <n v="0.50301520167401359"/>
    <n v="-2.8860014847296882"/>
    <n v="0.66290777834686254"/>
    <n v="-1.368520546302926"/>
    <n v="2.2441739376064671"/>
    <n v="2.2569390225548291"/>
    <n v="3.2580965380214821"/>
    <n v="-1.2765085324645042E-2"/>
    <n v="1"/>
    <n v="0"/>
    <n v="0"/>
    <n v="0"/>
    <n v="0"/>
    <n v="1"/>
    <n v="0"/>
  </r>
  <r>
    <n v="25"/>
    <x v="13"/>
    <n v="-1.816851935449769"/>
    <n v="0.7412704557416735"/>
    <n v="0.77408179805594457"/>
    <n v="0.6634093622959889"/>
    <n v="0.4775376768998158"/>
    <n v="0.4856308851314346"/>
    <n v="0.46731251143424452"/>
    <n v="-2.1437130586240052"/>
    <n v="0.66290777834686254"/>
    <n v="-1.329750878232308"/>
    <n v="2.2520006708502098"/>
    <n v="2.2387760411558508"/>
    <n v="5.393627546352362"/>
    <n v="1.3224629685282707E-2"/>
    <n v="1"/>
    <n v="0"/>
    <n v="0"/>
    <n v="0"/>
    <n v="0"/>
    <n v="1"/>
    <n v="0"/>
  </r>
  <r>
    <n v="25"/>
    <x v="14"/>
    <n v="-1.8714313104864531"/>
    <n v="0.64909079436302541"/>
    <n v="0.7412704557416735"/>
    <n v="0.77408179805594457"/>
    <n v="0.38328766316346141"/>
    <n v="0.4775376768998158"/>
    <n v="0.4856308851314346"/>
    <n v="-1.5376292798834841"/>
    <n v="0.66290777834686254"/>
    <n v="-1.2965751946622699"/>
    <n v="2.2173898707255222"/>
    <n v="2.2467508289467988"/>
    <n v="5.9914645471079817"/>
    <n v="-2.9360957443714142E-2"/>
    <n v="1"/>
    <n v="1"/>
    <n v="0"/>
    <n v="0"/>
    <n v="0"/>
    <n v="1"/>
    <n v="0"/>
  </r>
  <r>
    <n v="25"/>
    <x v="15"/>
    <n v="-1.8120219515211859"/>
    <n v="0.8723806407546667"/>
    <n v="0.64909079436302541"/>
    <n v="0.7412704557416735"/>
    <n v="0.68001128116680476"/>
    <n v="0.38328766316346141"/>
    <n v="0.4775376768998158"/>
    <n v="-1.007767047451207"/>
    <n v="0.66290777834686254"/>
    <n v="-1.2641710395091319"/>
    <n v="2.1868725588788012"/>
    <n v="2.2122960119621169"/>
    <n v="6.6846117276679271"/>
    <n v="-2.5423452258110046E-2"/>
    <n v="1"/>
    <n v="0"/>
    <n v="0"/>
    <n v="0"/>
    <n v="0"/>
    <n v="1"/>
    <n v="0"/>
  </r>
  <r>
    <n v="25"/>
    <x v="16"/>
    <n v="-1.7595164175781499"/>
    <n v="0.88508898073089048"/>
    <n v="0.8723806407546667"/>
    <n v="0.64909079436302541"/>
    <n v="0.63662973772477349"/>
    <n v="0.68001128116680476"/>
    <n v="0.38328766316346141"/>
    <n v="-0.52111797512606772"/>
    <n v="0.66290777834686243"/>
    <n v="-1.234433158724195"/>
    <n v="2.210215857827595"/>
    <n v="2.1868725588788012"/>
    <n v="8.0551577318196781"/>
    <n v="2.3343298584222794E-2"/>
    <n v="1"/>
    <n v="0"/>
    <n v="0"/>
    <n v="0"/>
    <n v="0"/>
    <n v="1"/>
    <n v="0"/>
  </r>
  <r>
    <n v="25"/>
    <x v="17"/>
    <n v="-1.675578578080767"/>
    <n v="0.72899683345364252"/>
    <n v="0.88508898073089048"/>
    <n v="0.8723806407546667"/>
    <n v="0.44192560511093881"/>
    <n v="0.63662973772477349"/>
    <n v="0.68001128116680476"/>
    <n v="5.5360231684286013E-2"/>
    <n v="0.66290777834686243"/>
    <n v="-1.196518951281881"/>
    <n v="2.2787973141068578"/>
    <n v="2.210215857827595"/>
    <n v="8.4658998970286863"/>
    <n v="6.8581454455852509E-2"/>
    <n v="1"/>
    <n v="0"/>
    <n v="0"/>
    <n v="0"/>
    <n v="0"/>
    <n v="1"/>
    <n v="0"/>
  </r>
  <r>
    <n v="26"/>
    <x v="0"/>
    <n v="-2.5903450348282231"/>
    <n v="0.97077891715822484"/>
    <n v="0.89379969403862336"/>
    <n v="0.82820241155281016"/>
    <n v="0.61518563909023349"/>
    <n v="0.48833458593045898"/>
    <n v="0.37891577287462791"/>
    <n v="-11.51292546497023"/>
    <n v="0.77993525432492927"/>
    <n v="-2.2336802376436262"/>
    <n v="2.1737491575544028"/>
    <n v="2.1399959864850908"/>
    <n v="-11.51292546497023"/>
    <n v="3.3753171563148499E-2"/>
    <n v="0"/>
    <n v="0"/>
    <n v="0"/>
    <n v="0"/>
    <n v="0"/>
    <n v="1"/>
    <n v="0"/>
  </r>
  <r>
    <n v="26"/>
    <x v="1"/>
    <n v="-2.6287785958699339"/>
    <n v="0.91188102338545496"/>
    <n v="0.97077891715822484"/>
    <n v="0.89379969403862336"/>
    <n v="0.43877092681463697"/>
    <n v="0.61518563909023349"/>
    <n v="0.48833458593045898"/>
    <n v="-11.51292546497023"/>
    <n v="0.77993525432492927"/>
    <n v="-2.1466279541391269"/>
    <n v="2.2162173841391639"/>
    <n v="2.160222056866488"/>
    <n v="-11.51292546497023"/>
    <n v="5.5995326489210129E-2"/>
    <n v="0"/>
    <n v="0"/>
    <n v="0"/>
    <n v="0"/>
    <n v="0"/>
    <n v="1"/>
    <n v="0"/>
  </r>
  <r>
    <n v="26"/>
    <x v="2"/>
    <n v="-2.5574184730470502"/>
    <n v="0.8545429795827455"/>
    <n v="0.91188102338545496"/>
    <n v="0.97077891715822484"/>
    <n v="0.4296372600791496"/>
    <n v="0.43877092681463697"/>
    <n v="0.61518563909023349"/>
    <n v="-11.51292546497023"/>
    <n v="0.77993525432492927"/>
    <n v="-2.0506173040819982"/>
    <n v="2.2386026334478739"/>
    <n v="2.202870940890401"/>
    <n v="-11.51292546497023"/>
    <n v="3.5731691867113113E-2"/>
    <n v="0"/>
    <n v="0"/>
    <n v="0"/>
    <n v="0"/>
    <n v="0"/>
    <n v="1"/>
    <n v="0"/>
  </r>
  <r>
    <n v="26"/>
    <x v="3"/>
    <n v="-2.5307005302531782"/>
    <n v="0.80074519115796339"/>
    <n v="0.8545429795827455"/>
    <n v="0.91188102338545496"/>
    <n v="0.37562426609714311"/>
    <n v="0.4296372600791496"/>
    <n v="0.43877092681463697"/>
    <n v="-11.51292546497023"/>
    <n v="0.77993525432492927"/>
    <n v="-1.94468018103902"/>
    <n v="2.2839908173468459"/>
    <n v="2.229932031879803"/>
    <n v="-11.51292546497023"/>
    <n v="5.4058786481618881E-2"/>
    <n v="0"/>
    <n v="0"/>
    <n v="0"/>
    <n v="0"/>
    <n v="0"/>
    <n v="1"/>
    <n v="0"/>
  </r>
  <r>
    <n v="26"/>
    <x v="4"/>
    <n v="-2.285560171446392"/>
    <n v="0.76257995527528211"/>
    <n v="0.80074519115796339"/>
    <n v="0.8545429795827455"/>
    <n v="0.42002525943949409"/>
    <n v="0.37562426609714311"/>
    <n v="0.4296372600791496"/>
    <n v="-9.0867684756508957"/>
    <n v="0.77993525432492927"/>
    <n v="-1.822801359947529"/>
    <n v="2.3976521594538101"/>
    <n v="2.280894118092859"/>
    <n v="-11.51292546497023"/>
    <n v="0.11675804108381271"/>
    <n v="0"/>
    <n v="0"/>
    <n v="0"/>
    <n v="0"/>
    <n v="0"/>
    <n v="1"/>
    <n v="0"/>
  </r>
  <r>
    <n v="26"/>
    <x v="5"/>
    <n v="-2.0805677645541389"/>
    <n v="0.7185224868911736"/>
    <n v="0.76257995527528211"/>
    <n v="0.80074519115796339"/>
    <n v="0.48316661577201642"/>
    <n v="0.42002525943949409"/>
    <n v="0.37562426609714311"/>
    <n v="-7.2980961457272429"/>
    <n v="0.77993525432492927"/>
    <n v="-1.70989039242969"/>
    <n v="2.4399410439007672"/>
    <n v="2.39456502014942"/>
    <n v="-11.51292546497023"/>
    <n v="4.5376025140285492E-2"/>
    <n v="0"/>
    <n v="0"/>
    <n v="0"/>
    <n v="0"/>
    <n v="0"/>
    <n v="1"/>
    <n v="0"/>
  </r>
  <r>
    <n v="26"/>
    <x v="6"/>
    <n v="-1.934713985007412"/>
    <n v="0.68031520174456706"/>
    <n v="0.7185224868911736"/>
    <n v="0.76257995527528211"/>
    <n v="0.4405104498509651"/>
    <n v="0.48316661577201642"/>
    <n v="0.42002525943949409"/>
    <n v="-6.90006220749002"/>
    <n v="0.77993525432492927"/>
    <n v="-1.6203292439081409"/>
    <n v="2.5060722262164208"/>
    <n v="2.4325098740297491"/>
    <n v="-11.51292546497023"/>
    <n v="7.3562353849411011E-2"/>
    <n v="0"/>
    <n v="0"/>
    <n v="0"/>
    <n v="0"/>
    <n v="0"/>
    <n v="1"/>
    <n v="0"/>
  </r>
  <r>
    <n v="26"/>
    <x v="7"/>
    <n v="-1.8984148666435801"/>
    <n v="0.66253332194210901"/>
    <n v="0.68031520174456706"/>
    <n v="0.7185224868911736"/>
    <n v="0.44205415633877998"/>
    <n v="0.4405104498509651"/>
    <n v="0.48316661577201642"/>
    <n v="-6.0833652415634818"/>
    <n v="0.77993525432492927"/>
    <n v="-1.569575443327718"/>
    <n v="2.5009884916538612"/>
    <n v="2.475471331755736"/>
    <n v="-11.51292546497023"/>
    <n v="2.5517160072922707E-2"/>
    <n v="0"/>
    <n v="0"/>
    <n v="0"/>
    <n v="0"/>
    <n v="0"/>
    <n v="1"/>
    <n v="0"/>
  </r>
  <r>
    <n v="26"/>
    <x v="8"/>
    <n v="-1.824005337354704"/>
    <n v="0.63514723626195657"/>
    <n v="0.66253332194210901"/>
    <n v="0.68031520174456706"/>
    <n v="0.43145768838241799"/>
    <n v="0.44205415633877998"/>
    <n v="0.4405104498509651"/>
    <n v="-5.3741717447402957"/>
    <n v="0.77993525432492927"/>
    <n v="-1.510841257086355"/>
    <n v="2.5124836951737342"/>
    <n v="2.493504310506899"/>
    <n v="-11.51292546497023"/>
    <n v="1.8979385495185852E-2"/>
    <n v="0"/>
    <n v="0"/>
    <n v="0"/>
    <n v="0"/>
    <n v="0"/>
    <n v="1"/>
    <n v="0"/>
  </r>
  <r>
    <n v="26"/>
    <x v="9"/>
    <n v="-1.9144271128298549"/>
    <n v="0.67661121191984575"/>
    <n v="0.63514723626195657"/>
    <n v="0.66253332194210901"/>
    <n v="0.37101168003878521"/>
    <n v="0.43145768838241799"/>
    <n v="0.44205415633877998"/>
    <n v="-4.9994805059003449"/>
    <n v="0.77993525432492927"/>
    <n v="-1.471134558582889"/>
    <n v="2.44397363079668"/>
    <n v="2.5052403233157161"/>
    <n v="-11.51292546497023"/>
    <n v="-6.1266694217920303E-2"/>
    <n v="1"/>
    <n v="0"/>
    <n v="0"/>
    <n v="0"/>
    <n v="0"/>
    <n v="1"/>
    <n v="0"/>
  </r>
  <r>
    <n v="26"/>
    <x v="10"/>
    <n v="-1.8763673993929531"/>
    <n v="0.7061127629499685"/>
    <n v="0.67661121191984575"/>
    <n v="0.63514723626195657"/>
    <n v="0.48291985451228192"/>
    <n v="0.37101168003878521"/>
    <n v="0.43145768838241799"/>
    <n v="-4.6387044321201172"/>
    <n v="0.77993525432492927"/>
    <n v="-1.447700929104593"/>
    <n v="2.4231484139469588"/>
    <n v="2.4370249244515949"/>
    <n v="-11.51292546497023"/>
    <n v="-1.3876510784029961E-2"/>
    <n v="1"/>
    <n v="0"/>
    <n v="0"/>
    <n v="0"/>
    <n v="0"/>
    <n v="1"/>
    <n v="0"/>
  </r>
  <r>
    <n v="26"/>
    <x v="11"/>
    <n v="-1.8463595529795001"/>
    <n v="0.66885448799090075"/>
    <n v="0.7061127629499685"/>
    <n v="0.67661121191984575"/>
    <n v="0.45387424731585202"/>
    <n v="0.48291985451228192"/>
    <n v="0.37101168003878521"/>
    <n v="-3.968843199446316"/>
    <n v="0.77993525432492927"/>
    <n v="-1.4235809967904469"/>
    <n v="2.46222844916471"/>
    <n v="2.416483347296853"/>
    <n v="-11.51292546497023"/>
    <n v="4.5745100826025009E-2"/>
    <n v="1"/>
    <n v="0"/>
    <n v="0"/>
    <n v="0"/>
    <n v="0"/>
    <n v="1"/>
    <n v="0"/>
  </r>
  <r>
    <n v="26"/>
    <x v="12"/>
    <n v="-1.98000640652259"/>
    <n v="0.79050072581585518"/>
    <n v="0.66885448799090075"/>
    <n v="0.7061127629499685"/>
    <n v="0.50126001889628968"/>
    <n v="0.45387424731585202"/>
    <n v="0.48291985451228192"/>
    <n v="-3.5528548299186249"/>
    <n v="0.77993525432492927"/>
    <n v="-1.3924857911114339"/>
    <n v="2.441623988283482"/>
    <n v="2.4598005582371569"/>
    <n v="3.2580965380214821"/>
    <n v="-1.8176570534706116E-2"/>
    <n v="1"/>
    <n v="0"/>
    <n v="0"/>
    <n v="0"/>
    <n v="0"/>
    <n v="1"/>
    <n v="0"/>
  </r>
  <r>
    <n v="26"/>
    <x v="13"/>
    <n v="-1.9440290434043119"/>
    <n v="0.75292438459580613"/>
    <n v="0.79050072581585518"/>
    <n v="0.66885448799090075"/>
    <n v="0.50458619897597168"/>
    <n v="0.50126001889628968"/>
    <n v="0.45387424731585202"/>
    <n v="-2.8089289176522461"/>
    <n v="0.77993525432492927"/>
    <n v="-1.361739138051314"/>
    <n v="2.4537585962841439"/>
    <n v="2.4352443061499658"/>
    <n v="5.393627546352362"/>
    <n v="1.8514290452003479E-2"/>
    <n v="1"/>
    <n v="0"/>
    <n v="0"/>
    <n v="0"/>
    <n v="0"/>
    <n v="1"/>
    <n v="0"/>
  </r>
  <r>
    <n v="26"/>
    <x v="14"/>
    <n v="-2.0220584994331561"/>
    <n v="0.69708939979256901"/>
    <n v="0.75292438459580613"/>
    <n v="0.79050072581585518"/>
    <n v="0.4633565865239419"/>
    <n v="0.50458619897597168"/>
    <n v="0.50126001889628968"/>
    <n v="-2.2604974465947518"/>
    <n v="0.77993525432492927"/>
    <n v="-1.3408826344356339"/>
    <n v="2.3615853912594869"/>
    <n v="2.4475469400755929"/>
    <n v="5.9914645471079817"/>
    <n v="-8.596155047416687E-2"/>
    <n v="1"/>
    <n v="1"/>
    <n v="0"/>
    <n v="0"/>
    <n v="0"/>
    <n v="1"/>
    <n v="0"/>
  </r>
  <r>
    <n v="26"/>
    <x v="15"/>
    <n v="-1.993919182597867"/>
    <n v="0.89881898596211529"/>
    <n v="0.69708939979256901"/>
    <n v="0.75292438459580613"/>
    <n v="0.7098567941228926"/>
    <n v="0.4633565865239419"/>
    <n v="0.50458619897597168"/>
    <n v="-1.6968508162460541"/>
    <n v="0.77993525432492927"/>
    <n v="-1.316936669827935"/>
    <n v="2.3659318077915592"/>
    <n v="2.3555545034959131"/>
    <n v="6.6846117276679271"/>
    <n v="1.0377304628491402E-2"/>
    <n v="1"/>
    <n v="0"/>
    <n v="0"/>
    <n v="0"/>
    <n v="0"/>
    <n v="1"/>
    <n v="0"/>
  </r>
  <r>
    <n v="26"/>
    <x v="16"/>
    <n v="-1.9661456224685481"/>
    <n v="0.90490617300751686"/>
    <n v="0.89881898596211529"/>
    <n v="0.69708939979256901"/>
    <n v="0.67849029121631166"/>
    <n v="0.7098567941228926"/>
    <n v="0.4633565865239419"/>
    <n v="-1.2086134218540261"/>
    <n v="0.77993525432492927"/>
    <n v="-1.290538163663894"/>
    <n v="2.391042028589438"/>
    <n v="2.3659318077915592"/>
    <n v="8.0551577318196781"/>
    <n v="2.5110220536589622E-2"/>
    <n v="1"/>
    <n v="0"/>
    <n v="0"/>
    <n v="0"/>
    <n v="0"/>
    <n v="1"/>
    <n v="0"/>
  </r>
  <r>
    <n v="26"/>
    <x v="17"/>
    <n v="-1.8882860952337699"/>
    <n v="0.74007847524437753"/>
    <n v="0.90490617300751686"/>
    <n v="0.89881898596211529"/>
    <n v="0.47604782623004671"/>
    <n v="0.67849029121631166"/>
    <n v="0.7098567941228926"/>
    <n v="-0.65549647857021687"/>
    <n v="0.77993525432492927"/>
    <n v="-1.2581451381638631"/>
    <n v="2.4362811612601512"/>
    <n v="2.391042028589438"/>
    <n v="8.4658998970286863"/>
    <n v="4.5239131897687912E-2"/>
    <n v="1"/>
    <n v="0"/>
    <n v="0"/>
    <n v="0"/>
    <n v="0"/>
    <n v="1"/>
    <n v="0"/>
  </r>
  <r>
    <n v="27"/>
    <x v="0"/>
    <n v="-2.893807405044873"/>
    <n v="1.0296194171811579"/>
    <n v="0.97093042083247871"/>
    <n v="0.87016302023036873"/>
    <n v="0.66782937257565544"/>
    <n v="0.54371866706801619"/>
    <n v="0.37891577287462791"/>
    <n v="-11.51292546497023"/>
    <n v="0.83755816851655263"/>
    <n v="-2.6698411578857231"/>
    <n v="2.0388695587168271"/>
    <n v="1.9880358888256391"/>
    <n v="-11.51292546497023"/>
    <n v="5.0833668559789658E-2"/>
    <n v="0"/>
    <n v="0"/>
    <n v="0"/>
    <n v="0"/>
    <n v="0"/>
    <n v="1"/>
    <n v="0"/>
  </r>
  <r>
    <n v="27"/>
    <x v="1"/>
    <n v="-2.9388830404534758"/>
    <n v="0.98600334428545533"/>
    <n v="1.0296194171811579"/>
    <n v="0.97093042083247871"/>
    <n v="0.52732869586500486"/>
    <n v="0.66782937257565544"/>
    <n v="0.54371866706801619"/>
    <n v="-11.51292546497023"/>
    <n v="0.83755816851655263"/>
    <n v="-2.576804968778645"/>
    <n v="2.0969943318717892"/>
    <n v="2.026343168322208"/>
    <n v="-11.51292546497023"/>
    <n v="7.0651166141033173E-2"/>
    <n v="0"/>
    <n v="0"/>
    <n v="0"/>
    <n v="0"/>
    <n v="0"/>
    <n v="1"/>
    <n v="0"/>
  </r>
  <r>
    <n v="27"/>
    <x v="2"/>
    <n v="-2.898338237181119"/>
    <n v="0.91428872920348203"/>
    <n v="0.98600334428545533"/>
    <n v="1.0296194171811579"/>
    <n v="0.48679928916313631"/>
    <n v="0.52732869586500486"/>
    <n v="0.66782937257565544"/>
    <n v="-11.51292546497023"/>
    <n v="0.83755816851655263"/>
    <n v="-2.4762575176998389"/>
    <n v="2.1140985810061821"/>
    <n v="2.0846229127046909"/>
    <n v="-11.51292546497023"/>
    <n v="2.947566844522953E-2"/>
    <n v="0"/>
    <n v="0"/>
    <n v="0"/>
    <n v="0"/>
    <n v="0"/>
    <n v="1"/>
    <n v="0"/>
  </r>
  <r>
    <n v="27"/>
    <x v="3"/>
    <n v="-2.8674743324473879"/>
    <n v="0.84638315645880335"/>
    <n v="0.91428872920348203"/>
    <n v="0.98600334428545533"/>
    <n v="0.42781351177192622"/>
    <n v="0.48679928916313631"/>
    <n v="0.52732869586500486"/>
    <n v="-11.51292546497023"/>
    <n v="0.83755816851655263"/>
    <n v="-2.3629823640902869"/>
    <n v="2.117158154833088"/>
    <n v="2.1050121059029281"/>
    <n v="-11.51292546497023"/>
    <n v="1.2146049179136753E-2"/>
    <n v="0"/>
    <n v="0"/>
    <n v="0"/>
    <n v="0"/>
    <n v="0"/>
    <n v="1"/>
    <n v="0"/>
  </r>
  <r>
    <n v="27"/>
    <x v="4"/>
    <n v="-2.552481695903928"/>
    <n v="0.80370417112458914"/>
    <n v="0.84638315645880335"/>
    <n v="0.91428872920348203"/>
    <n v="0.47237581339079121"/>
    <n v="0.42781351177192622"/>
    <n v="0.48679928916313631"/>
    <n v="-8.0550770936479079"/>
    <n v="0.83755816851655263"/>
    <n v="-2.233167938684173"/>
    <n v="2.1534302850945268"/>
    <n v="2.119175963097788"/>
    <n v="-11.51292546497023"/>
    <n v="3.4254323691129684E-2"/>
    <n v="0"/>
    <n v="0"/>
    <n v="0"/>
    <n v="0"/>
    <n v="0"/>
    <n v="1"/>
    <n v="0"/>
  </r>
  <r>
    <n v="27"/>
    <x v="5"/>
    <n v="-2.3390053546446499"/>
    <n v="0.77320527273052442"/>
    <n v="0.80370417112458914"/>
    <n v="0.84638315645880335"/>
    <n v="0.55181400444330142"/>
    <n v="0.47237581339079121"/>
    <n v="0.42781351177192622"/>
    <n v="-6.6667608444795556"/>
    <n v="0.83755816851655263"/>
    <n v="-2.1089469761102739"/>
    <n v="2.2297628798534999"/>
    <n v="2.1554521731430301"/>
    <n v="-11.51292546497023"/>
    <n v="7.4310705065727234E-2"/>
    <n v="0"/>
    <n v="0"/>
    <n v="0"/>
    <n v="0"/>
    <n v="0"/>
    <n v="1"/>
    <n v="0"/>
  </r>
  <r>
    <n v="27"/>
    <x v="6"/>
    <n v="-2.16336344541019"/>
    <n v="0.69494556250132467"/>
    <n v="0.77320527273052442"/>
    <n v="0.80370417112458914"/>
    <n v="0.49944106489935253"/>
    <n v="0.55181400444330142"/>
    <n v="0.47237581339079121"/>
    <n v="-6.1141473055257016"/>
    <n v="0.83755816851655263"/>
    <n v="-1.997829271382167"/>
    <n v="2.236666080771669"/>
    <n v="2.2227606308718921"/>
    <n v="-11.51292546497023"/>
    <n v="1.3905449770390987E-2"/>
    <n v="0"/>
    <n v="0"/>
    <n v="0"/>
    <n v="0"/>
    <n v="0"/>
    <n v="1"/>
    <n v="0"/>
  </r>
  <r>
    <n v="27"/>
    <x v="7"/>
    <n v="-2.1092024062409052"/>
    <n v="0.68355128688649835"/>
    <n v="0.69494556250132467"/>
    <n v="0.77320527273052442"/>
    <n v="0.51018541887856739"/>
    <n v="0.49944106489935253"/>
    <n v="0.55181400444330142"/>
    <n v="-5.3293723184168256"/>
    <n v="0.83755816851655263"/>
    <n v="-1.9389473345789749"/>
    <n v="2.1956150157495049"/>
    <n v="2.194762494696052"/>
    <n v="-11.51292546497023"/>
    <n v="8.5252104327082634E-4"/>
    <n v="0"/>
    <n v="0"/>
    <n v="0"/>
    <n v="0"/>
    <n v="0"/>
    <n v="1"/>
    <n v="0"/>
  </r>
  <r>
    <n v="27"/>
    <x v="8"/>
    <n v="-2.0178092740909261"/>
    <n v="0.65876275369811454"/>
    <n v="0.68355128688649835"/>
    <n v="0.69494556250132467"/>
    <n v="0.48833458593045898"/>
    <n v="0.51018541887856739"/>
    <n v="0.49944106489935253"/>
    <n v="-4.6425051077308606"/>
    <n v="0.83755816851655263"/>
    <n v="-1.856258132411662"/>
    <n v="2.2082315199032889"/>
    <n v="2.189335045875517"/>
    <n v="-11.51292546497023"/>
    <n v="1.8896473571658134E-2"/>
    <n v="0"/>
    <n v="0"/>
    <n v="0"/>
    <n v="0"/>
    <n v="0"/>
    <n v="1"/>
    <n v="0"/>
  </r>
  <r>
    <n v="27"/>
    <x v="9"/>
    <n v="-2.0598646371223368"/>
    <n v="0.67661121191984575"/>
    <n v="0.65876275369811454"/>
    <n v="0.68355128688649835"/>
    <n v="0.4295071025884023"/>
    <n v="0.48833458593045898"/>
    <n v="0.51018541887856739"/>
    <n v="-4.1627613703805331"/>
    <n v="0.83755816851655263"/>
    <n v="-1.794602835233692"/>
    <n v="2.2531619595182182"/>
    <n v="2.202467441471915"/>
    <n v="-11.51292546497023"/>
    <n v="5.069451779127121E-2"/>
    <n v="1"/>
    <n v="0"/>
    <n v="0"/>
    <n v="0"/>
    <n v="0"/>
    <n v="1"/>
    <n v="0"/>
  </r>
  <r>
    <n v="27"/>
    <x v="10"/>
    <n v="-2.001373485507532"/>
    <n v="0.72750029693160778"/>
    <n v="0.67661121191984575"/>
    <n v="0.65876275369811454"/>
    <n v="0.56713033997645834"/>
    <n v="0.4295071025884023"/>
    <n v="0.48833458593045898"/>
    <n v="-3.8018994608322281"/>
    <n v="0.8375581685165524"/>
    <n v="-1.7494814545672011"/>
    <n v="2.2346080184088182"/>
    <n v="2.2477794741116419"/>
    <n v="-11.51292546497023"/>
    <n v="-1.3171455822885036E-2"/>
    <n v="1"/>
    <n v="0"/>
    <n v="0"/>
    <n v="0"/>
    <n v="0"/>
    <n v="1"/>
    <n v="0"/>
  </r>
  <r>
    <n v="27"/>
    <x v="11"/>
    <n v="-2.0026459718285721"/>
    <n v="0.724500488217941"/>
    <n v="0.72750029693160778"/>
    <n v="0.67661121191984575"/>
    <n v="0.53807107265618603"/>
    <n v="0.56713033997645834"/>
    <n v="0.4295071025884023"/>
    <n v="-3.1407878037231169"/>
    <n v="0.8375581685165524"/>
    <n v="-1.7048882160364009"/>
    <n v="2.2596821472676689"/>
    <n v="2.2296011673459009"/>
    <n v="-11.51292546497023"/>
    <n v="3.0080979689955711E-2"/>
    <n v="1"/>
    <n v="0"/>
    <n v="0"/>
    <n v="0"/>
    <n v="0"/>
    <n v="1"/>
    <n v="0"/>
  </r>
  <r>
    <n v="27"/>
    <x v="12"/>
    <n v="-2.073760835553375"/>
    <n v="0.84479473016908513"/>
    <n v="0.724500488217941"/>
    <n v="0.72750029693160778"/>
    <n v="0.57605140868369809"/>
    <n v="0.53807107265618603"/>
    <n v="0.56713033997645834"/>
    <n v="-2.6836190814855039"/>
    <n v="0.83755816851655263"/>
    <n v="-1.640373601863762"/>
    <n v="2.2606785209916982"/>
    <n v="2.275507473732215"/>
    <n v="3.2580965380214821"/>
    <n v="-1.4828952960669994E-2"/>
    <n v="1"/>
    <n v="0"/>
    <n v="0"/>
    <n v="0"/>
    <n v="0"/>
    <n v="1"/>
    <n v="0"/>
  </r>
  <r>
    <n v="27"/>
    <x v="13"/>
    <n v="-2.032838298703612"/>
    <n v="0.79818264339382605"/>
    <n v="0.84479473016908513"/>
    <n v="0.724500488217941"/>
    <n v="0.55382764031053344"/>
    <n v="0.57605140868369809"/>
    <n v="0.53807107265618603"/>
    <n v="-1.9144557388563139"/>
    <n v="0.83755816851655263"/>
    <n v="-1.5886572799625751"/>
    <n v="2.295256970206228"/>
    <n v="2.2563131646099812"/>
    <n v="5.393627546352362"/>
    <n v="3.8943804800510406E-2"/>
    <n v="1"/>
    <n v="0"/>
    <n v="0"/>
    <n v="0"/>
    <n v="0"/>
    <n v="1"/>
    <n v="0"/>
  </r>
  <r>
    <n v="27"/>
    <x v="14"/>
    <n v="-2.0677555160978001"/>
    <n v="0.72933445132165775"/>
    <n v="0.79818264339382605"/>
    <n v="0.84479473016908513"/>
    <n v="0.4924987070731065"/>
    <n v="0.55382764031053344"/>
    <n v="0.57605140868369809"/>
    <n v="-1.270232976206414"/>
    <n v="0.83755816851655263"/>
    <n v="-1.5508103434110101"/>
    <n v="2.297717739630567"/>
    <n v="2.2910153097630568"/>
    <n v="5.9914645471079817"/>
    <n v="6.7024300806224346E-3"/>
    <n v="1"/>
    <n v="1"/>
    <n v="0"/>
    <n v="0"/>
    <n v="0"/>
    <n v="1"/>
    <n v="0"/>
  </r>
  <r>
    <n v="27"/>
    <x v="15"/>
    <n v="-2.0350303845228228"/>
    <n v="0.91776963775355425"/>
    <n v="0.72933445132165775"/>
    <n v="0.79818264339382605"/>
    <n v="0.72445203038835781"/>
    <n v="0.4924987070731065"/>
    <n v="0.55382764031053344"/>
    <n v="-0.64821845767071162"/>
    <n v="0.83755816851655263"/>
    <n v="-1.505719137222969"/>
    <n v="2.358827079517972"/>
    <n v="2.2936063097194519"/>
    <n v="6.6846117276679271"/>
    <n v="6.5220773220062256E-2"/>
    <n v="1"/>
    <n v="0"/>
    <n v="0"/>
    <n v="0"/>
    <n v="0"/>
    <n v="1"/>
    <n v="0"/>
  </r>
  <r>
    <n v="27"/>
    <x v="16"/>
    <n v="-1.975073198276198"/>
    <n v="0.9065231843151027"/>
    <n v="0.91776963775355425"/>
    <n v="0.72933445132165775"/>
    <n v="0.67023672897683917"/>
    <n v="0.72445203038835781"/>
    <n v="0.4924987070731065"/>
    <n v="-0.26962636781364357"/>
    <n v="0.83755816851655263"/>
    <n v="-1.4599073422849631"/>
    <n v="2.274000264712583"/>
    <n v="2.358827079517972"/>
    <n v="8.0551577318196781"/>
    <n v="-8.4826812148094177E-2"/>
    <n v="1"/>
    <n v="0"/>
    <n v="0"/>
    <n v="0"/>
    <n v="0"/>
    <n v="1"/>
    <n v="0"/>
  </r>
  <r>
    <n v="27"/>
    <x v="17"/>
    <n v="-1.896478949702052"/>
    <n v="0.76197337148979782"/>
    <n v="0.9065231843151027"/>
    <n v="0.91776963775355425"/>
    <n v="0.4879663296199081"/>
    <n v="0.67023672897683917"/>
    <n v="0.72445203038835781"/>
    <n v="0.35258052097495479"/>
    <n v="0.83755816851655263"/>
    <n v="-1.4096688125484551"/>
    <n v="2.3884407371539851"/>
    <n v="2.274000264712583"/>
    <n v="8.4658998970286863"/>
    <n v="0.11444047093391418"/>
    <n v="1"/>
    <n v="0"/>
    <n v="0"/>
    <n v="0"/>
    <n v="0"/>
    <n v="1"/>
    <n v="0"/>
  </r>
  <r>
    <n v="28"/>
    <x v="0"/>
    <n v="-2.4606930434845151"/>
    <n v="0.93609335917033476"/>
    <n v="0.87246422833360116"/>
    <n v="0.80897274606553571"/>
    <n v="0.71783979315031676"/>
    <n v="0.58478215588182025"/>
    <n v="0.4439162944824171"/>
    <n v="-11.51292546497023"/>
    <n v="0.72379967174414939"/>
    <n v="-2.2437468778448921"/>
    <n v="2.40297520420207"/>
    <n v="2.339351784970658"/>
    <n v="-11.51292546497023"/>
    <n v="6.3623420894145966E-2"/>
    <n v="0"/>
    <n v="0"/>
    <n v="0"/>
    <n v="0"/>
    <n v="0"/>
    <n v="1"/>
    <n v="0"/>
  </r>
  <r>
    <n v="28"/>
    <x v="1"/>
    <n v="-2.4282767174428939"/>
    <n v="0.88062210259469464"/>
    <n v="0.93609335917033476"/>
    <n v="0.87246422833360116"/>
    <n v="0.59823192276365766"/>
    <n v="0.71783979315031676"/>
    <n v="0.58478215588182025"/>
    <n v="-11.51292546497023"/>
    <n v="0.72379967174414939"/>
    <n v="-2.141127947275046"/>
    <n v="2.4448609285518201"/>
    <n v="2.403316136530306"/>
    <n v="-11.51292546497023"/>
    <n v="4.154479131102562E-2"/>
    <n v="0"/>
    <n v="0"/>
    <n v="0"/>
    <n v="0"/>
    <n v="0"/>
    <n v="1"/>
    <n v="0"/>
  </r>
  <r>
    <n v="28"/>
    <x v="2"/>
    <n v="-2.31569538527746"/>
    <n v="0.82329786502499036"/>
    <n v="0.88062210259469464"/>
    <n v="0.93609335917033476"/>
    <n v="0.50337795863083334"/>
    <n v="0.59823192276365766"/>
    <n v="0.71783979315031676"/>
    <n v="-11.51292546497023"/>
    <n v="0.72379967174414939"/>
    <n v="-2.0325922953629618"/>
    <n v="2.5228724955326638"/>
    <n v="2.445201977154551"/>
    <n v="-11.51292546497023"/>
    <n v="7.7670522034168243E-2"/>
    <n v="0"/>
    <n v="0"/>
    <n v="0"/>
    <n v="0"/>
    <n v="0"/>
    <n v="1"/>
    <n v="0"/>
  </r>
  <r>
    <n v="28"/>
    <x v="3"/>
    <n v="-2.2632473460036282"/>
    <n v="0.79294726563712226"/>
    <n v="0.82329786502499036"/>
    <n v="0.88062210259469464"/>
    <n v="0.42781351177192622"/>
    <n v="0.50337795863083334"/>
    <n v="0.59823192276365766"/>
    <n v="-11.51292546497023"/>
    <n v="0.72379967174414939"/>
    <n v="-1.9110700273691461"/>
    <n v="2.4555805739085121"/>
    <n v="2.512768039203535"/>
    <n v="-11.51292546497023"/>
    <n v="-5.7187464088201523E-2"/>
    <n v="0"/>
    <n v="0"/>
    <n v="0"/>
    <n v="0"/>
    <n v="0"/>
    <n v="1"/>
    <n v="0"/>
  </r>
  <r>
    <n v="28"/>
    <x v="4"/>
    <n v="-2.0708365835691378"/>
    <n v="0.75879446179580023"/>
    <n v="0.79294726563712226"/>
    <n v="0.82329786502499036"/>
    <n v="0.45691838969707999"/>
    <n v="0.42781351177192622"/>
    <n v="0.50337795863083334"/>
    <n v="-7.6279089783512841"/>
    <n v="0.72379967174414939"/>
    <n v="-1.8006353459649711"/>
    <n v="2.553395634518715"/>
    <n v="2.4383654624337199"/>
    <n v="-11.51292546497023"/>
    <n v="0.11503016948699951"/>
    <n v="0"/>
    <n v="0"/>
    <n v="0"/>
    <n v="0"/>
    <n v="0"/>
    <n v="1"/>
    <n v="0"/>
  </r>
  <r>
    <n v="28"/>
    <x v="5"/>
    <n v="-1.9463940161282189"/>
    <n v="0.74074615935922428"/>
    <n v="0.75879446179580023"/>
    <n v="0.79294726563712226"/>
    <n v="0.53397558366469022"/>
    <n v="0.45691838969707999"/>
    <n v="0.42781351177192622"/>
    <n v="-5.8530732691097702"/>
    <n v="0.72379967174414939"/>
    <n v="-1.702760661749307"/>
    <n v="2.5540383090066419"/>
    <n v="2.5364718745321961"/>
    <n v="-11.51292546497023"/>
    <n v="1.7566435039043427E-2"/>
    <n v="0"/>
    <n v="0"/>
    <n v="0"/>
    <n v="0"/>
    <n v="0"/>
    <n v="1"/>
    <n v="0"/>
  </r>
  <r>
    <n v="28"/>
    <x v="6"/>
    <n v="-1.8256375204588191"/>
    <n v="0.69129546719647095"/>
    <n v="0.74074615935922428"/>
    <n v="0.75879446179580023"/>
    <n v="0.508262341362826"/>
    <n v="0.53397558366469022"/>
    <n v="0.45691838969707999"/>
    <n v="-5.3522689495535296"/>
    <n v="0.72379967174414939"/>
    <n v="-1.617474890301374"/>
    <n v="2.5886088841378729"/>
    <n v="2.544017004796876"/>
    <n v="-11.51292546497023"/>
    <n v="4.4591877609491348E-2"/>
    <n v="0"/>
    <n v="0"/>
    <n v="0"/>
    <n v="0"/>
    <n v="0"/>
    <n v="1"/>
    <n v="0"/>
  </r>
  <r>
    <n v="28"/>
    <x v="7"/>
    <n v="-1.789157529069664"/>
    <n v="0.68006194101128981"/>
    <n v="0.69129546719647095"/>
    <n v="0.74074615935922428"/>
    <n v="0.53051059708238879"/>
    <n v="0.508262341362826"/>
    <n v="0.53397558366469022"/>
    <n v="-4.6031964212135046"/>
    <n v="0.72379967174414939"/>
    <n v="-1.578786139204712"/>
    <n v="2.5497142344349002"/>
    <n v="2.5492240521136251"/>
    <n v="-11.51292546497023"/>
    <n v="4.9018231220543385E-4"/>
    <n v="0"/>
    <n v="0"/>
    <n v="0"/>
    <n v="0"/>
    <n v="0"/>
    <n v="1"/>
    <n v="0"/>
  </r>
  <r>
    <n v="28"/>
    <x v="8"/>
    <n v="-1.705889690029134"/>
    <n v="0.63853258728672235"/>
    <n v="0.68006194101128981"/>
    <n v="0.69129546719647095"/>
    <n v="0.47642049704181327"/>
    <n v="0.53051059708238879"/>
    <n v="0.508262341362826"/>
    <n v="-3.94387044886727"/>
    <n v="0.72379967174414939"/>
    <n v="-1.5149088590435631"/>
    <n v="2.522045503632826"/>
    <n v="2.538882544445884"/>
    <n v="-11.51292546497023"/>
    <n v="-1.6837039962410927E-2"/>
    <n v="0"/>
    <n v="0"/>
    <n v="0"/>
    <n v="0"/>
    <n v="0"/>
    <n v="1"/>
    <n v="0"/>
  </r>
  <r>
    <n v="28"/>
    <x v="9"/>
    <n v="-1.7474812573818881"/>
    <n v="0.67365850397608285"/>
    <n v="0.63853258728672235"/>
    <n v="0.68006194101128981"/>
    <n v="0.43333964487414411"/>
    <n v="0.47642049704181327"/>
    <n v="0.53051059708238879"/>
    <n v="-3.556658363383113"/>
    <n v="0.72379967174414939"/>
    <n v="-1.4676281744427999"/>
    <n v="2.46715852785516"/>
    <n v="2.511574621450873"/>
    <n v="-11.51292546497023"/>
    <n v="-4.4416092336177826E-2"/>
    <n v="1"/>
    <n v="0"/>
    <n v="0"/>
    <n v="0"/>
    <n v="0"/>
    <n v="1"/>
    <n v="0"/>
  </r>
  <r>
    <n v="28"/>
    <x v="10"/>
    <n v="-1.7385889625078721"/>
    <n v="0.70066882195879143"/>
    <n v="0.67365850397608285"/>
    <n v="0.63853258728672235"/>
    <n v="0.54197539275820672"/>
    <n v="0.43333964487414411"/>
    <n v="0.47642049704181327"/>
    <n v="-3.248337093668606"/>
    <n v="0.72379967174414939"/>
    <n v="-1.43682327519625"/>
    <n v="2.3873947918417349"/>
    <n v="2.457026066451129"/>
    <n v="-11.51292546497023"/>
    <n v="-6.9631271064281464E-2"/>
    <n v="1"/>
    <n v="0"/>
    <n v="0"/>
    <n v="0"/>
    <n v="0"/>
    <n v="1"/>
    <n v="0"/>
  </r>
  <r>
    <n v="28"/>
    <x v="11"/>
    <n v="-1.740456109842007"/>
    <n v="0.67970726819324312"/>
    <n v="0.70066882195879143"/>
    <n v="0.67365850397608285"/>
    <n v="0.5192698705486537"/>
    <n v="0.54197539275820672"/>
    <n v="0.43333964487414411"/>
    <n v="-2.623496262158679"/>
    <n v="0.72379967174414939"/>
    <n v="-1.4074115617086631"/>
    <n v="2.3876248847915611"/>
    <n v="2.3775846494733259"/>
    <n v="-11.51292546497023"/>
    <n v="1.0040235705673695E-2"/>
    <n v="1"/>
    <n v="0"/>
    <n v="0"/>
    <n v="0"/>
    <n v="0"/>
    <n v="1"/>
    <n v="0"/>
  </r>
  <r>
    <n v="28"/>
    <x v="12"/>
    <n v="-1.8173717630980011"/>
    <n v="0.81801616260581456"/>
    <n v="0.67970726819324312"/>
    <n v="0.70066882195879143"/>
    <n v="0.5875088485369484"/>
    <n v="0.5192698705486537"/>
    <n v="0.54197539275820672"/>
    <n v="-2.186010896709349"/>
    <n v="0.72379967174414939"/>
    <n v="-1.365776873222653"/>
    <n v="2.3795529648176008"/>
    <n v="2.3919205941178721"/>
    <n v="3.2580965380214821"/>
    <n v="-1.2367629446089268E-2"/>
    <n v="1"/>
    <n v="0"/>
    <n v="0"/>
    <n v="0"/>
    <n v="0"/>
    <n v="1"/>
    <n v="0"/>
  </r>
  <r>
    <n v="28"/>
    <x v="13"/>
    <n v="-1.7997144227063051"/>
    <n v="0.76899649284338312"/>
    <n v="0.81801616260581456"/>
    <n v="0.67970726819324312"/>
    <n v="0.53672726128864368"/>
    <n v="0.5875088485369484"/>
    <n v="0.5192698705486537"/>
    <n v="-1.4466780057683979"/>
    <n v="0.72379967174414939"/>
    <n v="-1.3360778215868709"/>
    <n v="2.390909843085292"/>
    <n v="2.370644021391632"/>
    <n v="5.393627546352362"/>
    <n v="2.0265821367502213E-2"/>
    <n v="1"/>
    <n v="0"/>
    <n v="0"/>
    <n v="0"/>
    <n v="0"/>
    <n v="1"/>
    <n v="0"/>
  </r>
  <r>
    <n v="28"/>
    <x v="14"/>
    <n v="-1.869611748696973"/>
    <n v="0.731598366934198"/>
    <n v="0.76899649284338312"/>
    <n v="0.81801616260581456"/>
    <n v="0.50675735959003665"/>
    <n v="0.53672726128864368"/>
    <n v="0.5875088485369484"/>
    <n v="-0.86432792504382172"/>
    <n v="0.72379967174414939"/>
    <n v="-1.3133711893383231"/>
    <n v="2.3354626018328828"/>
    <n v="2.3821925506135671"/>
    <n v="5.9914645471079817"/>
    <n v="-4.6729948371648788E-2"/>
    <n v="1"/>
    <n v="1"/>
    <n v="0"/>
    <n v="0"/>
    <n v="0"/>
    <n v="1"/>
    <n v="0"/>
  </r>
  <r>
    <n v="28"/>
    <x v="15"/>
    <n v="-1.8545011063658161"/>
    <n v="0.91091631553670016"/>
    <n v="0.731598366934198"/>
    <n v="0.76899649284338312"/>
    <n v="0.73063562497093693"/>
    <n v="0.50675735959003665"/>
    <n v="0.53672726128864368"/>
    <n v="-0.30543162233801641"/>
    <n v="0.72379967174414939"/>
    <n v="-1.2881167267698941"/>
    <n v="2.3372132310973339"/>
    <n v="2.3270233200535411"/>
    <n v="6.6846117276679271"/>
    <n v="1.0189911350607872E-2"/>
    <n v="1"/>
    <n v="0"/>
    <n v="0"/>
    <n v="0"/>
    <n v="0"/>
    <n v="1"/>
    <n v="0"/>
  </r>
  <r>
    <n v="28"/>
    <x v="16"/>
    <n v="-1.812582902906464"/>
    <n v="0.89833040649716212"/>
    <n v="0.91091631553670016"/>
    <n v="0.731598366934198"/>
    <n v="0.68868724983785201"/>
    <n v="0.73063562497093693"/>
    <n v="0.50675735959003665"/>
    <n v="0.17654301594946539"/>
    <n v="0.72379967174414939"/>
    <n v="-1.255833566226364"/>
    <n v="2.3559957060864791"/>
    <n v="2.3372132310973339"/>
    <n v="8.0551577318196781"/>
    <n v="1.8782474100589752E-2"/>
    <n v="1"/>
    <n v="0"/>
    <n v="0"/>
    <n v="0"/>
    <n v="0"/>
    <n v="1"/>
    <n v="0"/>
  </r>
  <r>
    <n v="28"/>
    <x v="17"/>
    <n v="-1.719655696902602"/>
    <n v="0.77094120799996546"/>
    <n v="0.89833040649716212"/>
    <n v="0.91091631553670016"/>
    <n v="0.53203902016518811"/>
    <n v="0.68868724983785201"/>
    <n v="0.73063562497093693"/>
    <n v="0.69230268383448001"/>
    <n v="0.72379967174414939"/>
    <n v="-1.2171116995767179"/>
    <n v="2.3639908490931592"/>
    <n v="2.3559957060864791"/>
    <n v="8.4658998970286863"/>
    <n v="7.9951426014304161E-3"/>
    <n v="1"/>
    <n v="0"/>
    <n v="0"/>
    <n v="0"/>
    <n v="0"/>
    <n v="1"/>
    <n v="0"/>
  </r>
  <r>
    <n v="29"/>
    <x v="0"/>
    <n v="-2.629085297957777"/>
    <n v="0.97077891715822484"/>
    <n v="0.89379969403862336"/>
    <n v="0.85637086166195941"/>
    <n v="0.62057648772510998"/>
    <n v="0.56741387509418195"/>
    <n v="0.49834810225487802"/>
    <n v="-11.51292546497023"/>
    <n v="1.382848308078898"/>
    <n v="-2.5561013264933559"/>
    <n v="2.220044820524175"/>
    <n v="2.2087085512740452"/>
    <n v="-11.51292546497023"/>
    <n v="1.1336268857121468E-2"/>
    <n v="0"/>
    <n v="0"/>
    <n v="0"/>
    <n v="0"/>
    <n v="0"/>
    <n v="1"/>
    <n v="0"/>
  </r>
  <r>
    <n v="29"/>
    <x v="1"/>
    <n v="-2.6662463024562171"/>
    <n v="0.91573057501559185"/>
    <n v="0.97077891715822484"/>
    <n v="0.89379969403862336"/>
    <n v="0.48106720160171512"/>
    <n v="0.62057648772510998"/>
    <n v="0.56741387509418195"/>
    <n v="-11.51292546497023"/>
    <n v="1.382848308078898"/>
    <n v="-2.4598937520601778"/>
    <n v="2.274871646071611"/>
    <n v="2.2004386346696978"/>
    <n v="-11.51292546497023"/>
    <n v="7.4433013796806335E-2"/>
    <n v="0"/>
    <n v="0"/>
    <n v="0"/>
    <n v="0"/>
    <n v="0"/>
    <n v="1"/>
    <n v="0"/>
  </r>
  <r>
    <n v="29"/>
    <x v="2"/>
    <n v="-2.625445327537109"/>
    <n v="0.86221462167548391"/>
    <n v="0.91573057501559185"/>
    <n v="0.97077891715822484"/>
    <n v="0.4296372600791496"/>
    <n v="0.48106720160171512"/>
    <n v="0.62057648772510998"/>
    <n v="-11.51292546497023"/>
    <n v="1.382848308078898"/>
    <n v="-2.3518702232055779"/>
    <n v="2.2784234404880701"/>
    <n v="2.2556424136612621"/>
    <n v="-11.51292546497023"/>
    <n v="2.2781027480959892E-2"/>
    <n v="0"/>
    <n v="0"/>
    <n v="0"/>
    <n v="0"/>
    <n v="0"/>
    <n v="1"/>
    <n v="0"/>
  </r>
  <r>
    <n v="29"/>
    <x v="3"/>
    <n v="-2.6286510813579991"/>
    <n v="0.82763436626869735"/>
    <n v="0.86221462167548391"/>
    <n v="0.91573057501559185"/>
    <n v="0.40499833251872053"/>
    <n v="0.4296372600791496"/>
    <n v="0.48106720160171512"/>
    <n v="-11.51292546497023"/>
    <n v="1.382848308078898"/>
    <n v="-2.232301838313691"/>
    <n v="2.3241325343923962"/>
    <n v="2.2691713952387511"/>
    <n v="-11.51292546497023"/>
    <n v="5.4961137473583221E-2"/>
    <n v="0"/>
    <n v="0"/>
    <n v="0"/>
    <n v="0"/>
    <n v="0"/>
    <n v="1"/>
    <n v="0"/>
  </r>
  <r>
    <n v="29"/>
    <x v="4"/>
    <n v="-2.4232699220657108"/>
    <n v="0.7963804352015974"/>
    <n v="0.82763436626869735"/>
    <n v="0.86221462167548391"/>
    <n v="0.43067791057956828"/>
    <n v="0.40499833251872053"/>
    <n v="0.4296372600791496"/>
    <n v="-9.5727204406975037"/>
    <n v="1.382848308078898"/>
    <n v="-2.089347798874174"/>
    <n v="2.3747080676031711"/>
    <n v="2.342744810353603"/>
    <n v="-11.51292546497023"/>
    <n v="3.1963258981704712E-2"/>
    <n v="0"/>
    <n v="0"/>
    <n v="0"/>
    <n v="0"/>
    <n v="0"/>
    <n v="1"/>
    <n v="0"/>
  </r>
  <r>
    <n v="29"/>
    <x v="5"/>
    <n v="-2.1830046985633729"/>
    <n v="0.74806141143733718"/>
    <n v="0.7963804352015974"/>
    <n v="0.82763436626869735"/>
    <n v="0.47840573250987939"/>
    <n v="0.43067791057956828"/>
    <n v="0.40499833251872053"/>
    <n v="-7.9443172550196612"/>
    <n v="1.382848308078898"/>
    <n v="-1.958855689807649"/>
    <n v="2.389706123292918"/>
    <n v="2.393673340847108"/>
    <n v="-11.51292546497023"/>
    <n v="-3.9672176353633404E-3"/>
    <n v="0"/>
    <n v="0"/>
    <n v="0"/>
    <n v="0"/>
    <n v="0"/>
    <n v="1"/>
    <n v="0"/>
  </r>
  <r>
    <n v="29"/>
    <x v="6"/>
    <n v="-2.0402557814915272"/>
    <n v="0.6840055226426619"/>
    <n v="0.74806141143733718"/>
    <n v="0.7963804352015974"/>
    <n v="0.4263782296883713"/>
    <n v="0.47840573250987939"/>
    <n v="0.43067791057956828"/>
    <n v="-7.4798176430643304"/>
    <n v="1.382848308078898"/>
    <n v="-1.85830010033828"/>
    <n v="2.3993026863329461"/>
    <n v="2.384202106002494"/>
    <n v="-11.51292546497023"/>
    <n v="1.5100580640137196E-2"/>
    <n v="0"/>
    <n v="0"/>
    <n v="0"/>
    <n v="0"/>
    <n v="0"/>
    <n v="1"/>
    <n v="0"/>
  </r>
  <r>
    <n v="29"/>
    <x v="7"/>
    <n v="-2.0463788297089032"/>
    <n v="0.68697819141441629"/>
    <n v="0.6840055226426619"/>
    <n v="0.74806141143733718"/>
    <n v="0.4287258016827164"/>
    <n v="0.4263782296883713"/>
    <n v="0.47840573250987939"/>
    <n v="-6.674304647002967"/>
    <n v="1.382848308078898"/>
    <n v="-1.828241575759683"/>
    <n v="2.382557656180655"/>
    <n v="2.3398182449075948"/>
    <n v="-11.51292546497023"/>
    <n v="4.2739409953355789E-2"/>
    <n v="0"/>
    <n v="0"/>
    <n v="0"/>
    <n v="0"/>
    <n v="0"/>
    <n v="1"/>
    <n v="0"/>
  </r>
  <r>
    <n v="29"/>
    <x v="8"/>
    <n v="-1.953292082765113"/>
    <n v="0.66541620682163427"/>
    <n v="0.68697819141441629"/>
    <n v="0.6840055226426619"/>
    <n v="0.42304304038223289"/>
    <n v="0.4287258016827164"/>
    <n v="0.4263782296883713"/>
    <n v="-5.9866087636928187"/>
    <n v="1.382848308078898"/>
    <n v="-1.7551732524677071"/>
    <n v="2.3906489800003539"/>
    <n v="2.3771063589308312"/>
    <n v="-11.51292546497023"/>
    <n v="1.3542621396481991E-2"/>
    <n v="0"/>
    <n v="0"/>
    <n v="0"/>
    <n v="0"/>
    <n v="0"/>
    <n v="1"/>
    <n v="0"/>
  </r>
  <r>
    <n v="29"/>
    <x v="9"/>
    <n v="-2.0032879398494932"/>
    <n v="0.71720544565301625"/>
    <n v="0.66541620682163427"/>
    <n v="0.68697819141441629"/>
    <n v="0.40653120629016198"/>
    <n v="0.42304304038223289"/>
    <n v="0.4287258016827164"/>
    <n v="-5.5349254626655782"/>
    <n v="1.382848308078898"/>
    <n v="-1.701241367198965"/>
    <n v="2.4027409948229188"/>
    <n v="2.3855738785318512"/>
    <n v="-11.51292546497023"/>
    <n v="1.7167115584015846E-2"/>
    <n v="1"/>
    <n v="0"/>
    <n v="0"/>
    <n v="0"/>
    <n v="0"/>
    <n v="1"/>
    <n v="0"/>
  </r>
  <r>
    <n v="29"/>
    <x v="10"/>
    <n v="-1.933059323500631"/>
    <n v="0.72750029693160778"/>
    <n v="0.71720544565301625"/>
    <n v="0.66541620682163427"/>
    <n v="0.49968378334714619"/>
    <n v="0.40653120629016198"/>
    <n v="0.42304304038223289"/>
    <n v="-5.1681671805886298"/>
    <n v="1.382848308078898"/>
    <n v="-1.6646193261471509"/>
    <n v="2.374399034037272"/>
    <n v="2.3979357204673888"/>
    <n v="-11.51292546497023"/>
    <n v="-2.3536685854196548E-2"/>
    <n v="1"/>
    <n v="0"/>
    <n v="0"/>
    <n v="0"/>
    <n v="0"/>
    <n v="1"/>
    <n v="0"/>
  </r>
  <r>
    <n v="29"/>
    <x v="11"/>
    <n v="-1.9193188007571429"/>
    <n v="0.7089220996753075"/>
    <n v="0.72750029693160778"/>
    <n v="0.71720544565301625"/>
    <n v="0.47393339758158343"/>
    <n v="0.49968378334714619"/>
    <n v="0.40653120629016198"/>
    <n v="-4.5386425007829434"/>
    <n v="1.382848308078898"/>
    <n v="-1.631185817633853"/>
    <n v="2.371774908255234"/>
    <n v="2.369965404673338"/>
    <n v="-11.51292546497023"/>
    <n v="1.8095035338774323E-3"/>
    <n v="1"/>
    <n v="0"/>
    <n v="0"/>
    <n v="0"/>
    <n v="0"/>
    <n v="1"/>
    <n v="0"/>
  </r>
  <r>
    <n v="29"/>
    <x v="12"/>
    <n v="-1.996961763344304"/>
    <n v="0.83815620246992029"/>
    <n v="0.7089220996753075"/>
    <n v="0.72750029693160778"/>
    <n v="0.55267748778855108"/>
    <n v="0.47393339758158343"/>
    <n v="0.49968378334714619"/>
    <n v="-4.0122476160696179"/>
    <n v="1.382848308078898"/>
    <n v="-1.556783547043304"/>
    <n v="2.426238079922038"/>
    <n v="2.407049240281895"/>
    <n v="3.2580965380214821"/>
    <n v="1.9188839942216873E-2"/>
    <n v="1"/>
    <n v="0"/>
    <n v="0"/>
    <n v="0"/>
    <n v="0"/>
    <n v="1"/>
    <n v="0"/>
  </r>
  <r>
    <n v="29"/>
    <x v="13"/>
    <n v="-1.984798248808102"/>
    <n v="0.80482271445053444"/>
    <n v="0.83815620246992029"/>
    <n v="0.7089220996753075"/>
    <n v="0.52514264436078373"/>
    <n v="0.55267748778855108"/>
    <n v="0.47393339758158343"/>
    <n v="-3.2992086291733882"/>
    <n v="1.382848308078898"/>
    <n v="-1.51963451544666"/>
    <n v="2.404954967805796"/>
    <n v="2.4221656058195919"/>
    <n v="5.393627546352362"/>
    <n v="-1.7210638150572777E-2"/>
    <n v="1"/>
    <n v="0"/>
    <n v="0"/>
    <n v="0"/>
    <n v="0"/>
    <n v="1"/>
    <n v="0"/>
  </r>
  <r>
    <n v="29"/>
    <x v="14"/>
    <n v="-2.009730139541797"/>
    <n v="0.71564225838731621"/>
    <n v="0.80482271445053444"/>
    <n v="0.83815620246992029"/>
    <n v="0.44846073856926022"/>
    <n v="0.52514264436078373"/>
    <n v="0.55267748778855108"/>
    <n v="-2.6836124481892152"/>
    <n v="1.382848308078898"/>
    <n v="-1.488372962634988"/>
    <n v="2.3787451024793471"/>
    <n v="2.4010916840211798"/>
    <n v="5.9914645471079817"/>
    <n v="-2.2346582263708115E-2"/>
    <n v="1"/>
    <n v="1"/>
    <n v="0"/>
    <n v="0"/>
    <n v="0"/>
    <n v="1"/>
    <n v="0"/>
  </r>
  <r>
    <n v="29"/>
    <x v="15"/>
    <n v="-1.982345753960298"/>
    <n v="0.92115886327101559"/>
    <n v="0.71564225838731621"/>
    <n v="0.80482271445053444"/>
    <n v="0.71402765813930047"/>
    <n v="0.44846073856926022"/>
    <n v="0.52514264436078373"/>
    <n v="-2.1038461798426962"/>
    <n v="1.382848308078898"/>
    <n v="-1.4567183066990961"/>
    <n v="2.396453340283081"/>
    <n v="2.3750915250900881"/>
    <n v="6.6846117276679271"/>
    <n v="2.1361814811825752E-2"/>
    <n v="1"/>
    <n v="0"/>
    <n v="0"/>
    <n v="0"/>
    <n v="0"/>
    <n v="1"/>
    <n v="0"/>
  </r>
  <r>
    <n v="29"/>
    <x v="16"/>
    <n v="-1.9422258804690751"/>
    <n v="0.96202862354800878"/>
    <n v="0.92115886327101559"/>
    <n v="0.71564225838731621"/>
    <n v="0.7067541839661623"/>
    <n v="0.71402765813930047"/>
    <n v="0.44846073856926022"/>
    <n v="-1.589961781570379"/>
    <n v="1.382848308078898"/>
    <n v="-1.422763275197988"/>
    <n v="2.44692431473355"/>
    <n v="2.396453340283081"/>
    <n v="8.0551577318196781"/>
    <n v="5.0470974296331406E-2"/>
    <n v="1"/>
    <n v="0"/>
    <n v="0"/>
    <n v="0"/>
    <n v="0"/>
    <n v="1"/>
    <n v="0"/>
  </r>
  <r>
    <n v="29"/>
    <x v="17"/>
    <n v="-1.8582235971545269"/>
    <n v="0.80083498597686265"/>
    <n v="0.96202862354800878"/>
    <n v="0.92115886327101559"/>
    <n v="0.52063733114998356"/>
    <n v="0.7067541839661623"/>
    <n v="0.71402765813930047"/>
    <n v="-1.0645828863943529"/>
    <n v="1.382848308078898"/>
    <n v="-1.3833903952551321"/>
    <n v="2.4646368850346452"/>
    <n v="2.44692431473355"/>
    <n v="8.4658998970286863"/>
    <n v="1.771257072687149E-2"/>
    <n v="1"/>
    <n v="0"/>
    <n v="0"/>
    <n v="0"/>
    <n v="0"/>
    <n v="1"/>
    <n v="0"/>
  </r>
  <r>
    <n v="31"/>
    <x v="0"/>
    <n v="-1.976825740702415"/>
    <n v="0.91228271047661635"/>
    <n v="0.84629736005362011"/>
    <n v="0.80897274606553571"/>
    <n v="0.64710324205853842"/>
    <n v="0.48199395709728798"/>
    <n v="0.38635024424848219"/>
    <n v="-11.51292546497023"/>
    <n v="1.665048632597683"/>
    <n v="-1.6316084705918179"/>
    <n v="2.688340792759726"/>
    <n v="2.632573684932809"/>
    <n v="-11.51292546497023"/>
    <n v="5.5767107754945755E-2"/>
    <n v="0"/>
    <n v="0"/>
    <n v="0"/>
    <n v="0"/>
    <n v="1"/>
    <n v="0"/>
    <n v="0"/>
  </r>
  <r>
    <n v="31"/>
    <x v="1"/>
    <n v="-1.939408501019503"/>
    <n v="0.85654072746838106"/>
    <n v="0.91228271047661635"/>
    <n v="0.84629736005362011"/>
    <n v="0.48106720160171512"/>
    <n v="0.64710324205853842"/>
    <n v="0.48199395709728798"/>
    <n v="-11.51292546497023"/>
    <n v="1.665048632597683"/>
    <n v="-1.543054838681122"/>
    <n v="2.7388937262800388"/>
    <n v="2.6788704738218438"/>
    <n v="-11.51292546497023"/>
    <n v="6.0023251920938492E-2"/>
    <n v="0"/>
    <n v="0"/>
    <n v="0"/>
    <n v="0"/>
    <n v="1"/>
    <n v="0"/>
    <n v="0"/>
  </r>
  <r>
    <n v="31"/>
    <x v="2"/>
    <n v="-1.914953380717666"/>
    <n v="0.79511695414366257"/>
    <n v="0.85654072746838106"/>
    <n v="0.91228271047661635"/>
    <n v="0.38764052319561237"/>
    <n v="0.48106720160171512"/>
    <n v="0.64710324205853842"/>
    <n v="-11.51292546497023"/>
    <n v="1.665048632597683"/>
    <n v="-1.447732346433706"/>
    <n v="2.7930546671945402"/>
    <n v="2.7295122535389189"/>
    <n v="-11.51292546497023"/>
    <n v="6.3542410731315613E-2"/>
    <n v="0"/>
    <n v="0"/>
    <n v="0"/>
    <n v="0"/>
    <n v="1"/>
    <n v="0"/>
    <n v="0"/>
  </r>
  <r>
    <n v="31"/>
    <x v="3"/>
    <n v="-1.896107555932413"/>
    <n v="0.74881837793040629"/>
    <n v="0.79511695414366257"/>
    <n v="0.85654072746838106"/>
    <n v="0.35760451175666452"/>
    <n v="0.38764052319561237"/>
    <n v="0.48106720160171512"/>
    <n v="-9.905169387458578"/>
    <n v="1.665048632597683"/>
    <n v="-1.365071522325926"/>
    <n v="2.7444865995273799"/>
    <n v="2.783847588516756"/>
    <n v="-11.51292546497023"/>
    <n v="-3.9360988885164261E-2"/>
    <n v="0"/>
    <n v="0"/>
    <n v="0"/>
    <n v="0"/>
    <n v="1"/>
    <n v="0"/>
    <n v="0"/>
  </r>
  <r>
    <n v="31"/>
    <x v="4"/>
    <n v="-1.6874307470552039"/>
    <n v="0.7236763855947681"/>
    <n v="0.74881837793040629"/>
    <n v="0.79511695414366257"/>
    <n v="0.41462304589292998"/>
    <n v="0.35760451175666452"/>
    <n v="0.38764052319561237"/>
    <n v="-9.2043818049227788"/>
    <n v="1.665048632597683"/>
    <n v="-1.2660821794952271"/>
    <n v="2.8713640733960721"/>
    <n v="2.7521270015036121"/>
    <n v="-11.51292546497023"/>
    <n v="0.11923707276582718"/>
    <n v="0"/>
    <n v="0"/>
    <n v="0"/>
    <n v="0"/>
    <n v="1"/>
    <n v="0"/>
    <n v="0"/>
  </r>
  <r>
    <n v="31"/>
    <x v="5"/>
    <n v="-1.571107417726038"/>
    <n v="0.76248665863855825"/>
    <n v="0.7236763855947681"/>
    <n v="0.74881837793040629"/>
    <n v="0.5019261405789579"/>
    <n v="0.41462304589292998"/>
    <n v="0.35760451175666452"/>
    <n v="-7.6926051806889442"/>
    <n v="1.665048632597683"/>
    <n v="-1.1720532749662791"/>
    <n v="2.9297951104025599"/>
    <n v="2.8790633008533519"/>
    <n v="-11.51292546497023"/>
    <n v="5.0731807947158813E-2"/>
    <n v="0"/>
    <n v="0"/>
    <n v="0"/>
    <n v="0"/>
    <n v="1"/>
    <n v="0"/>
    <n v="0"/>
  </r>
  <r>
    <n v="31"/>
    <x v="6"/>
    <n v="-1.4934795514968711"/>
    <n v="0.71285176383428073"/>
    <n v="0.76248665863855825"/>
    <n v="0.7236763855947681"/>
    <n v="0.43580030790423729"/>
    <n v="0.5019261405789579"/>
    <n v="0.41462304589292998"/>
    <n v="-7.2571705350392399"/>
    <n v="1.665048632597683"/>
    <n v="-1.1022677043832061"/>
    <n v="2.9471360520100429"/>
    <n v="2.9233970037731618"/>
    <n v="-11.51292546497023"/>
    <n v="2.3739047348499298E-2"/>
    <n v="0"/>
    <n v="0"/>
    <n v="0"/>
    <n v="0"/>
    <n v="1"/>
    <n v="0"/>
    <n v="0"/>
  </r>
  <r>
    <n v="31"/>
    <x v="7"/>
    <n v="-1.4869349667615681"/>
    <n v="0.68355128688649835"/>
    <n v="0.71285176383428073"/>
    <n v="0.76248665863855825"/>
    <n v="0.35942116960675757"/>
    <n v="0.43580030790423729"/>
    <n v="0.5019261405789579"/>
    <n v="-6.4362162170172619"/>
    <n v="1.665048632597683"/>
    <n v="-1.0743911160916"/>
    <n v="2.9366529053581152"/>
    <n v="2.9106401381808178"/>
    <n v="-11.51292546497023"/>
    <n v="2.6012767106294632E-2"/>
    <n v="0"/>
    <n v="0"/>
    <n v="0"/>
    <n v="0"/>
    <n v="1"/>
    <n v="0"/>
    <n v="0"/>
  </r>
  <r>
    <n v="31"/>
    <x v="8"/>
    <n v="-1.425130660492147"/>
    <n v="0.65206473545871535"/>
    <n v="0.68355128688649835"/>
    <n v="0.71285176383428073"/>
    <n v="0.34861252984868768"/>
    <n v="0.35942116960675757"/>
    <n v="0.43580030790423729"/>
    <n v="-5.7806517388186291"/>
    <n v="1.665048632597683"/>
    <n v="-1.0264351275750001"/>
    <n v="2.911310392527914"/>
    <n v="2.929841861663526"/>
    <n v="-11.51292546497023"/>
    <n v="-1.8531469628214836E-2"/>
    <n v="0"/>
    <n v="0"/>
    <n v="0"/>
    <n v="0"/>
    <n v="1"/>
    <n v="0"/>
    <n v="0"/>
  </r>
  <r>
    <n v="31"/>
    <x v="9"/>
    <n v="-1.580485424436801"/>
    <n v="0.67365850397608285"/>
    <n v="0.65206473545871535"/>
    <n v="0.68355128688649835"/>
    <n v="0.30032678998485968"/>
    <n v="0.34861252984868768"/>
    <n v="0.35942116960675757"/>
    <n v="-5.4134254298042874"/>
    <n v="1.665048632597683"/>
    <n v="-0.99061680141015673"/>
    <n v="2.8370914305315349"/>
    <n v="2.9048202917486639"/>
    <n v="-11.51292546497023"/>
    <n v="-6.7728862166404724E-2"/>
    <n v="1"/>
    <n v="0"/>
    <n v="0"/>
    <n v="0"/>
    <n v="1"/>
    <n v="0"/>
    <n v="0"/>
  </r>
  <r>
    <n v="31"/>
    <x v="10"/>
    <n v="-1.537501426855469"/>
    <n v="0.70877443644564431"/>
    <n v="0.67365850397608285"/>
    <n v="0.65206473545871535"/>
    <n v="0.39467375702994367"/>
    <n v="0.30032678998485968"/>
    <n v="0.34861252984868768"/>
    <n v="-5.0618123912569919"/>
    <n v="1.665048632597683"/>
    <n v="-0.9609825132529638"/>
    <n v="2.800931067191438"/>
    <n v="2.8309548340103299"/>
    <n v="-11.51292546497023"/>
    <n v="-3.0023766681551933E-2"/>
    <n v="1"/>
    <n v="0"/>
    <n v="0"/>
    <n v="0"/>
    <n v="1"/>
    <n v="0"/>
    <n v="0"/>
  </r>
  <r>
    <n v="31"/>
    <x v="11"/>
    <n v="-1.5306391406381299"/>
    <n v="0.71676604615857931"/>
    <n v="0.70877443644564431"/>
    <n v="0.67365850397608285"/>
    <n v="0.38028404291090551"/>
    <n v="0.39467375702994367"/>
    <n v="0.30032678998485968"/>
    <n v="-4.4166902227234708"/>
    <n v="1.665048632597683"/>
    <n v="-0.92806234712043212"/>
    <n v="2.8154043395803452"/>
    <n v="2.79513881878828"/>
    <n v="-11.51292546497023"/>
    <n v="2.0265521481633186E-2"/>
    <n v="1"/>
    <n v="0"/>
    <n v="0"/>
    <n v="0"/>
    <n v="1"/>
    <n v="0"/>
    <n v="0"/>
  </r>
  <r>
    <n v="31"/>
    <x v="12"/>
    <n v="-1.773131054291377"/>
    <n v="0.87304914583513249"/>
    <n v="0.71676604615857931"/>
    <n v="0.70877443644564431"/>
    <n v="0.45031099589999951"/>
    <n v="0.38028404291090551"/>
    <n v="0.39467375702994367"/>
    <n v="-3.950325063128457"/>
    <n v="1.665048632597683"/>
    <n v="-0.88429864165826255"/>
    <n v="2.839851858776707"/>
    <n v="2.8191459772272398"/>
    <n v="3.2580965380214821"/>
    <n v="2.0705882459878922E-2"/>
    <n v="1"/>
    <n v="0"/>
    <n v="0"/>
    <n v="0"/>
    <n v="1"/>
    <n v="0"/>
    <n v="0"/>
  </r>
  <r>
    <n v="31"/>
    <x v="13"/>
    <n v="-1.858401975125525"/>
    <n v="0.82868281335263771"/>
    <n v="0.87304914583513249"/>
    <n v="0.71676604615857931"/>
    <n v="0.38831894927319383"/>
    <n v="0.45031099589999951"/>
    <n v="0.38028404291090551"/>
    <n v="-3.206845334783671"/>
    <n v="1.665048632597683"/>
    <n v="-0.84793328981547011"/>
    <n v="2.8508349529448558"/>
    <n v="2.833780735630254"/>
    <n v="5.393627546352362"/>
    <n v="1.7054216936230659E-2"/>
    <n v="1"/>
    <n v="0"/>
    <n v="0"/>
    <n v="0"/>
    <n v="1"/>
    <n v="0"/>
    <n v="0"/>
  </r>
  <r>
    <n v="31"/>
    <x v="14"/>
    <n v="-1.8829612093822541"/>
    <n v="0.73835952338149324"/>
    <n v="0.82868281335263771"/>
    <n v="0.87304914583513249"/>
    <n v="0.34074879338847308"/>
    <n v="0.38831894927319383"/>
    <n v="0.45031099589999951"/>
    <n v="-2.5883590649293349"/>
    <n v="1.665048632597683"/>
    <n v="-0.83191594082884701"/>
    <n v="2.828616070877128"/>
    <n v="2.845000233169098"/>
    <n v="5.9914645471079817"/>
    <n v="-1.638416200876236E-2"/>
    <n v="1"/>
    <n v="1"/>
    <n v="0"/>
    <n v="0"/>
    <n v="1"/>
    <n v="0"/>
    <n v="0"/>
  </r>
  <r>
    <n v="31"/>
    <x v="15"/>
    <n v="-1.7583049679789671"/>
    <n v="0.94137351224161814"/>
    <n v="0.73835952338149324"/>
    <n v="0.82868281335263771"/>
    <n v="0.63350332763243034"/>
    <n v="0.34074879338847308"/>
    <n v="0.38831894927319383"/>
    <n v="-1.9290036984948411"/>
    <n v="1.665048632597683"/>
    <n v="-0.80830727196723884"/>
    <n v="2.9283190562134078"/>
    <n v="2.8230308486418569"/>
    <n v="6.6846117276679271"/>
    <n v="0.10528820753097534"/>
    <n v="1"/>
    <n v="0"/>
    <n v="0"/>
    <n v="0"/>
    <n v="1"/>
    <n v="0"/>
    <n v="0"/>
  </r>
  <r>
    <n v="31"/>
    <x v="16"/>
    <n v="-1.6094302601847861"/>
    <n v="0.92107924860595225"/>
    <n v="0.94137351224161814"/>
    <n v="0.73835952338149324"/>
    <n v="0.59960543615158113"/>
    <n v="0.63350332763243034"/>
    <n v="0.34074879338847308"/>
    <n v="-1.492004208403821"/>
    <n v="1.665048632597683"/>
    <n v="-0.77348469736340553"/>
    <n v="2.9018312435238851"/>
    <n v="2.9283190562134078"/>
    <n v="8.0551577318196781"/>
    <n v="-2.6487812399864197E-2"/>
    <n v="1"/>
    <n v="0"/>
    <n v="0"/>
    <n v="0"/>
    <n v="1"/>
    <n v="0"/>
    <n v="0"/>
  </r>
  <r>
    <n v="31"/>
    <x v="17"/>
    <n v="-1.4965861262527229"/>
    <n v="0.72149165356908784"/>
    <n v="0.92107924860595225"/>
    <n v="0.94137351224161814"/>
    <n v="0.35107931758157263"/>
    <n v="0.59960543615158113"/>
    <n v="0.63350332763243034"/>
    <n v="-0.96519406369813177"/>
    <n v="1.665048632597683"/>
    <n v="-0.7452298622928164"/>
    <n v="2.9210104236017731"/>
    <n v="2.9018312435238851"/>
    <n v="8.4658998970286863"/>
    <n v="1.9179180264472961E-2"/>
    <n v="1"/>
    <n v="0"/>
    <n v="0"/>
    <n v="0"/>
    <n v="1"/>
    <n v="0"/>
    <n v="0"/>
  </r>
  <r>
    <n v="32"/>
    <x v="0"/>
    <n v="-2.0154650404173702"/>
    <n v="0.96317431777300555"/>
    <n v="0.88957707835573163"/>
    <n v="0.8423858160261829"/>
    <n v="0.67803354274989713"/>
    <n v="0.46919079898870919"/>
    <n v="0.31736222655319152"/>
    <n v="-11.51292546497023"/>
    <n v="0.1210771896579252"/>
    <n v="-1.72030015686339"/>
    <n v="3.0345033139311699"/>
    <n v="2.9716296335152319"/>
    <n v="-11.51292546497023"/>
    <n v="6.2873683869838715E-2"/>
    <n v="0"/>
    <n v="0"/>
    <n v="0"/>
    <n v="0"/>
    <n v="1"/>
    <n v="0"/>
    <n v="0"/>
  </r>
  <r>
    <n v="32"/>
    <x v="1"/>
    <n v="-1.9854443444285541"/>
    <n v="0.91952549438408449"/>
    <n v="0.96317431777300555"/>
    <n v="0.88957707835573163"/>
    <n v="0.54412499416691684"/>
    <n v="0.67803354274989713"/>
    <n v="0.46919079898870919"/>
    <n v="-11.51292546497023"/>
    <n v="0.1210771896579252"/>
    <n v="-1.601206695277904"/>
    <n v="3.0998896343384841"/>
    <n v="3.0360398755975089"/>
    <n v="-11.51292546497023"/>
    <n v="6.3849762082099915E-2"/>
    <n v="0"/>
    <n v="0"/>
    <n v="0"/>
    <n v="0"/>
    <n v="1"/>
    <n v="0"/>
    <n v="0"/>
  </r>
  <r>
    <n v="32"/>
    <x v="2"/>
    <n v="-1.962435383477668"/>
    <n v="0.86600745356438702"/>
    <n v="0.91952549438408449"/>
    <n v="0.96317431777300555"/>
    <n v="0.47000362924573558"/>
    <n v="0.54412499416691684"/>
    <n v="0.67803354274989713"/>
    <n v="-11.51292546497023"/>
    <n v="0.1210771896579252"/>
    <n v="-1.4792777697496631"/>
    <n v="3.1899582055058429"/>
    <n v="3.1014288502095142"/>
    <n v="-11.51292546497023"/>
    <n v="8.8529355823993683E-2"/>
    <n v="0"/>
    <n v="0"/>
    <n v="0"/>
    <n v="0"/>
    <n v="1"/>
    <n v="0"/>
    <n v="0"/>
  </r>
  <r>
    <n v="32"/>
    <x v="3"/>
    <n v="-1.920097925506407"/>
    <n v="0.82382450420156139"/>
    <n v="0.86600745356438702"/>
    <n v="0.91952549438408449"/>
    <n v="0.46662292108625802"/>
    <n v="0.47000362924573558"/>
    <n v="0.54412499416691684"/>
    <n v="-8.1568541141611828"/>
    <n v="0.1210771896579252"/>
    <n v="-1.3854822910721349"/>
    <n v="3.0689971607260609"/>
    <n v="3.1802898549320782"/>
    <n v="-11.51292546497023"/>
    <n v="-0.11129269748926163"/>
    <n v="0"/>
    <n v="0"/>
    <n v="0"/>
    <n v="0"/>
    <n v="1"/>
    <n v="0"/>
    <n v="0"/>
  </r>
  <r>
    <n v="32"/>
    <x v="4"/>
    <n v="-1.706711018642455"/>
    <n v="0.78895723540592111"/>
    <n v="0.82382450420156139"/>
    <n v="0.86600745356438702"/>
    <n v="0.50748003351489412"/>
    <n v="0.46662292108625802"/>
    <n v="0.47000362924573558"/>
    <n v="-7.4722525615834847"/>
    <n v="0.1210771896579252"/>
    <n v="-1.3149918360292321"/>
    <n v="3.1886505585110809"/>
    <n v="3.0604515327438668"/>
    <n v="-11.51292546497023"/>
    <n v="0.1281990259885788"/>
    <n v="0"/>
    <n v="0"/>
    <n v="0"/>
    <n v="0"/>
    <n v="1"/>
    <n v="0"/>
    <n v="0"/>
  </r>
  <r>
    <n v="32"/>
    <x v="5"/>
    <n v="-1.60053839816128"/>
    <n v="0.79077285934438513"/>
    <n v="0.78895723540592111"/>
    <n v="0.82382450420156139"/>
    <n v="0.60355064674818915"/>
    <n v="0.50748003351489412"/>
    <n v="0.46662292108625802"/>
    <n v="-5.5348156310996162"/>
    <n v="0.1210771896579252"/>
    <n v="-1.2476551676735821"/>
    <n v="3.317190439872213"/>
    <n v="3.1801773399395339"/>
    <n v="-11.51292546497023"/>
    <n v="0.13701309263706207"/>
    <n v="0"/>
    <n v="0"/>
    <n v="0"/>
    <n v="0"/>
    <n v="1"/>
    <n v="0"/>
    <n v="0"/>
  </r>
  <r>
    <n v="32"/>
    <x v="6"/>
    <n v="-1.471108373131875"/>
    <n v="0.71998383451350489"/>
    <n v="0.79077285934438513"/>
    <n v="0.78895723540592111"/>
    <n v="0.57986649410097901"/>
    <n v="0.60355064674818915"/>
    <n v="0.50748003351489412"/>
    <n v="-5.1380555517149187"/>
    <n v="0.1210771896579252"/>
    <n v="-1.179704367233158"/>
    <n v="3.329732396070292"/>
    <n v="3.3084854111487361"/>
    <n v="-11.51292546497023"/>
    <n v="2.1246984601020813E-2"/>
    <n v="0"/>
    <n v="0"/>
    <n v="0"/>
    <n v="0"/>
    <n v="1"/>
    <n v="0"/>
    <n v="0"/>
  </r>
  <r>
    <n v="32"/>
    <x v="7"/>
    <n v="-1.494133934603429"/>
    <n v="0.68355128688649835"/>
    <n v="0.71998383451350489"/>
    <n v="0.79077285934438513"/>
    <n v="0.53456168144257443"/>
    <n v="0.57986649410097901"/>
    <n v="0.60355064674818915"/>
    <n v="-4.491862412090355"/>
    <n v="0.1210771896579252"/>
    <n v="-1.1875772680358909"/>
    <n v="3.190504739213627"/>
    <n v="3.2592478577247208"/>
    <n v="-11.51292546497023"/>
    <n v="-6.8743117153644562E-2"/>
    <n v="0"/>
    <n v="0"/>
    <n v="0"/>
    <n v="0"/>
    <n v="1"/>
    <n v="0"/>
    <n v="0"/>
  </r>
  <r>
    <n v="32"/>
    <x v="8"/>
    <n v="-1.4244153753066211"/>
    <n v="0.65876275369811454"/>
    <n v="0.68355128688649835"/>
    <n v="0.71998383451350489"/>
    <n v="0.51950782414882457"/>
    <n v="0.53456168144257443"/>
    <n v="0.57986649410097901"/>
    <n v="-3.810543579081318"/>
    <n v="0.1210771896579252"/>
    <n v="-1.1445370486744579"/>
    <n v="3.1967545587293689"/>
    <n v="3.1786763916627172"/>
    <n v="-11.51292546497023"/>
    <n v="1.8078166991472244E-2"/>
    <n v="0"/>
    <n v="0"/>
    <n v="0"/>
    <n v="0"/>
    <n v="1"/>
    <n v="0"/>
    <n v="0"/>
  </r>
  <r>
    <n v="32"/>
    <x v="9"/>
    <n v="-1.455241445631601"/>
    <n v="0.67661121191984575"/>
    <n v="0.65876275369811454"/>
    <n v="0.68355128688649835"/>
    <n v="0.48839594879980602"/>
    <n v="0.51950782414882457"/>
    <n v="0.53456168144257443"/>
    <n v="-3.5314399299331951"/>
    <n v="0.1210771896579252"/>
    <n v="-1.1171376979228"/>
    <n v="3.0447393750450531"/>
    <n v="3.185273375767748"/>
    <n v="-11.51292546497023"/>
    <n v="-0.14053399860858917"/>
    <n v="1"/>
    <n v="0"/>
    <n v="0"/>
    <n v="0"/>
    <n v="1"/>
    <n v="0"/>
    <n v="0"/>
  </r>
  <r>
    <n v="32"/>
    <x v="10"/>
    <n v="-1.4339957442757869"/>
    <n v="0.70066882195879143"/>
    <n v="0.67661121191984575"/>
    <n v="0.65876275369811454"/>
    <n v="0.56092921073223634"/>
    <n v="0.48839594879980602"/>
    <n v="0.51950782414882457"/>
    <n v="-3.3386922842303748"/>
    <n v="0.1210771896579252"/>
    <n v="-1.100672190265807"/>
    <n v="2.858973286589729"/>
    <n v="3.0336592587329538"/>
    <n v="-11.51292546497023"/>
    <n v="-0.17468596994876862"/>
    <n v="1"/>
    <n v="0"/>
    <n v="0"/>
    <n v="0"/>
    <n v="1"/>
    <n v="0"/>
    <n v="0"/>
  </r>
  <r>
    <n v="32"/>
    <x v="11"/>
    <n v="-1.4548490777612779"/>
    <n v="0.69574380640721123"/>
    <n v="0.70066882195879143"/>
    <n v="0.67661121191984575"/>
    <n v="0.57464513647894466"/>
    <n v="0.56092921073223634"/>
    <n v="0.48839594879980602"/>
    <n v="-2.7221811997148042"/>
    <n v="0.1210771896579252"/>
    <n v="-1.0829756218864179"/>
    <n v="2.8493892042478808"/>
    <n v="2.848295158337153"/>
    <n v="-11.51292546497023"/>
    <n v="1.0940459324046969E-3"/>
    <n v="1"/>
    <n v="0"/>
    <n v="0"/>
    <n v="0"/>
    <n v="1"/>
    <n v="0"/>
    <n v="0"/>
  </r>
  <r>
    <n v="32"/>
    <x v="12"/>
    <n v="-1.474068202726299"/>
    <n v="0.80892821354565558"/>
    <n v="0.69574380640721123"/>
    <n v="0.70066882195879143"/>
    <n v="0.60163478005383786"/>
    <n v="0.57464513647894466"/>
    <n v="0.56092921073223634"/>
    <n v="-2.1175119716893631"/>
    <n v="0.1210771896579252"/>
    <n v="-1.0407638899801599"/>
    <n v="3.0056482580876702"/>
    <n v="2.860396802928181"/>
    <n v="3.2580965380214821"/>
    <n v="0.14525145292282104"/>
    <n v="1"/>
    <n v="0"/>
    <n v="0"/>
    <n v="0"/>
    <n v="1"/>
    <n v="0"/>
    <n v="0"/>
  </r>
  <r>
    <n v="32"/>
    <x v="13"/>
    <n v="-1.4606561361193731"/>
    <n v="0.78481436908576918"/>
    <n v="0.80892821354565558"/>
    <n v="0.69574380640721123"/>
    <n v="0.56781068924864764"/>
    <n v="0.60163478005383786"/>
    <n v="0.57464513647894466"/>
    <n v="-1.4401362695257149"/>
    <n v="0.1210771896579252"/>
    <n v="-1.019930205089437"/>
    <n v="2.9550679697659179"/>
    <n v="2.994069657951409"/>
    <n v="5.393627546352362"/>
    <n v="-3.9001688361167908E-2"/>
    <n v="1"/>
    <n v="0"/>
    <n v="0"/>
    <n v="0"/>
    <n v="1"/>
    <n v="0"/>
    <n v="0"/>
  </r>
  <r>
    <n v="32"/>
    <x v="14"/>
    <n v="-1.5028086365445701"/>
    <n v="0.68056839835308525"/>
    <n v="0.78481436908576918"/>
    <n v="0.80892821354565558"/>
    <n v="0.52360363612520588"/>
    <n v="0.56781068924864764"/>
    <n v="0.60163478005383786"/>
    <n v="-0.87155225440774209"/>
    <n v="0.1210771896579252"/>
    <n v="-1.002540329386377"/>
    <n v="2.8890963972944359"/>
    <n v="2.9438334896309488"/>
    <n v="5.9914645471079817"/>
    <n v="-5.4737091064453125E-2"/>
    <n v="1"/>
    <n v="1"/>
    <n v="0"/>
    <n v="0"/>
    <n v="1"/>
    <n v="0"/>
    <n v="0"/>
  </r>
  <r>
    <n v="32"/>
    <x v="15"/>
    <n v="-1.3732322435946691"/>
    <n v="0.91605070306954628"/>
    <n v="0.68056839835308525"/>
    <n v="0.78481436908576918"/>
    <n v="0.7530185775973357"/>
    <n v="0.52360363612520588"/>
    <n v="0.56781068924864764"/>
    <n v="-0.1537470462107792"/>
    <n v="0.1210771896579252"/>
    <n v="-0.98375136577726552"/>
    <n v="3.0526313545272359"/>
    <n v="2.8782169571944691"/>
    <n v="6.6846117276679271"/>
    <n v="0.17441439628601074"/>
    <n v="1"/>
    <n v="0"/>
    <n v="0"/>
    <n v="0"/>
    <n v="1"/>
    <n v="0"/>
    <n v="0"/>
  </r>
  <r>
    <n v="32"/>
    <x v="16"/>
    <n v="-1.408030673586286"/>
    <n v="0.91948562277067425"/>
    <n v="0.91605070306954628"/>
    <n v="0.68056839835308525"/>
    <n v="0.73620667002039231"/>
    <n v="0.7530185775973357"/>
    <n v="0.52360363612520588"/>
    <n v="0.2069221807398918"/>
    <n v="0.1210771896579252"/>
    <n v="-0.95235125574320523"/>
    <n v="2.9498901365852981"/>
    <n v="3.0526313545272359"/>
    <n v="8.0551577318196781"/>
    <n v="-0.10274121910333633"/>
    <n v="1"/>
    <n v="0"/>
    <n v="0"/>
    <n v="0"/>
    <n v="1"/>
    <n v="0"/>
    <n v="0"/>
  </r>
  <r>
    <n v="32"/>
    <x v="17"/>
    <n v="-1.409933029471633"/>
    <n v="0.77094120799996546"/>
    <n v="0.91948562277067425"/>
    <n v="0.91605070306954628"/>
    <n v="0.51372142687801625"/>
    <n v="0.73620667002039231"/>
    <n v="0.7530185775973357"/>
    <n v="0.80364040826699634"/>
    <n v="0.1210771896579252"/>
    <n v="-0.91589480276000479"/>
    <n v="3.038862087768913"/>
    <n v="2.9498901365852981"/>
    <n v="8.4658998970286863"/>
    <n v="8.8971950113773346E-2"/>
    <n v="1"/>
    <n v="0"/>
    <n v="0"/>
    <n v="0"/>
    <n v="1"/>
    <n v="0"/>
    <n v="0"/>
  </r>
  <r>
    <n v="33"/>
    <x v="0"/>
    <n v="-2.237512838161928"/>
    <n v="0.94000725849147115"/>
    <n v="0.88107797611841054"/>
    <n v="0.83768033129224362"/>
    <n v="0.63127177684185776"/>
    <n v="0.47561286801024621"/>
    <n v="0.34089103078292382"/>
    <n v="-11.51292546497023"/>
    <n v="0.82647109558213605"/>
    <n v="-1.70570799043904"/>
    <n v="3.2560988326107489"/>
    <n v="3.2165286519569731"/>
    <n v="-11.51292546497023"/>
    <n v="3.9570178836584091E-2"/>
    <n v="0"/>
    <n v="0"/>
    <n v="0"/>
    <n v="0"/>
    <n v="1"/>
    <n v="0"/>
    <n v="0"/>
  </r>
  <r>
    <n v="33"/>
    <x v="1"/>
    <n v="-2.2630099486957058"/>
    <n v="0.88459364513090055"/>
    <n v="0.94000725849147115"/>
    <n v="0.88107797611841054"/>
    <n v="0.48698364928041982"/>
    <n v="0.63127177684185776"/>
    <n v="0.47561286801024621"/>
    <n v="-11.51292546497023"/>
    <n v="0.82647109558213605"/>
    <n v="-1.646945585204012"/>
    <n v="3.2606676200173892"/>
    <n v="3.2461673473665589"/>
    <n v="-11.51292546497023"/>
    <n v="1.4500272460281849E-2"/>
    <n v="0"/>
    <n v="0"/>
    <n v="0"/>
    <n v="0"/>
    <n v="1"/>
    <n v="0"/>
    <n v="0"/>
  </r>
  <r>
    <n v="33"/>
    <x v="2"/>
    <n v="-2.2843596656263521"/>
    <n v="0.83512405945549484"/>
    <n v="0.88459364513090055"/>
    <n v="0.94000725849147115"/>
    <n v="0.41785470575408717"/>
    <n v="0.48698364928041982"/>
    <n v="0.63127177684185776"/>
    <n v="-11.51292546497023"/>
    <n v="0.82647109558213605"/>
    <n v="-1.584602466258185"/>
    <n v="3.3225279254154221"/>
    <n v="3.2508338000063959"/>
    <n v="-11.51292546497023"/>
    <n v="7.1694128215312958E-2"/>
    <n v="0"/>
    <n v="0"/>
    <n v="0"/>
    <n v="0"/>
    <n v="1"/>
    <n v="0"/>
    <n v="0"/>
  </r>
  <r>
    <n v="33"/>
    <x v="3"/>
    <n v="-2.2804418069396069"/>
    <n v="0.80074519115796339"/>
    <n v="0.83512405945549484"/>
    <n v="0.88459364513090055"/>
    <n v="0.39332504821399572"/>
    <n v="0.41785470575408717"/>
    <n v="0.48698364928041982"/>
    <n v="-9.6809956013844154"/>
    <n v="0.82647109558213605"/>
    <n v="-1.5249243700995121"/>
    <n v="3.2780036200734699"/>
    <n v="3.3138669607552518"/>
    <n v="-11.51292546497023"/>
    <n v="-3.5863339900970459E-2"/>
    <n v="0"/>
    <n v="0"/>
    <n v="0"/>
    <n v="0"/>
    <n v="1"/>
    <n v="0"/>
    <n v="0"/>
  </r>
  <r>
    <n v="33"/>
    <x v="4"/>
    <n v="-2.1519550381873729"/>
    <n v="0.77398956840404609"/>
    <n v="0.80074519115796339"/>
    <n v="0.83512405945549484"/>
    <n v="0.42533309274563069"/>
    <n v="0.39332504821399572"/>
    <n v="0.41785470575408717"/>
    <n v="-8.5855714562939589"/>
    <n v="0.82647109558213605"/>
    <n v="-1.4550788418249221"/>
    <n v="3.3325037359465162"/>
    <n v="3.2748154764963191"/>
    <n v="-11.51292546497023"/>
    <n v="5.7688258588314056E-2"/>
    <n v="0"/>
    <n v="0"/>
    <n v="0"/>
    <n v="0"/>
    <n v="1"/>
    <n v="0"/>
    <n v="0"/>
  </r>
  <r>
    <n v="33"/>
    <x v="5"/>
    <n v="-1.9553968459507789"/>
    <n v="0.77670677365887608"/>
    <n v="0.77398956840404609"/>
    <n v="0.80074519115796339"/>
    <n v="0.54290551722940239"/>
    <n v="0.42533309274563069"/>
    <n v="0.39332504821399572"/>
    <n v="-6.9793114934077973"/>
    <n v="0.82647109558213605"/>
    <n v="-1.3877135055700109"/>
    <n v="3.3803102737778499"/>
    <n v="3.329325786398154"/>
    <n v="-11.51292546497023"/>
    <n v="5.0984486937522888E-2"/>
    <n v="0"/>
    <n v="0"/>
    <n v="0"/>
    <n v="0"/>
    <n v="1"/>
    <n v="0"/>
    <n v="0"/>
  </r>
  <r>
    <n v="33"/>
    <x v="6"/>
    <n v="-1.8824604353078249"/>
    <n v="0.72701706506756059"/>
    <n v="0.77670677365887608"/>
    <n v="0.77398956840404609"/>
    <n v="0.48168513401957352"/>
    <n v="0.54290551722940239"/>
    <n v="0.42533309274563069"/>
    <n v="-6.5592065445550389"/>
    <n v="0.82647109558213605"/>
    <n v="-1.32546433749687"/>
    <n v="3.410883565693982"/>
    <n v="3.3729712078036278"/>
    <n v="-11.51292546497023"/>
    <n v="3.7912357598543167E-2"/>
    <n v="0"/>
    <n v="0"/>
    <n v="0"/>
    <n v="0"/>
    <n v="1"/>
    <n v="0"/>
    <n v="0"/>
  </r>
  <r>
    <n v="33"/>
    <x v="7"/>
    <n v="-1.833439934878303"/>
    <n v="0.72090825134533554"/>
    <n v="0.72701706506756059"/>
    <n v="0.77670677365887608"/>
    <n v="0.45082080982896172"/>
    <n v="0.48168513401957352"/>
    <n v="0.54290551722940239"/>
    <n v="-5.7141714698248407"/>
    <n v="0.82647109558213605"/>
    <n v="-1.2719662823073969"/>
    <n v="3.4187957986930062"/>
    <n v="3.402428809789027"/>
    <n v="-11.51292546497023"/>
    <n v="1.636698842048645E-2"/>
    <n v="0"/>
    <n v="0"/>
    <n v="0"/>
    <n v="0"/>
    <n v="1"/>
    <n v="0"/>
    <n v="0"/>
  </r>
  <r>
    <n v="33"/>
    <x v="8"/>
    <n v="-1.749828565635781"/>
    <n v="0.70116495215352848"/>
    <n v="0.72090825134533554"/>
    <n v="0.72701706506756059"/>
    <n v="0.45622159177194999"/>
    <n v="0.45082080982896172"/>
    <n v="0.48168513401957352"/>
    <n v="-5.0547993852039159"/>
    <n v="0.82647109558213605"/>
    <n v="-1.2217981484674389"/>
    <n v="3.4036344688988498"/>
    <n v="3.413191579720682"/>
    <n v="-11.51292546497023"/>
    <n v="-9.5571111887693405E-3"/>
    <n v="0"/>
    <n v="0"/>
    <n v="0"/>
    <n v="0"/>
    <n v="1"/>
    <n v="0"/>
    <n v="0"/>
  </r>
  <r>
    <n v="33"/>
    <x v="9"/>
    <n v="-1.8007779194908979"/>
    <n v="0.72571117143320785"/>
    <n v="0.70116495215352848"/>
    <n v="0.72090825134533554"/>
    <n v="0.46304195291218431"/>
    <n v="0.45622159177194999"/>
    <n v="0.45082080982896172"/>
    <n v="-4.7101965250097608"/>
    <n v="0.82647109558213605"/>
    <n v="-1.186573062907786"/>
    <n v="3.3073660326615402"/>
    <n v="3.398251373305063"/>
    <n v="-11.51292546497023"/>
    <n v="-9.0885341167449951E-2"/>
    <n v="1"/>
    <n v="0"/>
    <n v="0"/>
    <n v="0"/>
    <n v="1"/>
    <n v="0"/>
    <n v="0"/>
  </r>
  <r>
    <n v="33"/>
    <x v="10"/>
    <n v="-1.823923987083893"/>
    <n v="0.76383860868247833"/>
    <n v="0.72571117143320785"/>
    <n v="0.70116495215352848"/>
    <n v="0.57334961710434951"/>
    <n v="0.46304195291218431"/>
    <n v="0.45622159177194999"/>
    <n v="-4.4310570297258298"/>
    <n v="0.82647109558213583"/>
    <n v="-1.164044452768576"/>
    <n v="3.19542542152741"/>
    <n v="3.3021848031963952"/>
    <n v="-11.51292546497023"/>
    <n v="-0.10675938427448273"/>
    <n v="1"/>
    <n v="0"/>
    <n v="0"/>
    <n v="0"/>
    <n v="1"/>
    <n v="0"/>
    <n v="0"/>
  </r>
  <r>
    <n v="33"/>
    <x v="11"/>
    <n v="-1.8911561148776641"/>
    <n v="0.78211913436220926"/>
    <n v="0.76383860868247833"/>
    <n v="0.72571117143320785"/>
    <n v="0.56565466004466869"/>
    <n v="0.57334961710434951"/>
    <n v="0.46304195291218431"/>
    <n v="-3.794709301107944"/>
    <n v="0.82647109558213583"/>
    <n v="-1.1451991938333961"/>
    <n v="3.201971591587994"/>
    <n v="3.1904510374499342"/>
    <n v="-11.51292546497023"/>
    <n v="1.1520554311573505E-2"/>
    <n v="1"/>
    <n v="0"/>
    <n v="0"/>
    <n v="0"/>
    <n v="1"/>
    <n v="0"/>
    <n v="0"/>
  </r>
  <r>
    <n v="33"/>
    <x v="12"/>
    <n v="-2.1486303885364362"/>
    <n v="0.9108358811911913"/>
    <n v="0.78211913436220926"/>
    <n v="0.76383860868247833"/>
    <n v="0.59316108568401837"/>
    <n v="0.56565466004466869"/>
    <n v="0.57334961710434951"/>
    <n v="-3.3303391138897651"/>
    <n v="0.82647109558213605"/>
    <n v="-1.144966067317355"/>
    <n v="3.2541256695778928"/>
    <n v="3.175935994048924"/>
    <n v="3.2580965380214821"/>
    <n v="7.8189678490161896E-2"/>
    <n v="1"/>
    <n v="0"/>
    <n v="0"/>
    <n v="0"/>
    <n v="1"/>
    <n v="0"/>
    <n v="0"/>
  </r>
  <r>
    <n v="33"/>
    <x v="13"/>
    <n v="-2.13907748087883"/>
    <n v="0.87070742025218939"/>
    <n v="0.9108358811911913"/>
    <n v="0.78211913436220926"/>
    <n v="0.63254755843101573"/>
    <n v="0.59316108568401837"/>
    <n v="0.56565466004466869"/>
    <n v="-2.6191548710812809"/>
    <n v="0.82647109558213605"/>
    <n v="-1.1202000938310921"/>
    <n v="3.2340371263750378"/>
    <n v="3.2480264032731321"/>
    <n v="5.393627546352362"/>
    <n v="-1.3989277184009552E-2"/>
    <n v="1"/>
    <n v="0"/>
    <n v="0"/>
    <n v="0"/>
    <n v="1"/>
    <n v="0"/>
    <n v="0"/>
  </r>
  <r>
    <n v="33"/>
    <x v="14"/>
    <n v="-2.2366779689925438"/>
    <n v="0.80571664916344143"/>
    <n v="0.87070742025218939"/>
    <n v="0.9108358811911913"/>
    <n v="0.60387871280176308"/>
    <n v="0.63254755843101573"/>
    <n v="0.59316108568401837"/>
    <n v="-2.081643006335685"/>
    <n v="0.82647109558213605"/>
    <n v="-1.1083155054469129"/>
    <n v="3.1314304889748761"/>
    <n v="3.228190000820085"/>
    <n v="5.9914645471079817"/>
    <n v="-9.6759513020515442E-2"/>
    <n v="1"/>
    <n v="1"/>
    <n v="0"/>
    <n v="0"/>
    <n v="1"/>
    <n v="0"/>
    <n v="0"/>
  </r>
  <r>
    <n v="33"/>
    <x v="15"/>
    <n v="-2.2436494113731271"/>
    <n v="0.99017296426485946"/>
    <n v="0.80571664916344143"/>
    <n v="0.87070742025218939"/>
    <n v="0.80972949563980989"/>
    <n v="0.60387871280176308"/>
    <n v="0.63254755843101573"/>
    <n v="-1.41955856591758"/>
    <n v="0.82647109558213605"/>
    <n v="-1.089817092932543"/>
    <n v="3.2337584360799538"/>
    <n v="3.1258513020199721"/>
    <n v="6.6846117276679271"/>
    <n v="0.10790713131427765"/>
    <n v="1"/>
    <n v="0"/>
    <n v="0"/>
    <n v="0"/>
    <n v="1"/>
    <n v="0"/>
    <n v="0"/>
  </r>
  <r>
    <n v="33"/>
    <x v="16"/>
    <n v="-2.1213573857838068"/>
    <n v="0.95273837284520058"/>
    <n v="0.99017296426485946"/>
    <n v="0.80571664916344143"/>
    <n v="0.75912216948347822"/>
    <n v="0.80972949563980989"/>
    <n v="0.60387871280176308"/>
    <n v="-0.84360259996342513"/>
    <n v="0.82647109558213605"/>
    <n v="-1.0708892735523441"/>
    <n v="3.3463959725109111"/>
    <n v="3.2337584360799538"/>
    <n v="8.0551577318196781"/>
    <n v="0.11263753473758698"/>
    <n v="1"/>
    <n v="0"/>
    <n v="0"/>
    <n v="0"/>
    <n v="1"/>
    <n v="0"/>
    <n v="0"/>
  </r>
  <r>
    <n v="33"/>
    <x v="17"/>
    <n v="-1.9706228229045011"/>
    <n v="0.75108584548039126"/>
    <n v="0.95273837284520058"/>
    <n v="0.99017296426485946"/>
    <n v="0.49035757512612699"/>
    <n v="0.75912216948347822"/>
    <n v="0.80972949563980989"/>
    <n v="-0.36954702057257222"/>
    <n v="0.82647109558213605"/>
    <n v="-1.047297432211312"/>
    <n v="3.3127315355148799"/>
    <n v="3.3463959725109111"/>
    <n v="8.4658998970286863"/>
    <n v="-3.3664435148239136E-2"/>
    <n v="1"/>
    <n v="0"/>
    <n v="0"/>
    <n v="0"/>
    <n v="1"/>
    <n v="0"/>
    <n v="0"/>
  </r>
  <r>
    <n v="35"/>
    <x v="0"/>
    <n v="-1.7630864665386961"/>
    <n v="0.89199803930511046"/>
    <n v="0.83290912293510388"/>
    <n v="0.77941661571212117"/>
    <n v="0.35065687161316927"/>
    <n v="0.19647097989837431"/>
    <n v="6.6068599969704711E-2"/>
    <n v="-11.51292546497023"/>
    <n v="1.265354355328006"/>
    <n v="-1.19793178021197"/>
    <n v="3.2978856822071889"/>
    <n v="3.259373679013422"/>
    <n v="-11.51292546497023"/>
    <n v="3.8512002676725388E-2"/>
    <n v="0"/>
    <n v="0"/>
    <n v="0"/>
    <n v="0"/>
    <n v="1"/>
    <n v="0"/>
    <n v="0"/>
  </r>
  <r>
    <n v="35"/>
    <x v="1"/>
    <n v="-1.746733925088098"/>
    <n v="0.83599132458942582"/>
    <n v="0.89199803930511046"/>
    <n v="0.83290912293510388"/>
    <n v="0.1954022963324851"/>
    <n v="0.35065687161316927"/>
    <n v="0.19647097989837431"/>
    <n v="-11.51292546497023"/>
    <n v="1.265354355328006"/>
    <n v="-1.1162756448768509"/>
    <n v="3.3624528263573801"/>
    <n v="3.2984228525399839"/>
    <n v="-11.51292546497023"/>
    <n v="6.4029976725578308E-2"/>
    <n v="0"/>
    <n v="0"/>
    <n v="0"/>
    <n v="0"/>
    <n v="1"/>
    <n v="0"/>
    <n v="0"/>
  </r>
  <r>
    <n v="35"/>
    <x v="2"/>
    <n v="-1.765048737085086"/>
    <n v="0.77449672625626842"/>
    <n v="0.83599132458942582"/>
    <n v="0.89199803930511046"/>
    <n v="0.13802129789737461"/>
    <n v="0.1954022963324851"/>
    <n v="0.35065687161316927"/>
    <n v="-11.51292546497023"/>
    <n v="1.265354355328006"/>
    <n v="-1.0360122036168831"/>
    <n v="3.386988115588411"/>
    <n v="3.3629902853972329"/>
    <n v="-11.51292546497023"/>
    <n v="2.3997830227017403E-2"/>
    <n v="0"/>
    <n v="0"/>
    <n v="0"/>
    <n v="0"/>
    <n v="1"/>
    <n v="0"/>
    <n v="0"/>
  </r>
  <r>
    <n v="35"/>
    <x v="3"/>
    <n v="-1.8212686673049381"/>
    <n v="0.73231981563441728"/>
    <n v="0.77449672625626842"/>
    <n v="0.83599132458942582"/>
    <n v="0.142020260020429"/>
    <n v="0.13802129789737461"/>
    <n v="0.1954022963324851"/>
    <n v="-9.9375033735161562"/>
    <n v="1.265354355328006"/>
    <n v="-0.97659553740601257"/>
    <n v="3.385375666510726"/>
    <n v="3.3779487205784622"/>
    <n v="-11.51292546497023"/>
    <n v="7.4269459582865238E-3"/>
    <n v="0"/>
    <n v="0"/>
    <n v="0"/>
    <n v="0"/>
    <n v="1"/>
    <n v="0"/>
    <n v="0"/>
  </r>
  <r>
    <n v="35"/>
    <x v="4"/>
    <n v="-1.7189817245146379"/>
    <n v="0.6995764683248491"/>
    <n v="0.73231981563441728"/>
    <n v="0.77449672625626842"/>
    <n v="0.21817120968765191"/>
    <n v="0.142020260020429"/>
    <n v="0.13802129789737461"/>
    <n v="-9.5344896104320913"/>
    <n v="1.265354355328006"/>
    <n v="-0.91249109744974854"/>
    <n v="3.440684568154373"/>
    <n v="3.382924321486628"/>
    <n v="-11.51292546497023"/>
    <n v="5.7760246098041534E-2"/>
    <n v="0"/>
    <n v="0"/>
    <n v="0"/>
    <n v="0"/>
    <n v="1"/>
    <n v="0"/>
    <n v="0"/>
  </r>
  <r>
    <n v="35"/>
    <x v="5"/>
    <n v="-1.4805213850711589"/>
    <n v="0.7072473049387269"/>
    <n v="0.6995764683248491"/>
    <n v="0.73231981563441728"/>
    <n v="0.36241841856579821"/>
    <n v="0.21817120968765191"/>
    <n v="0.142020260020429"/>
    <n v="-7.8023339297130283"/>
    <n v="1.265354355328006"/>
    <n v="-0.85356057190685719"/>
    <n v="3.4623864788456791"/>
    <n v="3.4382391934854799"/>
    <n v="-11.51292546497023"/>
    <n v="2.4147285148501396E-2"/>
    <n v="0"/>
    <n v="0"/>
    <n v="0"/>
    <n v="0"/>
    <n v="1"/>
    <n v="0"/>
    <n v="0"/>
  </r>
  <r>
    <n v="35"/>
    <x v="6"/>
    <n v="-1.402603731890806"/>
    <n v="0.65044842602683006"/>
    <n v="0.7072473049387269"/>
    <n v="0.6995764683248491"/>
    <n v="0.27299981366563941"/>
    <n v="0.36241841856579821"/>
    <n v="0.21817120968765191"/>
    <n v="-7.4650163682179782"/>
    <n v="1.265354355328006"/>
    <n v="-0.80722742659963931"/>
    <n v="3.4601654748241999"/>
    <n v="3.45486355404898"/>
    <n v="-11.51292546497023"/>
    <n v="5.3019206970930099E-3"/>
    <n v="0"/>
    <n v="0"/>
    <n v="0"/>
    <n v="0"/>
    <n v="1"/>
    <n v="0"/>
    <n v="0"/>
  </r>
  <r>
    <n v="35"/>
    <x v="7"/>
    <n v="-1.4273509861010041"/>
    <n v="0.62657993628783215"/>
    <n v="0.65044842602683006"/>
    <n v="0.7072473049387269"/>
    <n v="0.22657764804849201"/>
    <n v="0.27299981366563941"/>
    <n v="0.36241841856579821"/>
    <n v="-6.6769384770713529"/>
    <n v="1.265354355328006"/>
    <n v="-0.79988354835896736"/>
    <n v="3.442086937200926"/>
    <n v="3.4189640110862158"/>
    <n v="-11.51292546497023"/>
    <n v="2.3122925311326981E-2"/>
    <n v="0"/>
    <n v="0"/>
    <n v="0"/>
    <n v="0"/>
    <n v="1"/>
    <n v="0"/>
    <n v="0"/>
  </r>
  <r>
    <n v="35"/>
    <x v="8"/>
    <n v="-1.4008463333685071"/>
    <n v="0.61442859584854015"/>
    <n v="0.62657993628783215"/>
    <n v="0.65044842602683006"/>
    <n v="0.2124465417658743"/>
    <n v="0.22657764804849201"/>
    <n v="0.27299981366563941"/>
    <n v="-6.0013990725860262"/>
    <n v="1.265354355328006"/>
    <n v="-0.76685051736193866"/>
    <n v="3.4381250306036359"/>
    <n v="3.433611644689563"/>
    <n v="-11.51292546497023"/>
    <n v="4.5133857056498528E-3"/>
    <n v="0"/>
    <n v="0"/>
    <n v="0"/>
    <n v="0"/>
    <n v="1"/>
    <n v="0"/>
    <n v="0"/>
  </r>
  <r>
    <n v="35"/>
    <x v="9"/>
    <n v="-1.5485504172300191"/>
    <n v="0.61880071843128848"/>
    <n v="0.61442859584854015"/>
    <n v="0.62657993628783215"/>
    <n v="0.20073432980108"/>
    <n v="0.2124465417658743"/>
    <n v="0.22657764804849201"/>
    <n v="-5.6010491282713071"/>
    <n v="1.265354355328006"/>
    <n v="-0.74372905009135759"/>
    <n v="3.400051629814719"/>
    <n v="3.429956429323278"/>
    <n v="-11.51292546497023"/>
    <n v="-2.9904799535870552E-2"/>
    <n v="1"/>
    <n v="0"/>
    <n v="0"/>
    <n v="0"/>
    <n v="1"/>
    <n v="0"/>
    <n v="0"/>
  </r>
  <r>
    <n v="35"/>
    <x v="10"/>
    <n v="-1.4994484294193799"/>
    <n v="0.6505006058384728"/>
    <n v="0.61880071843128848"/>
    <n v="0.61442859584854015"/>
    <n v="0.30601302913650452"/>
    <n v="0.20073432980108"/>
    <n v="0.2124465417658743"/>
    <n v="-5.2535188820657037"/>
    <n v="1.265354355328006"/>
    <n v="-0.7272040533751134"/>
    <n v="3.3639103949803069"/>
    <n v="3.3921271884868189"/>
    <n v="-11.51292546497023"/>
    <n v="-2.821679413318634E-2"/>
    <n v="1"/>
    <n v="0"/>
    <n v="0"/>
    <n v="0"/>
    <n v="1"/>
    <n v="0"/>
    <n v="0"/>
  </r>
  <r>
    <n v="35"/>
    <x v="11"/>
    <n v="-1.4600525533671029"/>
    <n v="0.64406197286945388"/>
    <n v="0.6505006058384728"/>
    <n v="0.61880071843128848"/>
    <n v="0.28893129185221278"/>
    <n v="0.30601302913650452"/>
    <n v="0.20073432980108"/>
    <n v="-4.6297489561784877"/>
    <n v="1.265354355328006"/>
    <n v="-0.70813243422289962"/>
    <n v="3.359605553219466"/>
    <n v="3.3562267093129119"/>
    <n v="-11.51292546497023"/>
    <n v="3.3788438886404037E-3"/>
    <n v="1"/>
    <n v="0"/>
    <n v="0"/>
    <n v="0"/>
    <n v="1"/>
    <n v="0"/>
    <n v="0"/>
  </r>
  <r>
    <n v="35"/>
    <x v="12"/>
    <n v="-1.687282034701959"/>
    <n v="0.76458373049779393"/>
    <n v="0.64406197286945388"/>
    <n v="0.6505006058384728"/>
    <n v="0.32880002317267892"/>
    <n v="0.28893129185221278"/>
    <n v="0.30601302913650452"/>
    <n v="-4.2145776456245212"/>
    <n v="1.265354355328006"/>
    <n v="-0.68901549049015742"/>
    <n v="3.347322722778256"/>
    <n v="3.3498062610410102"/>
    <n v="3.2580965380214821"/>
    <n v="-2.4835383519530296E-3"/>
    <n v="1"/>
    <n v="0"/>
    <n v="0"/>
    <n v="0"/>
    <n v="1"/>
    <n v="0"/>
    <n v="0"/>
  </r>
  <r>
    <n v="35"/>
    <x v="13"/>
    <n v="-1.7539985792808619"/>
    <n v="0.7103483878797201"/>
    <n v="0.76458373049779393"/>
    <n v="0.64406197286945388"/>
    <n v="0.28660649422484791"/>
    <n v="0.32880002317267892"/>
    <n v="0.28893129185221278"/>
    <n v="-3.4734102288767632"/>
    <n v="1.265354355328006"/>
    <n v="-0.66727942967695109"/>
    <n v="3.3580967354450082"/>
    <n v="3.3390103771988229"/>
    <n v="5.393627546352362"/>
    <n v="1.9086359068751335E-2"/>
    <n v="1"/>
    <n v="0"/>
    <n v="0"/>
    <n v="0"/>
    <n v="1"/>
    <n v="0"/>
    <n v="0"/>
  </r>
  <r>
    <n v="35"/>
    <x v="14"/>
    <n v="-1.86403964962227"/>
    <n v="0.65399046535875138"/>
    <n v="0.7103483878797201"/>
    <n v="0.76458373049779393"/>
    <n v="0.26428549464538492"/>
    <n v="0.28660649422484791"/>
    <n v="0.32880002317267892"/>
    <n v="-2.8937330983977869"/>
    <n v="1.265354355328006"/>
    <n v="-0.65527629986212466"/>
    <n v="3.2997488115508631"/>
    <n v="3.3500652315318309"/>
    <n v="5.9914645471079817"/>
    <n v="-5.0316419452428818E-2"/>
    <n v="1"/>
    <n v="1"/>
    <n v="0"/>
    <n v="0"/>
    <n v="1"/>
    <n v="0"/>
    <n v="0"/>
  </r>
  <r>
    <n v="35"/>
    <x v="15"/>
    <n v="-1.662372354249732"/>
    <n v="0.85070633066131007"/>
    <n v="0.65399046535875138"/>
    <n v="0.7103483878797201"/>
    <n v="0.57030135056109943"/>
    <n v="0.26428549464538492"/>
    <n v="0.28660649422484791"/>
    <n v="-2.3321531559009401"/>
    <n v="1.265354355328006"/>
    <n v="-0.6472323188136947"/>
    <n v="3.3037784711010461"/>
    <n v="3.2920060368555659"/>
    <n v="6.6846117276679271"/>
    <n v="1.177243422716856E-2"/>
    <n v="1"/>
    <n v="0"/>
    <n v="0"/>
    <n v="0"/>
    <n v="1"/>
    <n v="0"/>
    <n v="0"/>
  </r>
  <r>
    <n v="35"/>
    <x v="16"/>
    <n v="-1.539345348544559"/>
    <n v="0.86487111371861958"/>
    <n v="0.85070633066131007"/>
    <n v="0.65399046535875138"/>
    <n v="0.53315446924905385"/>
    <n v="0.57030135056109943"/>
    <n v="0.26428549464538492"/>
    <n v="-1.8103043863290309"/>
    <n v="1.265354355328006"/>
    <n v="-0.6258211804677235"/>
    <n v="3.362174111307882"/>
    <n v="3.3037784711010461"/>
    <n v="8.0551577318196781"/>
    <n v="5.8395639061927795E-2"/>
    <n v="1"/>
    <n v="0"/>
    <n v="0"/>
    <n v="0"/>
    <n v="1"/>
    <n v="0"/>
    <n v="0"/>
  </r>
  <r>
    <n v="35"/>
    <x v="17"/>
    <n v="-1.4942475735529499"/>
    <n v="0.72711373012321823"/>
    <n v="0.86487111371861958"/>
    <n v="0.85070633066131007"/>
    <n v="0.33461336713621331"/>
    <n v="0.53315446924905385"/>
    <n v="0.57030135056109943"/>
    <n v="-1.257223832920717"/>
    <n v="1.265354355328006"/>
    <n v="-0.60173262156518448"/>
    <n v="3.4075965113004578"/>
    <n v="3.362174111307882"/>
    <n v="8.4658998970286863"/>
    <n v="4.5422401279211044E-2"/>
    <n v="1"/>
    <n v="0"/>
    <n v="0"/>
    <n v="0"/>
    <n v="1"/>
    <n v="0"/>
    <n v="0"/>
  </r>
  <r>
    <n v="41"/>
    <x v="0"/>
    <n v="-1.8423609383586479"/>
    <n v="0.91629073187415511"/>
    <n v="0.85946637987639407"/>
    <n v="0.81863380060136115"/>
    <n v="0.50681760236845186"/>
    <n v="0.36018876323852889"/>
    <n v="0.23467678712788281"/>
    <n v="-11.51292546497023"/>
    <n v="1.552935502058828"/>
    <n v="-1.2951281768844689"/>
    <n v="2.8821140608554998"/>
    <n v="2.870796881453622"/>
    <n v="-11.51292546497023"/>
    <n v="1.1317179538309574E-2"/>
    <n v="0"/>
    <n v="0"/>
    <n v="0"/>
    <n v="1"/>
    <n v="0"/>
    <n v="0"/>
    <n v="0"/>
  </r>
  <r>
    <n v="41"/>
    <x v="1"/>
    <n v="-1.8560792646036639"/>
    <n v="0.84835444486232792"/>
    <n v="0.91629073187415511"/>
    <n v="0.85946637987639407"/>
    <n v="0.32099595148171439"/>
    <n v="0.50681760236845186"/>
    <n v="0.36018876323852889"/>
    <n v="-11.51292546497023"/>
    <n v="1.552935502058828"/>
    <n v="-1.2165735664723041"/>
    <n v="2.992506428742332"/>
    <n v="2.872399933716999"/>
    <n v="-11.51292546497023"/>
    <n v="0.12010649591684341"/>
    <n v="0"/>
    <n v="0"/>
    <n v="0"/>
    <n v="1"/>
    <n v="0"/>
    <n v="0"/>
    <n v="0"/>
  </r>
  <r>
    <n v="41"/>
    <x v="2"/>
    <n v="-1.829494845679668"/>
    <n v="0.77868246866620794"/>
    <n v="0.84835444486232792"/>
    <n v="0.91629073187415511"/>
    <n v="0.24263240389805671"/>
    <n v="0.32099595148171439"/>
    <n v="0.50681760236845186"/>
    <n v="-11.51292546497023"/>
    <n v="1.552935502058828"/>
    <n v="-1.1381487519499429"/>
    <n v="3.0155765265959911"/>
    <n v="2.9828856643160169"/>
    <n v="-11.51292546497023"/>
    <n v="3.2690864056348801E-2"/>
    <n v="0"/>
    <n v="0"/>
    <n v="0"/>
    <n v="1"/>
    <n v="0"/>
    <n v="0"/>
    <n v="0"/>
  </r>
  <r>
    <n v="41"/>
    <x v="3"/>
    <n v="-1.8964178520160431"/>
    <n v="0.76103944660286371"/>
    <n v="0.77868246866620794"/>
    <n v="0.84835444486232792"/>
    <n v="0.24208306113360409"/>
    <n v="0.24263240389805671"/>
    <n v="0.32099595148171439"/>
    <n v="-9.2767128666058145"/>
    <n v="1.552935502058828"/>
    <n v="-1.07274631637666"/>
    <n v="2.9934713224657501"/>
    <n v="3.0065452457640429"/>
    <n v="-11.51292546497023"/>
    <n v="-1.307392306625843E-2"/>
    <n v="0"/>
    <n v="0"/>
    <n v="0"/>
    <n v="1"/>
    <n v="0"/>
    <n v="0"/>
    <n v="0"/>
  </r>
  <r>
    <n v="41"/>
    <x v="4"/>
    <n v="-1.726507138524179"/>
    <n v="0.72764522096751272"/>
    <n v="0.76103944660286371"/>
    <n v="0.77868246866620794"/>
    <n v="0.28803201121606892"/>
    <n v="0.24208306113360409"/>
    <n v="0.24263240389805671"/>
    <n v="-8.575395870932196"/>
    <n v="1.552935502058828"/>
    <n v="-0.99196821018247971"/>
    <n v="3.0562244582969211"/>
    <n v="3.0016411375795662"/>
    <n v="-11.51292546497023"/>
    <n v="5.4583322256803513E-2"/>
    <n v="0"/>
    <n v="0"/>
    <n v="0"/>
    <n v="1"/>
    <n v="0"/>
    <n v="0"/>
    <n v="0"/>
  </r>
  <r>
    <n v="41"/>
    <x v="5"/>
    <n v="-1.4758305114994541"/>
    <n v="0.72226899413196388"/>
    <n v="0.72764522096751272"/>
    <n v="0.76103944660286371"/>
    <n v="0.41449091931547682"/>
    <n v="0.28803201121606892"/>
    <n v="0.24208306113360409"/>
    <n v="-6.7753992905375107"/>
    <n v="1.552935502058828"/>
    <n v="-0.91369468549430466"/>
    <n v="3.117094438691538"/>
    <n v="3.064461569463433"/>
    <n v="-11.51292546497023"/>
    <n v="5.263286828994751E-2"/>
    <n v="0"/>
    <n v="0"/>
    <n v="0"/>
    <n v="1"/>
    <n v="0"/>
    <n v="0"/>
    <n v="0"/>
  </r>
  <r>
    <n v="41"/>
    <x v="6"/>
    <n v="-1.339446711138798"/>
    <n v="0.66921303026431433"/>
    <n v="0.72226899413196388"/>
    <n v="0.72764522096751272"/>
    <n v="0.34238330322186772"/>
    <n v="0.41449091931547682"/>
    <n v="0.28803201121606892"/>
    <n v="-6.4332951460233661"/>
    <n v="1.552935502058828"/>
    <n v="-0.85480182225983004"/>
    <n v="3.1395688255276668"/>
    <n v="3.1108918889374499"/>
    <n v="-11.51292546497023"/>
    <n v="2.8676936402916908E-2"/>
    <n v="0"/>
    <n v="0"/>
    <n v="0"/>
    <n v="1"/>
    <n v="0"/>
    <n v="0"/>
    <n v="0"/>
  </r>
  <r>
    <n v="41"/>
    <x v="7"/>
    <n v="-1.3850817769822621"/>
    <n v="0.6660842610102562"/>
    <n v="0.66921303026431433"/>
    <n v="0.72226899413196388"/>
    <n v="0.29012907609483268"/>
    <n v="0.34238330322186772"/>
    <n v="0.41449091931547682"/>
    <n v="-5.5677504523929784"/>
    <n v="1.552935502058828"/>
    <n v="-0.83520570489409651"/>
    <n v="3.183217508248168"/>
    <n v="3.1006572449309169"/>
    <n v="-11.51292546497023"/>
    <n v="8.2560263574123383E-2"/>
    <n v="0"/>
    <n v="0"/>
    <n v="0"/>
    <n v="1"/>
    <n v="0"/>
    <n v="0"/>
    <n v="0"/>
  </r>
  <r>
    <n v="41"/>
    <x v="8"/>
    <n v="-1.345189368281094"/>
    <n v="0.641959143790512"/>
    <n v="0.6660842610102562"/>
    <n v="0.66921303026431433"/>
    <n v="0.27307592006241882"/>
    <n v="0.29012907609483268"/>
    <n v="0.34238330322186772"/>
    <n v="-4.918600501551456"/>
    <n v="1.552935502058828"/>
    <n v="-0.79188257119245631"/>
    <n v="3.142905274687771"/>
    <n v="3.175587922700605"/>
    <n v="-11.51292546497023"/>
    <n v="-3.2682649791240692E-2"/>
    <n v="0"/>
    <n v="0"/>
    <n v="0"/>
    <n v="1"/>
    <n v="0"/>
    <n v="0"/>
    <n v="0"/>
  </r>
  <r>
    <n v="41"/>
    <x v="9"/>
    <n v="-1.460493169190533"/>
    <n v="0.64966540194798428"/>
    <n v="0.641959143790512"/>
    <n v="0.6660842610102562"/>
    <n v="0.26972174707478819"/>
    <n v="0.27307592006241882"/>
    <n v="0.29012907609483268"/>
    <n v="-4.484079722531721"/>
    <n v="1.552935502058828"/>
    <n v="-0.7667308249154009"/>
    <n v="3.142359436250826"/>
    <n v="3.13559330142846"/>
    <n v="-11.51292546497023"/>
    <n v="6.7661348730325699E-3"/>
    <n v="1"/>
    <n v="0"/>
    <n v="0"/>
    <n v="1"/>
    <n v="0"/>
    <n v="0"/>
    <n v="0"/>
  </r>
  <r>
    <n v="41"/>
    <x v="10"/>
    <n v="-1.3613844512385129"/>
    <n v="0.68697819141441629"/>
    <n v="0.64966540194798428"/>
    <n v="0.641959143790512"/>
    <n v="0.39102806031039478"/>
    <n v="0.26972174707478819"/>
    <n v="0.27307592006241882"/>
    <n v="-4.1179899342132718"/>
    <n v="1.552935502058828"/>
    <n v="-0.75113211232978527"/>
    <n v="3.1211682337027451"/>
    <n v="3.135244978679335"/>
    <n v="-11.51292546497023"/>
    <n v="-1.4076745137572289E-2"/>
    <n v="1"/>
    <n v="0"/>
    <n v="0"/>
    <n v="1"/>
    <n v="0"/>
    <n v="0"/>
    <n v="0"/>
  </r>
  <r>
    <n v="41"/>
    <x v="11"/>
    <n v="-1.3064815329151609"/>
    <n v="0.67701779863006162"/>
    <n v="0.68697819141441629"/>
    <n v="0.64966540194798428"/>
    <n v="0.38028404291090551"/>
    <n v="0.39102806031039478"/>
    <n v="0.26972174707478819"/>
    <n v="-3.482202667464827"/>
    <n v="1.552935502058828"/>
    <n v="-0.73423257976881406"/>
    <n v="3.1260082481797218"/>
    <n v="3.1142391735181341"/>
    <n v="-11.51292546497023"/>
    <n v="1.1769074946641922E-2"/>
    <n v="1"/>
    <n v="0"/>
    <n v="0"/>
    <n v="1"/>
    <n v="0"/>
    <n v="0"/>
    <n v="0"/>
  </r>
  <r>
    <n v="41"/>
    <x v="12"/>
    <n v="-1.4986251909305219"/>
    <n v="0.78349050045754698"/>
    <n v="0.67701779863006162"/>
    <n v="0.68697819141441629"/>
    <n v="0.41369779303464072"/>
    <n v="0.38028404291090551"/>
    <n v="0.39102806031039478"/>
    <n v="-3.0490208019740672"/>
    <n v="1.552935502058828"/>
    <n v="-0.7080024089864696"/>
    <n v="3.1226058478362422"/>
    <n v="3.123534033283172"/>
    <n v="3.2580965380214821"/>
    <n v="-9.2818547273054719E-4"/>
    <n v="1"/>
    <n v="0"/>
    <n v="0"/>
    <n v="1"/>
    <n v="0"/>
    <n v="0"/>
    <n v="0"/>
  </r>
  <r>
    <n v="41"/>
    <x v="13"/>
    <n v="-1.5143299060988189"/>
    <n v="0.71759586096225525"/>
    <n v="0.78349050045754698"/>
    <n v="0.67701779863006162"/>
    <n v="0.36464311358790918"/>
    <n v="0.41369779303464072"/>
    <n v="0.38028404291090551"/>
    <n v="-2.3090742918220881"/>
    <n v="1.552935502058828"/>
    <n v="-0.68325093447038077"/>
    <n v="3.1319204394203441"/>
    <n v="3.1151423188689078"/>
    <n v="5.393627546352362"/>
    <n v="1.6778120771050453E-2"/>
    <n v="1"/>
    <n v="0"/>
    <n v="0"/>
    <n v="1"/>
    <n v="0"/>
    <n v="0"/>
    <n v="0"/>
  </r>
  <r>
    <n v="41"/>
    <x v="14"/>
    <n v="-1.530973710856024"/>
    <n v="0.63673554663398246"/>
    <n v="0.71759586096225525"/>
    <n v="0.78349050045754698"/>
    <n v="0.33404071142979791"/>
    <n v="0.36464311358790918"/>
    <n v="0.41369779303464072"/>
    <n v="-1.6952284246354941"/>
    <n v="1.552935502058828"/>
    <n v="-0.66505064194755892"/>
    <n v="3.1071599665025058"/>
    <n v="3.1246977394578521"/>
    <n v="5.9914645471079817"/>
    <n v="-1.7537772655487061E-2"/>
    <n v="1"/>
    <n v="1"/>
    <n v="0"/>
    <n v="1"/>
    <n v="0"/>
    <n v="0"/>
    <n v="0"/>
  </r>
  <r>
    <n v="41"/>
    <x v="15"/>
    <n v="-1.421809541109802"/>
    <n v="0.85980503288729271"/>
    <n v="0.63673554663398246"/>
    <n v="0.71759586096225525"/>
    <n v="0.62663337650160578"/>
    <n v="0.33404071142979791"/>
    <n v="0.36464311358790918"/>
    <n v="-1.146789059642076"/>
    <n v="1.552935502058828"/>
    <n v="-0.64621235690546897"/>
    <n v="3.0972182161012869"/>
    <n v="3.1001821005509091"/>
    <n v="6.6846117276679271"/>
    <n v="-2.9638845007866621E-3"/>
    <n v="1"/>
    <n v="0"/>
    <n v="0"/>
    <n v="1"/>
    <n v="0"/>
    <n v="0"/>
    <n v="0"/>
  </r>
  <r>
    <n v="41"/>
    <x v="16"/>
    <n v="-1.292181866336219"/>
    <n v="0.9032460183533465"/>
    <n v="0.85980503288729271"/>
    <n v="0.63673554663398246"/>
    <n v="0.64301111106614806"/>
    <n v="0.62663337650160578"/>
    <n v="0.33404071142979791"/>
    <n v="-0.65453880353422889"/>
    <n v="1.552935502058828"/>
    <n v="-0.62477866230722001"/>
    <n v="3.1261348219753211"/>
    <n v="3.0972182161012869"/>
    <n v="8.0551577318196781"/>
    <n v="2.8916606679558754E-2"/>
    <n v="1"/>
    <n v="0"/>
    <n v="0"/>
    <n v="1"/>
    <n v="0"/>
    <n v="0"/>
    <n v="0"/>
  </r>
  <r>
    <n v="41"/>
    <x v="17"/>
    <n v="-1.2328482132081771"/>
    <n v="0.77803964757790789"/>
    <n v="0.9032460183533465"/>
    <n v="0.85980503288729271"/>
    <n v="0.43696377516753537"/>
    <n v="0.64301111106614806"/>
    <n v="0.62663337650160578"/>
    <n v="-0.1094632567251597"/>
    <n v="1.552935502058828"/>
    <n v="-0.60228029567260255"/>
    <n v="3.1634861092570059"/>
    <n v="3.1261348219753211"/>
    <n v="8.4658998970286863"/>
    <n v="3.735128790140152E-2"/>
    <n v="1"/>
    <n v="0"/>
    <n v="0"/>
    <n v="1"/>
    <n v="0"/>
    <n v="0"/>
    <n v="0"/>
  </r>
  <r>
    <n v="42"/>
    <x v="0"/>
    <n v="-1.393732183021102"/>
    <n v="0.94390589890712839"/>
    <n v="0.9146894505071812"/>
    <n v="0.86098941608906565"/>
    <n v="0.59883650108870401"/>
    <n v="0.51336240341796069"/>
    <n v="0.40832767372164103"/>
    <n v="-11.51292546497023"/>
    <n v="0.76262602198805785"/>
    <n v="-1.137032485298213"/>
    <n v="3.024780520985785"/>
    <n v="2.9799779067954488"/>
    <n v="-11.51292546497023"/>
    <n v="4.480261355638504E-2"/>
    <n v="0"/>
    <n v="0"/>
    <n v="0"/>
    <n v="1"/>
    <n v="0"/>
    <n v="0"/>
    <n v="0"/>
  </r>
  <r>
    <n v="42"/>
    <x v="1"/>
    <n v="-1.5006937786087979"/>
    <n v="0.88854947689243036"/>
    <n v="0.94390589890712839"/>
    <n v="0.9146894505071812"/>
    <n v="0.49286529838899779"/>
    <n v="0.59883650108870401"/>
    <n v="0.51336240341796069"/>
    <n v="-11.51292546497023"/>
    <n v="0.76262602198805785"/>
    <n v="-1.057041665037638"/>
    <n v="3.0847108733252599"/>
    <n v="3.016896626236234"/>
    <n v="-11.51292546497023"/>
    <n v="6.7814245820045471E-2"/>
    <n v="0"/>
    <n v="0"/>
    <n v="0"/>
    <n v="1"/>
    <n v="0"/>
    <n v="0"/>
    <n v="0"/>
  </r>
  <r>
    <n v="42"/>
    <x v="2"/>
    <n v="-1.481321040208609"/>
    <n v="0.83121203151584044"/>
    <n v="0.88854947689243036"/>
    <n v="0.94390589890712839"/>
    <n v="0.4296372600791496"/>
    <n v="0.49286529838899779"/>
    <n v="0.59883650108870401"/>
    <n v="-11.51292546497023"/>
    <n v="0.76262602198805785"/>
    <n v="-0.98384170078727839"/>
    <n v="3.1506985729239658"/>
    <n v="3.0768884832713241"/>
    <n v="-11.51292546497023"/>
    <n v="7.3810093104839325E-2"/>
    <n v="0"/>
    <n v="0"/>
    <n v="0"/>
    <n v="1"/>
    <n v="0"/>
    <n v="0"/>
    <n v="0"/>
  </r>
  <r>
    <n v="42"/>
    <x v="3"/>
    <n v="-1.4386193539111141"/>
    <n v="0.78504244526420097"/>
    <n v="0.83121203151584044"/>
    <n v="0.88854947689243036"/>
    <n v="0.40499833251872053"/>
    <n v="0.4296372600791496"/>
    <n v="0.49286529838899779"/>
    <n v="-8.7191119622539297"/>
    <n v="0.76262602198805785"/>
    <n v="-0.91604814610972674"/>
    <n v="3.130092444870475"/>
    <n v="3.1398276736047461"/>
    <n v="-11.51292546497023"/>
    <n v="-9.7352284938097E-3"/>
    <n v="0"/>
    <n v="0"/>
    <n v="0"/>
    <n v="1"/>
    <n v="0"/>
    <n v="0"/>
    <n v="0"/>
  </r>
  <r>
    <n v="42"/>
    <x v="4"/>
    <n v="-1.246790307904005"/>
    <n v="0.74720913865847582"/>
    <n v="0.78504244526420097"/>
    <n v="0.83121203151584044"/>
    <n v="0.47237581339079121"/>
    <n v="0.40499833251872053"/>
    <n v="0.4296372600791496"/>
    <n v="-8.0420400059359878"/>
    <n v="0.76262602198805785"/>
    <n v="-0.85606414860519153"/>
    <n v="3.207739934963127"/>
    <n v="3.1140172206283951"/>
    <n v="-11.51292546497023"/>
    <n v="9.3722715973854065E-2"/>
    <n v="0"/>
    <n v="0"/>
    <n v="0"/>
    <n v="1"/>
    <n v="0"/>
    <n v="0"/>
    <n v="0"/>
  </r>
  <r>
    <n v="42"/>
    <x v="5"/>
    <n v="-1.1457883531947981"/>
    <n v="0.73706836761787342"/>
    <n v="0.74720913865847582"/>
    <n v="0.78504244526420097"/>
    <n v="0.58661931715011228"/>
    <n v="0.47237581339079121"/>
    <n v="0.40499833251872053"/>
    <n v="-6.1860588817622144"/>
    <n v="0.76262602198805785"/>
    <n v="-0.80329043221256957"/>
    <n v="3.2362882904880972"/>
    <n v="3.191918882235131"/>
    <n v="-11.51292546497023"/>
    <n v="4.4369406998157501E-2"/>
    <n v="0"/>
    <n v="0"/>
    <n v="0"/>
    <n v="1"/>
    <n v="0"/>
    <n v="0"/>
    <n v="0"/>
  </r>
  <r>
    <n v="42"/>
    <x v="6"/>
    <n v="-1.0504947660197681"/>
    <n v="0.68031520174456706"/>
    <n v="0.73706836761787342"/>
    <n v="0.74720913865847582"/>
    <n v="0.54679104419859936"/>
    <n v="0.58661931715011228"/>
    <n v="0.47237581339079121"/>
    <n v="-5.8137744590121443"/>
    <n v="0.76262602198805785"/>
    <n v="-0.74688021980413444"/>
    <n v="3.24962619301956"/>
    <n v="3.22908309153327"/>
    <n v="-11.51292546497023"/>
    <n v="2.054310217499733E-2"/>
    <n v="0"/>
    <n v="0"/>
    <n v="0"/>
    <n v="1"/>
    <n v="0"/>
    <n v="0"/>
    <n v="0"/>
  </r>
  <r>
    <n v="42"/>
    <x v="7"/>
    <n v="-1.03185787121915"/>
    <n v="0.66957144403123958"/>
    <n v="0.68031520174456706"/>
    <n v="0.73706836761787342"/>
    <n v="0.49774038421733519"/>
    <n v="0.54679104419859936"/>
    <n v="0.58661931715011228"/>
    <n v="-4.9933390166130129"/>
    <n v="0.76262602198805785"/>
    <n v="-0.73164084194109869"/>
    <n v="3.2474165335249561"/>
    <n v="3.2078381248147831"/>
    <n v="-11.51292546497023"/>
    <n v="3.9578408002853394E-2"/>
    <n v="0"/>
    <n v="0"/>
    <n v="0"/>
    <n v="1"/>
    <n v="0"/>
    <n v="0"/>
    <n v="0"/>
  </r>
  <r>
    <n v="42"/>
    <x v="8"/>
    <n v="-0.96167624316490352"/>
    <n v="0.64532155107734079"/>
    <n v="0.66957144403123958"/>
    <n v="0.68031520174456706"/>
    <n v="0.47243816336119532"/>
    <n v="0.49774038421733519"/>
    <n v="0.54679104419859936"/>
    <n v="-4.281307065522264"/>
    <n v="0.76262602198805785"/>
    <n v="-0.69640885170269451"/>
    <n v="3.280825766320369"/>
    <n v="3.2335114812327692"/>
    <n v="-11.51292546497023"/>
    <n v="4.7314286231994629E-2"/>
    <n v="0"/>
    <n v="0"/>
    <n v="0"/>
    <n v="1"/>
    <n v="0"/>
    <n v="0"/>
    <n v="0"/>
  </r>
  <r>
    <n v="42"/>
    <x v="9"/>
    <n v="-0.97948746823497623"/>
    <n v="0.64048452797663935"/>
    <n v="0.64532155107734079"/>
    <n v="0.66957144403123958"/>
    <n v="0.41811805423147991"/>
    <n v="0.47243816336119532"/>
    <n v="0.49774038421733519"/>
    <n v="-3.907515049627424"/>
    <n v="0.76262602198805785"/>
    <n v="-0.6753936138371639"/>
    <n v="3.2208512157920479"/>
    <n v="3.2672363495403411"/>
    <n v="-11.51292546497023"/>
    <n v="-4.6385135501623154E-2"/>
    <n v="1"/>
    <n v="0"/>
    <n v="0"/>
    <n v="1"/>
    <n v="0"/>
    <n v="0"/>
    <n v="0"/>
  </r>
  <r>
    <n v="42"/>
    <x v="10"/>
    <n v="-0.93951189807711188"/>
    <n v="0.65622382645534749"/>
    <n v="0.64048452797663935"/>
    <n v="0.64532155107734079"/>
    <n v="0.53561579257320946"/>
    <n v="0.41811805423147991"/>
    <n v="0.47243816336119532"/>
    <n v="-3.588531514456502"/>
    <n v="0.76262602198805785"/>
    <n v="-0.66142540700881813"/>
    <n v="3.159970708774186"/>
    <n v="3.2075422487444629"/>
    <n v="-11.51292546497023"/>
    <n v="-4.7571539878845215E-2"/>
    <n v="1"/>
    <n v="0"/>
    <n v="0"/>
    <n v="1"/>
    <n v="0"/>
    <n v="0"/>
    <n v="0"/>
  </r>
  <r>
    <n v="42"/>
    <x v="11"/>
    <n v="-0.91395387035870879"/>
    <n v="0.6661356313130955"/>
    <n v="0.65622382645534749"/>
    <n v="0.64048452797663935"/>
    <n v="0.5442410573053944"/>
    <n v="0.53561579257320946"/>
    <n v="0.41811805423147991"/>
    <n v="-2.9376292088200979"/>
    <n v="0.76262602198805785"/>
    <n v="-0.64353260194844553"/>
    <n v="3.1877600153943462"/>
    <n v="3.146944379849784"/>
    <n v="-11.51292546497023"/>
    <n v="4.0815636515617371E-2"/>
    <n v="1"/>
    <n v="0"/>
    <n v="0"/>
    <n v="1"/>
    <n v="0"/>
    <n v="0"/>
    <n v="0"/>
  </r>
  <r>
    <n v="42"/>
    <x v="12"/>
    <n v="-0.944958930277492"/>
    <n v="0.74284169758379726"/>
    <n v="0.6661356313130955"/>
    <n v="0.65622382645534749"/>
    <n v="0.5789140863985206"/>
    <n v="0.5442410573053944"/>
    <n v="0.53561579257320946"/>
    <n v="-2.492780696163603"/>
    <n v="0.76262602198805785"/>
    <n v="-0.61980314191261154"/>
    <n v="3.206106360172182"/>
    <n v="3.1771987434264202"/>
    <n v="3.2580965380214821"/>
    <n v="2.8907617554068565E-2"/>
    <n v="1"/>
    <n v="0"/>
    <n v="0"/>
    <n v="1"/>
    <n v="0"/>
    <n v="0"/>
    <n v="0"/>
  </r>
  <r>
    <n v="42"/>
    <x v="13"/>
    <n v="-0.90954320781252307"/>
    <n v="0.69579367550085092"/>
    <n v="0.74284169758379726"/>
    <n v="0.6661356313130955"/>
    <n v="0.55663993590528216"/>
    <n v="0.5789140863985206"/>
    <n v="0.5442410573053944"/>
    <n v="-1.741246404520044"/>
    <n v="0.76262602198805785"/>
    <n v="-0.59560037145709022"/>
    <n v="3.2328040663406181"/>
    <n v="3.1935651520194539"/>
    <n v="5.393627546352362"/>
    <n v="3.9238914847373962E-2"/>
    <n v="1"/>
    <n v="0"/>
    <n v="0"/>
    <n v="1"/>
    <n v="0"/>
    <n v="0"/>
    <n v="0"/>
  </r>
  <r>
    <n v="42"/>
    <x v="14"/>
    <n v="-1.011838933733094"/>
    <n v="0.66859830763853256"/>
    <n v="0.69579367550085092"/>
    <n v="0.74284169758379726"/>
    <n v="0.53467885978815022"/>
    <n v="0.55663993590528216"/>
    <n v="0.5789140863985206"/>
    <n v="-1.1046285560260289"/>
    <n v="0.76262602198805785"/>
    <n v="-0.5789384278531744"/>
    <n v="3.2353102188231069"/>
    <n v="3.2206360261263072"/>
    <n v="5.9914645471079817"/>
    <n v="1.4674192294478416E-2"/>
    <n v="1"/>
    <n v="1"/>
    <n v="0"/>
    <n v="1"/>
    <n v="0"/>
    <n v="0"/>
    <n v="0"/>
  </r>
  <r>
    <n v="42"/>
    <x v="15"/>
    <n v="-0.94960041247688209"/>
    <n v="0.86520794164483905"/>
    <n v="0.66859830763853256"/>
    <n v="0.69579367550085092"/>
    <n v="0.76304630793961248"/>
    <n v="0.53467885978815022"/>
    <n v="0.55663993590528216"/>
    <n v="-0.48086478215452139"/>
    <n v="0.76262602198805785"/>
    <n v="-0.56530419946763544"/>
    <n v="3.3054624717010972"/>
    <n v="3.22352594876712"/>
    <n v="6.6846117276679271"/>
    <n v="8.193652331829071E-2"/>
    <n v="1"/>
    <n v="0"/>
    <n v="0"/>
    <n v="1"/>
    <n v="0"/>
    <n v="0"/>
    <n v="0"/>
  </r>
  <r>
    <n v="42"/>
    <x v="16"/>
    <n v="-0.90764552114857155"/>
    <n v="0.8950262365694307"/>
    <n v="0.86520794164483905"/>
    <n v="0.66859830763853256"/>
    <n v="0.78527046943575118"/>
    <n v="0.76304630793961248"/>
    <n v="0.53467885978815022"/>
    <n v="-1.544515011089968E-2"/>
    <n v="0.76262602198805785"/>
    <n v="-0.54276363401586869"/>
    <n v="3.3075765826809751"/>
    <n v="3.3054624717010972"/>
    <n v="8.0551577318196781"/>
    <n v="2.1141110919415951E-3"/>
    <n v="1"/>
    <n v="0"/>
    <n v="0"/>
    <n v="1"/>
    <n v="0"/>
    <n v="0"/>
    <n v="0"/>
  </r>
  <r>
    <n v="42"/>
    <x v="17"/>
    <n v="-0.86068777455664414"/>
    <n v="0.77094120799996546"/>
    <n v="0.8950262365694307"/>
    <n v="0.86520794164483905"/>
    <n v="0.55669724742204718"/>
    <n v="0.78527046943575118"/>
    <n v="0.76304630793961248"/>
    <n v="0.53826179109634587"/>
    <n v="0.76262602198805785"/>
    <n v="-0.51737696039870651"/>
    <n v="3.3535364298210641"/>
    <n v="3.3075765826809751"/>
    <n v="8.4658998970286863"/>
    <n v="4.5959848910570145E-2"/>
    <n v="1"/>
    <n v="0"/>
    <n v="0"/>
    <n v="1"/>
    <n v="0"/>
    <n v="0"/>
    <n v="0"/>
  </r>
  <r>
    <n v="43"/>
    <x v="0"/>
    <n v="-1.753645194906905"/>
    <n v="1.000631880307906"/>
    <n v="0.9748237560598092"/>
    <n v="0.89718945857175403"/>
    <n v="0.77472716755236815"/>
    <n v="0.62422573509352353"/>
    <n v="0.45780452178873787"/>
    <n v="-11.51292546497023"/>
    <n v="1.394292615005166"/>
    <n v="-1.329463895418197"/>
    <n v="2.8981165822450889"/>
    <n v="2.884323158134944"/>
    <n v="-11.51292546497023"/>
    <n v="1.3793423771858215E-2"/>
    <n v="0"/>
    <n v="0"/>
    <n v="0"/>
    <n v="1"/>
    <n v="0"/>
    <n v="0"/>
    <n v="0"/>
  </r>
  <r>
    <n v="43"/>
    <x v="1"/>
    <n v="-1.7129132809711911"/>
    <n v="0.89637369803379618"/>
    <n v="1.000631880307906"/>
    <n v="0.9748237560598092"/>
    <n v="0.52732869586500486"/>
    <n v="0.77472716755236815"/>
    <n v="0.62422573509352353"/>
    <n v="-11.51292546497023"/>
    <n v="1.394292615005166"/>
    <n v="-1.259825287207806"/>
    <n v="2.9700146472848301"/>
    <n v="2.9030538551125771"/>
    <n v="-11.51292546497023"/>
    <n v="6.6960789263248444E-2"/>
    <n v="0"/>
    <n v="0"/>
    <n v="0"/>
    <n v="1"/>
    <n v="0"/>
    <n v="0"/>
    <n v="0"/>
  </r>
  <r>
    <n v="43"/>
    <x v="2"/>
    <n v="-1.632342014529147"/>
    <n v="0.8429455456483399"/>
    <n v="0.89637369803379618"/>
    <n v="1.000631880307906"/>
    <n v="0.47567501648296739"/>
    <n v="0.52732869586500486"/>
    <n v="0.77472716755236815"/>
    <n v="-11.51292546497023"/>
    <n v="1.394292615005166"/>
    <n v="-1.1829128071823389"/>
    <n v="3.0150434119850198"/>
    <n v="2.974976509938859"/>
    <n v="-11.51292546497023"/>
    <n v="4.0066901594400406E-2"/>
    <n v="0"/>
    <n v="0"/>
    <n v="0"/>
    <n v="1"/>
    <n v="0"/>
    <n v="0"/>
    <n v="0"/>
  </r>
  <r>
    <n v="43"/>
    <x v="3"/>
    <n v="-1.581124182932099"/>
    <n v="0.79683129183682722"/>
    <n v="0.8429455456483399"/>
    <n v="0.89637369803379618"/>
    <n v="0.44462171664268602"/>
    <n v="0.47567501648296739"/>
    <n v="0.52732869586500486"/>
    <n v="-9.2978133757331118"/>
    <n v="1.394292615005166"/>
    <n v="-1.1210942174554031"/>
    <n v="3.0106245296607348"/>
    <n v="3.009632122489271"/>
    <n v="-11.51292546497023"/>
    <n v="9.9240720737725496E-4"/>
    <n v="0"/>
    <n v="0"/>
    <n v="0"/>
    <n v="1"/>
    <n v="0"/>
    <n v="0"/>
    <n v="0"/>
  </r>
  <r>
    <n v="43"/>
    <x v="4"/>
    <n v="-1.4328128258210631"/>
    <n v="0.75494758146539209"/>
    <n v="0.79683129183682722"/>
    <n v="0.8429455456483399"/>
    <n v="0.49755799676508627"/>
    <n v="0.44462171664268602"/>
    <n v="0.47567501648296739"/>
    <n v="-8.5963350934867027"/>
    <n v="1.394292615005166"/>
    <n v="-1.0495763025808691"/>
    <n v="3.1041032798641042"/>
    <n v="3.018955631347696"/>
    <n v="-11.51292546497023"/>
    <n v="8.5147649049758911E-2"/>
    <n v="0"/>
    <n v="0"/>
    <n v="0"/>
    <n v="1"/>
    <n v="0"/>
    <n v="0"/>
    <n v="0"/>
  </r>
  <r>
    <n v="43"/>
    <x v="5"/>
    <n v="-1.3388052020833481"/>
    <n v="0.74806141143733718"/>
    <n v="0.75494758146539209"/>
    <n v="0.79683129183682722"/>
    <n v="0.59933088435566051"/>
    <n v="0.49755799676508627"/>
    <n v="0.44462171664268602"/>
    <n v="-6.7961745318075186"/>
    <n v="1.394292615005166"/>
    <n v="-0.9769624058166676"/>
    <n v="3.1267101646923612"/>
    <n v="3.1125043723147749"/>
    <n v="-11.51292546497023"/>
    <n v="1.4205791987478733E-2"/>
    <n v="0"/>
    <n v="0"/>
    <n v="0"/>
    <n v="1"/>
    <n v="0"/>
    <n v="0"/>
    <n v="0"/>
  </r>
  <r>
    <n v="43"/>
    <x v="6"/>
    <n v="-1.251168951714438"/>
    <n v="0.69494556250132467"/>
    <n v="0.74806141143733718"/>
    <n v="0.75494758146539209"/>
    <n v="0.55514868240265458"/>
    <n v="0.59933088435566051"/>
    <n v="0.49755799676508627"/>
    <n v="-6.4511230295195494"/>
    <n v="1.394292615005166"/>
    <n v="-0.91462143886203429"/>
    <n v="3.128603467996856"/>
    <n v="3.1234549727121181"/>
    <n v="-11.51292546497023"/>
    <n v="5.1484950818121433E-3"/>
    <n v="0"/>
    <n v="0"/>
    <n v="0"/>
    <n v="1"/>
    <n v="0"/>
    <n v="0"/>
    <n v="0"/>
  </r>
  <r>
    <n v="43"/>
    <x v="7"/>
    <n v="-1.21962571153388"/>
    <n v="0.67656037695554638"/>
    <n v="0.69494556250132467"/>
    <n v="0.74806141143733718"/>
    <n v="0.51018541887856739"/>
    <n v="0.55514868240265458"/>
    <n v="0.59933088435566051"/>
    <n v="-5.5827838280315172"/>
    <n v="1.394292615005166"/>
    <n v="-0.89064857564990396"/>
    <n v="3.1646140698555278"/>
    <n v="3.0924863952577129"/>
    <n v="-11.51292546497023"/>
    <n v="7.2127677500247955E-2"/>
    <n v="0"/>
    <n v="0"/>
    <n v="0"/>
    <n v="1"/>
    <n v="0"/>
    <n v="0"/>
    <n v="0"/>
  </r>
  <r>
    <n v="43"/>
    <x v="8"/>
    <n v="-1.1488799804869669"/>
    <n v="0.64532155107734079"/>
    <n v="0.67656037695554638"/>
    <n v="0.69494556250132467"/>
    <n v="0.46837730750115147"/>
    <n v="0.51018541887856739"/>
    <n v="0.55514868240265458"/>
    <n v="-4.9175990634939977"/>
    <n v="1.394292615005166"/>
    <n v="-0.84520795212677169"/>
    <n v="3.159212314237815"/>
    <n v="3.1607492054121509"/>
    <n v="-11.51292546497023"/>
    <n v="-1.5368912136182189E-3"/>
    <n v="0"/>
    <n v="0"/>
    <n v="0"/>
    <n v="1"/>
    <n v="0"/>
    <n v="0"/>
    <n v="0"/>
  </r>
  <r>
    <n v="43"/>
    <x v="9"/>
    <n v="-1.1689292396529061"/>
    <n v="0.67069705172235339"/>
    <n v="0.64532155107734079"/>
    <n v="0.67656037695554638"/>
    <n v="0.44455760791426069"/>
    <n v="0.46837730750115147"/>
    <n v="0.51018541887856739"/>
    <n v="-4.4837560382573232"/>
    <n v="1.394292615005166"/>
    <n v="-0.81478004329457732"/>
    <n v="3.1480326131264391"/>
    <n v="3.1555875002801459"/>
    <n v="-11.51292546497023"/>
    <n v="-7.5548873282968998E-3"/>
    <n v="1"/>
    <n v="0"/>
    <n v="0"/>
    <n v="1"/>
    <n v="0"/>
    <n v="0"/>
    <n v="0"/>
  </r>
  <r>
    <n v="43"/>
    <x v="10"/>
    <n v="-1.1813691965431139"/>
    <n v="0.75099147024438317"/>
    <n v="0.67069705172235339"/>
    <n v="0.64532155107734079"/>
    <n v="0.66186289052017888"/>
    <n v="0.44455760791426069"/>
    <n v="0.46837730750115147"/>
    <n v="-4.1056159265104339"/>
    <n v="1.394292615005166"/>
    <n v="-0.79229715995028049"/>
    <n v="3.1344924395282949"/>
    <n v="3.144613137618717"/>
    <n v="-11.51292546497023"/>
    <n v="-1.0120698250830173E-2"/>
    <n v="1"/>
    <n v="0"/>
    <n v="0"/>
    <n v="1"/>
    <n v="0"/>
    <n v="0"/>
    <n v="0"/>
  </r>
  <r>
    <n v="43"/>
    <x v="11"/>
    <n v="-1.1474899667955909"/>
    <n v="0.73222365254173816"/>
    <n v="0.75099147024438317"/>
    <n v="0.67069705172235339"/>
    <n v="0.65793442480420083"/>
    <n v="0.66186289052017888"/>
    <n v="0.44455760791426069"/>
    <n v="-3.4766489066267621"/>
    <n v="1.394292615005166"/>
    <n v="-0.76976414629165346"/>
    <n v="3.1300269945941022"/>
    <n v="3.1312729786417068"/>
    <n v="-11.51292546497023"/>
    <n v="-1.245983992703259E-3"/>
    <n v="1"/>
    <n v="0"/>
    <n v="0"/>
    <n v="1"/>
    <n v="0"/>
    <n v="0"/>
    <n v="0"/>
  </r>
  <r>
    <n v="43"/>
    <x v="12"/>
    <n v="-1.185861415436875"/>
    <n v="0.85573360777969776"/>
    <n v="0.73222365254173816"/>
    <n v="0.75099147024438317"/>
    <n v="0.71818119827958704"/>
    <n v="0.65793442480420083"/>
    <n v="0.66186289052017888"/>
    <n v="-3.0072377064900651"/>
    <n v="1.394292615005166"/>
    <n v="-0.74270185594626881"/>
    <n v="3.1627955883168761"/>
    <n v="3.129434565485063"/>
    <n v="3.2580965380214821"/>
    <n v="3.3361021429300308E-2"/>
    <n v="1"/>
    <n v="0"/>
    <n v="0"/>
    <n v="1"/>
    <n v="0"/>
    <n v="0"/>
    <n v="0"/>
  </r>
  <r>
    <n v="43"/>
    <x v="13"/>
    <n v="-1.1636872799363609"/>
    <n v="0.7959744903594157"/>
    <n v="0.85573360777969776"/>
    <n v="0.73222365254173816"/>
    <n v="0.69084453149726976"/>
    <n v="0.71818119827958704"/>
    <n v="0.65793442480420083"/>
    <n v="-2.2652532434171251"/>
    <n v="1.394292615005166"/>
    <n v="-0.7200209016275827"/>
    <n v="3.170805547254858"/>
    <n v="3.158600018921649"/>
    <n v="5.393627546352362"/>
    <n v="1.2205528095364571E-2"/>
    <n v="1"/>
    <n v="0"/>
    <n v="0"/>
    <n v="1"/>
    <n v="0"/>
    <n v="0"/>
    <n v="0"/>
  </r>
  <r>
    <n v="43"/>
    <x v="14"/>
    <n v="-1.2792861663795729"/>
    <n v="0.71564225838731621"/>
    <n v="0.7959744903594157"/>
    <n v="0.85573360777969776"/>
    <n v="0.66618699897716227"/>
    <n v="0.69084453149726976"/>
    <n v="0.71818119827958704"/>
    <n v="-1.714377892425917"/>
    <n v="1.394292615005166"/>
    <n v="-0.70344543233434553"/>
    <n v="3.079905222339911"/>
    <n v="3.1667938247904721"/>
    <n v="5.9914645471079817"/>
    <n v="-8.6888603866100311E-2"/>
    <n v="1"/>
    <n v="1"/>
    <n v="0"/>
    <n v="1"/>
    <n v="0"/>
    <n v="0"/>
    <n v="0"/>
  </r>
  <r>
    <n v="43"/>
    <x v="15"/>
    <n v="-1.2547276923864741"/>
    <n v="0.94304950117484621"/>
    <n v="0.71564225838731621"/>
    <n v="0.7959744903594157"/>
    <n v="0.89531221348895718"/>
    <n v="0.66618699897716227"/>
    <n v="0.69084453149726976"/>
    <n v="-1.068768097814778"/>
    <n v="1.394292615005166"/>
    <n v="-0.68890576751442378"/>
    <n v="3.1639349121749452"/>
    <n v="3.0760906474049361"/>
    <n v="6.6846117276679271"/>
    <n v="8.784426748752594E-2"/>
    <n v="1"/>
    <n v="0"/>
    <n v="0"/>
    <n v="1"/>
    <n v="0"/>
    <n v="0"/>
    <n v="0"/>
  </r>
  <r>
    <n v="43"/>
    <x v="16"/>
    <n v="-1.1578699023743559"/>
    <n v="0.86827626677239533"/>
    <n v="0.94304950117484621"/>
    <n v="0.71564225838731621"/>
    <n v="0.83729081364000524"/>
    <n v="0.89531221348895718"/>
    <n v="0.66618699897716227"/>
    <n v="-0.66652469660513669"/>
    <n v="1.394292615005166"/>
    <n v="-0.67216233134431047"/>
    <n v="3.102755010118011"/>
    <n v="3.1639349121749452"/>
    <n v="8.0551577318196781"/>
    <n v="-6.1179902404546738E-2"/>
    <n v="1"/>
    <n v="0"/>
    <n v="0"/>
    <n v="1"/>
    <n v="0"/>
    <n v="0"/>
    <n v="0"/>
  </r>
  <r>
    <n v="43"/>
    <x v="17"/>
    <n v="-1.0976857307889401"/>
    <n v="0.74007847524437753"/>
    <n v="0.86827626677239533"/>
    <n v="0.94304950117484621"/>
    <n v="0.5978470007056208"/>
    <n v="0.83729081364000524"/>
    <n v="0.89531221348895718"/>
    <n v="-0.1183286804237825"/>
    <n v="1.394292615005166"/>
    <n v="-0.65299503340882381"/>
    <n v="3.1433215520329649"/>
    <n v="3.102755010118011"/>
    <n v="8.4658998970286863"/>
    <n v="4.0566541254520416E-2"/>
    <n v="1"/>
    <n v="0"/>
    <n v="0"/>
    <n v="1"/>
    <n v="0"/>
    <n v="0"/>
    <n v="0"/>
  </r>
  <r>
    <n v="50"/>
    <x v="0"/>
    <n v="-1.975513597005494"/>
    <n v="1.015230679729058"/>
    <n v="0.97093042083247871"/>
    <n v="0.89718945857175403"/>
    <n v="0.66268797307523675"/>
    <n v="0.53168651443331993"/>
    <n v="0.4439162944824171"/>
    <n v="-11.51292546497023"/>
    <n v="1.130977484562024"/>
    <n v="-1.579811695749985"/>
    <n v="2.74943297343194"/>
    <n v="2.6980596550138718"/>
    <n v="-11.51292546497023"/>
    <n v="5.1373317837715149E-2"/>
    <n v="0"/>
    <n v="0"/>
    <n v="1"/>
    <n v="0"/>
    <n v="0"/>
    <n v="0"/>
    <n v="0"/>
  </r>
  <r>
    <n v="50"/>
    <x v="1"/>
    <n v="-1.952096980782045"/>
    <n v="0.95331673071060219"/>
    <n v="1.015230679729058"/>
    <n v="0.97093042083247871"/>
    <n v="0.50446544061330811"/>
    <n v="0.66268797307523675"/>
    <n v="0.53168651443331993"/>
    <n v="-11.51292546497023"/>
    <n v="1.130977484562024"/>
    <n v="-1.4896782365077359"/>
    <n v="2.7993383120309798"/>
    <n v="2.7411820075006239"/>
    <n v="-11.51292546497023"/>
    <n v="5.8156304061412811E-2"/>
    <n v="0"/>
    <n v="0"/>
    <n v="1"/>
    <n v="0"/>
    <n v="0"/>
    <n v="0"/>
    <n v="0"/>
  </r>
  <r>
    <n v="50"/>
    <x v="2"/>
    <n v="-1.880283809994443"/>
    <n v="0.8960063885714481"/>
    <n v="0.95331673071060219"/>
    <n v="1.015230679729058"/>
    <n v="0.4529210492644597"/>
    <n v="0.50446544061330811"/>
    <n v="0.66268797307523675"/>
    <n v="-11.51292546497023"/>
    <n v="1.130977484562024"/>
    <n v="-1.396145555598052"/>
    <n v="2.8925826433772062"/>
    <n v="2.7911544397278618"/>
    <n v="-11.51292546497023"/>
    <n v="0.10142820328474045"/>
    <n v="0"/>
    <n v="0"/>
    <n v="1"/>
    <n v="0"/>
    <n v="0"/>
    <n v="0"/>
    <n v="0"/>
  </r>
  <r>
    <n v="50"/>
    <x v="3"/>
    <n v="-1.8462884171821501"/>
    <n v="0.83893441262592605"/>
    <n v="0.8960063885714481"/>
    <n v="0.95331673071060219"/>
    <n v="0.41071795438961278"/>
    <n v="0.4529210492644597"/>
    <n v="0.50446544061330811"/>
    <n v="-7.7666278927080938"/>
    <n v="1.130977484562024"/>
    <n v="-1.3133919458640591"/>
    <n v="2.8987503000406152"/>
    <n v="2.8821757792191152"/>
    <n v="-11.51292546497023"/>
    <n v="1.6574520617723465E-2"/>
    <n v="0"/>
    <n v="0"/>
    <n v="1"/>
    <n v="0"/>
    <n v="0"/>
    <n v="0"/>
    <n v="0"/>
  </r>
  <r>
    <n v="50"/>
    <x v="4"/>
    <n v="-1.6790492006636919"/>
    <n v="0.77398956840404609"/>
    <n v="0.83893441262592605"/>
    <n v="0.8960063885714481"/>
    <n v="0.39823906301642481"/>
    <n v="0.41071795438961278"/>
    <n v="0.4529210492644597"/>
    <n v="-7.0979705978952667"/>
    <n v="1.130977484562024"/>
    <n v="-1.2405089831405469"/>
    <n v="2.972527222959565"/>
    <n v="2.874260414293341"/>
    <n v="-11.51292546497023"/>
    <n v="9.8266810178756714E-2"/>
    <n v="0"/>
    <n v="0"/>
    <n v="1"/>
    <n v="0"/>
    <n v="0"/>
    <n v="0"/>
    <n v="0"/>
  </r>
  <r>
    <n v="50"/>
    <x v="5"/>
    <n v="-1.5013570777630769"/>
    <n v="0.74074615935922428"/>
    <n v="0.77398956840404609"/>
    <n v="0.83893441262592605"/>
    <n v="0.46881542360892609"/>
    <n v="0.39823906301642481"/>
    <n v="0.41071795438961278"/>
    <n v="-5.5124371256395719"/>
    <n v="1.130977484562024"/>
    <n v="-1.174478633946102"/>
    <n v="3.0225778200583151"/>
    <n v="2.948622782781094"/>
    <n v="-11.51292546497023"/>
    <n v="7.3955036699771881E-2"/>
    <n v="0"/>
    <n v="0"/>
    <n v="1"/>
    <n v="0"/>
    <n v="0"/>
    <n v="0"/>
    <n v="0"/>
  </r>
  <r>
    <n v="50"/>
    <x v="6"/>
    <n v="-1.3576503718458801"/>
    <n v="0.70215647471753273"/>
    <n v="0.74074615935922428"/>
    <n v="0.77398956840404609"/>
    <n v="0.43580030790423729"/>
    <n v="0.46881542360892609"/>
    <n v="0.39823906301642481"/>
    <n v="-5.0516032779595612"/>
    <n v="1.130977484562024"/>
    <n v="-1.102219461000258"/>
    <n v="3.0545696338853041"/>
    <n v="3.0134080384925941"/>
    <n v="-11.51292546497023"/>
    <n v="4.1161596775054932E-2"/>
    <n v="0"/>
    <n v="0"/>
    <n v="1"/>
    <n v="0"/>
    <n v="0"/>
    <n v="0"/>
    <n v="0"/>
  </r>
  <r>
    <n v="50"/>
    <x v="7"/>
    <n v="-1.349415161555104"/>
    <n v="0.72090825134533554"/>
    <n v="0.70215647471753273"/>
    <n v="0.74074615935922428"/>
    <n v="0.39237986855950879"/>
    <n v="0.43580030790423729"/>
    <n v="0.46881542360892609"/>
    <n v="-4.2474402455818021"/>
    <n v="1.130977484562024"/>
    <n v="-1.0624577711181571"/>
    <n v="3.0577401914607312"/>
    <n v="3.0204034758586098"/>
    <n v="-11.51292546497023"/>
    <n v="3.7336714565753937E-2"/>
    <n v="0"/>
    <n v="0"/>
    <n v="1"/>
    <n v="0"/>
    <n v="0"/>
    <n v="0"/>
    <n v="0"/>
  </r>
  <r>
    <n v="50"/>
    <x v="8"/>
    <n v="-1.294690965227715"/>
    <n v="0.68506460436658934"/>
    <n v="0.72090825134533554"/>
    <n v="0.70215647471753273"/>
    <n v="0.34401514579194181"/>
    <n v="0.39237986855950879"/>
    <n v="0.43580030790423729"/>
    <n v="-3.514089845464766"/>
    <n v="1.130977484562024"/>
    <n v="-1.0143261612993819"/>
    <n v="3.1015283053931602"/>
    <n v="3.0452996775323982"/>
    <n v="-11.51292546497023"/>
    <n v="5.6228626519441605E-2"/>
    <n v="0"/>
    <n v="0"/>
    <n v="1"/>
    <n v="0"/>
    <n v="0"/>
    <n v="0"/>
    <n v="0"/>
  </r>
  <r>
    <n v="50"/>
    <x v="9"/>
    <n v="-1.3848701080031769"/>
    <n v="0.66772680321303413"/>
    <n v="0.68506460436658934"/>
    <n v="0.72090825134533554"/>
    <n v="0.32164862201505379"/>
    <n v="0.34401514579194181"/>
    <n v="0.39237986855950879"/>
    <n v="-3.1206069133565029"/>
    <n v="1.130977484562024"/>
    <n v="-0.98173704079714696"/>
    <n v="3.067628402405107"/>
    <n v="3.0895461293932569"/>
    <n v="-11.51292546497023"/>
    <n v="-2.1917726844549179E-2"/>
    <n v="1"/>
    <n v="0"/>
    <n v="1"/>
    <n v="0"/>
    <n v="0"/>
    <n v="0"/>
    <n v="0"/>
  </r>
  <r>
    <n v="50"/>
    <x v="10"/>
    <n v="-1.285285227425053"/>
    <n v="0.65336631054810068"/>
    <n v="0.66772680321303413"/>
    <n v="0.68506460436658934"/>
    <n v="0.4415398522451548"/>
    <n v="0.32164862201505379"/>
    <n v="0.34401514579194181"/>
    <n v="-2.7239779808935669"/>
    <n v="1.130977484562024"/>
    <n v="-0.96065305975401938"/>
    <n v="3.078809717589027"/>
    <n v="3.0559472746276479"/>
    <n v="-11.51292546497023"/>
    <n v="2.2862443700432777E-2"/>
    <n v="1"/>
    <n v="0"/>
    <n v="1"/>
    <n v="0"/>
    <n v="0"/>
    <n v="0"/>
    <n v="0"/>
  </r>
  <r>
    <n v="50"/>
    <x v="11"/>
    <n v="-1.2638688961429589"/>
    <n v="0.67701779863006162"/>
    <n v="0.65336631054810068"/>
    <n v="0.66772680321303413"/>
    <n v="0.49035757512612699"/>
    <n v="0.4415398522451548"/>
    <n v="0.32164862201505379"/>
    <n v="-2.1007295258352019"/>
    <n v="1.130977484562024"/>
    <n v="-0.93731049146277712"/>
    <n v="3.0792033858508652"/>
    <n v="3.0674071987690561"/>
    <n v="-11.51292546497023"/>
    <n v="1.1796186678111553E-2"/>
    <n v="1"/>
    <n v="0"/>
    <n v="1"/>
    <n v="0"/>
    <n v="0"/>
    <n v="0"/>
    <n v="0"/>
  </r>
  <r>
    <n v="50"/>
    <x v="12"/>
    <n v="-1.3495948435285481"/>
    <n v="0.7764307846966827"/>
    <n v="0.67701779863006162"/>
    <n v="0.65336631054810068"/>
    <n v="0.53783749601278841"/>
    <n v="0.49035757512612699"/>
    <n v="0.4415398522451548"/>
    <n v="-1.6270678834723289"/>
    <n v="1.130977484562024"/>
    <n v="-0.91339665834032158"/>
    <n v="3.126547037607621"/>
    <n v="3.066430857571905"/>
    <n v="3.2580965380214821"/>
    <n v="6.0116179287433624E-2"/>
    <n v="1"/>
    <n v="0"/>
    <n v="1"/>
    <n v="0"/>
    <n v="0"/>
    <n v="0"/>
    <n v="0"/>
  </r>
  <r>
    <n v="50"/>
    <x v="13"/>
    <n v="-1.285858708664841"/>
    <n v="0.7103483878797201"/>
    <n v="0.7764307846966827"/>
    <n v="0.67701779863006162"/>
    <n v="0.51641000205989129"/>
    <n v="0.53783749601278841"/>
    <n v="0.49035757512612699"/>
    <n v="-0.95256005031569146"/>
    <n v="1.130977484562024"/>
    <n v="-0.88821277880844851"/>
    <n v="3.0737258239883838"/>
    <n v="3.1153426686918322"/>
    <n v="5.393627546352362"/>
    <n v="-4.161684587597847E-2"/>
    <n v="1"/>
    <n v="0"/>
    <n v="1"/>
    <n v="0"/>
    <n v="0"/>
    <n v="0"/>
    <n v="0"/>
  </r>
  <r>
    <n v="50"/>
    <x v="14"/>
    <n v="-1.3925580452554449"/>
    <n v="0.70872521052326376"/>
    <n v="0.7103483878797201"/>
    <n v="0.7764307846966827"/>
    <n v="0.44243971089952577"/>
    <n v="0.51641000205989129"/>
    <n v="0.53783749601278841"/>
    <n v="-0.25456177721428758"/>
    <n v="1.130977484562024"/>
    <n v="-0.87034242799961925"/>
    <n v="3.1369814545481511"/>
    <n v="3.0628431352276291"/>
    <n v="5.9914645471079817"/>
    <n v="7.4138320982456207E-2"/>
    <n v="1"/>
    <n v="1"/>
    <n v="1"/>
    <n v="0"/>
    <n v="0"/>
    <n v="0"/>
    <n v="0"/>
  </r>
  <r>
    <n v="50"/>
    <x v="15"/>
    <n v="-1.434501324363882"/>
    <n v="0.90401570099854245"/>
    <n v="0.70872521052326376"/>
    <n v="0.7103483878797201"/>
    <n v="0.64924753826992698"/>
    <n v="0.44243971089952577"/>
    <n v="0.51641000205989129"/>
    <n v="0.31514809820388678"/>
    <n v="1.130977484562024"/>
    <n v="-0.85750585795415835"/>
    <n v="3.1518800036120922"/>
    <n v="3.126432160474677"/>
    <n v="6.6846117276679271"/>
    <n v="2.5447843596339226E-2"/>
    <n v="1"/>
    <n v="0"/>
    <n v="1"/>
    <n v="0"/>
    <n v="0"/>
    <n v="0"/>
    <n v="0"/>
  </r>
  <r>
    <n v="50"/>
    <x v="16"/>
    <n v="-1.305504312734995"/>
    <n v="0.86827626677239533"/>
    <n v="0.90401570099854245"/>
    <n v="0.70872521052326376"/>
    <n v="0.61285860933110847"/>
    <n v="0.64924753826992698"/>
    <n v="0.44243971089952577"/>
    <n v="0.8535018840870181"/>
    <n v="1.130977484562024"/>
    <n v="-0.83501885082324967"/>
    <n v="3.2268541726774989"/>
    <n v="3.1518800036120922"/>
    <n v="8.0551577318196781"/>
    <n v="7.4974171817302704E-2"/>
    <n v="1"/>
    <n v="0"/>
    <n v="1"/>
    <n v="0"/>
    <n v="0"/>
    <n v="0"/>
    <n v="0"/>
  </r>
  <r>
    <n v="50"/>
    <x v="17"/>
    <n v="-1.2479133990084019"/>
    <n v="0.70640885454313052"/>
    <n v="0.86827626677239533"/>
    <n v="0.90401570099854245"/>
    <n v="0.36186147062603241"/>
    <n v="0.61285860933110847"/>
    <n v="0.64924753826992698"/>
    <n v="1.413503350499935"/>
    <n v="1.130977484562024"/>
    <n v="-0.80935547800188667"/>
    <n v="3.2792263326556959"/>
    <n v="3.2268541726774989"/>
    <n v="8.4658998970286863"/>
    <n v="5.237216129899025E-2"/>
    <n v="1"/>
    <n v="0"/>
    <n v="1"/>
    <n v="0"/>
    <n v="0"/>
    <n v="0"/>
    <n v="0"/>
  </r>
  <r>
    <n v="51"/>
    <x v="0"/>
    <n v="-2.05774652737274"/>
    <n v="1.081805170351728"/>
    <n v="1.042535642447705"/>
    <n v="0.99047013004840656"/>
    <n v="0.69314718055994529"/>
    <n v="0.58478215588182025"/>
    <n v="0.51801968434623125"/>
    <n v="-11.51292546497023"/>
    <n v="1.9730087517591539"/>
    <n v="-1.798920155106793"/>
    <n v="2.6724997707606679"/>
    <n v="2.847671102973925"/>
    <n v="-11.51292546497023"/>
    <n v="-0.17517133057117462"/>
    <n v="0"/>
    <n v="0"/>
    <n v="1"/>
    <n v="0"/>
    <n v="0"/>
    <n v="0"/>
    <n v="0"/>
  </r>
  <r>
    <n v="51"/>
    <x v="1"/>
    <n v="-2.1237769983382999"/>
    <n v="1.021083086158872"/>
    <n v="1.081805170351728"/>
    <n v="1.042535642447705"/>
    <n v="0.36845528247426368"/>
    <n v="0.69314718055994529"/>
    <n v="0.58478215588182025"/>
    <n v="-11.51292546497023"/>
    <n v="1.9730087517591539"/>
    <n v="-1.6952029836220981"/>
    <n v="2.8066650646061579"/>
    <n v="2.6550236833934591"/>
    <n v="-11.51292546497023"/>
    <n v="0.15164138376712799"/>
    <n v="0"/>
    <n v="0"/>
    <n v="1"/>
    <n v="0"/>
    <n v="0"/>
    <n v="0"/>
    <n v="0"/>
  </r>
  <r>
    <n v="51"/>
    <x v="2"/>
    <n v="-2.1175597176399039"/>
    <n v="0.91063476701799762"/>
    <n v="1.021083086158872"/>
    <n v="1.081805170351728"/>
    <n v="0.24966863025356481"/>
    <n v="0.36845528247426368"/>
    <n v="0.69314718055994529"/>
    <n v="-11.51292546497023"/>
    <n v="1.9730087517591539"/>
    <n v="-1.5606998325896051"/>
    <n v="2.962978052689655"/>
    <n v="2.7894891524881991"/>
    <n v="-11.51292546497023"/>
    <n v="0.17348890006542206"/>
    <n v="0"/>
    <n v="0"/>
    <n v="1"/>
    <n v="0"/>
    <n v="0"/>
    <n v="0"/>
    <n v="0"/>
  </r>
  <r>
    <n v="51"/>
    <x v="3"/>
    <n v="-2.1349810416516708"/>
    <n v="0.85747447398162135"/>
    <n v="0.91063476701799762"/>
    <n v="1.021083086158872"/>
    <n v="0.2214621385316716"/>
    <n v="0.24966863025356481"/>
    <n v="0.36845528247426368"/>
    <n v="-8.0069314086622185"/>
    <n v="1.9730087517591539"/>
    <n v="-1.4506574410501361"/>
    <n v="2.9461875816004648"/>
    <n v="2.94822569572601"/>
    <n v="-11.51292546497023"/>
    <n v="-2.0381142385303974E-3"/>
    <n v="0"/>
    <n v="0"/>
    <n v="1"/>
    <n v="0"/>
    <n v="0"/>
    <n v="0"/>
    <n v="0"/>
  </r>
  <r>
    <n v="51"/>
    <x v="4"/>
    <n v="-2.0433626100727298"/>
    <n v="0.81828091131671099"/>
    <n v="0.85747447398162135"/>
    <n v="0.91063476701799762"/>
    <n v="0.33590064472225528"/>
    <n v="0.2214621385316716"/>
    <n v="0.24966863025356481"/>
    <n v="-7.3260754061403617"/>
    <n v="1.9730087517591539"/>
    <n v="-1.3486996414753709"/>
    <n v="2.9245585501402531"/>
    <n v="2.9338964035622919"/>
    <n v="-11.51292546497023"/>
    <n v="-9.3378536403179169E-3"/>
    <n v="0"/>
    <n v="0"/>
    <n v="1"/>
    <n v="0"/>
    <n v="0"/>
    <n v="0"/>
    <n v="0"/>
  </r>
  <r>
    <n v="51"/>
    <x v="5"/>
    <n v="-1.840213729643446"/>
    <n v="0.79768735983386929"/>
    <n v="0.81828091131671099"/>
    <n v="0.85747447398162135"/>
    <n v="0.4093907261106367"/>
    <n v="0.33590064472225528"/>
    <n v="0.2214621385316716"/>
    <n v="-5.6334692513688536"/>
    <n v="1.9730087517591539"/>
    <n v="-1.254492718073984"/>
    <n v="3.0328194081271249"/>
    <n v="2.91241661267324"/>
    <n v="-11.51292546497023"/>
    <n v="0.12040279805660248"/>
    <n v="0"/>
    <n v="0"/>
    <n v="1"/>
    <n v="0"/>
    <n v="0"/>
    <n v="0"/>
    <n v="0"/>
  </r>
  <r>
    <n v="51"/>
    <x v="6"/>
    <n v="-1.6588784145306159"/>
    <n v="0.76825465304675078"/>
    <n v="0.79768735983386929"/>
    <n v="0.81828091131671099"/>
    <n v="0.36276635357504911"/>
    <n v="0.4093907261106367"/>
    <n v="0.33590064472225528"/>
    <n v="-5.271503568333296"/>
    <n v="1.9730087517591539"/>
    <n v="-1.1799399526944709"/>
    <n v="3.0851610781021268"/>
    <n v="3.0200916417212711"/>
    <n v="-11.51292546497023"/>
    <n v="6.5069437026977539E-2"/>
    <n v="0"/>
    <n v="0"/>
    <n v="1"/>
    <n v="0"/>
    <n v="0"/>
    <n v="0"/>
    <n v="0"/>
  </r>
  <r>
    <n v="51"/>
    <x v="7"/>
    <n v="-1.690374031574946"/>
    <n v="0.72754860727727766"/>
    <n v="0.76825465304675078"/>
    <n v="0.79768735983386929"/>
    <n v="0.30535007010518789"/>
    <n v="0.36276635357504911"/>
    <n v="0.4093907261106367"/>
    <n v="-4.4017390743939897"/>
    <n v="1.9730087517591539"/>
    <n v="-1.1195437403122011"/>
    <n v="3.1047763713222141"/>
    <n v="3.0639526481515622"/>
    <n v="-11.51292546497023"/>
    <n v="4.0823724120855331E-2"/>
    <n v="0"/>
    <n v="0"/>
    <n v="1"/>
    <n v="0"/>
    <n v="0"/>
    <n v="0"/>
    <n v="0"/>
  </r>
  <r>
    <n v="51"/>
    <x v="8"/>
    <n v="-1.582605413124665"/>
    <n v="0.69474590192364238"/>
    <n v="0.72754860727727766"/>
    <n v="0.76825465304675078"/>
    <n v="0.29728580859447568"/>
    <n v="0.30535007010518789"/>
    <n v="0.36276635357504911"/>
    <n v="-3.6840396748336701"/>
    <n v="1.9730087517591539"/>
    <n v="-1.0613115936954669"/>
    <n v="3.142461528138865"/>
    <n v="3.091588262339735"/>
    <n v="-11.51292546497023"/>
    <n v="5.0873264670372009E-2"/>
    <n v="0"/>
    <n v="0"/>
    <n v="1"/>
    <n v="0"/>
    <n v="0"/>
    <n v="0"/>
    <n v="0"/>
  </r>
  <r>
    <n v="51"/>
    <x v="9"/>
    <n v="-1.7534303860936951"/>
    <n v="0.67960590999327797"/>
    <n v="0.69474590192364238"/>
    <n v="0.72754860727727766"/>
    <n v="0.20073432980108"/>
    <n v="0.29728580859447568"/>
    <n v="0.30535007010518789"/>
    <n v="-3.2789795267156618"/>
    <n v="1.9730087517591539"/>
    <n v="-1.020982827946896"/>
    <n v="3.1161413519454091"/>
    <n v="3.1297864755568958"/>
    <n v="-11.51292546497023"/>
    <n v="-1.3645123690366745E-2"/>
    <n v="1"/>
    <n v="0"/>
    <n v="1"/>
    <n v="0"/>
    <n v="0"/>
    <n v="0"/>
    <n v="0"/>
  </r>
  <r>
    <n v="51"/>
    <x v="10"/>
    <n v="-1.679206203083961"/>
    <n v="0.71147813724466868"/>
    <n v="0.67960590999327797"/>
    <n v="0.69474590192364238"/>
    <n v="0.34557355086755848"/>
    <n v="0.20073432980108"/>
    <n v="0.29728580859447568"/>
    <n v="-2.8458570330107551"/>
    <n v="1.9730087517591539"/>
    <n v="-0.98968193431058293"/>
    <n v="3.1686179571010782"/>
    <n v="3.1039528289949501"/>
    <n v="-11.51292546497023"/>
    <n v="6.4665131270885468E-2"/>
    <n v="1"/>
    <n v="0"/>
    <n v="1"/>
    <n v="0"/>
    <n v="0"/>
    <n v="0"/>
    <n v="0"/>
  </r>
  <r>
    <n v="51"/>
    <x v="11"/>
    <n v="-1.67921739515646"/>
    <n v="0.70631016708622618"/>
    <n v="0.71147813724466868"/>
    <n v="0.67960590999327797"/>
    <n v="0.27292370147623563"/>
    <n v="0.34557355086755848"/>
    <n v="0.20073432980108"/>
    <n v="-2.2429678509241522"/>
    <n v="1.9730087517591539"/>
    <n v="-0.96161077735185829"/>
    <n v="3.144485979086646"/>
    <n v="3.156884721740048"/>
    <n v="-11.51292546497023"/>
    <n v="-1.2398743070662022E-2"/>
    <n v="1"/>
    <n v="0"/>
    <n v="1"/>
    <n v="0"/>
    <n v="0"/>
    <n v="0"/>
    <n v="0"/>
  </r>
  <r>
    <n v="51"/>
    <x v="12"/>
    <n v="-1.8864132743384829"/>
    <n v="0.83594797919161656"/>
    <n v="0.70631016708622618"/>
    <n v="0.71147813724466868"/>
    <n v="0.33253592808540672"/>
    <n v="0.27292370147623563"/>
    <n v="0.34557355086755848"/>
    <n v="-1.826642708966508"/>
    <n v="1.9730087517591539"/>
    <n v="-0.94169512122798971"/>
    <n v="3.1520444807485388"/>
    <n v="3.115764223772421"/>
    <n v="3.2580965380214821"/>
    <n v="3.6280255764722824E-2"/>
    <n v="1"/>
    <n v="0"/>
    <n v="1"/>
    <n v="0"/>
    <n v="0"/>
    <n v="0"/>
    <n v="0"/>
  </r>
  <r>
    <n v="51"/>
    <x v="13"/>
    <n v="-1.9921047751330849"/>
    <n v="0.79376145059253866"/>
    <n v="0.83594797919161656"/>
    <n v="0.70631016708622618"/>
    <n v="0.24904518883686269"/>
    <n v="0.33253592808540672"/>
    <n v="0.27292370147623563"/>
    <n v="-1.120801484052383"/>
    <n v="1.9730087517591539"/>
    <n v="-0.90391195547556569"/>
    <n v="3.13188489075428"/>
    <n v="3.1397817931288499"/>
    <n v="5.393627546352362"/>
    <n v="-7.8969020396471024E-3"/>
    <n v="1"/>
    <n v="0"/>
    <n v="1"/>
    <n v="0"/>
    <n v="0"/>
    <n v="0"/>
    <n v="0"/>
  </r>
  <r>
    <n v="51"/>
    <x v="14"/>
    <n v="-1.9497546726642769"/>
    <n v="0.7133418878454646"/>
    <n v="0.79376145059253866"/>
    <n v="0.83594797919161656"/>
    <n v="0.28930575356787852"/>
    <n v="0.24904518883686269"/>
    <n v="0.33253592808540672"/>
    <n v="-0.33279799939185711"/>
    <n v="1.9730087517591539"/>
    <n v="-0.87596321331421045"/>
    <n v="3.2859967765217868"/>
    <n v="3.1199732194291552"/>
    <n v="5.9914645471079817"/>
    <n v="0.16602355241775513"/>
    <n v="1"/>
    <n v="1"/>
    <n v="1"/>
    <n v="0"/>
    <n v="0"/>
    <n v="0"/>
    <n v="0"/>
  </r>
  <r>
    <n v="51"/>
    <x v="15"/>
    <n v="-1.765906089621222"/>
    <n v="0.90401570099854245"/>
    <n v="0.7133418878454646"/>
    <n v="0.79376145059253866"/>
    <n v="0.57515162232223782"/>
    <n v="0.28930575356787852"/>
    <n v="0.24904518883686269"/>
    <n v="0.35411113289401652"/>
    <n v="1.9730087517591539"/>
    <n v="-0.85090031149088408"/>
    <n v="3.4190583322518591"/>
    <n v="3.2744327466275061"/>
    <n v="6.6846117276679271"/>
    <n v="0.14462558925151825"/>
    <n v="1"/>
    <n v="0"/>
    <n v="1"/>
    <n v="0"/>
    <n v="0"/>
    <n v="0"/>
    <n v="0"/>
  </r>
  <r>
    <n v="51"/>
    <x v="16"/>
    <n v="-1.681463142928628"/>
    <n v="0.89006995223107255"/>
    <n v="0.90401570099854245"/>
    <n v="0.7133418878454646"/>
    <n v="0.5042842757225684"/>
    <n v="0.57515162232223782"/>
    <n v="0.28930575356787852"/>
    <n v="0.82585925575775587"/>
    <n v="1.9730087517591539"/>
    <n v="-0.8181080957602257"/>
    <n v="3.4274724365402758"/>
    <n v="3.4190583322518591"/>
    <n v="8.0551577318196781"/>
    <n v="8.4141045808792114E-3"/>
    <n v="1"/>
    <n v="0"/>
    <n v="1"/>
    <n v="0"/>
    <n v="0"/>
    <n v="0"/>
    <n v="0"/>
  </r>
  <r>
    <n v="51"/>
    <x v="17"/>
    <n v="-1.6568841041092961"/>
    <n v="0.75292438459580613"/>
    <n v="0.89006995223107255"/>
    <n v="0.90401570099854245"/>
    <n v="0.28073298336357422"/>
    <n v="0.5042842757225684"/>
    <n v="0.57515162232223782"/>
    <n v="1.3493937625097989"/>
    <n v="1.9730087517591539"/>
    <n v="-0.78477121725476684"/>
    <n v="3.443338371166075"/>
    <n v="3.4274724365402758"/>
    <n v="8.4658998970286863"/>
    <n v="1.5865935012698174E-2"/>
    <n v="1"/>
    <n v="0"/>
    <n v="1"/>
    <n v="0"/>
    <n v="0"/>
    <n v="0"/>
    <n v="0"/>
  </r>
  <r>
    <n v="52"/>
    <x v="0"/>
    <n v="-1.862337595589032"/>
    <n v="0.94778939893352609"/>
    <n v="0.88533655655224996"/>
    <n v="0.82342955082286751"/>
    <n v="0.52472852893498212"/>
    <n v="0.40246059908786569"/>
    <n v="0.34861252984868768"/>
    <n v="-11.51292546497023"/>
    <n v="2.05817408255127"/>
    <n v="-1.608091352549371"/>
    <n v="2.6691657313985648"/>
    <n v="2.604186425782943"/>
    <n v="-11.51292546497023"/>
    <n v="6.4979307353496552E-2"/>
    <n v="0"/>
    <n v="0"/>
    <n v="1"/>
    <n v="0"/>
    <n v="0"/>
    <n v="0"/>
    <n v="0"/>
  </r>
  <r>
    <n v="52"/>
    <x v="1"/>
    <n v="-1.883076035962455"/>
    <n v="0.88459364513090055"/>
    <n v="0.94778939893352609"/>
    <n v="0.88533655655224996"/>
    <n v="0.33482802850872367"/>
    <n v="0.52472852893498212"/>
    <n v="0.40246059908786569"/>
    <n v="-11.51292546497023"/>
    <n v="2.05817408255127"/>
    <n v="-1.5047876678710319"/>
    <n v="2.7482821220994418"/>
    <n v="2.6592476277490902"/>
    <n v="-11.51292546497023"/>
    <n v="8.9034497737884521E-2"/>
    <n v="0"/>
    <n v="0"/>
    <n v="1"/>
    <n v="0"/>
    <n v="0"/>
    <n v="0"/>
    <n v="0"/>
  </r>
  <r>
    <n v="52"/>
    <x v="2"/>
    <n v="-1.846873097254206"/>
    <n v="0.81933920579770469"/>
    <n v="0.88459364513090055"/>
    <n v="0.94778939893352609"/>
    <n v="0.33732901234119472"/>
    <n v="0.33482802850872367"/>
    <n v="0.52472852893498212"/>
    <n v="-11.51292546497023"/>
    <n v="2.05817408255127"/>
    <n v="-1.396098820537637"/>
    <n v="2.7976701186191248"/>
    <n v="2.7384614219624459"/>
    <n v="-11.51292546497023"/>
    <n v="5.9208694845438004E-2"/>
    <n v="0"/>
    <n v="0"/>
    <n v="1"/>
    <n v="0"/>
    <n v="0"/>
    <n v="0"/>
    <n v="0"/>
  </r>
  <r>
    <n v="52"/>
    <x v="3"/>
    <n v="-1.8293809229926421"/>
    <n v="0.80848277923984968"/>
    <n v="0.81933920579770469"/>
    <n v="0.88459364513090055"/>
    <n v="0.30792577892882339"/>
    <n v="0.33732901234119472"/>
    <n v="0.33482802850872367"/>
    <n v="-8.6871553512195536"/>
    <n v="2.05817408255127"/>
    <n v="-1.3112481563549381"/>
    <n v="2.8326279323779491"/>
    <n v="2.7838557858735991"/>
    <n v="-11.51292546497023"/>
    <n v="4.8772145062685013E-2"/>
    <n v="0"/>
    <n v="0"/>
    <n v="1"/>
    <n v="0"/>
    <n v="0"/>
    <n v="0"/>
    <n v="0"/>
  </r>
  <r>
    <n v="52"/>
    <x v="4"/>
    <n v="-1.712140667188591"/>
    <n v="0.73553594705173186"/>
    <n v="0.80848277923984968"/>
    <n v="0.81933920579770469"/>
    <n v="0.26941626364488841"/>
    <n v="0.30792577892882339"/>
    <n v="0.33732901234119472"/>
    <n v="-8.0069520634659508"/>
    <n v="2.05817408255127"/>
    <n v="-1.226555268770485"/>
    <n v="2.8783340440319498"/>
    <n v="2.8196840395713911"/>
    <n v="-11.51292546497023"/>
    <n v="5.8650005608797073E-2"/>
    <n v="0"/>
    <n v="0"/>
    <n v="1"/>
    <n v="0"/>
    <n v="0"/>
    <n v="0"/>
    <n v="0"/>
  </r>
  <r>
    <n v="52"/>
    <x v="5"/>
    <n v="-1.57674716233004"/>
    <n v="0.78376454814355934"/>
    <n v="0.73553594705173186"/>
    <n v="0.80848277923984968"/>
    <n v="0.41449091931547682"/>
    <n v="0.26941626364488841"/>
    <n v="0.30792577892882339"/>
    <n v="-6.5156531538483913"/>
    <n v="2.05817408255127"/>
    <n v="-1.146732879284716"/>
    <n v="2.913210704642244"/>
    <n v="2.865555556873272"/>
    <n v="-11.51292546497023"/>
    <n v="4.7655146569013596E-2"/>
    <n v="0"/>
    <n v="0"/>
    <n v="1"/>
    <n v="0"/>
    <n v="0"/>
    <n v="0"/>
    <n v="0"/>
  </r>
  <r>
    <n v="52"/>
    <x v="6"/>
    <n v="-1.448318342264364"/>
    <n v="0.69853265283628319"/>
    <n v="0.78376454814355934"/>
    <n v="0.73553594705173186"/>
    <n v="0.32157612409933711"/>
    <n v="0.41449091931547682"/>
    <n v="0.26941626364488841"/>
    <n v="-6.085962059124963"/>
    <n v="2.05817408255127"/>
    <n v="-1.0747697773179961"/>
    <n v="2.9591251110415029"/>
    <n v="2.9010690470866201"/>
    <n v="-11.51292546497023"/>
    <n v="5.8056063950061798E-2"/>
    <n v="0"/>
    <n v="0"/>
    <n v="1"/>
    <n v="0"/>
    <n v="0"/>
    <n v="0"/>
    <n v="0"/>
  </r>
  <r>
    <n v="52"/>
    <x v="7"/>
    <n v="-1.4365780065249001"/>
    <n v="0.68697819141441629"/>
    <n v="0.69853265283628319"/>
    <n v="0.78376454814355934"/>
    <n v="0.29012907609483268"/>
    <n v="0.32157612409933711"/>
    <n v="0.41449091931547682"/>
    <n v="-5.2728516066714688"/>
    <n v="2.05817408255127"/>
    <n v="-1.0479609113622159"/>
    <n v="2.9289578402063898"/>
    <n v="2.914785331643754"/>
    <n v="-11.51292546497023"/>
    <n v="1.4172508381307125E-2"/>
    <n v="0"/>
    <n v="0"/>
    <n v="1"/>
    <n v="0"/>
    <n v="0"/>
    <n v="0"/>
    <n v="0"/>
  </r>
  <r>
    <n v="52"/>
    <x v="8"/>
    <n v="-1.3807401617391359"/>
    <n v="0.69154589919297138"/>
    <n v="0.68697819141441629"/>
    <n v="0.69853265283628319"/>
    <n v="0.32092340623158289"/>
    <n v="0.29012907609483268"/>
    <n v="0.32157612409933711"/>
    <n v="-4.6087364347415463"/>
    <n v="2.05817408255127"/>
    <n v="-1.0035831305194249"/>
    <n v="2.9264251535538919"/>
    <n v="2.9151933037071571"/>
    <n v="-11.51292546497023"/>
    <n v="1.1231849901378155E-2"/>
    <n v="0"/>
    <n v="0"/>
    <n v="1"/>
    <n v="0"/>
    <n v="0"/>
    <n v="0"/>
    <n v="0"/>
  </r>
  <r>
    <n v="52"/>
    <x v="9"/>
    <n v="-1.5035055965192929"/>
    <n v="0.68546776921607577"/>
    <n v="0.69154589919297138"/>
    <n v="0.68697819141441629"/>
    <n v="0.28728199243044122"/>
    <n v="0.32092340623158289"/>
    <n v="0.29012907609483268"/>
    <n v="-4.2114744745869892"/>
    <n v="2.05817408255127"/>
    <n v="-0.97614255218666246"/>
    <n v="2.8910732539968542"/>
    <n v="2.9131069049335139"/>
    <n v="-11.51292546497023"/>
    <n v="-2.2033650428056717E-2"/>
    <n v="1"/>
    <n v="0"/>
    <n v="1"/>
    <n v="0"/>
    <n v="0"/>
    <n v="0"/>
    <n v="0"/>
  </r>
  <r>
    <n v="52"/>
    <x v="10"/>
    <n v="-1.475509365994625"/>
    <n v="0.7353921621536913"/>
    <n v="0.68546776921607577"/>
    <n v="0.69154589919297138"/>
    <n v="0.41660285251862028"/>
    <n v="0.28728199243044122"/>
    <n v="0.32092340623158289"/>
    <n v="-3.8747700240849192"/>
    <n v="2.05817408255127"/>
    <n v="-0.96055762781918241"/>
    <n v="2.8460956172467662"/>
    <n v="2.8782712500388001"/>
    <n v="-11.51292546497023"/>
    <n v="-3.2175634056329727E-2"/>
    <n v="1"/>
    <n v="0"/>
    <n v="1"/>
    <n v="0"/>
    <n v="0"/>
    <n v="0"/>
    <n v="0"/>
  </r>
  <r>
    <n v="52"/>
    <x v="11"/>
    <n v="-1.4696235507545861"/>
    <n v="0.73476885525076474"/>
    <n v="0.7353921621536913"/>
    <n v="0.68546776921607577"/>
    <n v="0.39474114474518868"/>
    <n v="0.41660285251862028"/>
    <n v="0.28728199243044122"/>
    <n v="-3.2418214175998878"/>
    <n v="2.05817408255127"/>
    <n v="-0.94435316692870053"/>
    <n v="2.8522734979292972"/>
    <n v="2.8337883308762648"/>
    <n v="-11.51292546497023"/>
    <n v="1.8485166132450104E-2"/>
    <n v="1"/>
    <n v="0"/>
    <n v="1"/>
    <n v="0"/>
    <n v="0"/>
    <n v="0"/>
    <n v="0"/>
  </r>
  <r>
    <n v="52"/>
    <x v="12"/>
    <n v="-1.733218604785566"/>
    <n v="0.86010126022277811"/>
    <n v="0.73476885525076474"/>
    <n v="0.7353921621536913"/>
    <n v="0.41025362483996158"/>
    <n v="0.39474114474518868"/>
    <n v="0.41660285251862028"/>
    <n v="-2.8710769693151481"/>
    <n v="2.05817408255127"/>
    <n v="-0.9332166258941994"/>
    <n v="2.806794333389377"/>
    <n v="2.831485932409795"/>
    <n v="3.2580965380214821"/>
    <n v="-2.4691598489880562E-2"/>
    <n v="1"/>
    <n v="0"/>
    <n v="1"/>
    <n v="0"/>
    <n v="0"/>
    <n v="0"/>
    <n v="0"/>
  </r>
  <r>
    <n v="52"/>
    <x v="13"/>
    <n v="-1.816508491222407"/>
    <n v="0.79818264339382605"/>
    <n v="0.86010126022277811"/>
    <n v="0.73476885525076474"/>
    <n v="0.38158216764483233"/>
    <n v="0.41025362483996158"/>
    <n v="0.39474114474518868"/>
    <n v="-2.137270842207049"/>
    <n v="2.05817408255127"/>
    <n v="-0.91537341618496637"/>
    <n v="2.815750935788969"/>
    <n v="2.792849145902681"/>
    <n v="5.393627546352362"/>
    <n v="2.2901790216565132E-2"/>
    <n v="1"/>
    <n v="0"/>
    <n v="1"/>
    <n v="0"/>
    <n v="0"/>
    <n v="0"/>
    <n v="0"/>
  </r>
  <r>
    <n v="52"/>
    <x v="14"/>
    <n v="-1.8383913807628991"/>
    <n v="0.73385716880773211"/>
    <n v="0.79818264339382605"/>
    <n v="0.86010126022277811"/>
    <n v="0.34741217665954732"/>
    <n v="0.38158216764483233"/>
    <n v="0.41025362483996158"/>
    <n v="-1.5096513161972469"/>
    <n v="2.05817408255127"/>
    <n v="-0.89931511695172039"/>
    <n v="2.811005991483424"/>
    <n v="2.8022796431948782"/>
    <n v="5.9914645471079817"/>
    <n v="8.7263481691479683E-3"/>
    <n v="1"/>
    <n v="1"/>
    <n v="1"/>
    <n v="0"/>
    <n v="0"/>
    <n v="0"/>
    <n v="0"/>
  </r>
  <r>
    <n v="52"/>
    <x v="15"/>
    <n v="-1.7292290550868969"/>
    <n v="0.95296975613264678"/>
    <n v="0.73385716880773211"/>
    <n v="0.79818264339382605"/>
    <n v="0.63350332763243034"/>
    <n v="0.34741217665954732"/>
    <n v="0.38158216764483233"/>
    <n v="-0.90821818127850906"/>
    <n v="2.05817408255127"/>
    <n v="-0.88316070483754894"/>
    <n v="2.8601841126256451"/>
    <n v="2.7980102552610839"/>
    <n v="6.6846117276679271"/>
    <n v="6.2173858284950256E-2"/>
    <n v="1"/>
    <n v="0"/>
    <n v="1"/>
    <n v="0"/>
    <n v="0"/>
    <n v="0"/>
    <n v="0"/>
  </r>
  <r>
    <n v="52"/>
    <x v="16"/>
    <n v="-1.6142570925529649"/>
    <n v="0.91464938560202946"/>
    <n v="0.95296975613264678"/>
    <n v="0.73385716880773211"/>
    <n v="0.55658262110371903"/>
    <n v="0.63350332763243034"/>
    <n v="0.34741217665954732"/>
    <n v="-0.35997345569859929"/>
    <n v="2.05817408255127"/>
    <n v="-0.85553986918257652"/>
    <n v="2.944830875983496"/>
    <n v="2.8601841126256451"/>
    <n v="8.0551577318196781"/>
    <n v="8.4646761417388916E-2"/>
    <n v="1"/>
    <n v="0"/>
    <n v="1"/>
    <n v="0"/>
    <n v="0"/>
    <n v="0"/>
    <n v="0"/>
  </r>
  <r>
    <n v="52"/>
    <x v="17"/>
    <n v="-1.481450227393704"/>
    <n v="0.74193734472937733"/>
    <n v="0.91464938560202946"/>
    <n v="0.95296975613264678"/>
    <n v="0.36186147062603241"/>
    <n v="0.55658262110371903"/>
    <n v="0.63350332763243034"/>
    <n v="0.15275965553178639"/>
    <n v="2.05817408255127"/>
    <n v="-0.8245319525329371"/>
    <n v="2.9499617173955852"/>
    <n v="2.944830875983496"/>
    <n v="8.4658998970286863"/>
    <n v="5.1308413967490196E-3"/>
    <n v="1"/>
    <n v="0"/>
    <n v="1"/>
    <n v="0"/>
    <n v="0"/>
    <n v="0"/>
    <n v="0"/>
  </r>
  <r>
    <n v="53"/>
    <x v="0"/>
    <n v="-1.175193201003861"/>
    <n v="0.95551144502743635"/>
    <n v="0.87680118258767858"/>
    <n v="0.82342955082286751"/>
    <n v="0.64710324205853842"/>
    <n v="0.53772068722863497"/>
    <n v="0.47828177068996119"/>
    <n v="-11.51292546497023"/>
    <n v="0.607173681386733"/>
    <n v="-1.1475238008918609"/>
    <n v="3.8679742163097819"/>
    <n v="3.822070990820412"/>
    <n v="-11.51292546497023"/>
    <n v="4.5903224498033524E-2"/>
    <n v="0"/>
    <n v="0"/>
    <n v="1"/>
    <n v="0"/>
    <n v="0"/>
    <n v="0"/>
    <n v="0"/>
  </r>
  <r>
    <n v="53"/>
    <x v="1"/>
    <n v="-1.21680722214853"/>
    <n v="0.90028329372833826"/>
    <n v="0.95551144502743635"/>
    <n v="0.87680118258767858"/>
    <n v="0.48106720160171512"/>
    <n v="0.64710324205853842"/>
    <n v="0.53772068722863497"/>
    <n v="-11.51292546497023"/>
    <n v="0.607173681386733"/>
    <n v="-1.093394133190827"/>
    <n v="3.8681262479319329"/>
    <n v="3.832254131879917"/>
    <n v="-11.51292546497023"/>
    <n v="3.5872116684913635E-2"/>
    <n v="0"/>
    <n v="0"/>
    <n v="1"/>
    <n v="0"/>
    <n v="0"/>
    <n v="0"/>
    <n v="0"/>
  </r>
  <r>
    <n v="53"/>
    <x v="2"/>
    <n v="-1.196257408663381"/>
    <n v="0.83512405945549484"/>
    <n v="0.90028329372833826"/>
    <n v="0.95551144502743635"/>
    <n v="0.50337795863083334"/>
    <n v="0.48106720160171512"/>
    <n v="0.64710324205853842"/>
    <n v="-7.8466521556029942"/>
    <n v="0.607173681386733"/>
    <n v="-1.047699977848771"/>
    <n v="3.9157603218814678"/>
    <n v="3.833638596812631"/>
    <n v="-11.51292546497023"/>
    <n v="8.2121722400188446E-2"/>
    <n v="0"/>
    <n v="0"/>
    <n v="1"/>
    <n v="0"/>
    <n v="0"/>
    <n v="0"/>
    <n v="0"/>
  </r>
  <r>
    <n v="53"/>
    <x v="3"/>
    <n v="-1.230396623290547"/>
    <n v="0.84264419170585647"/>
    <n v="0.83512405945549484"/>
    <n v="0.90028329372833826"/>
    <n v="0.46662292108625802"/>
    <n v="0.50337795863083334"/>
    <n v="0.48106720160171512"/>
    <n v="-6.7672990122863412"/>
    <n v="0.607173681386733"/>
    <n v="-0.98570914692988709"/>
    <n v="3.9456062305620181"/>
    <n v="3.8965011765298359"/>
    <n v="-11.51292546497023"/>
    <n v="4.9105055630207062E-2"/>
    <n v="0"/>
    <n v="0"/>
    <n v="1"/>
    <n v="0"/>
    <n v="0"/>
    <n v="0"/>
    <n v="0"/>
  </r>
  <r>
    <n v="53"/>
    <x v="4"/>
    <n v="-1.0645949508203121"/>
    <n v="0.7963804352015974"/>
    <n v="0.84264419170585647"/>
    <n v="0.83512405945549484"/>
    <n v="0.49755799676508627"/>
    <n v="0.46662292108625802"/>
    <n v="0.50337795863083334"/>
    <n v="-6.0747489179862413"/>
    <n v="0.607173681386733"/>
    <n v="-0.91128095511495621"/>
    <n v="4.012268502708225"/>
    <n v="3.9450091443021318"/>
    <n v="-11.51292546497023"/>
    <n v="6.7259356379508972E-2"/>
    <n v="0"/>
    <n v="0"/>
    <n v="1"/>
    <n v="0"/>
    <n v="0"/>
    <n v="0"/>
    <n v="0"/>
  </r>
  <r>
    <n v="53"/>
    <x v="5"/>
    <n v="-0.95733340863872451"/>
    <n v="0.77670677365887608"/>
    <n v="0.7963804352015974"/>
    <n v="0.84264419170585647"/>
    <n v="0.52490602797399499"/>
    <n v="0.49755799676508627"/>
    <n v="0.46662292108625802"/>
    <n v="-4.4998089040464491"/>
    <n v="0.607173681386733"/>
    <n v="-0.85041971665346983"/>
    <n v="4.0013842193416096"/>
    <n v="4.0116721558895927"/>
    <n v="-11.51292546497023"/>
    <n v="-1.028793677687645E-2"/>
    <n v="0"/>
    <n v="0"/>
    <n v="1"/>
    <n v="0"/>
    <n v="0"/>
    <n v="0"/>
    <n v="0"/>
  </r>
  <r>
    <n v="53"/>
    <x v="6"/>
    <n v="-0.89789855142030683"/>
    <n v="0.7234823803560182"/>
    <n v="0.77670677365887608"/>
    <n v="0.7963804352015974"/>
    <n v="0.49506202858651249"/>
    <n v="0.52490602797399499"/>
    <n v="0.49755799676508627"/>
    <n v="-4.1928813491084016"/>
    <n v="0.607173681386733"/>
    <n v="-0.80402902169534696"/>
    <n v="3.970137688567176"/>
    <n v="3.9867281501521989"/>
    <n v="-11.51292546497023"/>
    <n v="-1.6590461134910583E-2"/>
    <n v="0"/>
    <n v="0"/>
    <n v="1"/>
    <n v="0"/>
    <n v="0"/>
    <n v="0"/>
    <n v="0"/>
  </r>
  <r>
    <n v="53"/>
    <x v="7"/>
    <n v="-0.90989681407840772"/>
    <n v="0.71417454775202094"/>
    <n v="0.7234823803560182"/>
    <n v="0.77670677365887608"/>
    <n v="0.44647908419877852"/>
    <n v="0.49506202858651249"/>
    <n v="0.52490602797399499"/>
    <n v="-3.4450748383315428"/>
    <n v="0.607173681386733"/>
    <n v="-0.79969165230043016"/>
    <n v="3.9152939114917999"/>
    <n v="3.9181872837258269"/>
    <n v="-11.51292546497023"/>
    <n v="-2.893372206017375E-3"/>
    <n v="0"/>
    <n v="0"/>
    <n v="1"/>
    <n v="0"/>
    <n v="0"/>
    <n v="0"/>
    <n v="0"/>
  </r>
  <r>
    <n v="53"/>
    <x v="8"/>
    <n v="-0.8890735366326501"/>
    <n v="0.69798545720019456"/>
    <n v="0.71417454775202094"/>
    <n v="0.7234823803560182"/>
    <n v="0.46837730750115147"/>
    <n v="0.44647908419877852"/>
    <n v="0.49506202858651249"/>
    <n v="-2.7685204019701639"/>
    <n v="0.607173681386733"/>
    <n v="-0.77890042899833789"/>
    <n v="3.932998864519416"/>
    <n v="3.893098911744564"/>
    <n v="-11.51292546497023"/>
    <n v="3.9899952709674835E-2"/>
    <n v="0"/>
    <n v="0"/>
    <n v="1"/>
    <n v="0"/>
    <n v="0"/>
    <n v="0"/>
    <n v="0"/>
  </r>
  <r>
    <n v="53"/>
    <x v="9"/>
    <n v="-0.954460618699289"/>
    <n v="0.72290013870929315"/>
    <n v="0.69798545720019456"/>
    <n v="0.71417454775202094"/>
    <n v="0.47037855895080882"/>
    <n v="0.46837730750115147"/>
    <n v="0.44647908419877852"/>
    <n v="-2.349945664353883"/>
    <n v="0.607173681386733"/>
    <n v="-0.76575915369728154"/>
    <n v="3.9264922191542988"/>
    <n v="3.911338294285815"/>
    <n v="-11.51292546497023"/>
    <n v="1.5153924934566021E-2"/>
    <n v="1"/>
    <n v="0"/>
    <n v="1"/>
    <n v="0"/>
    <n v="0"/>
    <n v="0"/>
    <n v="0"/>
  </r>
  <r>
    <n v="53"/>
    <x v="10"/>
    <n v="-0.90900988762450885"/>
    <n v="0.70339449701149481"/>
    <n v="0.72290013870929315"/>
    <n v="0.69798545720019456"/>
    <n v="0.54197539275820672"/>
    <n v="0.47037855895080882"/>
    <n v="0.46837730750115147"/>
    <n v="-1.992390755046662"/>
    <n v="0.607173681386733"/>
    <n v="-0.76100094980120447"/>
    <n v="3.9157916444440328"/>
    <n v="3.905315082550425"/>
    <n v="-11.51292546497023"/>
    <n v="1.0476562194526196E-2"/>
    <n v="1"/>
    <n v="0"/>
    <n v="1"/>
    <n v="0"/>
    <n v="0"/>
    <n v="0"/>
    <n v="0"/>
  </r>
  <r>
    <n v="53"/>
    <x v="11"/>
    <n v="-0.87571362001221353"/>
    <n v="0.69044352898563044"/>
    <n v="0.70339449701149481"/>
    <n v="0.72290013870929315"/>
    <n v="0.54731183233640068"/>
    <n v="0.54197539275820672"/>
    <n v="0.47037855895080882"/>
    <n v="-1.3940375149281869"/>
    <n v="0.607173681386733"/>
    <n v="-0.75467591242718013"/>
    <n v="3.8972926783296979"/>
    <n v="3.8951056761562839"/>
    <n v="-11.51292546497023"/>
    <n v="2.1870022173970938E-3"/>
    <n v="1"/>
    <n v="0"/>
    <n v="1"/>
    <n v="0"/>
    <n v="0"/>
    <n v="0"/>
    <n v="0"/>
  </r>
  <r>
    <n v="53"/>
    <x v="12"/>
    <n v="-1.003241420154549"/>
    <n v="0.82478928961166054"/>
    <n v="0.69044352898563044"/>
    <n v="0.70339449701149481"/>
    <n v="0.56149972649394564"/>
    <n v="0.54731183233640068"/>
    <n v="0.54197539275820672"/>
    <n v="-0.9170315843726361"/>
    <n v="0.607173681386733"/>
    <n v="-0.70271883606492602"/>
    <n v="3.9152906241954182"/>
    <n v="3.918823080202424"/>
    <n v="3.2580965380214821"/>
    <n v="-3.5324560012668371E-3"/>
    <n v="1"/>
    <n v="0"/>
    <n v="1"/>
    <n v="0"/>
    <n v="0"/>
    <n v="0"/>
    <n v="0"/>
  </r>
  <r>
    <n v="53"/>
    <x v="13"/>
    <n v="-0.98758315675102371"/>
    <n v="0.74597679420447738"/>
    <n v="0.82478928961166054"/>
    <n v="0.69044352898563044"/>
    <n v="0.46524231214402512"/>
    <n v="0.56149972649394564"/>
    <n v="0.54731183233640068"/>
    <n v="-0.17665588671159729"/>
    <n v="0.607173681386733"/>
    <n v="-0.6817684061643543"/>
    <n v="3.9315422371031872"/>
    <n v="3.9017461111590448"/>
    <n v="5.393627546352362"/>
    <n v="2.9796125367283821E-2"/>
    <n v="1"/>
    <n v="0"/>
    <n v="1"/>
    <n v="0"/>
    <n v="0"/>
    <n v="0"/>
    <n v="0"/>
  </r>
  <r>
    <n v="53"/>
    <x v="14"/>
    <n v="-1.1716802140604221"/>
    <n v="0.68056839835308525"/>
    <n v="0.74597679420447738"/>
    <n v="0.82478928961166054"/>
    <n v="0.42716136618992462"/>
    <n v="0.46524231214402512"/>
    <n v="0.56149972649394564"/>
    <n v="0.35173698961437438"/>
    <n v="0.607173681386733"/>
    <n v="-0.67335289023666267"/>
    <n v="3.8268909560079698"/>
    <n v="3.9184025882825311"/>
    <n v="5.9914645471079817"/>
    <n v="-9.1511629521846771E-2"/>
    <n v="1"/>
    <n v="1"/>
    <n v="1"/>
    <n v="0"/>
    <n v="0"/>
    <n v="0"/>
    <n v="0"/>
  </r>
  <r>
    <n v="53"/>
    <x v="15"/>
    <n v="-1.144364340318764"/>
    <n v="0.93969470965317126"/>
    <n v="0.68056839835308525"/>
    <n v="0.74597679420447738"/>
    <n v="0.74900753005656717"/>
    <n v="0.42716136618992462"/>
    <n v="0.46524231214402512"/>
    <n v="0.84506663866255494"/>
    <n v="0.607173681386733"/>
    <n v="-0.67031623496915371"/>
    <n v="3.7678536220038539"/>
    <n v="3.8141495312951261"/>
    <n v="6.6846117276679271"/>
    <n v="-4.6295911073684692E-2"/>
    <n v="1"/>
    <n v="0"/>
    <n v="1"/>
    <n v="0"/>
    <n v="0"/>
    <n v="0"/>
    <n v="0"/>
  </r>
  <r>
    <n v="53"/>
    <x v="16"/>
    <n v="-1.084968088625851"/>
    <n v="0.92271008367633833"/>
    <n v="0.93969470965317126"/>
    <n v="0.68056839835308525"/>
    <n v="0.70275091670264"/>
    <n v="0.74900753005656717"/>
    <n v="0.42716136618992462"/>
    <n v="1.362395225504291"/>
    <n v="0.60717368138673311"/>
    <n v="-0.65767170501785543"/>
    <n v="3.8217818308483569"/>
    <n v="3.7678536220038539"/>
    <n v="8.0551577318196781"/>
    <n v="5.3928207606077194E-2"/>
    <n v="1"/>
    <n v="0"/>
    <n v="1"/>
    <n v="0"/>
    <n v="0"/>
    <n v="0"/>
    <n v="0"/>
  </r>
  <r>
    <n v="53"/>
    <x v="17"/>
    <n v="-1.0745403104985669"/>
    <n v="0.7437927652288373"/>
    <n v="0.92271008367633833"/>
    <n v="0.93969470965317126"/>
    <n v="0.39366239598901293"/>
    <n v="0.70275091670264"/>
    <n v="0.74900753005656717"/>
    <n v="1.926033881940227"/>
    <n v="0.60717368138673311"/>
    <n v="-0.63910198627306525"/>
    <n v="3.877784690820953"/>
    <n v="3.8217818308483569"/>
    <n v="8.4658998970286863"/>
    <n v="5.6002859026193619E-2"/>
    <n v="1"/>
    <n v="0"/>
    <n v="1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FD51F-0597-45A5-9DDC-B17A9FC6A7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2" firstHeaderRow="0" firstDataRow="1" firstDataCol="1"/>
  <pivotFields count="23"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Average of ln_Pg" fld="3" subtotal="average" baseField="1" baseItem="0"/>
    <dataField name="Average of ln_l1_Pg" fld="4" subtotal="average" baseField="1" baseItem="0"/>
    <dataField name="Average of ln_l2_Pg" fld="5" subtotal="average" baseField="1" baseItem="0"/>
    <dataField name="Average of ln_Pe" fld="6" subtotal="average" baseField="1" baseItem="0"/>
    <dataField name="Average of ln_l1_Pe" fld="7" subtotal="average" baseField="1" baseItem="0"/>
    <dataField name="Average of ln_l2_Pe" fld="8" subtotal="average" baseField="1" baseItem="0"/>
    <dataField name="Average of ln_Mi_e" fld="9" subtotal="average" baseField="1" baseItem="0"/>
    <dataField name="Average of ln_W_adj_Mi_e" fld="10" subtotal="average" baseField="1" baseItem="0"/>
    <dataField name="Average of ln_Mi_c" fld="11" subtotal="average" baseField="1" baseItem="0"/>
    <dataField name="Average of d_ln_gdp" fld="15" subtotal="average" baseField="1" baseItem="0"/>
    <dataField name="Average of ipi_red" fld="16" subtotal="average" baseField="1" baseItem="0"/>
    <dataField name="Average of y2020" fld="17" subtotal="average" baseField="1" baseItem="0"/>
    <dataField name="Average of d_CW" fld="18" subtotal="average" baseField="1" baseItem="0"/>
    <dataField name="Average of d_SE" fld="20" subtotal="average" baseField="1" baseItem="0"/>
    <dataField name="Average of d_NE" fld="21" subtotal="average" baseField="1" baseItem="0"/>
    <dataField name="Average of d_NO" fld="2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9793-F13F-426D-B425-911E9E5AE245}">
  <dimension ref="A1:B75"/>
  <sheetViews>
    <sheetView workbookViewId="0">
      <selection activeCell="F20" sqref="F20"/>
    </sheetView>
  </sheetViews>
  <sheetFormatPr defaultRowHeight="15" x14ac:dyDescent="0.25"/>
  <cols>
    <col min="1" max="1" width="5" bestFit="1" customWidth="1"/>
    <col min="2" max="2" width="20" bestFit="1" customWidth="1"/>
  </cols>
  <sheetData>
    <row r="1" spans="1:2" x14ac:dyDescent="0.25">
      <c r="A1" s="10" t="s">
        <v>24</v>
      </c>
      <c r="B1" s="10" t="s">
        <v>60</v>
      </c>
    </row>
    <row r="2" spans="1:2" x14ac:dyDescent="0.25">
      <c r="A2">
        <v>2000</v>
      </c>
      <c r="B2">
        <v>174695935</v>
      </c>
    </row>
    <row r="3" spans="1:2" x14ac:dyDescent="0.25">
      <c r="A3">
        <v>2001</v>
      </c>
      <c r="B3">
        <v>177003743</v>
      </c>
    </row>
    <row r="4" spans="1:2" x14ac:dyDescent="0.25">
      <c r="A4">
        <v>2002</v>
      </c>
      <c r="B4">
        <v>179228254</v>
      </c>
    </row>
    <row r="5" spans="1:2" x14ac:dyDescent="0.25">
      <c r="A5">
        <v>2003</v>
      </c>
      <c r="B5">
        <v>181377654</v>
      </c>
    </row>
    <row r="6" spans="1:2" x14ac:dyDescent="0.25">
      <c r="A6">
        <v>2004</v>
      </c>
      <c r="B6">
        <v>183469593</v>
      </c>
    </row>
    <row r="7" spans="1:2" x14ac:dyDescent="0.25">
      <c r="A7">
        <v>2005</v>
      </c>
      <c r="B7">
        <v>185518369</v>
      </c>
    </row>
    <row r="8" spans="1:2" x14ac:dyDescent="0.25">
      <c r="A8">
        <v>2006</v>
      </c>
      <c r="B8">
        <v>187535030</v>
      </c>
    </row>
    <row r="9" spans="1:2" x14ac:dyDescent="0.25">
      <c r="A9">
        <v>2007</v>
      </c>
      <c r="B9">
        <v>189458827</v>
      </c>
    </row>
    <row r="10" spans="1:2" x14ac:dyDescent="0.25">
      <c r="A10">
        <v>2008</v>
      </c>
      <c r="B10">
        <v>191335196</v>
      </c>
    </row>
    <row r="11" spans="1:2" x14ac:dyDescent="0.25">
      <c r="A11">
        <v>2009</v>
      </c>
      <c r="B11">
        <v>193174036</v>
      </c>
    </row>
    <row r="12" spans="1:2" x14ac:dyDescent="0.25">
      <c r="A12">
        <v>2010</v>
      </c>
      <c r="B12">
        <v>194749329</v>
      </c>
    </row>
    <row r="13" spans="1:2" x14ac:dyDescent="0.25">
      <c r="A13">
        <v>2011</v>
      </c>
      <c r="B13">
        <v>196158610</v>
      </c>
    </row>
    <row r="14" spans="1:2" x14ac:dyDescent="0.25">
      <c r="A14">
        <v>2012</v>
      </c>
      <c r="B14">
        <v>197670620</v>
      </c>
    </row>
    <row r="15" spans="1:2" x14ac:dyDescent="0.25">
      <c r="A15">
        <v>2013</v>
      </c>
      <c r="B15">
        <v>199226702</v>
      </c>
    </row>
    <row r="16" spans="1:2" x14ac:dyDescent="0.25">
      <c r="A16">
        <v>2014</v>
      </c>
      <c r="B16">
        <v>200811131</v>
      </c>
    </row>
    <row r="17" spans="1:2" x14ac:dyDescent="0.25">
      <c r="A17">
        <v>2015</v>
      </c>
      <c r="B17">
        <v>202403642</v>
      </c>
    </row>
    <row r="18" spans="1:2" x14ac:dyDescent="0.25">
      <c r="A18">
        <v>2016</v>
      </c>
      <c r="B18">
        <v>203871925</v>
      </c>
    </row>
    <row r="19" spans="1:2" x14ac:dyDescent="0.25">
      <c r="A19">
        <v>2017</v>
      </c>
      <c r="B19">
        <v>205211557</v>
      </c>
    </row>
    <row r="20" spans="1:2" x14ac:dyDescent="0.25">
      <c r="A20">
        <v>2018</v>
      </c>
      <c r="B20">
        <v>206529038</v>
      </c>
    </row>
    <row r="21" spans="1:2" x14ac:dyDescent="0.25">
      <c r="A21">
        <v>2019</v>
      </c>
      <c r="B21">
        <v>207900099</v>
      </c>
    </row>
    <row r="22" spans="1:2" x14ac:dyDescent="0.25">
      <c r="A22">
        <v>2020</v>
      </c>
      <c r="B22">
        <v>209164889</v>
      </c>
    </row>
    <row r="23" spans="1:2" x14ac:dyDescent="0.25">
      <c r="A23">
        <v>2021</v>
      </c>
      <c r="B23">
        <v>210103642</v>
      </c>
    </row>
    <row r="24" spans="1:2" x14ac:dyDescent="0.25">
      <c r="A24">
        <v>2022</v>
      </c>
      <c r="B24">
        <v>210862983</v>
      </c>
    </row>
    <row r="25" spans="1:2" x14ac:dyDescent="0.25">
      <c r="A25">
        <v>2023</v>
      </c>
      <c r="B25">
        <v>211695158</v>
      </c>
    </row>
    <row r="26" spans="1:2" x14ac:dyDescent="0.25">
      <c r="A26">
        <v>2024</v>
      </c>
      <c r="B26">
        <v>212583750</v>
      </c>
    </row>
    <row r="27" spans="1:2" x14ac:dyDescent="0.25">
      <c r="A27">
        <v>2025</v>
      </c>
      <c r="B27">
        <v>213421037</v>
      </c>
    </row>
    <row r="28" spans="1:2" x14ac:dyDescent="0.25">
      <c r="A28">
        <v>2026</v>
      </c>
      <c r="B28">
        <v>214211951</v>
      </c>
    </row>
    <row r="29" spans="1:2" x14ac:dyDescent="0.25">
      <c r="A29">
        <v>2027</v>
      </c>
      <c r="B29">
        <v>214959713</v>
      </c>
    </row>
    <row r="30" spans="1:2" x14ac:dyDescent="0.25">
      <c r="A30">
        <v>2028</v>
      </c>
      <c r="B30">
        <v>215667282</v>
      </c>
    </row>
    <row r="31" spans="1:2" x14ac:dyDescent="0.25">
      <c r="A31">
        <v>2029</v>
      </c>
      <c r="B31">
        <v>216337693</v>
      </c>
    </row>
    <row r="32" spans="1:2" x14ac:dyDescent="0.25">
      <c r="A32">
        <v>2030</v>
      </c>
      <c r="B32">
        <v>216973093</v>
      </c>
    </row>
    <row r="33" spans="1:2" x14ac:dyDescent="0.25">
      <c r="A33">
        <v>2031</v>
      </c>
      <c r="B33">
        <v>217562970</v>
      </c>
    </row>
    <row r="34" spans="1:2" x14ac:dyDescent="0.25">
      <c r="A34">
        <v>2032</v>
      </c>
      <c r="B34">
        <v>218096284</v>
      </c>
    </row>
    <row r="35" spans="1:2" x14ac:dyDescent="0.25">
      <c r="A35">
        <v>2033</v>
      </c>
      <c r="B35">
        <v>218574144</v>
      </c>
    </row>
    <row r="36" spans="1:2" x14ac:dyDescent="0.25">
      <c r="A36">
        <v>2034</v>
      </c>
      <c r="B36">
        <v>218997707</v>
      </c>
    </row>
    <row r="37" spans="1:2" x14ac:dyDescent="0.25">
      <c r="A37">
        <v>2035</v>
      </c>
      <c r="B37">
        <v>219367247</v>
      </c>
    </row>
    <row r="38" spans="1:2" x14ac:dyDescent="0.25">
      <c r="A38">
        <v>2036</v>
      </c>
      <c r="B38">
        <v>219681891</v>
      </c>
    </row>
    <row r="39" spans="1:2" x14ac:dyDescent="0.25">
      <c r="A39">
        <v>2037</v>
      </c>
      <c r="B39">
        <v>219940741</v>
      </c>
    </row>
    <row r="40" spans="1:2" x14ac:dyDescent="0.25">
      <c r="A40">
        <v>2038</v>
      </c>
      <c r="B40">
        <v>220144140</v>
      </c>
    </row>
    <row r="41" spans="1:2" x14ac:dyDescent="0.25">
      <c r="A41">
        <v>2039</v>
      </c>
      <c r="B41">
        <v>220292836</v>
      </c>
    </row>
    <row r="42" spans="1:2" x14ac:dyDescent="0.25">
      <c r="A42">
        <v>2040</v>
      </c>
      <c r="B42">
        <v>220386440</v>
      </c>
    </row>
    <row r="43" spans="1:2" x14ac:dyDescent="0.25">
      <c r="A43">
        <v>2041</v>
      </c>
      <c r="B43">
        <v>220425299</v>
      </c>
    </row>
    <row r="44" spans="1:2" x14ac:dyDescent="0.25">
      <c r="A44">
        <v>2042</v>
      </c>
      <c r="B44">
        <v>220410205</v>
      </c>
    </row>
    <row r="45" spans="1:2" x14ac:dyDescent="0.25">
      <c r="A45">
        <v>2043</v>
      </c>
      <c r="B45">
        <v>220341694</v>
      </c>
    </row>
    <row r="46" spans="1:2" x14ac:dyDescent="0.25">
      <c r="A46">
        <v>2044</v>
      </c>
      <c r="B46">
        <v>220220282</v>
      </c>
    </row>
    <row r="47" spans="1:2" x14ac:dyDescent="0.25">
      <c r="A47">
        <v>2045</v>
      </c>
      <c r="B47">
        <v>220045691</v>
      </c>
    </row>
    <row r="48" spans="1:2" x14ac:dyDescent="0.25">
      <c r="A48">
        <v>2046</v>
      </c>
      <c r="B48">
        <v>219817347</v>
      </c>
    </row>
    <row r="49" spans="1:2" x14ac:dyDescent="0.25">
      <c r="A49">
        <v>2047</v>
      </c>
      <c r="B49">
        <v>219535230</v>
      </c>
    </row>
    <row r="50" spans="1:2" x14ac:dyDescent="0.25">
      <c r="A50">
        <v>2048</v>
      </c>
      <c r="B50">
        <v>219199916</v>
      </c>
    </row>
    <row r="51" spans="1:2" x14ac:dyDescent="0.25">
      <c r="A51">
        <v>2049</v>
      </c>
      <c r="B51">
        <v>218811421</v>
      </c>
    </row>
    <row r="52" spans="1:2" x14ac:dyDescent="0.25">
      <c r="A52">
        <v>2050</v>
      </c>
      <c r="B52">
        <v>218369418</v>
      </c>
    </row>
    <row r="53" spans="1:2" x14ac:dyDescent="0.25">
      <c r="A53">
        <v>2051</v>
      </c>
      <c r="B53">
        <v>217873978</v>
      </c>
    </row>
    <row r="54" spans="1:2" x14ac:dyDescent="0.25">
      <c r="A54">
        <v>2052</v>
      </c>
      <c r="B54">
        <v>217325473</v>
      </c>
    </row>
    <row r="55" spans="1:2" x14ac:dyDescent="0.25">
      <c r="A55">
        <v>2053</v>
      </c>
      <c r="B55">
        <v>216724289</v>
      </c>
    </row>
    <row r="56" spans="1:2" x14ac:dyDescent="0.25">
      <c r="A56">
        <v>2054</v>
      </c>
      <c r="B56">
        <v>216070026</v>
      </c>
    </row>
    <row r="57" spans="1:2" x14ac:dyDescent="0.25">
      <c r="A57">
        <v>2055</v>
      </c>
      <c r="B57">
        <v>215362623</v>
      </c>
    </row>
    <row r="58" spans="1:2" x14ac:dyDescent="0.25">
      <c r="A58">
        <v>2056</v>
      </c>
      <c r="B58">
        <v>214603069</v>
      </c>
    </row>
    <row r="59" spans="1:2" x14ac:dyDescent="0.25">
      <c r="A59">
        <v>2057</v>
      </c>
      <c r="B59">
        <v>213793298</v>
      </c>
    </row>
    <row r="60" spans="1:2" x14ac:dyDescent="0.25">
      <c r="A60">
        <v>2058</v>
      </c>
      <c r="B60">
        <v>212934075</v>
      </c>
    </row>
    <row r="61" spans="1:2" x14ac:dyDescent="0.25">
      <c r="A61">
        <v>2059</v>
      </c>
      <c r="B61">
        <v>212025649</v>
      </c>
    </row>
    <row r="62" spans="1:2" x14ac:dyDescent="0.25">
      <c r="A62">
        <v>2060</v>
      </c>
      <c r="B62">
        <v>211069036</v>
      </c>
    </row>
    <row r="63" spans="1:2" x14ac:dyDescent="0.25">
      <c r="A63">
        <v>2061</v>
      </c>
      <c r="B63">
        <v>210066029</v>
      </c>
    </row>
    <row r="64" spans="1:2" x14ac:dyDescent="0.25">
      <c r="A64">
        <v>2062</v>
      </c>
      <c r="B64">
        <v>209018787</v>
      </c>
    </row>
    <row r="65" spans="1:2" x14ac:dyDescent="0.25">
      <c r="A65">
        <v>2063</v>
      </c>
      <c r="B65">
        <v>207928784</v>
      </c>
    </row>
    <row r="66" spans="1:2" x14ac:dyDescent="0.25">
      <c r="A66">
        <v>2064</v>
      </c>
      <c r="B66">
        <v>206797115</v>
      </c>
    </row>
    <row r="67" spans="1:2" x14ac:dyDescent="0.25">
      <c r="A67">
        <v>2065</v>
      </c>
      <c r="B67">
        <v>205625259</v>
      </c>
    </row>
    <row r="68" spans="1:2" x14ac:dyDescent="0.25">
      <c r="A68">
        <v>2066</v>
      </c>
      <c r="B68">
        <v>204415091</v>
      </c>
    </row>
    <row r="69" spans="1:2" x14ac:dyDescent="0.25">
      <c r="A69">
        <v>2067</v>
      </c>
      <c r="B69">
        <v>203168549</v>
      </c>
    </row>
    <row r="70" spans="1:2" x14ac:dyDescent="0.25">
      <c r="A70">
        <v>2068</v>
      </c>
      <c r="B70">
        <v>201887385</v>
      </c>
    </row>
    <row r="71" spans="1:2" x14ac:dyDescent="0.25">
      <c r="A71">
        <v>2069</v>
      </c>
      <c r="B71">
        <v>200573375</v>
      </c>
    </row>
    <row r="72" spans="1:2" x14ac:dyDescent="0.25">
      <c r="A72">
        <v>2070</v>
      </c>
      <c r="B72">
        <v>199228708</v>
      </c>
    </row>
    <row r="73" spans="1:2" x14ac:dyDescent="0.25">
      <c r="A73">
        <v>2068</v>
      </c>
      <c r="B73">
        <v>201887385</v>
      </c>
    </row>
    <row r="74" spans="1:2" x14ac:dyDescent="0.25">
      <c r="A74">
        <v>2069</v>
      </c>
      <c r="B74">
        <v>200573375</v>
      </c>
    </row>
    <row r="75" spans="1:2" x14ac:dyDescent="0.25">
      <c r="A75">
        <v>2070</v>
      </c>
      <c r="B75">
        <v>199228708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AE11-E6CA-4A9B-9F8C-BBF19FB9D442}">
  <dimension ref="A1:I53"/>
  <sheetViews>
    <sheetView workbookViewId="0">
      <selection activeCell="G12" sqref="G12"/>
    </sheetView>
  </sheetViews>
  <sheetFormatPr defaultRowHeight="15" x14ac:dyDescent="0.25"/>
  <sheetData>
    <row r="1" spans="1:9" x14ac:dyDescent="0.25">
      <c r="C1">
        <v>2030</v>
      </c>
      <c r="D1">
        <v>2040</v>
      </c>
      <c r="E1">
        <v>2050</v>
      </c>
      <c r="F1">
        <v>2060</v>
      </c>
    </row>
    <row r="2" spans="1:9" x14ac:dyDescent="0.25">
      <c r="A2" t="s">
        <v>97</v>
      </c>
      <c r="B2" t="s">
        <v>74</v>
      </c>
      <c r="C2" s="27">
        <v>2.263792138065388</v>
      </c>
      <c r="D2" s="27">
        <v>2.263792138065388</v>
      </c>
      <c r="E2" s="27">
        <v>2.263792138065388</v>
      </c>
      <c r="F2" s="27">
        <v>2.263792138065388</v>
      </c>
    </row>
    <row r="3" spans="1:9" x14ac:dyDescent="0.25">
      <c r="B3" t="s">
        <v>75</v>
      </c>
      <c r="C3" s="27">
        <v>2.3115157914683957</v>
      </c>
      <c r="D3" s="27">
        <v>2.5533514864933822</v>
      </c>
      <c r="E3" s="27">
        <v>2.8204885459321787</v>
      </c>
      <c r="F3" s="27">
        <v>3.1155740523055617</v>
      </c>
    </row>
    <row r="4" spans="1:9" x14ac:dyDescent="0.25">
      <c r="A4" t="s">
        <v>92</v>
      </c>
      <c r="B4" t="s">
        <v>76</v>
      </c>
      <c r="C4" s="27">
        <v>0.38171711671232156</v>
      </c>
      <c r="D4" s="27">
        <v>0.23099625733341667</v>
      </c>
      <c r="E4" s="27">
        <v>2.3519745345717658E-2</v>
      </c>
      <c r="F4" s="27">
        <v>2.0282943173566825E-2</v>
      </c>
    </row>
    <row r="5" spans="1:9" x14ac:dyDescent="0.25">
      <c r="B5" t="s">
        <v>77</v>
      </c>
      <c r="C5" s="27">
        <v>0.38391331235980003</v>
      </c>
      <c r="D5" s="27">
        <v>0.42770248286248452</v>
      </c>
      <c r="E5" s="27">
        <v>0.25925554360395892</v>
      </c>
      <c r="F5" s="27">
        <v>2.5450784758420997E-2</v>
      </c>
    </row>
    <row r="6" spans="1:9" x14ac:dyDescent="0.25">
      <c r="B6" t="s">
        <v>78</v>
      </c>
      <c r="C6" s="27">
        <v>0.38525542805259444</v>
      </c>
      <c r="D6" s="27">
        <v>0.44680927411200788</v>
      </c>
      <c r="E6" s="27">
        <v>0.47074867701474299</v>
      </c>
      <c r="F6" s="27">
        <v>0.3043928709246036</v>
      </c>
    </row>
    <row r="7" spans="1:9" x14ac:dyDescent="0.25">
      <c r="A7" t="s">
        <v>91</v>
      </c>
      <c r="B7" t="s">
        <v>76</v>
      </c>
      <c r="C7" s="27">
        <v>1.1922905451088366E-2</v>
      </c>
      <c r="D7" s="27">
        <v>0.23099625733341667</v>
      </c>
      <c r="E7" s="27">
        <v>0.50769359537541892</v>
      </c>
      <c r="F7" s="27">
        <v>0.57971705682643304</v>
      </c>
    </row>
    <row r="8" spans="1:9" x14ac:dyDescent="0.25">
      <c r="B8" t="s">
        <v>77</v>
      </c>
      <c r="C8" s="27">
        <v>3.6250596555295373E-3</v>
      </c>
      <c r="D8" s="27">
        <v>3.0656431814402179E-2</v>
      </c>
      <c r="E8" s="27">
        <v>0.25925554360395892</v>
      </c>
      <c r="F8" s="27">
        <v>0.57454921524157998</v>
      </c>
    </row>
    <row r="9" spans="1:9" x14ac:dyDescent="0.25">
      <c r="B9" t="s">
        <v>78</v>
      </c>
      <c r="C9" s="27">
        <v>2.2829439627351264E-3</v>
      </c>
      <c r="D9" s="27">
        <v>1.1549640564878864E-2</v>
      </c>
      <c r="E9" s="27">
        <v>5.8430780323700887E-2</v>
      </c>
      <c r="F9" s="27">
        <v>0.29560712907539738</v>
      </c>
    </row>
    <row r="10" spans="1:9" x14ac:dyDescent="0.25">
      <c r="C10" s="27"/>
      <c r="D10" s="27"/>
      <c r="E10" s="27"/>
      <c r="F10" s="27"/>
    </row>
    <row r="11" spans="1:9" x14ac:dyDescent="0.25">
      <c r="C11" s="27"/>
      <c r="D11" s="27"/>
      <c r="E11" s="27"/>
      <c r="F11" s="27"/>
    </row>
    <row r="12" spans="1:9" x14ac:dyDescent="0.25">
      <c r="C12" s="27"/>
      <c r="D12" s="27"/>
      <c r="E12" s="27"/>
      <c r="F12" s="27"/>
    </row>
    <row r="13" spans="1:9" x14ac:dyDescent="0.25">
      <c r="I13" s="5"/>
    </row>
    <row r="14" spans="1:9" x14ac:dyDescent="0.25">
      <c r="I14" s="5"/>
    </row>
    <row r="15" spans="1:9" x14ac:dyDescent="0.25">
      <c r="I15" s="5"/>
    </row>
    <row r="16" spans="1:9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9" x14ac:dyDescent="0.25">
      <c r="I49" s="5"/>
    </row>
    <row r="50" spans="9:9" x14ac:dyDescent="0.25">
      <c r="I50" s="5"/>
    </row>
    <row r="51" spans="9:9" x14ac:dyDescent="0.25">
      <c r="I51" s="5"/>
    </row>
    <row r="52" spans="9:9" x14ac:dyDescent="0.25">
      <c r="I52" s="5"/>
    </row>
    <row r="53" spans="9:9" x14ac:dyDescent="0.25">
      <c r="I5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D3CE-2929-438A-9E1F-97E98FCD6891}">
  <dimension ref="A1:W487"/>
  <sheetViews>
    <sheetView workbookViewId="0">
      <selection sqref="A1:W48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98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11</v>
      </c>
      <c r="B2">
        <v>2006</v>
      </c>
      <c r="C2">
        <v>-2.156698978863159</v>
      </c>
      <c r="D2">
        <v>1.004301609196868</v>
      </c>
      <c r="E2">
        <v>0.9748237560598092</v>
      </c>
      <c r="F2">
        <v>0.96172288327198963</v>
      </c>
      <c r="G2">
        <v>0.76080582903376015</v>
      </c>
      <c r="H2">
        <v>0.62422573509352353</v>
      </c>
      <c r="I2">
        <v>0.56246885691782911</v>
      </c>
      <c r="J2">
        <v>-11.51292546497023</v>
      </c>
      <c r="K2">
        <v>2.166250221499268</v>
      </c>
      <c r="L2">
        <v>-1.951167744570985</v>
      </c>
      <c r="M2">
        <v>2.4209187515967989</v>
      </c>
      <c r="N2">
        <v>2.44399024352396</v>
      </c>
      <c r="O2">
        <v>-11.51292546497023</v>
      </c>
      <c r="P2">
        <v>-2.3071492090821266E-2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 x14ac:dyDescent="0.25">
      <c r="A3">
        <v>11</v>
      </c>
      <c r="B3">
        <v>2007</v>
      </c>
      <c r="C3">
        <v>-2.073636426371209</v>
      </c>
      <c r="D3">
        <v>0.94219236939680806</v>
      </c>
      <c r="E3">
        <v>1.004301609196868</v>
      </c>
      <c r="F3">
        <v>0.9748237560598092</v>
      </c>
      <c r="G3">
        <v>0.59823192276365766</v>
      </c>
      <c r="H3">
        <v>0.76080582903376015</v>
      </c>
      <c r="I3">
        <v>0.62422573509352353</v>
      </c>
      <c r="J3">
        <v>-11.51292546497023</v>
      </c>
      <c r="K3">
        <v>2.166250221499268</v>
      </c>
      <c r="L3">
        <v>-1.7991499751284841</v>
      </c>
      <c r="M3">
        <v>2.4815371529483081</v>
      </c>
      <c r="N3">
        <v>2.443198932139675</v>
      </c>
      <c r="O3">
        <v>-11.51292546497023</v>
      </c>
      <c r="P3">
        <v>3.8338221609592438E-2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</row>
    <row r="4" spans="1:23" x14ac:dyDescent="0.25">
      <c r="A4">
        <v>11</v>
      </c>
      <c r="B4">
        <v>2008</v>
      </c>
      <c r="C4">
        <v>-1.9560619150649721</v>
      </c>
      <c r="D4">
        <v>0.8960063885714481</v>
      </c>
      <c r="E4">
        <v>0.94219236939680806</v>
      </c>
      <c r="F4">
        <v>1.004301609196868</v>
      </c>
      <c r="G4">
        <v>0.51962677971905946</v>
      </c>
      <c r="H4">
        <v>0.59823192276365766</v>
      </c>
      <c r="I4">
        <v>0.76080582903376015</v>
      </c>
      <c r="J4">
        <v>-11.51292546497023</v>
      </c>
      <c r="K4">
        <v>2.166250221499268</v>
      </c>
      <c r="L4">
        <v>-1.620763450703399</v>
      </c>
      <c r="M4">
        <v>2.600161838464861</v>
      </c>
      <c r="N4">
        <v>2.504325073967602</v>
      </c>
      <c r="O4">
        <v>-11.51292546497023</v>
      </c>
      <c r="P4">
        <v>9.5836766064167023E-2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25">
      <c r="A5">
        <v>11</v>
      </c>
      <c r="B5">
        <v>2009</v>
      </c>
      <c r="C5">
        <v>-1.862154149729599</v>
      </c>
      <c r="D5">
        <v>0.84264419170585647</v>
      </c>
      <c r="E5">
        <v>0.8960063885714481</v>
      </c>
      <c r="F5">
        <v>0.94219236939680806</v>
      </c>
      <c r="G5">
        <v>0.47741360742074851</v>
      </c>
      <c r="H5">
        <v>0.51962677971905946</v>
      </c>
      <c r="I5">
        <v>0.59823192276365766</v>
      </c>
      <c r="J5">
        <v>-7.3158356310234538</v>
      </c>
      <c r="K5">
        <v>2.166250221499268</v>
      </c>
      <c r="L5">
        <v>-1.4770532591901959</v>
      </c>
      <c r="M5">
        <v>2.654680199807578</v>
      </c>
      <c r="N5">
        <v>2.5932473660788871</v>
      </c>
      <c r="O5">
        <v>-11.51292546497023</v>
      </c>
      <c r="P5">
        <v>6.1432834714651108E-2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25">
      <c r="A6">
        <v>11</v>
      </c>
      <c r="B6">
        <v>2010</v>
      </c>
      <c r="C6">
        <v>-1.6831605423581379</v>
      </c>
      <c r="D6">
        <v>0.81828091131671099</v>
      </c>
      <c r="E6">
        <v>0.84264419170585647</v>
      </c>
      <c r="F6">
        <v>0.8960063885714481</v>
      </c>
      <c r="G6">
        <v>0.52212158350784221</v>
      </c>
      <c r="H6">
        <v>0.47741360742074851</v>
      </c>
      <c r="I6">
        <v>0.51962677971905946</v>
      </c>
      <c r="J6">
        <v>-7.3396623629610591</v>
      </c>
      <c r="K6">
        <v>2.166250221499268</v>
      </c>
      <c r="L6">
        <v>-1.3626010461637901</v>
      </c>
      <c r="M6">
        <v>2.74230132052055</v>
      </c>
      <c r="N6">
        <v>2.6308534678699922</v>
      </c>
      <c r="O6">
        <v>-11.51292546497023</v>
      </c>
      <c r="P6">
        <v>0.11144785583019257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 x14ac:dyDescent="0.25">
      <c r="A7">
        <v>11</v>
      </c>
      <c r="B7">
        <v>2011</v>
      </c>
      <c r="C7">
        <v>-1.5784624378334899</v>
      </c>
      <c r="D7">
        <v>0.82162834220848546</v>
      </c>
      <c r="E7">
        <v>0.81828091131671099</v>
      </c>
      <c r="F7">
        <v>0.84264419170585647</v>
      </c>
      <c r="G7">
        <v>0.59933088435566051</v>
      </c>
      <c r="H7">
        <v>0.52212158350784221</v>
      </c>
      <c r="I7">
        <v>0.47741360742074851</v>
      </c>
      <c r="J7">
        <v>-5.2834923926543116</v>
      </c>
      <c r="K7">
        <v>2.166250221499268</v>
      </c>
      <c r="L7">
        <v>-1.26108028612349</v>
      </c>
      <c r="M7">
        <v>2.7818139114313758</v>
      </c>
      <c r="N7">
        <v>2.7190297491474351</v>
      </c>
      <c r="O7">
        <v>-11.51292546497023</v>
      </c>
      <c r="P7">
        <v>6.2784165143966675E-2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 x14ac:dyDescent="0.25">
      <c r="A8">
        <v>11</v>
      </c>
      <c r="B8">
        <v>2012</v>
      </c>
      <c r="C8">
        <v>-1.4705848809465669</v>
      </c>
      <c r="D8">
        <v>0.76150651807328873</v>
      </c>
      <c r="E8">
        <v>0.82162834220848546</v>
      </c>
      <c r="F8">
        <v>0.81828091131671099</v>
      </c>
      <c r="G8">
        <v>0.55933003282560567</v>
      </c>
      <c r="H8">
        <v>0.59933088435566051</v>
      </c>
      <c r="I8">
        <v>0.52212158350784221</v>
      </c>
      <c r="J8">
        <v>-4.8865895636413521</v>
      </c>
      <c r="K8">
        <v>2.166250221499268</v>
      </c>
      <c r="L8">
        <v>-1.171167583067046</v>
      </c>
      <c r="M8">
        <v>2.7848658127694148</v>
      </c>
      <c r="N8">
        <v>2.7732516323361791</v>
      </c>
      <c r="O8">
        <v>-11.51292546497023</v>
      </c>
      <c r="P8">
        <v>1.1614180169999599E-2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 x14ac:dyDescent="0.25">
      <c r="A9">
        <v>11</v>
      </c>
      <c r="B9">
        <v>2013</v>
      </c>
      <c r="C9">
        <v>-1.518725602596074</v>
      </c>
      <c r="D9">
        <v>0.74069848241816771</v>
      </c>
      <c r="E9">
        <v>0.76150651807328873</v>
      </c>
      <c r="F9">
        <v>0.82162834220848546</v>
      </c>
      <c r="G9">
        <v>0.51837703991882511</v>
      </c>
      <c r="H9">
        <v>0.55933003282560567</v>
      </c>
      <c r="I9">
        <v>0.59933088435566051</v>
      </c>
      <c r="J9">
        <v>-4.2359679594205364</v>
      </c>
      <c r="K9">
        <v>2.166250221499268</v>
      </c>
      <c r="L9">
        <v>-1.1782679664096829</v>
      </c>
      <c r="M9">
        <v>2.6621035497832368</v>
      </c>
      <c r="N9">
        <v>2.7015182419100219</v>
      </c>
      <c r="O9">
        <v>-11.51292546497023</v>
      </c>
      <c r="P9">
        <v>-3.9414692670106888E-2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25">
      <c r="A10">
        <v>11</v>
      </c>
      <c r="B10">
        <v>2014</v>
      </c>
      <c r="C10">
        <v>-1.4578474207869181</v>
      </c>
      <c r="D10">
        <v>0.72328833747193211</v>
      </c>
      <c r="E10">
        <v>0.74069848241816771</v>
      </c>
      <c r="F10">
        <v>0.76150651807328873</v>
      </c>
      <c r="G10">
        <v>0.52715162636476365</v>
      </c>
      <c r="H10">
        <v>0.51837703991882511</v>
      </c>
      <c r="I10">
        <v>0.55933003282560567</v>
      </c>
      <c r="J10">
        <v>-3.554508280400535</v>
      </c>
      <c r="K10">
        <v>2.166250221499268</v>
      </c>
      <c r="L10">
        <v>-1.1213792527941719</v>
      </c>
      <c r="M10">
        <v>2.6642506113954019</v>
      </c>
      <c r="N10">
        <v>2.650416048243291</v>
      </c>
      <c r="O10">
        <v>-11.51292546497023</v>
      </c>
      <c r="P10">
        <v>1.3834563083946705E-2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25">
      <c r="A11">
        <v>11</v>
      </c>
      <c r="B11">
        <v>2015</v>
      </c>
      <c r="C11">
        <v>-1.4449811096822041</v>
      </c>
      <c r="D11">
        <v>0.73692480290583307</v>
      </c>
      <c r="E11">
        <v>0.72328833747193211</v>
      </c>
      <c r="F11">
        <v>0.74069848241816771</v>
      </c>
      <c r="G11">
        <v>0.47759970586736361</v>
      </c>
      <c r="H11">
        <v>0.52715162636476365</v>
      </c>
      <c r="I11">
        <v>0.51837703991882511</v>
      </c>
      <c r="J11">
        <v>-3.1339141993029989</v>
      </c>
      <c r="K11">
        <v>2.166250221499268</v>
      </c>
      <c r="L11">
        <v>-1.0788235672370079</v>
      </c>
      <c r="M11">
        <v>2.651900785014115</v>
      </c>
      <c r="N11">
        <v>2.6530622760673999</v>
      </c>
      <c r="O11">
        <v>-11.51292546497023</v>
      </c>
      <c r="P11">
        <v>-1.1614910326898098E-3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 x14ac:dyDescent="0.25">
      <c r="A12">
        <v>11</v>
      </c>
      <c r="B12">
        <v>2016</v>
      </c>
      <c r="C12">
        <v>-1.4210112424014689</v>
      </c>
      <c r="D12">
        <v>0.75358354936377603</v>
      </c>
      <c r="E12">
        <v>0.73692480290583307</v>
      </c>
      <c r="F12">
        <v>0.72328833747193211</v>
      </c>
      <c r="G12">
        <v>0.61858525923304053</v>
      </c>
      <c r="H12">
        <v>0.47759970586736361</v>
      </c>
      <c r="I12">
        <v>0.52715162636476365</v>
      </c>
      <c r="J12">
        <v>-2.761061811848581</v>
      </c>
      <c r="K12">
        <v>2.166250221499268</v>
      </c>
      <c r="L12">
        <v>-1.049732047488368</v>
      </c>
      <c r="M12">
        <v>2.6395015854418169</v>
      </c>
      <c r="N12">
        <v>2.6411707756098739</v>
      </c>
      <c r="O12">
        <v>-11.51292546497023</v>
      </c>
      <c r="P12">
        <v>-1.6691901255398989E-3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</row>
    <row r="13" spans="1:23" x14ac:dyDescent="0.25">
      <c r="A13">
        <v>11</v>
      </c>
      <c r="B13">
        <v>2017</v>
      </c>
      <c r="C13">
        <v>-1.4207559397857561</v>
      </c>
      <c r="D13">
        <v>0.74241342186286341</v>
      </c>
      <c r="E13">
        <v>0.75358354936377603</v>
      </c>
      <c r="F13">
        <v>0.73692480290583307</v>
      </c>
      <c r="G13">
        <v>0.60704448150653356</v>
      </c>
      <c r="H13">
        <v>0.61858525923304053</v>
      </c>
      <c r="I13">
        <v>0.47759970586736361</v>
      </c>
      <c r="J13">
        <v>-2.082651938392698</v>
      </c>
      <c r="K13">
        <v>2.166250221499268</v>
      </c>
      <c r="L13">
        <v>-1.0245113969466151</v>
      </c>
      <c r="M13">
        <v>2.690978395396356</v>
      </c>
      <c r="N13">
        <v>2.6291988754056201</v>
      </c>
      <c r="O13">
        <v>-11.51292546497023</v>
      </c>
      <c r="P13">
        <v>6.1779521405696869E-2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</row>
    <row r="14" spans="1:23" x14ac:dyDescent="0.25">
      <c r="A14">
        <v>11</v>
      </c>
      <c r="B14">
        <v>2018</v>
      </c>
      <c r="C14">
        <v>-1.4131135997679001</v>
      </c>
      <c r="D14">
        <v>0.83373486886959214</v>
      </c>
      <c r="E14">
        <v>0.74241342186286341</v>
      </c>
      <c r="F14">
        <v>0.75358354936377603</v>
      </c>
      <c r="G14">
        <v>0.64825441166920861</v>
      </c>
      <c r="H14">
        <v>0.60704448150653356</v>
      </c>
      <c r="I14">
        <v>0.61858525923304053</v>
      </c>
      <c r="J14">
        <v>-1.602401349382677</v>
      </c>
      <c r="K14">
        <v>2.166250221499268</v>
      </c>
      <c r="L14">
        <v>-0.95533951972360787</v>
      </c>
      <c r="M14">
        <v>2.705694458109142</v>
      </c>
      <c r="N14">
        <v>2.7180324734770229</v>
      </c>
      <c r="O14">
        <v>3.2580965380214821</v>
      </c>
      <c r="P14">
        <v>-1.2338015250861645E-2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25">
      <c r="A15">
        <v>11</v>
      </c>
      <c r="B15">
        <v>2019</v>
      </c>
      <c r="C15">
        <v>-1.3958817226731339</v>
      </c>
      <c r="D15">
        <v>0.7959744903594157</v>
      </c>
      <c r="E15">
        <v>0.83373486886959214</v>
      </c>
      <c r="F15">
        <v>0.74241342186286341</v>
      </c>
      <c r="G15">
        <v>0.61939299197128328</v>
      </c>
      <c r="H15">
        <v>0.64825441166920861</v>
      </c>
      <c r="I15">
        <v>0.60704448150653356</v>
      </c>
      <c r="J15">
        <v>-0.87886461343413891</v>
      </c>
      <c r="K15">
        <v>2.166250221499268</v>
      </c>
      <c r="L15">
        <v>-0.92594627856998246</v>
      </c>
      <c r="M15">
        <v>2.700549530427923</v>
      </c>
      <c r="N15">
        <v>2.6945842825909812</v>
      </c>
      <c r="O15">
        <v>5.393627546352362</v>
      </c>
      <c r="P15">
        <v>5.9652477502822876E-3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</row>
    <row r="16" spans="1:23" x14ac:dyDescent="0.25">
      <c r="A16">
        <v>11</v>
      </c>
      <c r="B16">
        <v>2020</v>
      </c>
      <c r="C16">
        <v>-1.4296095899018759</v>
      </c>
      <c r="D16">
        <v>0.72251178918984926</v>
      </c>
      <c r="E16">
        <v>0.7959744903594157</v>
      </c>
      <c r="F16">
        <v>0.83373486886959214</v>
      </c>
      <c r="G16">
        <v>0.54563276527139615</v>
      </c>
      <c r="H16">
        <v>0.61939299197128328</v>
      </c>
      <c r="I16">
        <v>0.64825441166920861</v>
      </c>
      <c r="J16">
        <v>-0.22604791296123961</v>
      </c>
      <c r="K16">
        <v>2.166250221499268</v>
      </c>
      <c r="L16">
        <v>-0.90454783102081882</v>
      </c>
      <c r="M16">
        <v>2.718476319415351</v>
      </c>
      <c r="N16">
        <v>2.6897846276731232</v>
      </c>
      <c r="O16">
        <v>5.9914645471079817</v>
      </c>
      <c r="P16">
        <v>2.8691692277789116E-2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 x14ac:dyDescent="0.25">
      <c r="A17">
        <v>11</v>
      </c>
      <c r="B17">
        <v>2021</v>
      </c>
      <c r="C17">
        <v>-1.4174909402989659</v>
      </c>
      <c r="D17">
        <v>0.91776963775355425</v>
      </c>
      <c r="E17">
        <v>0.72251178918984926</v>
      </c>
      <c r="F17">
        <v>0.7959744903594157</v>
      </c>
      <c r="G17">
        <v>0.75902854967345812</v>
      </c>
      <c r="H17">
        <v>0.54563276527139615</v>
      </c>
      <c r="I17">
        <v>0.61939299197128328</v>
      </c>
      <c r="J17">
        <v>0.31564239935359079</v>
      </c>
      <c r="K17">
        <v>2.166250221499268</v>
      </c>
      <c r="L17">
        <v>-0.88493854765177082</v>
      </c>
      <c r="M17">
        <v>2.7052698750374469</v>
      </c>
      <c r="N17">
        <v>2.708055757190762</v>
      </c>
      <c r="O17">
        <v>6.6846117276679271</v>
      </c>
      <c r="P17">
        <v>-2.7858822140842676E-3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 x14ac:dyDescent="0.25">
      <c r="A18">
        <v>11</v>
      </c>
      <c r="B18">
        <v>2022</v>
      </c>
      <c r="C18">
        <v>-1.370120701773238</v>
      </c>
      <c r="D18">
        <v>0.91948562277067425</v>
      </c>
      <c r="E18">
        <v>0.91776963775355425</v>
      </c>
      <c r="F18">
        <v>0.72251178918984926</v>
      </c>
      <c r="G18">
        <v>0.79443943204181766</v>
      </c>
      <c r="H18">
        <v>0.75902854967345812</v>
      </c>
      <c r="I18">
        <v>0.54563276527139615</v>
      </c>
      <c r="J18">
        <v>0.83526807990957463</v>
      </c>
      <c r="K18">
        <v>2.166250221499268</v>
      </c>
      <c r="L18">
        <v>-0.85720866088653058</v>
      </c>
      <c r="M18">
        <v>2.761330092439426</v>
      </c>
      <c r="N18">
        <v>2.7052698750374469</v>
      </c>
      <c r="O18">
        <v>8.0551577318196781</v>
      </c>
      <c r="P18">
        <v>5.6060217320919037E-2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</row>
    <row r="19" spans="1:23" x14ac:dyDescent="0.25">
      <c r="A19">
        <v>11</v>
      </c>
      <c r="B19">
        <v>2023</v>
      </c>
      <c r="C19">
        <v>-1.3339252000932049</v>
      </c>
      <c r="D19">
        <v>0.84822600096002576</v>
      </c>
      <c r="E19">
        <v>0.91948562277067425</v>
      </c>
      <c r="F19">
        <v>0.91776963775355425</v>
      </c>
      <c r="G19">
        <v>0.62919515406742821</v>
      </c>
      <c r="H19">
        <v>0.79443943204181766</v>
      </c>
      <c r="I19">
        <v>0.75902854967345812</v>
      </c>
      <c r="J19">
        <v>1.4276902077177129</v>
      </c>
      <c r="K19">
        <v>2.166250221499268</v>
      </c>
      <c r="L19">
        <v>-0.83111700997942339</v>
      </c>
      <c r="M19">
        <v>2.8461047606429259</v>
      </c>
      <c r="N19">
        <v>2.761330092439426</v>
      </c>
      <c r="O19">
        <v>8.4658998970286863</v>
      </c>
      <c r="P19">
        <v>8.4774665534496307E-2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 x14ac:dyDescent="0.25">
      <c r="A20">
        <v>12</v>
      </c>
      <c r="B20">
        <v>2006</v>
      </c>
      <c r="C20">
        <v>-2.540522743776382</v>
      </c>
      <c r="D20">
        <v>1.0784095813505901</v>
      </c>
      <c r="E20">
        <v>1.0092344775168931</v>
      </c>
      <c r="F20">
        <v>0.99047013004840656</v>
      </c>
      <c r="G20">
        <v>0.81536481328419441</v>
      </c>
      <c r="H20">
        <v>0.69873155885384597</v>
      </c>
      <c r="I20">
        <v>0.70146251216365918</v>
      </c>
      <c r="J20">
        <v>-11.51292546497023</v>
      </c>
      <c r="K20">
        <v>1.89659895370424</v>
      </c>
      <c r="L20">
        <v>-2.4595923370301058</v>
      </c>
      <c r="M20">
        <v>2.2133343213516978</v>
      </c>
      <c r="N20">
        <v>2.1982281424695489</v>
      </c>
      <c r="O20">
        <v>-11.51292546497023</v>
      </c>
      <c r="P20">
        <v>1.5106178820133209E-2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 x14ac:dyDescent="0.25">
      <c r="A21">
        <v>12</v>
      </c>
      <c r="B21">
        <v>2007</v>
      </c>
      <c r="C21">
        <v>-2.4329042894116562</v>
      </c>
      <c r="D21">
        <v>1.027939435373064</v>
      </c>
      <c r="E21">
        <v>1.0784095813505901</v>
      </c>
      <c r="F21">
        <v>1.0092344775168931</v>
      </c>
      <c r="G21">
        <v>0.68390459919301272</v>
      </c>
      <c r="H21">
        <v>0.81536481328419441</v>
      </c>
      <c r="I21">
        <v>0.69873155885384597</v>
      </c>
      <c r="J21">
        <v>-11.51292546497023</v>
      </c>
      <c r="K21">
        <v>1.89659895370424</v>
      </c>
      <c r="L21">
        <v>-2.3000771337360129</v>
      </c>
      <c r="M21">
        <v>2.313442845502276</v>
      </c>
      <c r="N21">
        <v>2.218134274509667</v>
      </c>
      <c r="O21">
        <v>-11.51292546497023</v>
      </c>
      <c r="P21">
        <v>9.5308572053909302E-2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 x14ac:dyDescent="0.25">
      <c r="A22">
        <v>12</v>
      </c>
      <c r="B22">
        <v>2008</v>
      </c>
      <c r="C22">
        <v>-2.27425156337357</v>
      </c>
      <c r="D22">
        <v>0.98760623729075003</v>
      </c>
      <c r="E22">
        <v>1.027939435373064</v>
      </c>
      <c r="F22">
        <v>1.0784095813505901</v>
      </c>
      <c r="G22">
        <v>0.64095874881435921</v>
      </c>
      <c r="H22">
        <v>0.68390459919301272</v>
      </c>
      <c r="I22">
        <v>0.81536481328419441</v>
      </c>
      <c r="J22">
        <v>-11.51292546497023</v>
      </c>
      <c r="K22">
        <v>1.89659895370424</v>
      </c>
      <c r="L22">
        <v>-2.1314025549806082</v>
      </c>
      <c r="M22">
        <v>2.3949085330761819</v>
      </c>
      <c r="N22">
        <v>2.3182674198025608</v>
      </c>
      <c r="O22">
        <v>-11.51292546497023</v>
      </c>
      <c r="P22">
        <v>7.6641112565994263E-2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</row>
    <row r="23" spans="1:23" x14ac:dyDescent="0.25">
      <c r="A23">
        <v>12</v>
      </c>
      <c r="B23">
        <v>2009</v>
      </c>
      <c r="C23">
        <v>-2.2112330407058809</v>
      </c>
      <c r="D23">
        <v>0.94542225838040261</v>
      </c>
      <c r="E23">
        <v>0.98760623729075003</v>
      </c>
      <c r="F23">
        <v>1.027939435373064</v>
      </c>
      <c r="G23">
        <v>0.60355064674818915</v>
      </c>
      <c r="H23">
        <v>0.64095874881435921</v>
      </c>
      <c r="I23">
        <v>0.68390459919301272</v>
      </c>
      <c r="J23">
        <v>-11.51292546497023</v>
      </c>
      <c r="K23">
        <v>1.89659895370424</v>
      </c>
      <c r="L23">
        <v>-1.97417015913311</v>
      </c>
      <c r="M23">
        <v>2.4528339580987599</v>
      </c>
      <c r="N23">
        <v>2.3787807862614101</v>
      </c>
      <c r="O23">
        <v>-11.51292546497023</v>
      </c>
      <c r="P23">
        <v>7.4053168296813965E-2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25">
      <c r="A24">
        <v>12</v>
      </c>
      <c r="B24">
        <v>2010</v>
      </c>
      <c r="C24">
        <v>-2.0238197630288082</v>
      </c>
      <c r="D24">
        <v>0.89469930563067901</v>
      </c>
      <c r="E24">
        <v>0.94542225838040261</v>
      </c>
      <c r="F24">
        <v>0.98760623729075003</v>
      </c>
      <c r="G24">
        <v>0.67904825618044362</v>
      </c>
      <c r="H24">
        <v>0.60355064674818915</v>
      </c>
      <c r="I24">
        <v>0.64095874881435921</v>
      </c>
      <c r="J24">
        <v>-6.5775261137723211</v>
      </c>
      <c r="K24">
        <v>1.89659895370424</v>
      </c>
      <c r="L24">
        <v>-1.851129937016835</v>
      </c>
      <c r="M24">
        <v>2.451574835691376</v>
      </c>
      <c r="N24">
        <v>2.4136386773470888</v>
      </c>
      <c r="O24">
        <v>-11.51292546497023</v>
      </c>
      <c r="P24">
        <v>3.793615847826004E-2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23" x14ac:dyDescent="0.25">
      <c r="A25">
        <v>12</v>
      </c>
      <c r="B25">
        <v>2011</v>
      </c>
      <c r="C25">
        <v>-1.9428928643946779</v>
      </c>
      <c r="D25">
        <v>0.87108413903607584</v>
      </c>
      <c r="E25">
        <v>0.89469930563067901</v>
      </c>
      <c r="F25">
        <v>0.94542225838040261</v>
      </c>
      <c r="G25">
        <v>0.64872496300719862</v>
      </c>
      <c r="H25">
        <v>0.67904825618044362</v>
      </c>
      <c r="I25">
        <v>0.60355064674818915</v>
      </c>
      <c r="J25">
        <v>-5.0058049802243119</v>
      </c>
      <c r="K25">
        <v>1.89659895370424</v>
      </c>
      <c r="L25">
        <v>-1.7662719913196829</v>
      </c>
      <c r="M25">
        <v>2.4041960497971822</v>
      </c>
      <c r="N25">
        <v>2.413858056805267</v>
      </c>
      <c r="O25">
        <v>-11.51292546497023</v>
      </c>
      <c r="P25">
        <v>-9.6620069816708565E-3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</row>
    <row r="26" spans="1:23" x14ac:dyDescent="0.25">
      <c r="A26">
        <v>12</v>
      </c>
      <c r="B26">
        <v>2012</v>
      </c>
      <c r="C26">
        <v>-1.853506372455425</v>
      </c>
      <c r="D26">
        <v>0.82070451397482058</v>
      </c>
      <c r="E26">
        <v>0.87108413903607584</v>
      </c>
      <c r="F26">
        <v>0.89469930563067901</v>
      </c>
      <c r="G26">
        <v>0.60393338001511543</v>
      </c>
      <c r="H26">
        <v>0.64872496300719862</v>
      </c>
      <c r="I26">
        <v>0.67904825618044362</v>
      </c>
      <c r="J26">
        <v>-4.552278246026316</v>
      </c>
      <c r="K26">
        <v>1.89659895370424</v>
      </c>
      <c r="L26">
        <v>-1.681677032607656</v>
      </c>
      <c r="M26">
        <v>2.435977906762917</v>
      </c>
      <c r="N26">
        <v>2.3877191547494352</v>
      </c>
      <c r="O26">
        <v>-11.51292546497023</v>
      </c>
      <c r="P26">
        <v>4.8258751630783081E-2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</row>
    <row r="27" spans="1:23" x14ac:dyDescent="0.25">
      <c r="A27">
        <v>12</v>
      </c>
      <c r="B27">
        <v>2013</v>
      </c>
      <c r="C27">
        <v>-1.823798812909148</v>
      </c>
      <c r="D27">
        <v>0.80092477273337637</v>
      </c>
      <c r="E27">
        <v>0.82070451397482058</v>
      </c>
      <c r="F27">
        <v>0.87108413903607584</v>
      </c>
      <c r="G27">
        <v>0.59305056402166012</v>
      </c>
      <c r="H27">
        <v>0.60393338001511543</v>
      </c>
      <c r="I27">
        <v>0.64872496300719862</v>
      </c>
      <c r="J27">
        <v>-3.6590167181892319</v>
      </c>
      <c r="K27">
        <v>1.89659895370424</v>
      </c>
      <c r="L27">
        <v>-1.6211200885215431</v>
      </c>
      <c r="M27">
        <v>2.464379744574213</v>
      </c>
      <c r="N27">
        <v>2.4129487027258469</v>
      </c>
      <c r="O27">
        <v>-11.51292546497023</v>
      </c>
      <c r="P27">
        <v>5.1431041210889816E-2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 x14ac:dyDescent="0.25">
      <c r="A28">
        <v>12</v>
      </c>
      <c r="B28">
        <v>2014</v>
      </c>
      <c r="C28">
        <v>-1.7438080667107489</v>
      </c>
      <c r="D28">
        <v>0.78686518443369713</v>
      </c>
      <c r="E28">
        <v>0.80092477273337637</v>
      </c>
      <c r="F28">
        <v>0.82070451397482058</v>
      </c>
      <c r="G28">
        <v>0.60748035380285359</v>
      </c>
      <c r="H28">
        <v>0.59305056402166012</v>
      </c>
      <c r="I28">
        <v>0.60393338001511543</v>
      </c>
      <c r="J28">
        <v>-2.8879711514722008</v>
      </c>
      <c r="K28">
        <v>1.89659895370424</v>
      </c>
      <c r="L28">
        <v>-1.55917951479725</v>
      </c>
      <c r="M28">
        <v>2.5309753553273722</v>
      </c>
      <c r="N28">
        <v>2.4469679509269722</v>
      </c>
      <c r="O28">
        <v>-11.51292546497023</v>
      </c>
      <c r="P28">
        <v>8.4007404744625092E-2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 x14ac:dyDescent="0.25">
      <c r="A29">
        <v>12</v>
      </c>
      <c r="B29">
        <v>2015</v>
      </c>
      <c r="C29">
        <v>-1.745503791543106</v>
      </c>
      <c r="D29">
        <v>0.80424122806553211</v>
      </c>
      <c r="E29">
        <v>0.78686518443369713</v>
      </c>
      <c r="F29">
        <v>0.80092477273337637</v>
      </c>
      <c r="G29">
        <v>0.57717500430752455</v>
      </c>
      <c r="H29">
        <v>0.60748035380285359</v>
      </c>
      <c r="I29">
        <v>0.59305056402166012</v>
      </c>
      <c r="J29">
        <v>-2.545858637871083</v>
      </c>
      <c r="K29">
        <v>1.89659895370424</v>
      </c>
      <c r="L29">
        <v>-1.50904858212068</v>
      </c>
      <c r="M29">
        <v>2.4533261407057392</v>
      </c>
      <c r="N29">
        <v>2.514142776455218</v>
      </c>
      <c r="O29">
        <v>-11.51292546497023</v>
      </c>
      <c r="P29">
        <v>-6.0816634446382523E-2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 x14ac:dyDescent="0.25">
      <c r="A30">
        <v>12</v>
      </c>
      <c r="B30">
        <v>2016</v>
      </c>
      <c r="C30">
        <v>-1.7866062373763869</v>
      </c>
      <c r="D30">
        <v>0.80629727849260113</v>
      </c>
      <c r="E30">
        <v>0.80424122806553211</v>
      </c>
      <c r="F30">
        <v>0.78686518443369713</v>
      </c>
      <c r="G30">
        <v>0.60671745256155762</v>
      </c>
      <c r="H30">
        <v>0.57717500430752455</v>
      </c>
      <c r="I30">
        <v>0.60748035380285359</v>
      </c>
      <c r="J30">
        <v>-2.2509086162663912</v>
      </c>
      <c r="K30">
        <v>1.89659895370424</v>
      </c>
      <c r="L30">
        <v>-1.479321084465824</v>
      </c>
      <c r="M30">
        <v>2.368745845321349</v>
      </c>
      <c r="N30">
        <v>2.4370635924484572</v>
      </c>
      <c r="O30">
        <v>-11.51292546497023</v>
      </c>
      <c r="P30">
        <v>-6.8317748606204987E-2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25">
      <c r="A31">
        <v>12</v>
      </c>
      <c r="B31">
        <v>2017</v>
      </c>
      <c r="C31">
        <v>-1.803964079196309</v>
      </c>
      <c r="D31">
        <v>0.84346194121881335</v>
      </c>
      <c r="E31">
        <v>0.80629727849260113</v>
      </c>
      <c r="F31">
        <v>0.80424122806553211</v>
      </c>
      <c r="G31">
        <v>0.6634093622959889</v>
      </c>
      <c r="H31">
        <v>0.60671745256155762</v>
      </c>
      <c r="I31">
        <v>0.57717500430752455</v>
      </c>
      <c r="J31">
        <v>-1.6395621942722589</v>
      </c>
      <c r="K31">
        <v>1.89659895370424</v>
      </c>
      <c r="L31">
        <v>-1.449845687397157</v>
      </c>
      <c r="M31">
        <v>2.353997619072592</v>
      </c>
      <c r="N31">
        <v>2.353035198584525</v>
      </c>
      <c r="O31">
        <v>-11.51292546497023</v>
      </c>
      <c r="P31">
        <v>9.6242048311978579E-4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</row>
    <row r="32" spans="1:23" x14ac:dyDescent="0.25">
      <c r="A32">
        <v>12</v>
      </c>
      <c r="B32">
        <v>2018</v>
      </c>
      <c r="C32">
        <v>-1.8707615171010761</v>
      </c>
      <c r="D32">
        <v>0.93730830709662494</v>
      </c>
      <c r="E32">
        <v>0.84346194121881335</v>
      </c>
      <c r="F32">
        <v>0.80629727849260113</v>
      </c>
      <c r="G32">
        <v>0.70051993488935849</v>
      </c>
      <c r="H32">
        <v>0.6634093622959889</v>
      </c>
      <c r="I32">
        <v>0.60671745256155762</v>
      </c>
      <c r="J32">
        <v>-1.2704798017012739</v>
      </c>
      <c r="K32">
        <v>1.89659895370424</v>
      </c>
      <c r="L32">
        <v>-1.447486001868977</v>
      </c>
      <c r="M32">
        <v>2.3348805785508659</v>
      </c>
      <c r="N32">
        <v>2.3073161513348381</v>
      </c>
      <c r="O32">
        <v>3.2580965380214821</v>
      </c>
      <c r="P32">
        <v>2.7564426884055138E-2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</row>
    <row r="33" spans="1:23" x14ac:dyDescent="0.25">
      <c r="A33">
        <v>12</v>
      </c>
      <c r="B33">
        <v>2019</v>
      </c>
      <c r="C33">
        <v>-1.8548545271126911</v>
      </c>
      <c r="D33">
        <v>0.86865390235854689</v>
      </c>
      <c r="E33">
        <v>0.93730830709662494</v>
      </c>
      <c r="F33">
        <v>0.84346194121881335</v>
      </c>
      <c r="G33">
        <v>0.6634093622959889</v>
      </c>
      <c r="H33">
        <v>0.70051993488935849</v>
      </c>
      <c r="I33">
        <v>0.6634093622959889</v>
      </c>
      <c r="J33">
        <v>-0.58160918310328213</v>
      </c>
      <c r="K33">
        <v>1.89659895370424</v>
      </c>
      <c r="L33">
        <v>-1.413985790649066</v>
      </c>
      <c r="M33">
        <v>2.29834380834231</v>
      </c>
      <c r="N33">
        <v>2.3204102483993698</v>
      </c>
      <c r="O33">
        <v>5.393627546352362</v>
      </c>
      <c r="P33">
        <v>-2.2066440433263779E-2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</row>
    <row r="34" spans="1:23" x14ac:dyDescent="0.25">
      <c r="A34">
        <v>12</v>
      </c>
      <c r="B34">
        <v>2020</v>
      </c>
      <c r="C34">
        <v>-1.88050971510182</v>
      </c>
      <c r="D34">
        <v>0.81823679139876693</v>
      </c>
      <c r="E34">
        <v>0.86865390235854689</v>
      </c>
      <c r="F34">
        <v>0.93730830709662494</v>
      </c>
      <c r="G34">
        <v>0.61917766035977084</v>
      </c>
      <c r="H34">
        <v>0.6634093622959889</v>
      </c>
      <c r="I34">
        <v>0.70051993488935849</v>
      </c>
      <c r="J34">
        <v>2.7054758258881369E-2</v>
      </c>
      <c r="K34">
        <v>1.89659895370424</v>
      </c>
      <c r="L34">
        <v>-1.3876704234500099</v>
      </c>
      <c r="M34">
        <v>2.274248317061752</v>
      </c>
      <c r="N34">
        <v>2.2842308013914758</v>
      </c>
      <c r="O34">
        <v>5.9914645471079817</v>
      </c>
      <c r="P34">
        <v>-9.9824843928217888E-3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</row>
    <row r="35" spans="1:23" x14ac:dyDescent="0.25">
      <c r="A35">
        <v>12</v>
      </c>
      <c r="B35">
        <v>2021</v>
      </c>
      <c r="C35">
        <v>-1.878643824790587</v>
      </c>
      <c r="D35">
        <v>0.99332584434100879</v>
      </c>
      <c r="E35">
        <v>0.81823679139876693</v>
      </c>
      <c r="F35">
        <v>0.86865390235854689</v>
      </c>
      <c r="G35">
        <v>0.81730982318036782</v>
      </c>
      <c r="H35">
        <v>0.61917766035977084</v>
      </c>
      <c r="I35">
        <v>0.6634093622959889</v>
      </c>
      <c r="J35">
        <v>0.70261181834886477</v>
      </c>
      <c r="K35">
        <v>1.89659895370424</v>
      </c>
      <c r="L35">
        <v>-1.364484611240979</v>
      </c>
      <c r="M35">
        <v>2.3980824642529059</v>
      </c>
      <c r="N35">
        <v>2.2604739548329111</v>
      </c>
      <c r="O35">
        <v>6.6846117276679271</v>
      </c>
      <c r="P35">
        <v>0.13760851323604584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</row>
    <row r="36" spans="1:23" x14ac:dyDescent="0.25">
      <c r="A36">
        <v>12</v>
      </c>
      <c r="B36">
        <v>2022</v>
      </c>
      <c r="C36">
        <v>-1.803714186016224</v>
      </c>
      <c r="D36">
        <v>0.96667961740728414</v>
      </c>
      <c r="E36">
        <v>0.99332584434100879</v>
      </c>
      <c r="F36">
        <v>0.81823679139876693</v>
      </c>
      <c r="G36">
        <v>0.77785590848689956</v>
      </c>
      <c r="H36">
        <v>0.81730982318036782</v>
      </c>
      <c r="I36">
        <v>0.61917766035977084</v>
      </c>
      <c r="J36">
        <v>1.185974748438114</v>
      </c>
      <c r="K36">
        <v>1.89659895370424</v>
      </c>
      <c r="L36">
        <v>-1.3314857129553219</v>
      </c>
      <c r="M36">
        <v>2.418150875718347</v>
      </c>
      <c r="N36">
        <v>2.3980824642529059</v>
      </c>
      <c r="O36">
        <v>8.0551577318196781</v>
      </c>
      <c r="P36">
        <v>2.0068410784006119E-2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</row>
    <row r="37" spans="1:23" x14ac:dyDescent="0.25">
      <c r="A37">
        <v>12</v>
      </c>
      <c r="B37">
        <v>2023</v>
      </c>
      <c r="C37">
        <v>-1.763170302088207</v>
      </c>
      <c r="D37">
        <v>0.88232021230300173</v>
      </c>
      <c r="E37">
        <v>0.96667961740728414</v>
      </c>
      <c r="F37">
        <v>0.99332584434100879</v>
      </c>
      <c r="G37">
        <v>0.58070610121419586</v>
      </c>
      <c r="H37">
        <v>0.77785590848689956</v>
      </c>
      <c r="I37">
        <v>0.81730982318036782</v>
      </c>
      <c r="J37">
        <v>1.748137451419546</v>
      </c>
      <c r="K37">
        <v>1.89659895370424</v>
      </c>
      <c r="L37">
        <v>-1.300184285120431</v>
      </c>
      <c r="M37">
        <v>2.4726140688728968</v>
      </c>
      <c r="N37">
        <v>2.418150875718347</v>
      </c>
      <c r="O37">
        <v>8.4658998970286863</v>
      </c>
      <c r="P37">
        <v>5.4463192820549011E-2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</row>
    <row r="38" spans="1:23" x14ac:dyDescent="0.25">
      <c r="A38">
        <v>13</v>
      </c>
      <c r="B38">
        <v>2006</v>
      </c>
      <c r="C38">
        <v>-2.2996931070588582</v>
      </c>
      <c r="D38">
        <v>0.94000725849147115</v>
      </c>
      <c r="E38">
        <v>0.9748237560598092</v>
      </c>
      <c r="F38">
        <v>0.83768033129224362</v>
      </c>
      <c r="G38">
        <v>0.71783979315031676</v>
      </c>
      <c r="H38">
        <v>0.63525320214104264</v>
      </c>
      <c r="I38">
        <v>0.52449181452980531</v>
      </c>
      <c r="J38">
        <v>-11.51292546497023</v>
      </c>
      <c r="K38">
        <v>2.4442681395872339</v>
      </c>
      <c r="L38">
        <v>-2.6013661987380088</v>
      </c>
      <c r="M38">
        <v>2.787953787326388</v>
      </c>
      <c r="N38">
        <v>2.6920901613696402</v>
      </c>
      <c r="O38">
        <v>-11.51292546497023</v>
      </c>
      <c r="P38">
        <v>9.5863625407218933E-2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</row>
    <row r="39" spans="1:23" x14ac:dyDescent="0.25">
      <c r="A39">
        <v>13</v>
      </c>
      <c r="B39">
        <v>2007</v>
      </c>
      <c r="C39">
        <v>-2.2393959335322</v>
      </c>
      <c r="D39">
        <v>0.86056658310179346</v>
      </c>
      <c r="E39">
        <v>0.94000725849147115</v>
      </c>
      <c r="F39">
        <v>0.9748237560598092</v>
      </c>
      <c r="G39">
        <v>0.52732869586500486</v>
      </c>
      <c r="H39">
        <v>0.71783979315031676</v>
      </c>
      <c r="I39">
        <v>0.63525320214104264</v>
      </c>
      <c r="J39">
        <v>-11.51292546497023</v>
      </c>
      <c r="K39">
        <v>2.4442681395872339</v>
      </c>
      <c r="L39">
        <v>-2.4906512169756301</v>
      </c>
      <c r="M39">
        <v>2.806108713008526</v>
      </c>
      <c r="N39">
        <v>2.7834234781778342</v>
      </c>
      <c r="O39">
        <v>-11.51292546497023</v>
      </c>
      <c r="P39">
        <v>2.2685235366225243E-2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</row>
    <row r="40" spans="1:23" x14ac:dyDescent="0.25">
      <c r="A40">
        <v>13</v>
      </c>
      <c r="B40">
        <v>2008</v>
      </c>
      <c r="C40">
        <v>-2.1516233254611739</v>
      </c>
      <c r="D40">
        <v>0.79104491883640526</v>
      </c>
      <c r="E40">
        <v>0.86056658310179346</v>
      </c>
      <c r="F40">
        <v>0.94000725849147115</v>
      </c>
      <c r="G40">
        <v>0.47567501648296739</v>
      </c>
      <c r="H40">
        <v>0.52732869586500486</v>
      </c>
      <c r="I40">
        <v>0.71783979315031676</v>
      </c>
      <c r="J40">
        <v>-11.51292546497023</v>
      </c>
      <c r="K40">
        <v>2.4442681395872339</v>
      </c>
      <c r="L40">
        <v>-2.3800620263891141</v>
      </c>
      <c r="M40">
        <v>2.8187584767341138</v>
      </c>
      <c r="N40">
        <v>2.8015988350361951</v>
      </c>
      <c r="O40">
        <v>-11.51292546497023</v>
      </c>
      <c r="P40">
        <v>1.7159640789031982E-2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</row>
    <row r="41" spans="1:23" x14ac:dyDescent="0.25">
      <c r="A41">
        <v>13</v>
      </c>
      <c r="B41">
        <v>2009</v>
      </c>
      <c r="C41">
        <v>-2.129867287589434</v>
      </c>
      <c r="D41">
        <v>0.80074519115796339</v>
      </c>
      <c r="E41">
        <v>0.79104491883640526</v>
      </c>
      <c r="F41">
        <v>0.86056658310179346</v>
      </c>
      <c r="G41">
        <v>0.45018350179642908</v>
      </c>
      <c r="H41">
        <v>0.47567501648296739</v>
      </c>
      <c r="I41">
        <v>0.52732869586500486</v>
      </c>
      <c r="J41">
        <v>-8.129578512186745</v>
      </c>
      <c r="K41">
        <v>2.4442681395872339</v>
      </c>
      <c r="L41">
        <v>-2.2873741230265301</v>
      </c>
      <c r="M41">
        <v>2.7822075302180531</v>
      </c>
      <c r="N41">
        <v>2.8032335417972489</v>
      </c>
      <c r="O41">
        <v>-11.51292546497023</v>
      </c>
      <c r="P41">
        <v>-2.1026011556386948E-2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</row>
    <row r="42" spans="1:23" x14ac:dyDescent="0.25">
      <c r="A42">
        <v>13</v>
      </c>
      <c r="B42">
        <v>2010</v>
      </c>
      <c r="C42">
        <v>-2.00078354198634</v>
      </c>
      <c r="D42">
        <v>0.75879446179580023</v>
      </c>
      <c r="E42">
        <v>0.80074519115796339</v>
      </c>
      <c r="F42">
        <v>0.79104491883640526</v>
      </c>
      <c r="G42">
        <v>0.50748003351489412</v>
      </c>
      <c r="H42">
        <v>0.45018350179642908</v>
      </c>
      <c r="I42">
        <v>0.47567501648296739</v>
      </c>
      <c r="J42">
        <v>-7.4575740900194392</v>
      </c>
      <c r="K42">
        <v>2.4442681395872339</v>
      </c>
      <c r="L42">
        <v>-2.1949797606311301</v>
      </c>
      <c r="M42">
        <v>2.865891463940804</v>
      </c>
      <c r="N42">
        <v>2.7610647718254149</v>
      </c>
      <c r="O42">
        <v>-11.51292546497023</v>
      </c>
      <c r="P42">
        <v>0.10482668876647949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25">
      <c r="A43">
        <v>13</v>
      </c>
      <c r="B43">
        <v>2011</v>
      </c>
      <c r="C43">
        <v>-1.9149948690867109</v>
      </c>
      <c r="D43">
        <v>0.75888810352262204</v>
      </c>
      <c r="E43">
        <v>0.75879446179580023</v>
      </c>
      <c r="F43">
        <v>0.80074519115796339</v>
      </c>
      <c r="G43">
        <v>0.56502967777950286</v>
      </c>
      <c r="H43">
        <v>0.50748003351489412</v>
      </c>
      <c r="I43">
        <v>0.45018350179642908</v>
      </c>
      <c r="J43">
        <v>-5.974201675234224</v>
      </c>
      <c r="K43">
        <v>2.4442681395872339</v>
      </c>
      <c r="L43">
        <v>-2.1132146873506201</v>
      </c>
      <c r="M43">
        <v>2.9153544314711932</v>
      </c>
      <c r="N43">
        <v>2.8451864819496779</v>
      </c>
      <c r="O43">
        <v>-11.51292546497023</v>
      </c>
      <c r="P43">
        <v>7.0167951285839081E-2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</row>
    <row r="44" spans="1:23" x14ac:dyDescent="0.25">
      <c r="A44">
        <v>13</v>
      </c>
      <c r="B44">
        <v>2012</v>
      </c>
      <c r="C44">
        <v>-1.8416043500428281</v>
      </c>
      <c r="D44">
        <v>0.74093684439579388</v>
      </c>
      <c r="E44">
        <v>0.75888810352262204</v>
      </c>
      <c r="F44">
        <v>0.75879446179580023</v>
      </c>
      <c r="G44">
        <v>0.52555658836598484</v>
      </c>
      <c r="H44">
        <v>0.56502967777950286</v>
      </c>
      <c r="I44">
        <v>0.50748003351489412</v>
      </c>
      <c r="J44">
        <v>-5.6212324596463992</v>
      </c>
      <c r="K44">
        <v>2.4442681395872339</v>
      </c>
      <c r="L44">
        <v>-2.039432947274388</v>
      </c>
      <c r="M44">
        <v>2.8452638329088011</v>
      </c>
      <c r="N44">
        <v>2.9005988669337039</v>
      </c>
      <c r="O44">
        <v>-11.51292546497023</v>
      </c>
      <c r="P44">
        <v>-5.5335033684968948E-2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</row>
    <row r="45" spans="1:23" x14ac:dyDescent="0.25">
      <c r="A45">
        <v>13</v>
      </c>
      <c r="B45">
        <v>2013</v>
      </c>
      <c r="C45">
        <v>-1.8634470711147311</v>
      </c>
      <c r="D45">
        <v>0.7175470673834804</v>
      </c>
      <c r="E45">
        <v>0.74093684439579388</v>
      </c>
      <c r="F45">
        <v>0.75888810352262204</v>
      </c>
      <c r="G45">
        <v>0.51018541887856739</v>
      </c>
      <c r="H45">
        <v>0.52555658836598484</v>
      </c>
      <c r="I45">
        <v>0.56502967777950286</v>
      </c>
      <c r="J45">
        <v>-4.8436412682355856</v>
      </c>
      <c r="K45">
        <v>2.4442681395872339</v>
      </c>
      <c r="L45">
        <v>-2.0111046236770722</v>
      </c>
      <c r="M45">
        <v>2.8536702634377278</v>
      </c>
      <c r="N45">
        <v>2.78660700011898</v>
      </c>
      <c r="O45">
        <v>-11.51292546497023</v>
      </c>
      <c r="P45">
        <v>6.7063264548778534E-2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 x14ac:dyDescent="0.25">
      <c r="A46">
        <v>13</v>
      </c>
      <c r="B46">
        <v>2014</v>
      </c>
      <c r="C46">
        <v>-1.820465575274167</v>
      </c>
      <c r="D46">
        <v>0.71069235977569423</v>
      </c>
      <c r="E46">
        <v>0.7175470673834804</v>
      </c>
      <c r="F46">
        <v>0.74093684439579388</v>
      </c>
      <c r="G46">
        <v>0.49231536100689388</v>
      </c>
      <c r="H46">
        <v>0.51018541887856739</v>
      </c>
      <c r="I46">
        <v>0.52555658836598484</v>
      </c>
      <c r="J46">
        <v>-4.2015334915193838</v>
      </c>
      <c r="K46">
        <v>2.4442681395872339</v>
      </c>
      <c r="L46">
        <v>-1.950555716804877</v>
      </c>
      <c r="M46">
        <v>2.8036262076416598</v>
      </c>
      <c r="N46">
        <v>2.8365324112696699</v>
      </c>
      <c r="O46">
        <v>-11.51292546497023</v>
      </c>
      <c r="P46">
        <v>-3.2906204462051392E-2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</row>
    <row r="47" spans="1:23" x14ac:dyDescent="0.25">
      <c r="A47">
        <v>13</v>
      </c>
      <c r="B47">
        <v>2015</v>
      </c>
      <c r="C47">
        <v>-1.85331490022868</v>
      </c>
      <c r="D47">
        <v>0.74246101711286649</v>
      </c>
      <c r="E47">
        <v>0.71069235977569423</v>
      </c>
      <c r="F47">
        <v>0.7175470673834804</v>
      </c>
      <c r="G47">
        <v>0.4848306634889048</v>
      </c>
      <c r="H47">
        <v>0.49231536100689388</v>
      </c>
      <c r="I47">
        <v>0.51018541887856739</v>
      </c>
      <c r="J47">
        <v>-3.8717943307937941</v>
      </c>
      <c r="K47">
        <v>2.4442681395872339</v>
      </c>
      <c r="L47">
        <v>-1.915266532969788</v>
      </c>
      <c r="M47">
        <v>2.712993278238522</v>
      </c>
      <c r="N47">
        <v>2.787089131649414</v>
      </c>
      <c r="O47">
        <v>-11.51292546497023</v>
      </c>
      <c r="P47">
        <v>-7.4095852673053741E-2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</row>
    <row r="48" spans="1:23" x14ac:dyDescent="0.25">
      <c r="A48">
        <v>13</v>
      </c>
      <c r="B48">
        <v>2016</v>
      </c>
      <c r="C48">
        <v>-1.8421449569286059</v>
      </c>
      <c r="D48">
        <v>0.71417454775202094</v>
      </c>
      <c r="E48">
        <v>0.74246101711286649</v>
      </c>
      <c r="F48">
        <v>0.71069235977569423</v>
      </c>
      <c r="G48">
        <v>0.5886196512060109</v>
      </c>
      <c r="H48">
        <v>0.4848306634889048</v>
      </c>
      <c r="I48">
        <v>0.49231536100689388</v>
      </c>
      <c r="J48">
        <v>-3.5582678548913709</v>
      </c>
      <c r="K48">
        <v>2.4442681395872339</v>
      </c>
      <c r="L48">
        <v>-1.898090134548438</v>
      </c>
      <c r="M48">
        <v>2.647271572969601</v>
      </c>
      <c r="N48">
        <v>2.6970405530106989</v>
      </c>
      <c r="O48">
        <v>-11.51292546497023</v>
      </c>
      <c r="P48">
        <v>-4.9768980592489243E-2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 x14ac:dyDescent="0.25">
      <c r="A49">
        <v>13</v>
      </c>
      <c r="B49">
        <v>2017</v>
      </c>
      <c r="C49">
        <v>-1.8414703029534769</v>
      </c>
      <c r="D49">
        <v>0.70631016708622618</v>
      </c>
      <c r="E49">
        <v>0.71417454775202094</v>
      </c>
      <c r="F49">
        <v>0.74246101711286649</v>
      </c>
      <c r="G49">
        <v>0.55652530301698111</v>
      </c>
      <c r="H49">
        <v>0.5886196512060109</v>
      </c>
      <c r="I49">
        <v>0.4848306634889048</v>
      </c>
      <c r="J49">
        <v>-2.9391899763047791</v>
      </c>
      <c r="K49">
        <v>2.4442681395872339</v>
      </c>
      <c r="L49">
        <v>-1.8769940266480141</v>
      </c>
      <c r="M49">
        <v>2.6419495295814581</v>
      </c>
      <c r="N49">
        <v>2.631909871823026</v>
      </c>
      <c r="O49">
        <v>-11.51292546497023</v>
      </c>
      <c r="P49">
        <v>1.0039657354354858E-2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</row>
    <row r="50" spans="1:23" x14ac:dyDescent="0.25">
      <c r="A50">
        <v>13</v>
      </c>
      <c r="B50">
        <v>2018</v>
      </c>
      <c r="C50">
        <v>-1.893715057180644</v>
      </c>
      <c r="D50">
        <v>0.83594797919161656</v>
      </c>
      <c r="E50">
        <v>0.70631016708622618</v>
      </c>
      <c r="F50">
        <v>0.71417454775202094</v>
      </c>
      <c r="G50">
        <v>0.59033896057826329</v>
      </c>
      <c r="H50">
        <v>0.55652530301698111</v>
      </c>
      <c r="I50">
        <v>0.5886196512060109</v>
      </c>
      <c r="J50">
        <v>-2.4850563934778158</v>
      </c>
      <c r="K50">
        <v>2.4442681395872339</v>
      </c>
      <c r="L50">
        <v>-1.8369834954172419</v>
      </c>
      <c r="M50">
        <v>2.6649035890130319</v>
      </c>
      <c r="N50">
        <v>2.6377755229258768</v>
      </c>
      <c r="O50">
        <v>3.2580965380214821</v>
      </c>
      <c r="P50">
        <v>2.7128066867589951E-2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</row>
    <row r="51" spans="1:23" x14ac:dyDescent="0.25">
      <c r="A51">
        <v>13</v>
      </c>
      <c r="B51">
        <v>2019</v>
      </c>
      <c r="C51">
        <v>-1.856070637772256</v>
      </c>
      <c r="D51">
        <v>0.72952732465269587</v>
      </c>
      <c r="E51">
        <v>0.83594797919161656</v>
      </c>
      <c r="F51">
        <v>0.70631016708622618</v>
      </c>
      <c r="G51">
        <v>0.50162341300119118</v>
      </c>
      <c r="H51">
        <v>0.59033896057826329</v>
      </c>
      <c r="I51">
        <v>0.55652530301698111</v>
      </c>
      <c r="J51">
        <v>-1.740634359736184</v>
      </c>
      <c r="K51">
        <v>2.4442681395872339</v>
      </c>
      <c r="L51">
        <v>-1.801472811152566</v>
      </c>
      <c r="M51">
        <v>2.6855146875716001</v>
      </c>
      <c r="N51">
        <v>2.6493447628313511</v>
      </c>
      <c r="O51">
        <v>5.393627546352362</v>
      </c>
      <c r="P51">
        <v>3.6169923841953278E-2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 x14ac:dyDescent="0.25">
      <c r="A52">
        <v>13</v>
      </c>
      <c r="B52">
        <v>2020</v>
      </c>
      <c r="C52">
        <v>-1.9054095945747089</v>
      </c>
      <c r="D52">
        <v>0.69708939979256901</v>
      </c>
      <c r="E52">
        <v>0.72952732465269587</v>
      </c>
      <c r="F52">
        <v>0.83594797919161656</v>
      </c>
      <c r="G52">
        <v>0.4633565865239419</v>
      </c>
      <c r="H52">
        <v>0.50162341300119118</v>
      </c>
      <c r="I52">
        <v>0.59033896057826329</v>
      </c>
      <c r="J52">
        <v>-1.117738767835011</v>
      </c>
      <c r="K52">
        <v>2.4442681395872339</v>
      </c>
      <c r="L52">
        <v>-1.772662210141901</v>
      </c>
      <c r="M52">
        <v>2.6776327697878859</v>
      </c>
      <c r="N52">
        <v>2.670400738513004</v>
      </c>
      <c r="O52">
        <v>5.9914645471079817</v>
      </c>
      <c r="P52">
        <v>7.2320313192903996E-3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</row>
    <row r="53" spans="1:23" x14ac:dyDescent="0.25">
      <c r="A53">
        <v>13</v>
      </c>
      <c r="B53">
        <v>2021</v>
      </c>
      <c r="C53">
        <v>-1.9488072066913751</v>
      </c>
      <c r="D53">
        <v>0.87950225842631924</v>
      </c>
      <c r="E53">
        <v>0.69708939979256901</v>
      </c>
      <c r="F53">
        <v>0.72952732465269587</v>
      </c>
      <c r="G53">
        <v>0.64699852453396511</v>
      </c>
      <c r="H53">
        <v>0.4633565865239419</v>
      </c>
      <c r="I53">
        <v>0.50162341300119118</v>
      </c>
      <c r="J53">
        <v>-0.57906484735342401</v>
      </c>
      <c r="K53">
        <v>2.4442681395872339</v>
      </c>
      <c r="L53">
        <v>-1.7476804575463141</v>
      </c>
      <c r="M53">
        <v>2.66576729161737</v>
      </c>
      <c r="N53">
        <v>2.662939620854389</v>
      </c>
      <c r="O53">
        <v>6.6846117276679271</v>
      </c>
      <c r="P53">
        <v>2.8276706580072641E-3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</row>
    <row r="54" spans="1:23" x14ac:dyDescent="0.25">
      <c r="A54">
        <v>13</v>
      </c>
      <c r="B54">
        <v>2022</v>
      </c>
      <c r="C54">
        <v>-1.8916762122875559</v>
      </c>
      <c r="D54">
        <v>0.91788945323785209</v>
      </c>
      <c r="E54">
        <v>0.87950225842631924</v>
      </c>
      <c r="F54">
        <v>0.69708939979256901</v>
      </c>
      <c r="G54">
        <v>0.6722809878785605</v>
      </c>
      <c r="H54">
        <v>0.64699852453396511</v>
      </c>
      <c r="I54">
        <v>0.4633565865239419</v>
      </c>
      <c r="J54">
        <v>-9.9392275493521157E-2</v>
      </c>
      <c r="K54">
        <v>2.4442681395872339</v>
      </c>
      <c r="L54">
        <v>-1.698044026119633</v>
      </c>
      <c r="M54">
        <v>2.6820230415454902</v>
      </c>
      <c r="N54">
        <v>2.66576729161737</v>
      </c>
      <c r="O54">
        <v>8.0551577318196781</v>
      </c>
      <c r="P54">
        <v>1.6255749389529228E-2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</row>
    <row r="55" spans="1:23" x14ac:dyDescent="0.25">
      <c r="A55">
        <v>13</v>
      </c>
      <c r="B55">
        <v>2023</v>
      </c>
      <c r="C55">
        <v>-1.9308834614620309</v>
      </c>
      <c r="D55">
        <v>0.87592696568459394</v>
      </c>
      <c r="E55">
        <v>0.91788945323785209</v>
      </c>
      <c r="F55">
        <v>0.87950225842631924</v>
      </c>
      <c r="G55">
        <v>0.55002710596512761</v>
      </c>
      <c r="H55">
        <v>0.6722809878785605</v>
      </c>
      <c r="I55">
        <v>0.64699852453396511</v>
      </c>
      <c r="J55">
        <v>0.46648573499141283</v>
      </c>
      <c r="K55">
        <v>2.4442681395872339</v>
      </c>
      <c r="L55">
        <v>-1.6486901483693741</v>
      </c>
      <c r="M55">
        <v>2.7403429286794632</v>
      </c>
      <c r="N55">
        <v>2.6820230415454902</v>
      </c>
      <c r="O55">
        <v>8.4658998970286863</v>
      </c>
      <c r="P55">
        <v>5.8319885283708572E-2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</row>
    <row r="56" spans="1:23" x14ac:dyDescent="0.25">
      <c r="A56">
        <v>14</v>
      </c>
      <c r="B56">
        <v>2006</v>
      </c>
      <c r="C56">
        <v>-2.1214280261521119</v>
      </c>
      <c r="D56">
        <v>1.050821624831761</v>
      </c>
      <c r="E56">
        <v>0.97093042083247871</v>
      </c>
      <c r="F56">
        <v>0.82342955082286751</v>
      </c>
      <c r="G56">
        <v>0.80200158547202738</v>
      </c>
      <c r="H56">
        <v>0.74388782226312944</v>
      </c>
      <c r="I56">
        <v>0.56866047543694154</v>
      </c>
      <c r="J56">
        <v>-11.51292546497023</v>
      </c>
      <c r="K56">
        <v>0.96965976941242327</v>
      </c>
      <c r="L56">
        <v>-2.0658096230737839</v>
      </c>
      <c r="M56">
        <v>2.5416151197443391</v>
      </c>
      <c r="N56">
        <v>2.4326114046976972</v>
      </c>
      <c r="O56">
        <v>-11.51292546497023</v>
      </c>
      <c r="P56">
        <v>0.10900371521711349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</row>
    <row r="57" spans="1:23" x14ac:dyDescent="0.25">
      <c r="A57">
        <v>14</v>
      </c>
      <c r="B57">
        <v>2007</v>
      </c>
      <c r="C57">
        <v>-2.0488611487842991</v>
      </c>
      <c r="D57">
        <v>0.92715153920690085</v>
      </c>
      <c r="E57">
        <v>1.050821624831761</v>
      </c>
      <c r="F57">
        <v>0.97093042083247871</v>
      </c>
      <c r="G57">
        <v>0.67904825618044362</v>
      </c>
      <c r="H57">
        <v>0.80200158547202738</v>
      </c>
      <c r="I57">
        <v>0.74388782226312944</v>
      </c>
      <c r="J57">
        <v>-11.51292546497023</v>
      </c>
      <c r="K57">
        <v>0.96965976941242327</v>
      </c>
      <c r="L57">
        <v>-1.9236342315961601</v>
      </c>
      <c r="M57">
        <v>2.5678029528627571</v>
      </c>
      <c r="N57">
        <v>2.5299808907507249</v>
      </c>
      <c r="O57">
        <v>-11.51292546497023</v>
      </c>
      <c r="P57">
        <v>3.7822060286998749E-2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</row>
    <row r="58" spans="1:23" x14ac:dyDescent="0.25">
      <c r="A58">
        <v>14</v>
      </c>
      <c r="B58">
        <v>2008</v>
      </c>
      <c r="C58">
        <v>-1.8916961888322019</v>
      </c>
      <c r="D58">
        <v>0.8885906012318765</v>
      </c>
      <c r="E58">
        <v>0.92715153920690085</v>
      </c>
      <c r="F58">
        <v>1.050821624831761</v>
      </c>
      <c r="G58">
        <v>0.6598488951584307</v>
      </c>
      <c r="H58">
        <v>0.67904825618044362</v>
      </c>
      <c r="I58">
        <v>0.80200158547202738</v>
      </c>
      <c r="J58">
        <v>-11.51292546497023</v>
      </c>
      <c r="K58">
        <v>0.96965976941242327</v>
      </c>
      <c r="L58">
        <v>-1.786369245775409</v>
      </c>
      <c r="M58">
        <v>2.613589893895834</v>
      </c>
      <c r="N58">
        <v>2.5563049465615411</v>
      </c>
      <c r="O58">
        <v>-11.51292546497023</v>
      </c>
      <c r="P58">
        <v>5.7284947484731674E-2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</row>
    <row r="59" spans="1:23" x14ac:dyDescent="0.25">
      <c r="A59">
        <v>14</v>
      </c>
      <c r="B59">
        <v>2009</v>
      </c>
      <c r="C59">
        <v>-1.731314898936454</v>
      </c>
      <c r="D59">
        <v>0.85010819341370714</v>
      </c>
      <c r="E59">
        <v>0.8885906012318765</v>
      </c>
      <c r="F59">
        <v>0.92715153920690085</v>
      </c>
      <c r="G59">
        <v>0.6269539578251464</v>
      </c>
      <c r="H59">
        <v>0.6598488951584307</v>
      </c>
      <c r="I59">
        <v>0.67904825618044362</v>
      </c>
      <c r="J59">
        <v>-6.0438174049598743</v>
      </c>
      <c r="K59">
        <v>0.96965976941242327</v>
      </c>
      <c r="L59">
        <v>-1.6727758863447291</v>
      </c>
      <c r="M59">
        <v>2.680348433775428</v>
      </c>
      <c r="N59">
        <v>2.59269452008478</v>
      </c>
      <c r="O59">
        <v>-11.51292546497023</v>
      </c>
      <c r="P59">
        <v>8.7653912603855133E-2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</row>
    <row r="60" spans="1:23" x14ac:dyDescent="0.25">
      <c r="A60">
        <v>14</v>
      </c>
      <c r="B60">
        <v>2010</v>
      </c>
      <c r="C60">
        <v>-1.6370132101979851</v>
      </c>
      <c r="D60">
        <v>0.83971201764178083</v>
      </c>
      <c r="E60">
        <v>0.85010819341370714</v>
      </c>
      <c r="F60">
        <v>0.8885906012318765</v>
      </c>
      <c r="G60">
        <v>0.63668264357881876</v>
      </c>
      <c r="H60">
        <v>0.6269539578251464</v>
      </c>
      <c r="I60">
        <v>0.6598488951584307</v>
      </c>
      <c r="J60">
        <v>-6.0886638504851271</v>
      </c>
      <c r="K60">
        <v>0.96965976941242327</v>
      </c>
      <c r="L60">
        <v>-1.5818013322830919</v>
      </c>
      <c r="M60">
        <v>2.712075371742944</v>
      </c>
      <c r="N60">
        <v>2.6355019882501809</v>
      </c>
      <c r="O60">
        <v>-11.51292546497023</v>
      </c>
      <c r="P60">
        <v>7.6573386788368225E-2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</row>
    <row r="61" spans="1:23" x14ac:dyDescent="0.25">
      <c r="A61">
        <v>14</v>
      </c>
      <c r="B61">
        <v>2011</v>
      </c>
      <c r="C61">
        <v>-1.6511480036138131</v>
      </c>
      <c r="D61">
        <v>0.78024188741087908</v>
      </c>
      <c r="E61">
        <v>0.83971201764178083</v>
      </c>
      <c r="F61">
        <v>0.85010819341370714</v>
      </c>
      <c r="G61">
        <v>0.63254755843101573</v>
      </c>
      <c r="H61">
        <v>0.63668264357881876</v>
      </c>
      <c r="I61">
        <v>0.6269539578251464</v>
      </c>
      <c r="J61">
        <v>-4.1856749717641</v>
      </c>
      <c r="K61">
        <v>0.96965976941242327</v>
      </c>
      <c r="L61">
        <v>-1.524027786338819</v>
      </c>
      <c r="M61">
        <v>2.6846472020599572</v>
      </c>
      <c r="N61">
        <v>2.6691541014086368</v>
      </c>
      <c r="O61">
        <v>-11.51292546497023</v>
      </c>
      <c r="P61">
        <v>1.5493100509047508E-2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 x14ac:dyDescent="0.25">
      <c r="A62">
        <v>14</v>
      </c>
      <c r="B62">
        <v>2012</v>
      </c>
      <c r="C62">
        <v>-1.552265536560707</v>
      </c>
      <c r="D62">
        <v>0.73400117456821146</v>
      </c>
      <c r="E62">
        <v>0.78024188741087908</v>
      </c>
      <c r="F62">
        <v>0.83971201764178083</v>
      </c>
      <c r="G62">
        <v>0.61971590247406239</v>
      </c>
      <c r="H62">
        <v>0.63254755843101573</v>
      </c>
      <c r="I62">
        <v>0.63668264357881876</v>
      </c>
      <c r="J62">
        <v>-3.849134322558645</v>
      </c>
      <c r="K62">
        <v>0.96965976941242327</v>
      </c>
      <c r="L62">
        <v>-1.457586424516502</v>
      </c>
      <c r="M62">
        <v>2.6424033786447718</v>
      </c>
      <c r="N62">
        <v>2.6645129073266771</v>
      </c>
      <c r="O62">
        <v>-11.51292546497023</v>
      </c>
      <c r="P62">
        <v>-2.2109529003500938E-2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</row>
    <row r="63" spans="1:23" x14ac:dyDescent="0.25">
      <c r="A63">
        <v>14</v>
      </c>
      <c r="B63">
        <v>2013</v>
      </c>
      <c r="C63">
        <v>-1.5003883410751231</v>
      </c>
      <c r="D63">
        <v>0.72420970601176304</v>
      </c>
      <c r="E63">
        <v>0.73400117456821146</v>
      </c>
      <c r="F63">
        <v>0.78024188741087908</v>
      </c>
      <c r="G63">
        <v>0.61550991083279283</v>
      </c>
      <c r="H63">
        <v>0.61971590247406239</v>
      </c>
      <c r="I63">
        <v>0.63254755843101573</v>
      </c>
      <c r="J63">
        <v>-2.932366397932173</v>
      </c>
      <c r="K63">
        <v>0.96965976941242327</v>
      </c>
      <c r="L63">
        <v>-1.4167828025081901</v>
      </c>
      <c r="M63">
        <v>2.687003829487947</v>
      </c>
      <c r="N63">
        <v>2.603659858243808</v>
      </c>
      <c r="O63">
        <v>-11.51292546497023</v>
      </c>
      <c r="P63">
        <v>8.3343967795372009E-2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</row>
    <row r="64" spans="1:23" x14ac:dyDescent="0.25">
      <c r="A64">
        <v>14</v>
      </c>
      <c r="B64">
        <v>2014</v>
      </c>
      <c r="C64">
        <v>-1.397781435692395</v>
      </c>
      <c r="D64">
        <v>0.69154589919297138</v>
      </c>
      <c r="E64">
        <v>0.72420970601176304</v>
      </c>
      <c r="F64">
        <v>0.73400117456821146</v>
      </c>
      <c r="G64">
        <v>0.57537664482543749</v>
      </c>
      <c r="H64">
        <v>0.61550991083279283</v>
      </c>
      <c r="I64">
        <v>0.61971590247406239</v>
      </c>
      <c r="J64">
        <v>-2.2964382397407608</v>
      </c>
      <c r="K64">
        <v>0.96965976941242327</v>
      </c>
      <c r="L64">
        <v>-1.360431158802089</v>
      </c>
      <c r="M64">
        <v>2.6717135384811321</v>
      </c>
      <c r="N64">
        <v>2.669005520272695</v>
      </c>
      <c r="O64">
        <v>-11.51292546497023</v>
      </c>
      <c r="P64">
        <v>2.7080182917416096E-3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</row>
    <row r="65" spans="1:23" x14ac:dyDescent="0.25">
      <c r="A65">
        <v>14</v>
      </c>
      <c r="B65">
        <v>2015</v>
      </c>
      <c r="C65">
        <v>-1.406478382367957</v>
      </c>
      <c r="D65">
        <v>0.72851432439723662</v>
      </c>
      <c r="E65">
        <v>0.69154589919297138</v>
      </c>
      <c r="F65">
        <v>0.72420970601176304</v>
      </c>
      <c r="G65">
        <v>0.57391309263624701</v>
      </c>
      <c r="H65">
        <v>0.57537664482543749</v>
      </c>
      <c r="I65">
        <v>0.61550991083279283</v>
      </c>
      <c r="J65">
        <v>-1.895141054409754</v>
      </c>
      <c r="K65">
        <v>0.96965976941242327</v>
      </c>
      <c r="L65">
        <v>-1.315803727531329</v>
      </c>
      <c r="M65">
        <v>2.6312853746276921</v>
      </c>
      <c r="N65">
        <v>2.6543003889539531</v>
      </c>
      <c r="O65">
        <v>-11.51292546497023</v>
      </c>
      <c r="P65">
        <v>-2.3015014827251434E-2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</row>
    <row r="66" spans="1:23" x14ac:dyDescent="0.25">
      <c r="A66">
        <v>14</v>
      </c>
      <c r="B66">
        <v>2016</v>
      </c>
      <c r="C66">
        <v>-1.3755681813668039</v>
      </c>
      <c r="D66">
        <v>0.75358354936377603</v>
      </c>
      <c r="E66">
        <v>0.72851432439723662</v>
      </c>
      <c r="F66">
        <v>0.69154589919297138</v>
      </c>
      <c r="G66">
        <v>0.70066882195879143</v>
      </c>
      <c r="H66">
        <v>0.57391309263624701</v>
      </c>
      <c r="I66">
        <v>0.57537664482543749</v>
      </c>
      <c r="J66">
        <v>-1.542188325737653</v>
      </c>
      <c r="K66">
        <v>0.96965976941242327</v>
      </c>
      <c r="L66">
        <v>-1.28585620413132</v>
      </c>
      <c r="M66">
        <v>2.6090838390708408</v>
      </c>
      <c r="N66">
        <v>2.614491077793708</v>
      </c>
      <c r="O66">
        <v>-11.51292546497023</v>
      </c>
      <c r="P66">
        <v>-5.407238844782114E-3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</row>
    <row r="67" spans="1:23" x14ac:dyDescent="0.25">
      <c r="A67">
        <v>14</v>
      </c>
      <c r="B67">
        <v>2017</v>
      </c>
      <c r="C67">
        <v>-1.3358158736813781</v>
      </c>
      <c r="D67">
        <v>0.69309717930990367</v>
      </c>
      <c r="E67">
        <v>0.75358354936377603</v>
      </c>
      <c r="F67">
        <v>0.72851432439723662</v>
      </c>
      <c r="G67">
        <v>0.6661356313130955</v>
      </c>
      <c r="H67">
        <v>0.70066882195879143</v>
      </c>
      <c r="I67">
        <v>0.57391309263624701</v>
      </c>
      <c r="J67">
        <v>-0.87898788351104096</v>
      </c>
      <c r="K67">
        <v>0.96965976941242327</v>
      </c>
      <c r="L67">
        <v>-1.262937275707122</v>
      </c>
      <c r="M67">
        <v>2.651307984761778</v>
      </c>
      <c r="N67">
        <v>2.5928672935494101</v>
      </c>
      <c r="O67">
        <v>-11.51292546497023</v>
      </c>
      <c r="P67">
        <v>5.8440692722797394E-2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 x14ac:dyDescent="0.25">
      <c r="A68">
        <v>14</v>
      </c>
      <c r="B68">
        <v>2018</v>
      </c>
      <c r="C68">
        <v>-1.4085563991275289</v>
      </c>
      <c r="D68">
        <v>0.78115805788265869</v>
      </c>
      <c r="E68">
        <v>0.69309717930990367</v>
      </c>
      <c r="F68">
        <v>0.75358354936377603</v>
      </c>
      <c r="G68">
        <v>0.6562757057840406</v>
      </c>
      <c r="H68">
        <v>0.6661356313130955</v>
      </c>
      <c r="I68">
        <v>0.70066882195879143</v>
      </c>
      <c r="J68">
        <v>-0.58565216278882493</v>
      </c>
      <c r="K68">
        <v>0.96965976941242327</v>
      </c>
      <c r="L68">
        <v>-1.324389958640908</v>
      </c>
      <c r="M68">
        <v>2.608562867960984</v>
      </c>
      <c r="N68">
        <v>2.5530999358944371</v>
      </c>
      <c r="O68">
        <v>3.2580965380214821</v>
      </c>
      <c r="P68">
        <v>5.5462930351495743E-2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</row>
    <row r="69" spans="1:23" x14ac:dyDescent="0.25">
      <c r="A69">
        <v>14</v>
      </c>
      <c r="B69">
        <v>2019</v>
      </c>
      <c r="C69">
        <v>-1.3716381828919499</v>
      </c>
      <c r="D69">
        <v>0.70309751141311339</v>
      </c>
      <c r="E69">
        <v>0.78115805788265869</v>
      </c>
      <c r="F69">
        <v>0.69309717930990367</v>
      </c>
      <c r="G69">
        <v>0.62202704805681974</v>
      </c>
      <c r="H69">
        <v>0.6562757057840406</v>
      </c>
      <c r="I69">
        <v>0.6661356313130955</v>
      </c>
      <c r="J69">
        <v>8.1198499646209024E-2</v>
      </c>
      <c r="K69">
        <v>0.96965976941242327</v>
      </c>
      <c r="L69">
        <v>-1.3347112254365761</v>
      </c>
      <c r="M69">
        <v>2.5844992376152001</v>
      </c>
      <c r="N69">
        <v>2.5591706350414238</v>
      </c>
      <c r="O69">
        <v>5.393627546352362</v>
      </c>
      <c r="P69">
        <v>2.5328602641820908E-2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</row>
    <row r="70" spans="1:23" x14ac:dyDescent="0.25">
      <c r="A70">
        <v>14</v>
      </c>
      <c r="B70">
        <v>2020</v>
      </c>
      <c r="C70">
        <v>-1.394184195864542</v>
      </c>
      <c r="D70">
        <v>0.62924845470971358</v>
      </c>
      <c r="E70">
        <v>0.70309751141311339</v>
      </c>
      <c r="F70">
        <v>0.78115805788265869</v>
      </c>
      <c r="G70">
        <v>0.55382764031053344</v>
      </c>
      <c r="H70">
        <v>0.62202704805681974</v>
      </c>
      <c r="I70">
        <v>0.6562757057840406</v>
      </c>
      <c r="J70">
        <v>0.69681451263670058</v>
      </c>
      <c r="K70">
        <v>0.96965976941242327</v>
      </c>
      <c r="L70">
        <v>-1.3391835643458849</v>
      </c>
      <c r="M70">
        <v>2.5950645419388749</v>
      </c>
      <c r="N70">
        <v>2.543392088769163</v>
      </c>
      <c r="O70">
        <v>5.9914645471079817</v>
      </c>
      <c r="P70">
        <v>5.1672454923391342E-2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</row>
    <row r="71" spans="1:23" x14ac:dyDescent="0.25">
      <c r="A71">
        <v>14</v>
      </c>
      <c r="B71">
        <v>2021</v>
      </c>
      <c r="C71">
        <v>-1.3579953094350481</v>
      </c>
      <c r="D71">
        <v>0.85437277405916545</v>
      </c>
      <c r="E71">
        <v>0.62924845470971358</v>
      </c>
      <c r="F71">
        <v>0.70309751141311339</v>
      </c>
      <c r="G71">
        <v>0.74293684506246094</v>
      </c>
      <c r="H71">
        <v>0.55382764031053344</v>
      </c>
      <c r="I71">
        <v>0.62202704805681974</v>
      </c>
      <c r="J71">
        <v>1.1994999048513719</v>
      </c>
      <c r="K71">
        <v>0.96965976941242327</v>
      </c>
      <c r="L71">
        <v>-1.3385504162023421</v>
      </c>
      <c r="M71">
        <v>2.5663181660538141</v>
      </c>
      <c r="N71">
        <v>2.56151968691375</v>
      </c>
      <c r="O71">
        <v>6.6846117276679271</v>
      </c>
      <c r="P71">
        <v>4.7984789125621319E-3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</row>
    <row r="72" spans="1:23" x14ac:dyDescent="0.25">
      <c r="A72">
        <v>14</v>
      </c>
      <c r="B72">
        <v>2022</v>
      </c>
      <c r="C72">
        <v>-1.256103145630141</v>
      </c>
      <c r="D72">
        <v>0.91625073107413368</v>
      </c>
      <c r="E72">
        <v>0.85437277405916545</v>
      </c>
      <c r="F72">
        <v>0.62924845470971358</v>
      </c>
      <c r="G72">
        <v>0.82850814849039722</v>
      </c>
      <c r="H72">
        <v>0.74293684506246094</v>
      </c>
      <c r="I72">
        <v>0.55382764031053344</v>
      </c>
      <c r="J72">
        <v>1.728170888937373</v>
      </c>
      <c r="K72">
        <v>0.96965976941242327</v>
      </c>
      <c r="L72">
        <v>-1.302099310445449</v>
      </c>
      <c r="M72">
        <v>2.6316037050358618</v>
      </c>
      <c r="N72">
        <v>2.5663181660538141</v>
      </c>
      <c r="O72">
        <v>8.0551577318196781</v>
      </c>
      <c r="P72">
        <v>6.5285541117191315E-2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</row>
    <row r="73" spans="1:23" x14ac:dyDescent="0.25">
      <c r="A73">
        <v>14</v>
      </c>
      <c r="B73">
        <v>2023</v>
      </c>
      <c r="C73">
        <v>-1.270274722254032</v>
      </c>
      <c r="D73">
        <v>0.81801616260581456</v>
      </c>
      <c r="E73">
        <v>0.91625073107413368</v>
      </c>
      <c r="F73">
        <v>0.85437277405916545</v>
      </c>
      <c r="G73">
        <v>0.64752200253366976</v>
      </c>
      <c r="H73">
        <v>0.82850814849039722</v>
      </c>
      <c r="I73">
        <v>0.74293684506246094</v>
      </c>
      <c r="J73">
        <v>2.3604553240936168</v>
      </c>
      <c r="K73">
        <v>0.96965976941242327</v>
      </c>
      <c r="L73">
        <v>-1.2773671272837059</v>
      </c>
      <c r="M73">
        <v>2.7560989929225941</v>
      </c>
      <c r="N73">
        <v>2.6316037050358618</v>
      </c>
      <c r="O73">
        <v>8.4658998970286863</v>
      </c>
      <c r="P73">
        <v>0.12449529021978378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</row>
    <row r="74" spans="1:23" x14ac:dyDescent="0.25">
      <c r="A74">
        <v>15</v>
      </c>
      <c r="B74">
        <v>2006</v>
      </c>
      <c r="C74">
        <v>-2.791819724517338</v>
      </c>
      <c r="D74">
        <v>0.97832612279360776</v>
      </c>
      <c r="E74">
        <v>0.93106111077760501</v>
      </c>
      <c r="F74">
        <v>0.94067110059953318</v>
      </c>
      <c r="G74">
        <v>0.84156718567821853</v>
      </c>
      <c r="H74">
        <v>0.73400117456821146</v>
      </c>
      <c r="I74">
        <v>0.7437927652288373</v>
      </c>
      <c r="J74">
        <v>-11.51292546497023</v>
      </c>
      <c r="K74">
        <v>2.658156590148268</v>
      </c>
      <c r="L74">
        <v>-2.8864098341244109</v>
      </c>
      <c r="M74">
        <v>2.164708222438771</v>
      </c>
      <c r="N74">
        <v>2.1038497784591632</v>
      </c>
      <c r="O74">
        <v>-11.51292546497023</v>
      </c>
      <c r="P74">
        <v>6.0858443379402161E-2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</row>
    <row r="75" spans="1:23" x14ac:dyDescent="0.25">
      <c r="A75">
        <v>15</v>
      </c>
      <c r="B75">
        <v>2007</v>
      </c>
      <c r="C75">
        <v>-2.6827612243448291</v>
      </c>
      <c r="D75">
        <v>0.92334578634783215</v>
      </c>
      <c r="E75">
        <v>0.97832612279360776</v>
      </c>
      <c r="F75">
        <v>0.93106111077760501</v>
      </c>
      <c r="G75">
        <v>0.71250853403856518</v>
      </c>
      <c r="H75">
        <v>0.84156718567821853</v>
      </c>
      <c r="I75">
        <v>0.73400117456821146</v>
      </c>
      <c r="J75">
        <v>-11.51292546497023</v>
      </c>
      <c r="K75">
        <v>2.658156590148268</v>
      </c>
      <c r="L75">
        <v>-2.761647926588747</v>
      </c>
      <c r="M75">
        <v>2.2075982400187821</v>
      </c>
      <c r="N75">
        <v>2.149978130984072</v>
      </c>
      <c r="O75">
        <v>-11.51292546497023</v>
      </c>
      <c r="P75">
        <v>5.7620108127593994E-2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</row>
    <row r="76" spans="1:23" x14ac:dyDescent="0.25">
      <c r="A76">
        <v>15</v>
      </c>
      <c r="B76">
        <v>2008</v>
      </c>
      <c r="C76">
        <v>-2.572277832481626</v>
      </c>
      <c r="D76">
        <v>0.91063476701799762</v>
      </c>
      <c r="E76">
        <v>0.92334578634783215</v>
      </c>
      <c r="F76">
        <v>0.97832612279360776</v>
      </c>
      <c r="G76">
        <v>0.66449047131014083</v>
      </c>
      <c r="H76">
        <v>0.71250853403856518</v>
      </c>
      <c r="I76">
        <v>0.84156718567821853</v>
      </c>
      <c r="J76">
        <v>-11.51292546497023</v>
      </c>
      <c r="K76">
        <v>2.658156590148268</v>
      </c>
      <c r="L76">
        <v>-2.6214783804307662</v>
      </c>
      <c r="M76">
        <v>2.2708117660566969</v>
      </c>
      <c r="N76">
        <v>2.1930821148220612</v>
      </c>
      <c r="O76">
        <v>-11.51292546497023</v>
      </c>
      <c r="P76">
        <v>7.7729649841785431E-2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</row>
    <row r="77" spans="1:23" x14ac:dyDescent="0.25">
      <c r="A77">
        <v>15</v>
      </c>
      <c r="B77">
        <v>2009</v>
      </c>
      <c r="C77">
        <v>-2.5411629062929411</v>
      </c>
      <c r="D77">
        <v>0.87208802919442241</v>
      </c>
      <c r="E77">
        <v>0.91063476701799762</v>
      </c>
      <c r="F77">
        <v>0.92334578634783215</v>
      </c>
      <c r="G77">
        <v>0.5987815545242241</v>
      </c>
      <c r="H77">
        <v>0.66449047131014083</v>
      </c>
      <c r="I77">
        <v>0.71250853403856518</v>
      </c>
      <c r="J77">
        <v>-11.51292546497023</v>
      </c>
      <c r="K77">
        <v>2.658156590148268</v>
      </c>
      <c r="L77">
        <v>-2.4867244716184009</v>
      </c>
      <c r="M77">
        <v>2.196928113362755</v>
      </c>
      <c r="N77">
        <v>2.255962494629093</v>
      </c>
      <c r="O77">
        <v>-11.51292546497023</v>
      </c>
      <c r="P77">
        <v>-5.9034381061792374E-2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1:23" x14ac:dyDescent="0.25">
      <c r="A78">
        <v>15</v>
      </c>
      <c r="B78">
        <v>2010</v>
      </c>
      <c r="C78">
        <v>-2.415976061203883</v>
      </c>
      <c r="D78">
        <v>0.81828091131671099</v>
      </c>
      <c r="E78">
        <v>0.87208802919442241</v>
      </c>
      <c r="F78">
        <v>0.91063476701799762</v>
      </c>
      <c r="G78">
        <v>0.55555039254549876</v>
      </c>
      <c r="H78">
        <v>0.5987815545242241</v>
      </c>
      <c r="I78">
        <v>0.66449047131014083</v>
      </c>
      <c r="J78">
        <v>-8.9306008074694034</v>
      </c>
      <c r="K78">
        <v>2.658156590148268</v>
      </c>
      <c r="L78">
        <v>-2.3643504076358099</v>
      </c>
      <c r="M78">
        <v>2.3921868492462859</v>
      </c>
      <c r="N78">
        <v>2.1797457154757458</v>
      </c>
      <c r="O78">
        <v>-11.51292546497023</v>
      </c>
      <c r="P78">
        <v>0.21244113147258759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</row>
    <row r="79" spans="1:23" x14ac:dyDescent="0.25">
      <c r="A79">
        <v>15</v>
      </c>
      <c r="B79">
        <v>2011</v>
      </c>
      <c r="C79">
        <v>-2.3029320827237609</v>
      </c>
      <c r="D79">
        <v>0.77320527273052442</v>
      </c>
      <c r="E79">
        <v>0.81828091131671099</v>
      </c>
      <c r="F79">
        <v>0.87208802919442241</v>
      </c>
      <c r="G79">
        <v>0.58661931715011228</v>
      </c>
      <c r="H79">
        <v>0.55555039254549876</v>
      </c>
      <c r="I79">
        <v>0.5987815545242241</v>
      </c>
      <c r="J79">
        <v>-7.155733611642173</v>
      </c>
      <c r="K79">
        <v>2.658156590148268</v>
      </c>
      <c r="L79">
        <v>-2.244777471879833</v>
      </c>
      <c r="M79">
        <v>2.472549286109806</v>
      </c>
      <c r="N79">
        <v>2.3752945758448392</v>
      </c>
      <c r="O79">
        <v>-11.51292546497023</v>
      </c>
      <c r="P79">
        <v>9.7254708409309387E-2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</row>
    <row r="80" spans="1:23" x14ac:dyDescent="0.25">
      <c r="A80">
        <v>15</v>
      </c>
      <c r="B80">
        <v>2012</v>
      </c>
      <c r="C80">
        <v>-2.1460947892716802</v>
      </c>
      <c r="D80">
        <v>0.7234823803560182</v>
      </c>
      <c r="E80">
        <v>0.77320527273052442</v>
      </c>
      <c r="F80">
        <v>0.81828091131671099</v>
      </c>
      <c r="G80">
        <v>0.52986325264312839</v>
      </c>
      <c r="H80">
        <v>0.58661931715011228</v>
      </c>
      <c r="I80">
        <v>0.55555039254549876</v>
      </c>
      <c r="J80">
        <v>-6.7617711801891964</v>
      </c>
      <c r="K80">
        <v>2.658156590148268</v>
      </c>
      <c r="L80">
        <v>-2.1238520324279468</v>
      </c>
      <c r="M80">
        <v>2.466003040936068</v>
      </c>
      <c r="N80">
        <v>2.4610466094545189</v>
      </c>
      <c r="O80">
        <v>-11.51292546497023</v>
      </c>
      <c r="P80">
        <v>4.9564316868782043E-3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</row>
    <row r="81" spans="1:23" x14ac:dyDescent="0.25">
      <c r="A81">
        <v>15</v>
      </c>
      <c r="B81">
        <v>2013</v>
      </c>
      <c r="C81">
        <v>-2.0794751396877462</v>
      </c>
      <c r="D81">
        <v>0.71417454775202094</v>
      </c>
      <c r="E81">
        <v>0.7234823803560182</v>
      </c>
      <c r="F81">
        <v>0.77320527273052442</v>
      </c>
      <c r="G81">
        <v>0.55048854682236659</v>
      </c>
      <c r="H81">
        <v>0.52986325264312839</v>
      </c>
      <c r="I81">
        <v>0.58661931715011228</v>
      </c>
      <c r="J81">
        <v>-5.9388739203204928</v>
      </c>
      <c r="K81">
        <v>2.658156590148268</v>
      </c>
      <c r="L81">
        <v>-2.0273691443881439</v>
      </c>
      <c r="M81">
        <v>2.4933019337384188</v>
      </c>
      <c r="N81">
        <v>2.4416024404175549</v>
      </c>
      <c r="O81">
        <v>-11.51292546497023</v>
      </c>
      <c r="P81">
        <v>5.1699493080377579E-2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</row>
    <row r="82" spans="1:23" x14ac:dyDescent="0.25">
      <c r="A82">
        <v>15</v>
      </c>
      <c r="B82">
        <v>2014</v>
      </c>
      <c r="C82">
        <v>-1.9944988859265049</v>
      </c>
      <c r="D82">
        <v>0.69798545720019456</v>
      </c>
      <c r="E82">
        <v>0.71417454775202094</v>
      </c>
      <c r="F82">
        <v>0.7234823803560182</v>
      </c>
      <c r="G82">
        <v>0.54968088553466399</v>
      </c>
      <c r="H82">
        <v>0.55048854682236659</v>
      </c>
      <c r="I82">
        <v>0.52986325264312839</v>
      </c>
      <c r="J82">
        <v>-5.3075154343242641</v>
      </c>
      <c r="K82">
        <v>2.658156590148268</v>
      </c>
      <c r="L82">
        <v>-1.937401166075847</v>
      </c>
      <c r="M82">
        <v>2.4321034362056979</v>
      </c>
      <c r="N82">
        <v>2.4803034033441338</v>
      </c>
      <c r="O82">
        <v>-11.51292546497023</v>
      </c>
      <c r="P82">
        <v>-4.8199966549873352E-2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</row>
    <row r="83" spans="1:23" x14ac:dyDescent="0.25">
      <c r="A83">
        <v>15</v>
      </c>
      <c r="B83">
        <v>2015</v>
      </c>
      <c r="C83">
        <v>-1.977138365634671</v>
      </c>
      <c r="D83">
        <v>0.72290013870929315</v>
      </c>
      <c r="E83">
        <v>0.69798545720019456</v>
      </c>
      <c r="F83">
        <v>0.71417454775202094</v>
      </c>
      <c r="G83">
        <v>0.53719487878605887</v>
      </c>
      <c r="H83">
        <v>0.54968088553466399</v>
      </c>
      <c r="I83">
        <v>0.55048854682236659</v>
      </c>
      <c r="J83">
        <v>-4.914505256077792</v>
      </c>
      <c r="K83">
        <v>2.658156590148268</v>
      </c>
      <c r="L83">
        <v>-1.8675500656126871</v>
      </c>
      <c r="M83">
        <v>2.3961545716299142</v>
      </c>
      <c r="N83">
        <v>2.419648506343997</v>
      </c>
      <c r="O83">
        <v>-11.51292546497023</v>
      </c>
      <c r="P83">
        <v>-2.34939344227314E-2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</row>
    <row r="84" spans="1:23" x14ac:dyDescent="0.25">
      <c r="A84">
        <v>15</v>
      </c>
      <c r="B84">
        <v>2016</v>
      </c>
      <c r="C84">
        <v>-1.969222467654441</v>
      </c>
      <c r="D84">
        <v>0.77904960956064861</v>
      </c>
      <c r="E84">
        <v>0.72290013870929315</v>
      </c>
      <c r="F84">
        <v>0.69798545720019456</v>
      </c>
      <c r="G84">
        <v>0.66186289052017888</v>
      </c>
      <c r="H84">
        <v>0.53719487878605887</v>
      </c>
      <c r="I84">
        <v>0.54968088553466399</v>
      </c>
      <c r="J84">
        <v>-4.5780678606058327</v>
      </c>
      <c r="K84">
        <v>2.658156590148268</v>
      </c>
      <c r="L84">
        <v>-1.8200658920119981</v>
      </c>
      <c r="M84">
        <v>2.359967969315607</v>
      </c>
      <c r="N84">
        <v>2.384285272833663</v>
      </c>
      <c r="O84">
        <v>-11.51292546497023</v>
      </c>
      <c r="P84">
        <v>-2.4317303672432899E-2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 spans="1:23" x14ac:dyDescent="0.25">
      <c r="A85">
        <v>15</v>
      </c>
      <c r="B85">
        <v>2017</v>
      </c>
      <c r="C85">
        <v>-1.980966370515546</v>
      </c>
      <c r="D85">
        <v>0.75996435359726244</v>
      </c>
      <c r="E85">
        <v>0.77904960956064861</v>
      </c>
      <c r="F85">
        <v>0.72290013870929315</v>
      </c>
      <c r="G85">
        <v>0.64961317853621692</v>
      </c>
      <c r="H85">
        <v>0.66186289052017888</v>
      </c>
      <c r="I85">
        <v>0.53719487878605887</v>
      </c>
      <c r="J85">
        <v>-3.8787146204293661</v>
      </c>
      <c r="K85">
        <v>2.658156590148268</v>
      </c>
      <c r="L85">
        <v>-1.78349431897405</v>
      </c>
      <c r="M85">
        <v>2.429515831059414</v>
      </c>
      <c r="N85">
        <v>2.348680871484607</v>
      </c>
      <c r="O85">
        <v>-11.51292546497023</v>
      </c>
      <c r="P85">
        <v>8.0834962427616119E-2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25">
      <c r="A86">
        <v>15</v>
      </c>
      <c r="B86">
        <v>2018</v>
      </c>
      <c r="C86">
        <v>-2.0136574169095001</v>
      </c>
      <c r="D86">
        <v>0.83373486886959214</v>
      </c>
      <c r="E86">
        <v>0.75996435359726244</v>
      </c>
      <c r="F86">
        <v>0.77904960956064861</v>
      </c>
      <c r="G86">
        <v>0.63747589568948049</v>
      </c>
      <c r="H86">
        <v>0.64961317853621692</v>
      </c>
      <c r="I86">
        <v>0.66186289052017888</v>
      </c>
      <c r="J86">
        <v>-3.4772540333013628</v>
      </c>
      <c r="K86">
        <v>2.658156590148268</v>
      </c>
      <c r="L86">
        <v>-1.7534362500636049</v>
      </c>
      <c r="M86">
        <v>2.4068090466206389</v>
      </c>
      <c r="N86">
        <v>2.412113980507431</v>
      </c>
      <c r="O86">
        <v>3.2580965380214821</v>
      </c>
      <c r="P86">
        <v>-5.3049339912831783E-3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 spans="1:23" x14ac:dyDescent="0.25">
      <c r="A87">
        <v>15</v>
      </c>
      <c r="B87">
        <v>2019</v>
      </c>
      <c r="C87">
        <v>-1.989495320601522</v>
      </c>
      <c r="D87">
        <v>0.80258437525832049</v>
      </c>
      <c r="E87">
        <v>0.83373486886959214</v>
      </c>
      <c r="F87">
        <v>0.75996435359726244</v>
      </c>
      <c r="G87">
        <v>0.6141039732194925</v>
      </c>
      <c r="H87">
        <v>0.63747589568948049</v>
      </c>
      <c r="I87">
        <v>0.64961317853621692</v>
      </c>
      <c r="J87">
        <v>-2.7020082997897301</v>
      </c>
      <c r="K87">
        <v>2.658156590148268</v>
      </c>
      <c r="L87">
        <v>-1.7152019280639921</v>
      </c>
      <c r="M87">
        <v>2.4553175654782078</v>
      </c>
      <c r="N87">
        <v>2.3963665458019352</v>
      </c>
      <c r="O87">
        <v>5.393627546352362</v>
      </c>
      <c r="P87">
        <v>5.8951020240783691E-2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1:23" x14ac:dyDescent="0.25">
      <c r="A88">
        <v>15</v>
      </c>
      <c r="B88">
        <v>2020</v>
      </c>
      <c r="C88">
        <v>-1.9726510838674469</v>
      </c>
      <c r="D88">
        <v>0.72251178918984926</v>
      </c>
      <c r="E88">
        <v>0.80258437525832049</v>
      </c>
      <c r="F88">
        <v>0.83373486886959214</v>
      </c>
      <c r="G88">
        <v>0.59094832823969778</v>
      </c>
      <c r="H88">
        <v>0.6141039732194925</v>
      </c>
      <c r="I88">
        <v>0.63747589568948049</v>
      </c>
      <c r="J88">
        <v>-1.9471472867106581</v>
      </c>
      <c r="K88">
        <v>2.658156590148268</v>
      </c>
      <c r="L88">
        <v>-1.6794511083473891</v>
      </c>
      <c r="M88">
        <v>2.5735186755350341</v>
      </c>
      <c r="N88">
        <v>2.4451541864662971</v>
      </c>
      <c r="O88">
        <v>5.9914645471079817</v>
      </c>
      <c r="P88">
        <v>0.12836448848247528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25">
      <c r="A89">
        <v>15</v>
      </c>
      <c r="B89">
        <v>2021</v>
      </c>
      <c r="C89">
        <v>-1.9530323459470831</v>
      </c>
      <c r="D89">
        <v>0.91432880856061438</v>
      </c>
      <c r="E89">
        <v>0.72251178918984926</v>
      </c>
      <c r="F89">
        <v>0.80258437525832049</v>
      </c>
      <c r="G89">
        <v>0.80209126754912441</v>
      </c>
      <c r="H89">
        <v>0.59094832823969778</v>
      </c>
      <c r="I89">
        <v>0.6141039732194925</v>
      </c>
      <c r="J89">
        <v>-1.327568907024141</v>
      </c>
      <c r="K89">
        <v>2.658156590148268</v>
      </c>
      <c r="L89">
        <v>-1.6435472986523569</v>
      </c>
      <c r="M89">
        <v>2.637780974935688</v>
      </c>
      <c r="N89">
        <v>2.563628550518342</v>
      </c>
      <c r="O89">
        <v>6.6846117276679271</v>
      </c>
      <c r="P89">
        <v>7.4152424931526184E-2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</row>
    <row r="90" spans="1:23" x14ac:dyDescent="0.25">
      <c r="A90">
        <v>15</v>
      </c>
      <c r="B90">
        <v>2022</v>
      </c>
      <c r="C90">
        <v>-1.908586636941215</v>
      </c>
      <c r="D90">
        <v>0.91464938560202946</v>
      </c>
      <c r="E90">
        <v>0.91432880856061438</v>
      </c>
      <c r="F90">
        <v>0.72251178918984926</v>
      </c>
      <c r="G90">
        <v>0.79443943204181766</v>
      </c>
      <c r="H90">
        <v>0.80209126754912441</v>
      </c>
      <c r="I90">
        <v>0.59094832823969778</v>
      </c>
      <c r="J90">
        <v>-1.0537338753800061</v>
      </c>
      <c r="K90">
        <v>2.658156590148268</v>
      </c>
      <c r="L90">
        <v>-1.5993037542301021</v>
      </c>
      <c r="M90">
        <v>2.448217692813218</v>
      </c>
      <c r="N90">
        <v>2.637780974935688</v>
      </c>
      <c r="O90">
        <v>8.0551577318196781</v>
      </c>
      <c r="P90">
        <v>-0.18956328928470612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</row>
    <row r="91" spans="1:23" x14ac:dyDescent="0.25">
      <c r="A91">
        <v>15</v>
      </c>
      <c r="B91">
        <v>2023</v>
      </c>
      <c r="C91">
        <v>-1.847081082694251</v>
      </c>
      <c r="D91">
        <v>0.75832612158491663</v>
      </c>
      <c r="E91">
        <v>0.91464938560202946</v>
      </c>
      <c r="F91">
        <v>0.91432880856061438</v>
      </c>
      <c r="G91">
        <v>0.56326625970542532</v>
      </c>
      <c r="H91">
        <v>0.79443943204181766</v>
      </c>
      <c r="I91">
        <v>0.80209126754912441</v>
      </c>
      <c r="J91">
        <v>-0.52137701541721804</v>
      </c>
      <c r="K91">
        <v>2.658156590148268</v>
      </c>
      <c r="L91">
        <v>-1.548441725126622</v>
      </c>
      <c r="M91">
        <v>2.4729604138669519</v>
      </c>
      <c r="N91">
        <v>2.448217692813218</v>
      </c>
      <c r="O91">
        <v>8.4658998970286863</v>
      </c>
      <c r="P91">
        <v>2.4742720648646355E-2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</row>
    <row r="92" spans="1:23" x14ac:dyDescent="0.25">
      <c r="A92">
        <v>16</v>
      </c>
      <c r="B92">
        <v>2006</v>
      </c>
      <c r="C92">
        <v>-2.253877144019103</v>
      </c>
      <c r="D92">
        <v>0.94778939893352609</v>
      </c>
      <c r="E92">
        <v>0.93106111077760501</v>
      </c>
      <c r="F92">
        <v>0.91916659261961942</v>
      </c>
      <c r="G92">
        <v>0.78390154382840938</v>
      </c>
      <c r="H92">
        <v>0.73400117456821146</v>
      </c>
      <c r="I92">
        <v>0.71221424327717098</v>
      </c>
      <c r="J92">
        <v>-11.51292546497023</v>
      </c>
      <c r="K92">
        <v>0.40282887289318459</v>
      </c>
      <c r="L92">
        <v>-2.549210999081668</v>
      </c>
      <c r="M92">
        <v>2.4470563670874861</v>
      </c>
      <c r="N92">
        <v>2.308626042536269</v>
      </c>
      <c r="O92">
        <v>-11.51292546497023</v>
      </c>
      <c r="P92">
        <v>0.13843032717704773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</row>
    <row r="93" spans="1:23" x14ac:dyDescent="0.25">
      <c r="A93">
        <v>16</v>
      </c>
      <c r="B93">
        <v>2007</v>
      </c>
      <c r="C93">
        <v>-2.139332813232802</v>
      </c>
      <c r="D93">
        <v>0.84835444486232792</v>
      </c>
      <c r="E93">
        <v>0.94778939893352609</v>
      </c>
      <c r="F93">
        <v>0.93106111077760501</v>
      </c>
      <c r="G93">
        <v>0.64950872353011579</v>
      </c>
      <c r="H93">
        <v>0.78390154382840938</v>
      </c>
      <c r="I93">
        <v>0.73400117456821146</v>
      </c>
      <c r="J93">
        <v>-11.51292546497023</v>
      </c>
      <c r="K93">
        <v>0.40282887289318459</v>
      </c>
      <c r="L93">
        <v>-2.398758219080602</v>
      </c>
      <c r="M93">
        <v>2.5164897477429151</v>
      </c>
      <c r="N93">
        <v>2.4491292773411559</v>
      </c>
      <c r="O93">
        <v>-11.51292546497023</v>
      </c>
      <c r="P93">
        <v>6.7360468208789825E-2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</row>
    <row r="94" spans="1:23" x14ac:dyDescent="0.25">
      <c r="A94">
        <v>16</v>
      </c>
      <c r="B94">
        <v>2008</v>
      </c>
      <c r="C94">
        <v>-2.0057206848228928</v>
      </c>
      <c r="D94">
        <v>0.85840734942560504</v>
      </c>
      <c r="E94">
        <v>0.84835444486232792</v>
      </c>
      <c r="F94">
        <v>0.94778939893352609</v>
      </c>
      <c r="G94">
        <v>0.6598488951584307</v>
      </c>
      <c r="H94">
        <v>0.64950872353011579</v>
      </c>
      <c r="I94">
        <v>0.78390154382840938</v>
      </c>
      <c r="J94">
        <v>-11.51292546497023</v>
      </c>
      <c r="K94">
        <v>0.40282887289318459</v>
      </c>
      <c r="L94">
        <v>-2.2470832121638229</v>
      </c>
      <c r="M94">
        <v>2.57937795119713</v>
      </c>
      <c r="N94">
        <v>2.5185653329997022</v>
      </c>
      <c r="O94">
        <v>-11.51292546497023</v>
      </c>
      <c r="P94">
        <v>6.0812618583440781E-2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</row>
    <row r="95" spans="1:23" x14ac:dyDescent="0.25">
      <c r="A95">
        <v>16</v>
      </c>
      <c r="B95">
        <v>2009</v>
      </c>
      <c r="C95">
        <v>-1.9859295162137669</v>
      </c>
      <c r="D95">
        <v>0.85377682648491271</v>
      </c>
      <c r="E95">
        <v>0.85840734942560504</v>
      </c>
      <c r="F95">
        <v>0.84835444486232792</v>
      </c>
      <c r="G95">
        <v>0.55995858631620055</v>
      </c>
      <c r="H95">
        <v>0.6598488951584307</v>
      </c>
      <c r="I95">
        <v>0.64950872353011579</v>
      </c>
      <c r="J95">
        <v>-11.51292546497023</v>
      </c>
      <c r="K95">
        <v>0.40282887289318459</v>
      </c>
      <c r="L95">
        <v>-2.1205439204507179</v>
      </c>
      <c r="M95">
        <v>2.561962092626465</v>
      </c>
      <c r="N95">
        <v>2.5576909081762151</v>
      </c>
      <c r="O95">
        <v>-11.51292546497023</v>
      </c>
      <c r="P95">
        <v>4.2711845599114895E-3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</row>
    <row r="96" spans="1:23" x14ac:dyDescent="0.25">
      <c r="A96">
        <v>16</v>
      </c>
      <c r="B96">
        <v>2010</v>
      </c>
      <c r="C96">
        <v>-1.886218851799045</v>
      </c>
      <c r="D96">
        <v>0.84672626848824584</v>
      </c>
      <c r="E96">
        <v>0.85377682648491271</v>
      </c>
      <c r="F96">
        <v>0.85840734942560504</v>
      </c>
      <c r="G96">
        <v>0.57874592024996996</v>
      </c>
      <c r="H96">
        <v>0.55995858631620055</v>
      </c>
      <c r="I96">
        <v>0.6598488951584307</v>
      </c>
      <c r="J96">
        <v>-6.4853357535740814</v>
      </c>
      <c r="K96">
        <v>0.40282887289318459</v>
      </c>
      <c r="L96">
        <v>-2.013719817614553</v>
      </c>
      <c r="M96">
        <v>2.5311522364316139</v>
      </c>
      <c r="N96">
        <v>2.516949080697501</v>
      </c>
      <c r="O96">
        <v>-11.51292546497023</v>
      </c>
      <c r="P96">
        <v>1.4203155413269997E-2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 x14ac:dyDescent="0.25">
      <c r="A97">
        <v>16</v>
      </c>
      <c r="B97">
        <v>2011</v>
      </c>
      <c r="C97">
        <v>-1.8323425651355261</v>
      </c>
      <c r="D97">
        <v>0.76607231057450187</v>
      </c>
      <c r="E97">
        <v>0.84672626848824584</v>
      </c>
      <c r="F97">
        <v>0.85377682648491271</v>
      </c>
      <c r="G97">
        <v>0.56064383074685153</v>
      </c>
      <c r="H97">
        <v>0.57874592024996996</v>
      </c>
      <c r="I97">
        <v>0.55995858631620055</v>
      </c>
      <c r="J97">
        <v>-4.7366501007701718</v>
      </c>
      <c r="K97">
        <v>0.40282887289318459</v>
      </c>
      <c r="L97">
        <v>-1.9358485464253019</v>
      </c>
      <c r="M97">
        <v>2.5411299922494281</v>
      </c>
      <c r="N97">
        <v>2.488078420007426</v>
      </c>
      <c r="O97">
        <v>-11.51292546497023</v>
      </c>
      <c r="P97">
        <v>5.3051572293043137E-2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 x14ac:dyDescent="0.25">
      <c r="A98">
        <v>16</v>
      </c>
      <c r="B98">
        <v>2012</v>
      </c>
      <c r="C98">
        <v>-1.697172032400051</v>
      </c>
      <c r="D98">
        <v>0.67666204430008292</v>
      </c>
      <c r="E98">
        <v>0.76607231057450187</v>
      </c>
      <c r="F98">
        <v>0.84672626848824584</v>
      </c>
      <c r="G98">
        <v>0.50386142996435779</v>
      </c>
      <c r="H98">
        <v>0.56064383074685153</v>
      </c>
      <c r="I98">
        <v>0.57874592024996996</v>
      </c>
      <c r="J98">
        <v>-4.2464961022431877</v>
      </c>
      <c r="K98">
        <v>0.40282887289318459</v>
      </c>
      <c r="L98">
        <v>-1.8797725681329061</v>
      </c>
      <c r="M98">
        <v>2.6120553067830841</v>
      </c>
      <c r="N98">
        <v>2.5204583670104239</v>
      </c>
      <c r="O98">
        <v>-11.51292546497023</v>
      </c>
      <c r="P98">
        <v>9.1596938669681549E-2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</row>
    <row r="99" spans="1:23" x14ac:dyDescent="0.25">
      <c r="A99">
        <v>16</v>
      </c>
      <c r="B99">
        <v>2013</v>
      </c>
      <c r="C99">
        <v>-1.673337722549276</v>
      </c>
      <c r="D99">
        <v>0.66957144403123958</v>
      </c>
      <c r="E99">
        <v>0.67666204430008292</v>
      </c>
      <c r="F99">
        <v>0.76607231057450187</v>
      </c>
      <c r="G99">
        <v>0.50603416302985993</v>
      </c>
      <c r="H99">
        <v>0.50386142996435779</v>
      </c>
      <c r="I99">
        <v>0.56064383074685153</v>
      </c>
      <c r="J99">
        <v>-3.421811226673213</v>
      </c>
      <c r="K99">
        <v>0.40282887289318459</v>
      </c>
      <c r="L99">
        <v>-1.857649659108747</v>
      </c>
      <c r="M99">
        <v>2.625774611983184</v>
      </c>
      <c r="N99">
        <v>2.561271444999154</v>
      </c>
      <c r="O99">
        <v>-11.51292546497023</v>
      </c>
      <c r="P99">
        <v>6.4503170549869537E-2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</row>
    <row r="100" spans="1:23" x14ac:dyDescent="0.25">
      <c r="A100">
        <v>16</v>
      </c>
      <c r="B100">
        <v>2014</v>
      </c>
      <c r="C100">
        <v>-1.5816291422594899</v>
      </c>
      <c r="D100">
        <v>0.64532155107734079</v>
      </c>
      <c r="E100">
        <v>0.66957144403123958</v>
      </c>
      <c r="F100">
        <v>0.67666204430008292</v>
      </c>
      <c r="G100">
        <v>0.58978466756479209</v>
      </c>
      <c r="H100">
        <v>0.50603416302985993</v>
      </c>
      <c r="I100">
        <v>0.50386142996435779</v>
      </c>
      <c r="J100">
        <v>-2.7926470713120639</v>
      </c>
      <c r="K100">
        <v>0.40282887289318459</v>
      </c>
      <c r="L100">
        <v>-1.807593059522477</v>
      </c>
      <c r="M100">
        <v>2.5774979851936082</v>
      </c>
      <c r="N100">
        <v>2.6043512012031829</v>
      </c>
      <c r="O100">
        <v>-11.51292546497023</v>
      </c>
      <c r="P100">
        <v>-2.685321681201458E-2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</row>
    <row r="101" spans="1:23" x14ac:dyDescent="0.25">
      <c r="A101">
        <v>16</v>
      </c>
      <c r="B101">
        <v>2015</v>
      </c>
      <c r="C101">
        <v>-1.606719350519505</v>
      </c>
      <c r="D101">
        <v>0.66474770603824729</v>
      </c>
      <c r="E101">
        <v>0.64532155107734079</v>
      </c>
      <c r="F101">
        <v>0.66957144403123958</v>
      </c>
      <c r="G101">
        <v>0.50609444939008918</v>
      </c>
      <c r="H101">
        <v>0.58978466756479209</v>
      </c>
      <c r="I101">
        <v>0.50603416302985993</v>
      </c>
      <c r="J101">
        <v>-2.437375580685293</v>
      </c>
      <c r="K101">
        <v>0.40282887289318459</v>
      </c>
      <c r="L101">
        <v>-1.7745875972242799</v>
      </c>
      <c r="M101">
        <v>2.517606577909357</v>
      </c>
      <c r="N101">
        <v>2.5567182529185071</v>
      </c>
      <c r="O101">
        <v>-11.51292546497023</v>
      </c>
      <c r="P101">
        <v>-3.9111673831939697E-2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</row>
    <row r="102" spans="1:23" x14ac:dyDescent="0.25">
      <c r="A102">
        <v>16</v>
      </c>
      <c r="B102">
        <v>2016</v>
      </c>
      <c r="C102">
        <v>-1.6413975343736871</v>
      </c>
      <c r="D102">
        <v>0.6924969692183589</v>
      </c>
      <c r="E102">
        <v>0.66474770603824729</v>
      </c>
      <c r="F102">
        <v>0.64532155107734079</v>
      </c>
      <c r="G102">
        <v>0.69524497864209145</v>
      </c>
      <c r="H102">
        <v>0.50609444939008918</v>
      </c>
      <c r="I102">
        <v>0.58978466756479209</v>
      </c>
      <c r="J102">
        <v>-2.1189371249906608</v>
      </c>
      <c r="K102">
        <v>0.40282887289318459</v>
      </c>
      <c r="L102">
        <v>-1.7664090653759601</v>
      </c>
      <c r="M102">
        <v>2.453624418700683</v>
      </c>
      <c r="N102">
        <v>2.4974428707249521</v>
      </c>
      <c r="O102">
        <v>-11.51292546497023</v>
      </c>
      <c r="P102">
        <v>-4.3818451464176178E-2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</row>
    <row r="103" spans="1:23" x14ac:dyDescent="0.25">
      <c r="A103">
        <v>16</v>
      </c>
      <c r="B103">
        <v>2017</v>
      </c>
      <c r="C103">
        <v>-1.640089231748751</v>
      </c>
      <c r="D103">
        <v>0.67701779863006162</v>
      </c>
      <c r="E103">
        <v>0.6924969692183589</v>
      </c>
      <c r="F103">
        <v>0.66474770603824729</v>
      </c>
      <c r="G103">
        <v>0.68778281806079467</v>
      </c>
      <c r="H103">
        <v>0.69524497864209145</v>
      </c>
      <c r="I103">
        <v>0.50609444939008918</v>
      </c>
      <c r="J103">
        <v>-1.4832631345614169</v>
      </c>
      <c r="K103">
        <v>0.40282887289318459</v>
      </c>
      <c r="L103">
        <v>-1.7503629032432411</v>
      </c>
      <c r="M103">
        <v>2.4745106219275401</v>
      </c>
      <c r="N103">
        <v>2.4340961601341049</v>
      </c>
      <c r="O103">
        <v>-11.51292546497023</v>
      </c>
      <c r="P103">
        <v>4.0414460003376007E-2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</row>
    <row r="104" spans="1:23" x14ac:dyDescent="0.25">
      <c r="A104">
        <v>16</v>
      </c>
      <c r="B104">
        <v>2018</v>
      </c>
      <c r="C104">
        <v>-1.6581562884260019</v>
      </c>
      <c r="D104">
        <v>0.73553594705173186</v>
      </c>
      <c r="E104">
        <v>0.67701779863006162</v>
      </c>
      <c r="F104">
        <v>0.6924969692183589</v>
      </c>
      <c r="G104">
        <v>0.6773226302129739</v>
      </c>
      <c r="H104">
        <v>0.68778281806079467</v>
      </c>
      <c r="I104">
        <v>0.69524497864209145</v>
      </c>
      <c r="J104">
        <v>-1.082461206997537</v>
      </c>
      <c r="K104">
        <v>0.40282887289318459</v>
      </c>
      <c r="L104">
        <v>-1.7459804863662149</v>
      </c>
      <c r="M104">
        <v>2.4729213320469849</v>
      </c>
      <c r="N104">
        <v>2.4354549114234989</v>
      </c>
      <c r="O104">
        <v>3.2580965380214821</v>
      </c>
      <c r="P104">
        <v>3.7466421723365784E-2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 x14ac:dyDescent="0.25">
      <c r="A105">
        <v>16</v>
      </c>
      <c r="B105">
        <v>2019</v>
      </c>
      <c r="C105">
        <v>-1.603972938715956</v>
      </c>
      <c r="D105">
        <v>0.6634093622959889</v>
      </c>
      <c r="E105">
        <v>0.73553594705173186</v>
      </c>
      <c r="F105">
        <v>0.67701779863006162</v>
      </c>
      <c r="G105">
        <v>0.60070289016866529</v>
      </c>
      <c r="H105">
        <v>0.6773226302129739</v>
      </c>
      <c r="I105">
        <v>0.68778281806079467</v>
      </c>
      <c r="J105">
        <v>-0.38409368144506473</v>
      </c>
      <c r="K105">
        <v>0.40282887289318459</v>
      </c>
      <c r="L105">
        <v>-1.713594278535002</v>
      </c>
      <c r="M105">
        <v>2.45307765398797</v>
      </c>
      <c r="N105">
        <v>2.4535358662373121</v>
      </c>
      <c r="O105">
        <v>5.393627546352362</v>
      </c>
      <c r="P105">
        <v>-4.5821224921382964E-4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</row>
    <row r="106" spans="1:23" x14ac:dyDescent="0.25">
      <c r="A106">
        <v>16</v>
      </c>
      <c r="B106">
        <v>2020</v>
      </c>
      <c r="C106">
        <v>-1.603693240766175</v>
      </c>
      <c r="D106">
        <v>0.50675735959003665</v>
      </c>
      <c r="E106">
        <v>0.6634093622959889</v>
      </c>
      <c r="F106">
        <v>0.73553594705173186</v>
      </c>
      <c r="G106">
        <v>0.57784855619648245</v>
      </c>
      <c r="H106">
        <v>0.60070289016866529</v>
      </c>
      <c r="I106">
        <v>0.6773226302129739</v>
      </c>
      <c r="J106">
        <v>0.21548701610898499</v>
      </c>
      <c r="K106">
        <v>0.40282887289318459</v>
      </c>
      <c r="L106">
        <v>-1.688855747449572</v>
      </c>
      <c r="M106">
        <v>2.4256603698466122</v>
      </c>
      <c r="N106">
        <v>2.4342871012128651</v>
      </c>
      <c r="O106">
        <v>5.9914645471079817</v>
      </c>
      <c r="P106">
        <v>-8.6267311125993729E-3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</row>
    <row r="107" spans="1:23" x14ac:dyDescent="0.25">
      <c r="A107">
        <v>16</v>
      </c>
      <c r="B107">
        <v>2021</v>
      </c>
      <c r="C107">
        <v>-1.528306146515986</v>
      </c>
      <c r="D107">
        <v>0.76504914984902317</v>
      </c>
      <c r="E107">
        <v>0.50675735959003665</v>
      </c>
      <c r="F107">
        <v>0.6634093622959889</v>
      </c>
      <c r="G107">
        <v>0.81920698022067795</v>
      </c>
      <c r="H107">
        <v>0.57784855619648245</v>
      </c>
      <c r="I107">
        <v>0.60070289016866529</v>
      </c>
      <c r="J107">
        <v>0.70660096568781861</v>
      </c>
      <c r="K107">
        <v>0.40282887289318459</v>
      </c>
      <c r="L107">
        <v>-1.675913481839175</v>
      </c>
      <c r="M107">
        <v>2.3693990305980459</v>
      </c>
      <c r="N107">
        <v>2.4074465427846561</v>
      </c>
      <c r="O107">
        <v>6.6846117276679271</v>
      </c>
      <c r="P107">
        <v>-3.8047511130571365E-2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</row>
    <row r="108" spans="1:23" x14ac:dyDescent="0.25">
      <c r="A108">
        <v>16</v>
      </c>
      <c r="B108">
        <v>2022</v>
      </c>
      <c r="C108">
        <v>-1.4997510253728921</v>
      </c>
      <c r="D108">
        <v>0.79624513856351264</v>
      </c>
      <c r="E108">
        <v>0.76504914984902317</v>
      </c>
      <c r="F108">
        <v>0.50675735959003665</v>
      </c>
      <c r="G108">
        <v>0.85462807148204811</v>
      </c>
      <c r="H108">
        <v>0.81920698022067795</v>
      </c>
      <c r="I108">
        <v>0.57784855619648245</v>
      </c>
      <c r="J108">
        <v>1.24896447296841</v>
      </c>
      <c r="K108">
        <v>0.40282887289318459</v>
      </c>
      <c r="L108">
        <v>-1.6517963590735101</v>
      </c>
      <c r="M108">
        <v>2.4483353558842298</v>
      </c>
      <c r="N108">
        <v>2.3693990305980459</v>
      </c>
      <c r="O108">
        <v>8.0551577318196781</v>
      </c>
      <c r="P108">
        <v>7.8936323523521423E-2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</row>
    <row r="109" spans="1:23" x14ac:dyDescent="0.25">
      <c r="A109">
        <v>16</v>
      </c>
      <c r="B109">
        <v>2023</v>
      </c>
      <c r="C109">
        <v>-1.4824782413667701</v>
      </c>
      <c r="D109">
        <v>0.70255280863404101</v>
      </c>
      <c r="E109">
        <v>0.79624513856351264</v>
      </c>
      <c r="F109">
        <v>0.76504914984902317</v>
      </c>
      <c r="G109">
        <v>0.72338536362055528</v>
      </c>
      <c r="H109">
        <v>0.85462807148204811</v>
      </c>
      <c r="I109">
        <v>0.81920698022067795</v>
      </c>
      <c r="J109">
        <v>1.877485982623855</v>
      </c>
      <c r="K109">
        <v>0.40282887289318459</v>
      </c>
      <c r="L109">
        <v>-1.6311483237791999</v>
      </c>
      <c r="M109">
        <v>2.5690980120587579</v>
      </c>
      <c r="N109">
        <v>2.4483353558842298</v>
      </c>
      <c r="O109">
        <v>8.4658998970286863</v>
      </c>
      <c r="P109">
        <v>0.1207626536488533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</row>
    <row r="110" spans="1:23" x14ac:dyDescent="0.25">
      <c r="A110">
        <v>17</v>
      </c>
      <c r="B110">
        <v>2006</v>
      </c>
      <c r="C110">
        <v>-2.302468246616844</v>
      </c>
      <c r="D110">
        <v>1.0116009116784801</v>
      </c>
      <c r="E110">
        <v>0.94720783450887658</v>
      </c>
      <c r="F110">
        <v>0.8792532337715917</v>
      </c>
      <c r="G110">
        <v>0.70309751141311339</v>
      </c>
      <c r="H110">
        <v>0.51950782414882457</v>
      </c>
      <c r="I110">
        <v>0.40832767372164103</v>
      </c>
      <c r="J110">
        <v>-11.51292546497023</v>
      </c>
      <c r="K110">
        <v>1.221842963958693</v>
      </c>
      <c r="L110">
        <v>-2.1105228304649279</v>
      </c>
      <c r="M110">
        <v>2.1691989286444682</v>
      </c>
      <c r="N110">
        <v>2.1187108704670079</v>
      </c>
      <c r="O110">
        <v>-11.51292546497023</v>
      </c>
      <c r="P110">
        <v>5.0488058477640152E-2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 x14ac:dyDescent="0.25">
      <c r="A111">
        <v>17</v>
      </c>
      <c r="B111">
        <v>2007</v>
      </c>
      <c r="C111">
        <v>-2.11853423260757</v>
      </c>
      <c r="D111">
        <v>0.96065205557290867</v>
      </c>
      <c r="E111">
        <v>1.0116009116784801</v>
      </c>
      <c r="F111">
        <v>0.94720783450887658</v>
      </c>
      <c r="G111">
        <v>0.51024545550092504</v>
      </c>
      <c r="H111">
        <v>0.70309751141311339</v>
      </c>
      <c r="I111">
        <v>0.51950782414882457</v>
      </c>
      <c r="J111">
        <v>-11.51292546497023</v>
      </c>
      <c r="K111">
        <v>1.221842963958693</v>
      </c>
      <c r="L111">
        <v>-1.9746220161420369</v>
      </c>
      <c r="M111">
        <v>2.2899529957657978</v>
      </c>
      <c r="N111">
        <v>2.1888773255111871</v>
      </c>
      <c r="O111">
        <v>-11.51292546497023</v>
      </c>
      <c r="P111">
        <v>0.1010756716132164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</row>
    <row r="112" spans="1:23" x14ac:dyDescent="0.25">
      <c r="A112">
        <v>17</v>
      </c>
      <c r="B112">
        <v>2008</v>
      </c>
      <c r="C112">
        <v>-1.995429635360918</v>
      </c>
      <c r="D112">
        <v>0.90700777827523826</v>
      </c>
      <c r="E112">
        <v>0.96065205557290867</v>
      </c>
      <c r="F112">
        <v>1.0116009116784801</v>
      </c>
      <c r="G112">
        <v>0.4529210492644597</v>
      </c>
      <c r="H112">
        <v>0.51024545550092504</v>
      </c>
      <c r="I112">
        <v>0.70309751141311339</v>
      </c>
      <c r="J112">
        <v>-11.51292546497023</v>
      </c>
      <c r="K112">
        <v>1.221842963958693</v>
      </c>
      <c r="L112">
        <v>-1.841829783458155</v>
      </c>
      <c r="M112">
        <v>2.398755838764338</v>
      </c>
      <c r="N112">
        <v>2.3100264184129382</v>
      </c>
      <c r="O112">
        <v>-11.51292546497023</v>
      </c>
      <c r="P112">
        <v>8.8729418814182281E-2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</row>
    <row r="113" spans="1:23" x14ac:dyDescent="0.25">
      <c r="A113">
        <v>17</v>
      </c>
      <c r="B113">
        <v>2009</v>
      </c>
      <c r="C113">
        <v>-1.9843049276434861</v>
      </c>
      <c r="D113">
        <v>0.86478688900703937</v>
      </c>
      <c r="E113">
        <v>0.90700777827523826</v>
      </c>
      <c r="F113">
        <v>0.96065205557290867</v>
      </c>
      <c r="G113">
        <v>0.40499833251872053</v>
      </c>
      <c r="H113">
        <v>0.4529210492644597</v>
      </c>
      <c r="I113">
        <v>0.51024545550092504</v>
      </c>
      <c r="J113">
        <v>-11.51292546497023</v>
      </c>
      <c r="K113">
        <v>1.221842963958693</v>
      </c>
      <c r="L113">
        <v>-1.742575435337741</v>
      </c>
      <c r="M113">
        <v>2.4412936220622892</v>
      </c>
      <c r="N113">
        <v>2.3897857393889552</v>
      </c>
      <c r="O113">
        <v>-11.51292546497023</v>
      </c>
      <c r="P113">
        <v>5.150788277387619E-2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</row>
    <row r="114" spans="1:23" x14ac:dyDescent="0.25">
      <c r="A114">
        <v>17</v>
      </c>
      <c r="B114">
        <v>2010</v>
      </c>
      <c r="C114">
        <v>-1.824144273938767</v>
      </c>
      <c r="D114">
        <v>0.83616468739487027</v>
      </c>
      <c r="E114">
        <v>0.86478688900703937</v>
      </c>
      <c r="F114">
        <v>0.90700777827523826</v>
      </c>
      <c r="G114">
        <v>0.43599431314298731</v>
      </c>
      <c r="H114">
        <v>0.40499833251872053</v>
      </c>
      <c r="I114">
        <v>0.4529210492644597</v>
      </c>
      <c r="J114">
        <v>-7.2052431173826657</v>
      </c>
      <c r="K114">
        <v>1.221842963958693</v>
      </c>
      <c r="L114">
        <v>-1.6607651362205169</v>
      </c>
      <c r="M114">
        <v>2.5000871118570078</v>
      </c>
      <c r="N114">
        <v>2.4000366619273419</v>
      </c>
      <c r="O114">
        <v>-11.51292546497023</v>
      </c>
      <c r="P114">
        <v>0.10005044937133789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</row>
    <row r="115" spans="1:23" x14ac:dyDescent="0.25">
      <c r="A115">
        <v>17</v>
      </c>
      <c r="B115">
        <v>2011</v>
      </c>
      <c r="C115">
        <v>-1.7247077077691031</v>
      </c>
      <c r="D115">
        <v>0.80459910585408823</v>
      </c>
      <c r="E115">
        <v>0.83616468739487027</v>
      </c>
      <c r="F115">
        <v>0.86478688900703937</v>
      </c>
      <c r="G115">
        <v>0.48316661577201642</v>
      </c>
      <c r="H115">
        <v>0.43599431314298731</v>
      </c>
      <c r="I115">
        <v>0.40499833251872053</v>
      </c>
      <c r="J115">
        <v>-5.4531049863431234</v>
      </c>
      <c r="K115">
        <v>1.221842963958693</v>
      </c>
      <c r="L115">
        <v>-1.5932247588185009</v>
      </c>
      <c r="M115">
        <v>2.4923787573361502</v>
      </c>
      <c r="N115">
        <v>2.460465773668489</v>
      </c>
      <c r="O115">
        <v>-11.51292546497023</v>
      </c>
      <c r="P115">
        <v>3.191298246383667E-2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</row>
    <row r="116" spans="1:23" x14ac:dyDescent="0.25">
      <c r="A116">
        <v>17</v>
      </c>
      <c r="B116">
        <v>2012</v>
      </c>
      <c r="C116">
        <v>-1.5657446252089551</v>
      </c>
      <c r="D116">
        <v>0.74782474185064107</v>
      </c>
      <c r="E116">
        <v>0.80459910585408823</v>
      </c>
      <c r="F116">
        <v>0.83616468739487027</v>
      </c>
      <c r="G116">
        <v>0.45444573032978619</v>
      </c>
      <c r="H116">
        <v>0.48316661577201642</v>
      </c>
      <c r="I116">
        <v>0.43599431314298731</v>
      </c>
      <c r="J116">
        <v>-5.0595623095713167</v>
      </c>
      <c r="K116">
        <v>1.221842963958693</v>
      </c>
      <c r="L116">
        <v>-1.5064707603457781</v>
      </c>
      <c r="M116">
        <v>2.5240087087748391</v>
      </c>
      <c r="N116">
        <v>2.4804563259997732</v>
      </c>
      <c r="O116">
        <v>-11.51292546497023</v>
      </c>
      <c r="P116">
        <v>4.3552383780479431E-2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</row>
    <row r="117" spans="1:23" x14ac:dyDescent="0.25">
      <c r="A117">
        <v>17</v>
      </c>
      <c r="B117">
        <v>2013</v>
      </c>
      <c r="C117">
        <v>-1.5546741198978691</v>
      </c>
      <c r="D117">
        <v>0.73414515959401738</v>
      </c>
      <c r="E117">
        <v>0.74782474185064107</v>
      </c>
      <c r="F117">
        <v>0.80459910585408823</v>
      </c>
      <c r="G117">
        <v>0.43320996841672321</v>
      </c>
      <c r="H117">
        <v>0.45444573032978619</v>
      </c>
      <c r="I117">
        <v>0.48316661577201642</v>
      </c>
      <c r="J117">
        <v>-4.2075136027519253</v>
      </c>
      <c r="K117">
        <v>1.221842963958693</v>
      </c>
      <c r="L117">
        <v>-1.4613651130510541</v>
      </c>
      <c r="M117">
        <v>2.550040241402205</v>
      </c>
      <c r="N117">
        <v>2.4822395395721339</v>
      </c>
      <c r="O117">
        <v>-11.51292546497023</v>
      </c>
      <c r="P117">
        <v>6.7800700664520264E-2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</row>
    <row r="118" spans="1:23" x14ac:dyDescent="0.25">
      <c r="A118">
        <v>17</v>
      </c>
      <c r="B118">
        <v>2014</v>
      </c>
      <c r="C118">
        <v>-1.4522185817100099</v>
      </c>
      <c r="D118">
        <v>0.69798545720019456</v>
      </c>
      <c r="E118">
        <v>0.73414515959401738</v>
      </c>
      <c r="F118">
        <v>0.74782474185064107</v>
      </c>
      <c r="G118">
        <v>0.41031997083434663</v>
      </c>
      <c r="H118">
        <v>0.43320996841672321</v>
      </c>
      <c r="I118">
        <v>0.45444573032978619</v>
      </c>
      <c r="J118">
        <v>-3.5044757311156589</v>
      </c>
      <c r="K118">
        <v>1.221842963958693</v>
      </c>
      <c r="L118">
        <v>-1.396360352554918</v>
      </c>
      <c r="M118">
        <v>2.5577241399757078</v>
      </c>
      <c r="N118">
        <v>2.5374580766264669</v>
      </c>
      <c r="O118">
        <v>-11.51292546497023</v>
      </c>
      <c r="P118">
        <v>2.0266063511371613E-2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</row>
    <row r="119" spans="1:23" x14ac:dyDescent="0.25">
      <c r="A119">
        <v>17</v>
      </c>
      <c r="B119">
        <v>2015</v>
      </c>
      <c r="C119">
        <v>-1.470524415473089</v>
      </c>
      <c r="D119">
        <v>0.71720544565301625</v>
      </c>
      <c r="E119">
        <v>0.69798545720019456</v>
      </c>
      <c r="F119">
        <v>0.73414515959401738</v>
      </c>
      <c r="G119">
        <v>0.4295071025884023</v>
      </c>
      <c r="H119">
        <v>0.41031997083434663</v>
      </c>
      <c r="I119">
        <v>0.43320996841672321</v>
      </c>
      <c r="J119">
        <v>-3.060574005760694</v>
      </c>
      <c r="K119">
        <v>1.221842963958693</v>
      </c>
      <c r="L119">
        <v>-1.3427466483832651</v>
      </c>
      <c r="M119">
        <v>2.5722097934308761</v>
      </c>
      <c r="N119">
        <v>2.5456084780596759</v>
      </c>
      <c r="O119">
        <v>-11.51292546497023</v>
      </c>
      <c r="P119">
        <v>2.6601314544677734E-2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</row>
    <row r="120" spans="1:23" x14ac:dyDescent="0.25">
      <c r="A120">
        <v>17</v>
      </c>
      <c r="B120">
        <v>2016</v>
      </c>
      <c r="C120">
        <v>-1.438978308135985</v>
      </c>
      <c r="D120">
        <v>0.74843996630865406</v>
      </c>
      <c r="E120">
        <v>0.71720544565301625</v>
      </c>
      <c r="F120">
        <v>0.69798545720019456</v>
      </c>
      <c r="G120">
        <v>0.57334961710434951</v>
      </c>
      <c r="H120">
        <v>0.4295071025884023</v>
      </c>
      <c r="I120">
        <v>0.41031997083434663</v>
      </c>
      <c r="J120">
        <v>-2.6809575997302382</v>
      </c>
      <c r="K120">
        <v>1.221842963958693</v>
      </c>
      <c r="L120">
        <v>-1.313431115730904</v>
      </c>
      <c r="M120">
        <v>2.5704131665247072</v>
      </c>
      <c r="N120">
        <v>2.560545726345123</v>
      </c>
      <c r="O120">
        <v>-11.51292546497023</v>
      </c>
      <c r="P120">
        <v>9.867439977824688E-3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</row>
    <row r="121" spans="1:23" x14ac:dyDescent="0.25">
      <c r="A121">
        <v>17</v>
      </c>
      <c r="B121">
        <v>2017</v>
      </c>
      <c r="C121">
        <v>-1.407715696413816</v>
      </c>
      <c r="D121">
        <v>0.724500488217941</v>
      </c>
      <c r="E121">
        <v>0.74843996630865406</v>
      </c>
      <c r="F121">
        <v>0.71720544565301625</v>
      </c>
      <c r="G121">
        <v>0.58950740580018557</v>
      </c>
      <c r="H121">
        <v>0.57334961710434951</v>
      </c>
      <c r="I121">
        <v>0.4295071025884023</v>
      </c>
      <c r="J121">
        <v>-2.0182591945820141</v>
      </c>
      <c r="K121">
        <v>1.221842963958693</v>
      </c>
      <c r="L121">
        <v>-1.2870098313439291</v>
      </c>
      <c r="M121">
        <v>2.5999991389301131</v>
      </c>
      <c r="N121">
        <v>2.559195753040874</v>
      </c>
      <c r="O121">
        <v>-11.51292546497023</v>
      </c>
      <c r="P121">
        <v>4.0803384035825729E-2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</row>
    <row r="122" spans="1:23" x14ac:dyDescent="0.25">
      <c r="A122">
        <v>17</v>
      </c>
      <c r="B122">
        <v>2018</v>
      </c>
      <c r="C122">
        <v>-1.4943806311362959</v>
      </c>
      <c r="D122">
        <v>0.86873780201460749</v>
      </c>
      <c r="E122">
        <v>0.724500488217941</v>
      </c>
      <c r="F122">
        <v>0.74843996630865406</v>
      </c>
      <c r="G122">
        <v>0.63206933105135488</v>
      </c>
      <c r="H122">
        <v>0.58950740580018557</v>
      </c>
      <c r="I122">
        <v>0.57334961710434951</v>
      </c>
      <c r="J122">
        <v>-1.5873266978714839</v>
      </c>
      <c r="K122">
        <v>1.221842963958693</v>
      </c>
      <c r="L122">
        <v>-1.2511554948762029</v>
      </c>
      <c r="M122">
        <v>2.5974685645963511</v>
      </c>
      <c r="N122">
        <v>2.5967564216500461</v>
      </c>
      <c r="O122">
        <v>3.2580965380214821</v>
      </c>
      <c r="P122">
        <v>7.12142966222018E-4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</row>
    <row r="123" spans="1:23" x14ac:dyDescent="0.25">
      <c r="A123">
        <v>17</v>
      </c>
      <c r="B123">
        <v>2019</v>
      </c>
      <c r="C123">
        <v>-1.4596560471649751</v>
      </c>
      <c r="D123">
        <v>0.80919537892261229</v>
      </c>
      <c r="E123">
        <v>0.86873780201460749</v>
      </c>
      <c r="F123">
        <v>0.724500488217941</v>
      </c>
      <c r="G123">
        <v>0.59260835518133248</v>
      </c>
      <c r="H123">
        <v>0.63206933105135488</v>
      </c>
      <c r="I123">
        <v>0.58950740580018557</v>
      </c>
      <c r="J123">
        <v>-0.81386930112935651</v>
      </c>
      <c r="K123">
        <v>1.221842963958693</v>
      </c>
      <c r="L123">
        <v>-1.222852066708241</v>
      </c>
      <c r="M123">
        <v>2.6432611633831229</v>
      </c>
      <c r="N123">
        <v>2.5861919333581311</v>
      </c>
      <c r="O123">
        <v>5.393627546352362</v>
      </c>
      <c r="P123">
        <v>5.7069230824708939E-2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</row>
    <row r="124" spans="1:23" x14ac:dyDescent="0.25">
      <c r="A124">
        <v>17</v>
      </c>
      <c r="B124">
        <v>2020</v>
      </c>
      <c r="C124">
        <v>-1.5052165785067599</v>
      </c>
      <c r="D124">
        <v>0.76057215687473445</v>
      </c>
      <c r="E124">
        <v>0.80919537892261229</v>
      </c>
      <c r="F124">
        <v>0.86873780201460749</v>
      </c>
      <c r="G124">
        <v>0.52915658045071412</v>
      </c>
      <c r="H124">
        <v>0.59260835518133248</v>
      </c>
      <c r="I124">
        <v>0.63206933105135488</v>
      </c>
      <c r="J124">
        <v>-0.14907923907206291</v>
      </c>
      <c r="K124">
        <v>1.221842963958693</v>
      </c>
      <c r="L124">
        <v>-1.195705225362957</v>
      </c>
      <c r="M124">
        <v>2.673105898450244</v>
      </c>
      <c r="N124">
        <v>2.63227061737877</v>
      </c>
      <c r="O124">
        <v>5.9914645471079817</v>
      </c>
      <c r="P124">
        <v>4.083527997136116E-2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25">
      <c r="A125">
        <v>17</v>
      </c>
      <c r="B125">
        <v>2021</v>
      </c>
      <c r="C125">
        <v>-1.472059130755873</v>
      </c>
      <c r="D125">
        <v>0.94468380637537297</v>
      </c>
      <c r="E125">
        <v>0.76057215687473445</v>
      </c>
      <c r="F125">
        <v>0.80919537892261229</v>
      </c>
      <c r="G125">
        <v>0.75902854967345812</v>
      </c>
      <c r="H125">
        <v>0.52915658045071412</v>
      </c>
      <c r="I125">
        <v>0.59260835518133248</v>
      </c>
      <c r="J125">
        <v>0.44249546405242501</v>
      </c>
      <c r="K125">
        <v>1.221842963958693</v>
      </c>
      <c r="L125">
        <v>-1.168648539218301</v>
      </c>
      <c r="M125">
        <v>2.7105608839877759</v>
      </c>
      <c r="N125">
        <v>2.662400929370047</v>
      </c>
      <c r="O125">
        <v>6.6846117276679271</v>
      </c>
      <c r="P125">
        <v>4.8159953206777573E-2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</row>
    <row r="126" spans="1:23" x14ac:dyDescent="0.25">
      <c r="A126">
        <v>17</v>
      </c>
      <c r="B126">
        <v>2022</v>
      </c>
      <c r="C126">
        <v>-1.4005988251003509</v>
      </c>
      <c r="D126">
        <v>0.94491706066247805</v>
      </c>
      <c r="E126">
        <v>0.94468380637537297</v>
      </c>
      <c r="F126">
        <v>0.76057215687473445</v>
      </c>
      <c r="G126">
        <v>0.75155758810636775</v>
      </c>
      <c r="H126">
        <v>0.75902854967345812</v>
      </c>
      <c r="I126">
        <v>0.52915658045071412</v>
      </c>
      <c r="J126">
        <v>0.94077266061330322</v>
      </c>
      <c r="K126">
        <v>1.221842963958693</v>
      </c>
      <c r="L126">
        <v>-1.132133701084872</v>
      </c>
      <c r="M126">
        <v>2.745375215049402</v>
      </c>
      <c r="N126">
        <v>2.7105608839877759</v>
      </c>
      <c r="O126">
        <v>8.0551577318196781</v>
      </c>
      <c r="P126">
        <v>3.481433168053627E-2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25">
      <c r="A127">
        <v>17</v>
      </c>
      <c r="B127">
        <v>2023</v>
      </c>
      <c r="C127">
        <v>-1.3222695926871251</v>
      </c>
      <c r="D127">
        <v>0.79908253096861415</v>
      </c>
      <c r="E127">
        <v>0.94491706066247805</v>
      </c>
      <c r="F127">
        <v>0.94468380637537297</v>
      </c>
      <c r="G127">
        <v>0.538829820175588</v>
      </c>
      <c r="H127">
        <v>0.75155758810636775</v>
      </c>
      <c r="I127">
        <v>0.75902854967345812</v>
      </c>
      <c r="J127">
        <v>1.498096223740661</v>
      </c>
      <c r="K127">
        <v>1.221842963958693</v>
      </c>
      <c r="L127">
        <v>-1.0940140857053751</v>
      </c>
      <c r="M127">
        <v>2.794865533481202</v>
      </c>
      <c r="N127">
        <v>2.745375215049402</v>
      </c>
      <c r="O127">
        <v>8.4658998970286863</v>
      </c>
      <c r="P127">
        <v>4.9490317702293396E-2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</row>
    <row r="128" spans="1:23" x14ac:dyDescent="0.25">
      <c r="A128">
        <v>21</v>
      </c>
      <c r="B128">
        <v>2006</v>
      </c>
      <c r="C128">
        <v>-3.005073666255865</v>
      </c>
      <c r="D128">
        <v>1.004301609196868</v>
      </c>
      <c r="E128">
        <v>0.88533655655224996</v>
      </c>
      <c r="F128">
        <v>0.83768033129224362</v>
      </c>
      <c r="G128">
        <v>0.72754860727727766</v>
      </c>
      <c r="H128">
        <v>0.62972803269029043</v>
      </c>
      <c r="I128">
        <v>0.59305056402166012</v>
      </c>
      <c r="J128">
        <v>-11.51292546497023</v>
      </c>
      <c r="K128">
        <v>1.9117730239483881</v>
      </c>
      <c r="L128">
        <v>-2.9883568839150541</v>
      </c>
      <c r="M128">
        <v>1.86745654039763</v>
      </c>
      <c r="N128">
        <v>1.7645335624207239</v>
      </c>
      <c r="O128">
        <v>-11.51292546497023</v>
      </c>
      <c r="P128">
        <v>0.10292297601699829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</row>
    <row r="129" spans="1:23" x14ac:dyDescent="0.25">
      <c r="A129">
        <v>21</v>
      </c>
      <c r="B129">
        <v>2007</v>
      </c>
      <c r="C129">
        <v>-2.9476599042238991</v>
      </c>
      <c r="D129">
        <v>0.96065205557290867</v>
      </c>
      <c r="E129">
        <v>1.004301609196868</v>
      </c>
      <c r="F129">
        <v>0.88533655655224996</v>
      </c>
      <c r="G129">
        <v>0.58232734545470155</v>
      </c>
      <c r="H129">
        <v>0.72754860727727766</v>
      </c>
      <c r="I129">
        <v>0.62972803269029043</v>
      </c>
      <c r="J129">
        <v>-11.51292546497023</v>
      </c>
      <c r="K129">
        <v>1.9117730239483881</v>
      </c>
      <c r="L129">
        <v>-2.8345867363429988</v>
      </c>
      <c r="M129">
        <v>1.829081620106173</v>
      </c>
      <c r="N129">
        <v>1.857721618177999</v>
      </c>
      <c r="O129">
        <v>-11.51292546497023</v>
      </c>
      <c r="P129">
        <v>-2.8639998286962509E-2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</row>
    <row r="130" spans="1:23" x14ac:dyDescent="0.25">
      <c r="A130">
        <v>21</v>
      </c>
      <c r="B130">
        <v>2008</v>
      </c>
      <c r="C130">
        <v>-2.8313528680447839</v>
      </c>
      <c r="D130">
        <v>0.87359197734103988</v>
      </c>
      <c r="E130">
        <v>0.96065205557290867</v>
      </c>
      <c r="F130">
        <v>1.004301609196868</v>
      </c>
      <c r="G130">
        <v>0.48679928916313631</v>
      </c>
      <c r="H130">
        <v>0.58232734545470155</v>
      </c>
      <c r="I130">
        <v>0.72754860727727766</v>
      </c>
      <c r="J130">
        <v>-11.51292546497023</v>
      </c>
      <c r="K130">
        <v>1.9117730239483881</v>
      </c>
      <c r="L130">
        <v>-2.681932127359647</v>
      </c>
      <c r="M130">
        <v>1.945834833156987</v>
      </c>
      <c r="N130">
        <v>1.81944071224341</v>
      </c>
      <c r="O130">
        <v>-11.51292546497023</v>
      </c>
      <c r="P130">
        <v>0.126394122838974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</row>
    <row r="131" spans="1:23" x14ac:dyDescent="0.25">
      <c r="A131">
        <v>21</v>
      </c>
      <c r="B131">
        <v>2009</v>
      </c>
      <c r="C131">
        <v>-2.786799355345857</v>
      </c>
      <c r="D131">
        <v>0.81235142803842186</v>
      </c>
      <c r="E131">
        <v>0.87359197734103988</v>
      </c>
      <c r="F131">
        <v>0.96065205557290867</v>
      </c>
      <c r="G131">
        <v>0.43346930451776172</v>
      </c>
      <c r="H131">
        <v>0.48679928916313631</v>
      </c>
      <c r="I131">
        <v>0.58232734545470155</v>
      </c>
      <c r="J131">
        <v>-11.51292546497023</v>
      </c>
      <c r="K131">
        <v>1.9117730239483881</v>
      </c>
      <c r="L131">
        <v>-2.5194505085653351</v>
      </c>
      <c r="M131">
        <v>1.9431627463908681</v>
      </c>
      <c r="N131">
        <v>1.936112894388776</v>
      </c>
      <c r="O131">
        <v>-11.51292546497023</v>
      </c>
      <c r="P131">
        <v>7.0498520508408546E-3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</row>
    <row r="132" spans="1:23" x14ac:dyDescent="0.25">
      <c r="A132">
        <v>21</v>
      </c>
      <c r="B132">
        <v>2010</v>
      </c>
      <c r="C132">
        <v>-2.5223313753588679</v>
      </c>
      <c r="D132">
        <v>0.74720913865847582</v>
      </c>
      <c r="E132">
        <v>0.81235142803842186</v>
      </c>
      <c r="F132">
        <v>0.87359197734103988</v>
      </c>
      <c r="G132">
        <v>0.44654306986601078</v>
      </c>
      <c r="H132">
        <v>0.43346930451776172</v>
      </c>
      <c r="I132">
        <v>0.48679928916313631</v>
      </c>
      <c r="J132">
        <v>-11.51292546497023</v>
      </c>
      <c r="K132">
        <v>1.9117730239483881</v>
      </c>
      <c r="L132">
        <v>-2.357243868179896</v>
      </c>
      <c r="M132">
        <v>1.9625560030249369</v>
      </c>
      <c r="N132">
        <v>1.921518828866686</v>
      </c>
      <c r="O132">
        <v>-11.51292546497023</v>
      </c>
      <c r="P132">
        <v>4.1037175804376602E-2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</row>
    <row r="133" spans="1:23" x14ac:dyDescent="0.25">
      <c r="A133">
        <v>21</v>
      </c>
      <c r="B133">
        <v>2011</v>
      </c>
      <c r="C133">
        <v>-2.3577793505236322</v>
      </c>
      <c r="D133">
        <v>0.71098709868827636</v>
      </c>
      <c r="E133">
        <v>0.74720913865847582</v>
      </c>
      <c r="F133">
        <v>0.81235142803842186</v>
      </c>
      <c r="G133">
        <v>0.52034021613457626</v>
      </c>
      <c r="H133">
        <v>0.44654306986601078</v>
      </c>
      <c r="I133">
        <v>0.43346930451776172</v>
      </c>
      <c r="J133">
        <v>-7.7031221981193232</v>
      </c>
      <c r="K133">
        <v>1.9117730239483881</v>
      </c>
      <c r="L133">
        <v>-2.2084365600939542</v>
      </c>
      <c r="M133">
        <v>1.98011437004853</v>
      </c>
      <c r="N133">
        <v>1.941370787801832</v>
      </c>
      <c r="O133">
        <v>-11.51292546497023</v>
      </c>
      <c r="P133">
        <v>3.8743581622838974E-2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</row>
    <row r="134" spans="1:23" x14ac:dyDescent="0.25">
      <c r="A134">
        <v>21</v>
      </c>
      <c r="B134">
        <v>2012</v>
      </c>
      <c r="C134">
        <v>-2.190907054860967</v>
      </c>
      <c r="D134">
        <v>0.65044842602683006</v>
      </c>
      <c r="E134">
        <v>0.71098709868827636</v>
      </c>
      <c r="F134">
        <v>0.74720913865847582</v>
      </c>
      <c r="G134">
        <v>0.46360822215687519</v>
      </c>
      <c r="H134">
        <v>0.52034021613457626</v>
      </c>
      <c r="I134">
        <v>0.44654306986601078</v>
      </c>
      <c r="J134">
        <v>-7.2025590319598756</v>
      </c>
      <c r="K134">
        <v>1.9117730239483881</v>
      </c>
      <c r="L134">
        <v>-2.0839929282431999</v>
      </c>
      <c r="M134">
        <v>2.0418972720225601</v>
      </c>
      <c r="N134">
        <v>1.969851912441885</v>
      </c>
      <c r="O134">
        <v>-11.51292546497023</v>
      </c>
      <c r="P134">
        <v>7.2045356035232544E-2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</row>
    <row r="135" spans="1:23" x14ac:dyDescent="0.25">
      <c r="A135">
        <v>21</v>
      </c>
      <c r="B135">
        <v>2013</v>
      </c>
      <c r="C135">
        <v>-2.135224945684894</v>
      </c>
      <c r="D135">
        <v>0.65902146583056942</v>
      </c>
      <c r="E135">
        <v>0.65044842602683006</v>
      </c>
      <c r="F135">
        <v>0.71098709868827636</v>
      </c>
      <c r="G135">
        <v>0.47666886711449652</v>
      </c>
      <c r="H135">
        <v>0.46360822215687519</v>
      </c>
      <c r="I135">
        <v>0.52034021613457626</v>
      </c>
      <c r="J135">
        <v>-6.1847821219213737</v>
      </c>
      <c r="K135">
        <v>1.9117730239483881</v>
      </c>
      <c r="L135">
        <v>-1.9804072502349901</v>
      </c>
      <c r="M135">
        <v>2.0702218116349851</v>
      </c>
      <c r="N135">
        <v>2.030054764879913</v>
      </c>
      <c r="O135">
        <v>-11.51292546497023</v>
      </c>
      <c r="P135">
        <v>4.0167048573493958E-2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</row>
    <row r="136" spans="1:23" x14ac:dyDescent="0.25">
      <c r="A136">
        <v>21</v>
      </c>
      <c r="B136">
        <v>2014</v>
      </c>
      <c r="C136">
        <v>-2.044258364194691</v>
      </c>
      <c r="D136">
        <v>0.6553933909480294</v>
      </c>
      <c r="E136">
        <v>0.65902146583056942</v>
      </c>
      <c r="F136">
        <v>0.65044842602683006</v>
      </c>
      <c r="G136">
        <v>0.49231536100689388</v>
      </c>
      <c r="H136">
        <v>0.47666886711449652</v>
      </c>
      <c r="I136">
        <v>0.46360822215687519</v>
      </c>
      <c r="J136">
        <v>-5.464837144038321</v>
      </c>
      <c r="K136">
        <v>1.9117730239483881</v>
      </c>
      <c r="L136">
        <v>-1.891020291388652</v>
      </c>
      <c r="M136">
        <v>2.1131293082677032</v>
      </c>
      <c r="N136">
        <v>2.0619282891468131</v>
      </c>
      <c r="O136">
        <v>-11.51292546497023</v>
      </c>
      <c r="P136">
        <v>5.1201019436120987E-2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</row>
    <row r="137" spans="1:23" x14ac:dyDescent="0.25">
      <c r="A137">
        <v>21</v>
      </c>
      <c r="B137">
        <v>2015</v>
      </c>
      <c r="C137">
        <v>-2.0487350496512291</v>
      </c>
      <c r="D137">
        <v>0.65570488508407532</v>
      </c>
      <c r="E137">
        <v>0.6553933909480294</v>
      </c>
      <c r="F137">
        <v>0.65902146583056942</v>
      </c>
      <c r="G137">
        <v>0.46304195291218431</v>
      </c>
      <c r="H137">
        <v>0.49231536100689388</v>
      </c>
      <c r="I137">
        <v>0.47666886711449652</v>
      </c>
      <c r="J137">
        <v>-5.1022215211707733</v>
      </c>
      <c r="K137">
        <v>1.9117730239483881</v>
      </c>
      <c r="L137">
        <v>-1.8198934792654149</v>
      </c>
      <c r="M137">
        <v>2.05347612818084</v>
      </c>
      <c r="N137">
        <v>2.1053711428383539</v>
      </c>
      <c r="O137">
        <v>-11.51292546497023</v>
      </c>
      <c r="P137">
        <v>-5.1895014941692352E-2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</row>
    <row r="138" spans="1:23" x14ac:dyDescent="0.25">
      <c r="A138">
        <v>21</v>
      </c>
      <c r="B138">
        <v>2016</v>
      </c>
      <c r="C138">
        <v>-2.0136726042920658</v>
      </c>
      <c r="D138">
        <v>0.67309752275424151</v>
      </c>
      <c r="E138">
        <v>0.65570488508407532</v>
      </c>
      <c r="F138">
        <v>0.6553933909480294</v>
      </c>
      <c r="G138">
        <v>0.56713033997645834</v>
      </c>
      <c r="H138">
        <v>0.46304195291218431</v>
      </c>
      <c r="I138">
        <v>0.49231536100689388</v>
      </c>
      <c r="J138">
        <v>-4.7039427630394961</v>
      </c>
      <c r="K138">
        <v>1.9117730239483881</v>
      </c>
      <c r="L138">
        <v>-1.7743265505814669</v>
      </c>
      <c r="M138">
        <v>2.0518692545532669</v>
      </c>
      <c r="N138">
        <v>2.04628977820395</v>
      </c>
      <c r="O138">
        <v>-11.51292546497023</v>
      </c>
      <c r="P138">
        <v>5.5794762447476387E-3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</row>
    <row r="139" spans="1:23" x14ac:dyDescent="0.25">
      <c r="A139">
        <v>21</v>
      </c>
      <c r="B139">
        <v>2017</v>
      </c>
      <c r="C139">
        <v>-1.9919801311725109</v>
      </c>
      <c r="D139">
        <v>0.64684142768343389</v>
      </c>
      <c r="E139">
        <v>0.67309752275424151</v>
      </c>
      <c r="F139">
        <v>0.65570488508407532</v>
      </c>
      <c r="G139">
        <v>0.55652530301698111</v>
      </c>
      <c r="H139">
        <v>0.56713033997645834</v>
      </c>
      <c r="I139">
        <v>0.46304195291218431</v>
      </c>
      <c r="J139">
        <v>-4.0745746486765393</v>
      </c>
      <c r="K139">
        <v>1.9117730239483881</v>
      </c>
      <c r="L139">
        <v>-1.7337510635998139</v>
      </c>
      <c r="M139">
        <v>2.0576167726293</v>
      </c>
      <c r="N139">
        <v>2.0452486021962279</v>
      </c>
      <c r="O139">
        <v>-11.51292546497023</v>
      </c>
      <c r="P139">
        <v>1.2368170544505119E-2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</row>
    <row r="140" spans="1:23" x14ac:dyDescent="0.25">
      <c r="A140">
        <v>21</v>
      </c>
      <c r="B140">
        <v>2018</v>
      </c>
      <c r="C140">
        <v>-2.0092145665183549</v>
      </c>
      <c r="D140">
        <v>0.75738878262140996</v>
      </c>
      <c r="E140">
        <v>0.64684142768343389</v>
      </c>
      <c r="F140">
        <v>0.67309752275424151</v>
      </c>
      <c r="G140">
        <v>0.59597526880767171</v>
      </c>
      <c r="H140">
        <v>0.55652530301698111</v>
      </c>
      <c r="I140">
        <v>0.56713033997645834</v>
      </c>
      <c r="J140">
        <v>-3.5959705986656392</v>
      </c>
      <c r="K140">
        <v>1.9117730239483881</v>
      </c>
      <c r="L140">
        <v>-1.694604976055627</v>
      </c>
      <c r="M140">
        <v>2.1007802679097818</v>
      </c>
      <c r="N140">
        <v>2.052654126846841</v>
      </c>
      <c r="O140">
        <v>3.2580965380214821</v>
      </c>
      <c r="P140">
        <v>4.8126142472028732E-2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</row>
    <row r="141" spans="1:23" x14ac:dyDescent="0.25">
      <c r="A141">
        <v>21</v>
      </c>
      <c r="B141">
        <v>2019</v>
      </c>
      <c r="C141">
        <v>-2.0085411139061842</v>
      </c>
      <c r="D141">
        <v>0.76216005184689939</v>
      </c>
      <c r="E141">
        <v>0.75738878262140996</v>
      </c>
      <c r="F141">
        <v>0.64684142768343389</v>
      </c>
      <c r="G141">
        <v>0.58439202072290786</v>
      </c>
      <c r="H141">
        <v>0.59597526880767171</v>
      </c>
      <c r="I141">
        <v>0.55652530301698111</v>
      </c>
      <c r="J141">
        <v>-2.9163133160424231</v>
      </c>
      <c r="K141">
        <v>1.9117730239483881</v>
      </c>
      <c r="L141">
        <v>-1.6580637480208309</v>
      </c>
      <c r="M141">
        <v>2.045129995645639</v>
      </c>
      <c r="N141">
        <v>2.095092750257237</v>
      </c>
      <c r="O141">
        <v>5.393627546352362</v>
      </c>
      <c r="P141">
        <v>-4.9962755292654037E-2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</row>
    <row r="142" spans="1:23" x14ac:dyDescent="0.25">
      <c r="A142">
        <v>21</v>
      </c>
      <c r="B142">
        <v>2020</v>
      </c>
      <c r="C142">
        <v>-2.0383230366867711</v>
      </c>
      <c r="D142">
        <v>0.67818581541978507</v>
      </c>
      <c r="E142">
        <v>0.76216005184689939</v>
      </c>
      <c r="F142">
        <v>0.75738878262140996</v>
      </c>
      <c r="G142">
        <v>0.53192153206072357</v>
      </c>
      <c r="H142">
        <v>0.58439202072290786</v>
      </c>
      <c r="I142">
        <v>0.59597526880767171</v>
      </c>
      <c r="J142">
        <v>-2.2498308020460218</v>
      </c>
      <c r="K142">
        <v>1.9117730239483881</v>
      </c>
      <c r="L142">
        <v>-1.624555692732911</v>
      </c>
      <c r="M142">
        <v>2.0706915026668651</v>
      </c>
      <c r="N142">
        <v>2.039574292292329</v>
      </c>
      <c r="O142">
        <v>5.9914645471079817</v>
      </c>
      <c r="P142">
        <v>3.1117210164666176E-2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</row>
    <row r="143" spans="1:23" x14ac:dyDescent="0.25">
      <c r="A143">
        <v>21</v>
      </c>
      <c r="B143">
        <v>2021</v>
      </c>
      <c r="C143">
        <v>-2.0070508998401348</v>
      </c>
      <c r="D143">
        <v>0.87771620989437926</v>
      </c>
      <c r="E143">
        <v>0.67818581541978507</v>
      </c>
      <c r="F143">
        <v>0.76216005184689939</v>
      </c>
      <c r="G143">
        <v>0.73476885525076474</v>
      </c>
      <c r="H143">
        <v>0.53192153206072357</v>
      </c>
      <c r="I143">
        <v>0.58439202072290786</v>
      </c>
      <c r="J143">
        <v>-1.662292095590983</v>
      </c>
      <c r="K143">
        <v>1.9117730239483881</v>
      </c>
      <c r="L143">
        <v>-1.5916949111130609</v>
      </c>
      <c r="M143">
        <v>2.0987281041157519</v>
      </c>
      <c r="N143">
        <v>2.0652717558173901</v>
      </c>
      <c r="O143">
        <v>6.6846117276679271</v>
      </c>
      <c r="P143">
        <v>3.345634788274765E-2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</row>
    <row r="144" spans="1:23" x14ac:dyDescent="0.25">
      <c r="A144">
        <v>21</v>
      </c>
      <c r="B144">
        <v>2022</v>
      </c>
      <c r="C144">
        <v>-1.96379964741039</v>
      </c>
      <c r="D144">
        <v>0.8950262365694307</v>
      </c>
      <c r="E144">
        <v>0.87771620989437926</v>
      </c>
      <c r="F144">
        <v>0.67818581541978507</v>
      </c>
      <c r="G144">
        <v>0.75155758810636775</v>
      </c>
      <c r="H144">
        <v>0.73476885525076474</v>
      </c>
      <c r="I144">
        <v>0.53192153206072357</v>
      </c>
      <c r="J144">
        <v>-1.1691607852262771</v>
      </c>
      <c r="K144">
        <v>1.9117730239483881</v>
      </c>
      <c r="L144">
        <v>-1.553505106231033</v>
      </c>
      <c r="M144">
        <v>2.1285004102261289</v>
      </c>
      <c r="N144">
        <v>2.0987281041157519</v>
      </c>
      <c r="O144">
        <v>8.0551577318196781</v>
      </c>
      <c r="P144">
        <v>2.9772305861115456E-2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</row>
    <row r="145" spans="1:23" x14ac:dyDescent="0.25">
      <c r="A145">
        <v>21</v>
      </c>
      <c r="B145">
        <v>2023</v>
      </c>
      <c r="C145">
        <v>-1.8928906138512589</v>
      </c>
      <c r="D145">
        <v>0.71397869013987836</v>
      </c>
      <c r="E145">
        <v>0.8950262365694307</v>
      </c>
      <c r="F145">
        <v>0.87771620989437926</v>
      </c>
      <c r="G145">
        <v>0.538829820175588</v>
      </c>
      <c r="H145">
        <v>0.75155758810636775</v>
      </c>
      <c r="I145">
        <v>0.73476885525076474</v>
      </c>
      <c r="J145">
        <v>-0.64634611206753934</v>
      </c>
      <c r="K145">
        <v>1.9117730239483881</v>
      </c>
      <c r="L145">
        <v>-1.512016901871964</v>
      </c>
      <c r="M145">
        <v>2.1435270983319512</v>
      </c>
      <c r="N145">
        <v>2.1285004102261289</v>
      </c>
      <c r="O145">
        <v>8.4658998970286863</v>
      </c>
      <c r="P145">
        <v>1.5026687644422054E-2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</row>
    <row r="146" spans="1:23" x14ac:dyDescent="0.25">
      <c r="A146">
        <v>22</v>
      </c>
      <c r="B146">
        <v>2006</v>
      </c>
      <c r="C146">
        <v>-2.7417032668890182</v>
      </c>
      <c r="D146">
        <v>0.9242589015233319</v>
      </c>
      <c r="E146">
        <v>0.91880756199842939</v>
      </c>
      <c r="F146">
        <v>0.86558673749944925</v>
      </c>
      <c r="G146">
        <v>0.75141608868392118</v>
      </c>
      <c r="H146">
        <v>0.6832483483806977</v>
      </c>
      <c r="I146">
        <v>0.58700858449827797</v>
      </c>
      <c r="J146">
        <v>-11.51292546497023</v>
      </c>
      <c r="K146">
        <v>1.090797042355631</v>
      </c>
      <c r="L146">
        <v>-2.4851958602947479</v>
      </c>
      <c r="M146">
        <v>1.7796680853385549</v>
      </c>
      <c r="N146">
        <v>1.624263083542117</v>
      </c>
      <c r="O146">
        <v>-11.51292546497023</v>
      </c>
      <c r="P146">
        <v>0.15540499985218048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</row>
    <row r="147" spans="1:23" x14ac:dyDescent="0.25">
      <c r="A147">
        <v>22</v>
      </c>
      <c r="B147">
        <v>2007</v>
      </c>
      <c r="C147">
        <v>-2.6679518417291561</v>
      </c>
      <c r="D147">
        <v>0.89637369803379618</v>
      </c>
      <c r="E147">
        <v>0.9242589015233319</v>
      </c>
      <c r="F147">
        <v>0.91880756199842939</v>
      </c>
      <c r="G147">
        <v>0.60867802393349535</v>
      </c>
      <c r="H147">
        <v>0.75141608868392118</v>
      </c>
      <c r="I147">
        <v>0.6832483483806977</v>
      </c>
      <c r="J147">
        <v>-11.51292546497023</v>
      </c>
      <c r="K147">
        <v>1.090797042355631</v>
      </c>
      <c r="L147">
        <v>-2.364682292812764</v>
      </c>
      <c r="M147">
        <v>1.732619982246111</v>
      </c>
      <c r="N147">
        <v>1.767296839428945</v>
      </c>
      <c r="O147">
        <v>-11.51292546497023</v>
      </c>
      <c r="P147">
        <v>-3.467685729265213E-2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</row>
    <row r="148" spans="1:23" x14ac:dyDescent="0.25">
      <c r="A148">
        <v>22</v>
      </c>
      <c r="B148">
        <v>2008</v>
      </c>
      <c r="C148">
        <v>-2.5370566115124791</v>
      </c>
      <c r="D148">
        <v>0.8545429795827455</v>
      </c>
      <c r="E148">
        <v>0.89637369803379618</v>
      </c>
      <c r="F148">
        <v>0.9242589015233319</v>
      </c>
      <c r="G148">
        <v>0.54615415681928514</v>
      </c>
      <c r="H148">
        <v>0.60867802393349535</v>
      </c>
      <c r="I148">
        <v>0.75141608868392118</v>
      </c>
      <c r="J148">
        <v>-11.51292546497023</v>
      </c>
      <c r="K148">
        <v>1.090797042355631</v>
      </c>
      <c r="L148">
        <v>-2.2254787055347012</v>
      </c>
      <c r="M148">
        <v>1.8014473158845341</v>
      </c>
      <c r="N148">
        <v>1.7204002370384639</v>
      </c>
      <c r="O148">
        <v>-11.51292546497023</v>
      </c>
      <c r="P148">
        <v>8.1047080457210541E-2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</row>
    <row r="149" spans="1:23" x14ac:dyDescent="0.25">
      <c r="A149">
        <v>22</v>
      </c>
      <c r="B149">
        <v>2009</v>
      </c>
      <c r="C149">
        <v>-2.4214216906929669</v>
      </c>
      <c r="D149">
        <v>0.80074519115796339</v>
      </c>
      <c r="E149">
        <v>0.8545429795827455</v>
      </c>
      <c r="F149">
        <v>0.89637369803379618</v>
      </c>
      <c r="G149">
        <v>0.49341493350619681</v>
      </c>
      <c r="H149">
        <v>0.54615415681928514</v>
      </c>
      <c r="I149">
        <v>0.60867802393349535</v>
      </c>
      <c r="J149">
        <v>-11.51292546497023</v>
      </c>
      <c r="K149">
        <v>1.090797042355631</v>
      </c>
      <c r="L149">
        <v>-2.0901934209052611</v>
      </c>
      <c r="M149">
        <v>1.8765724808055899</v>
      </c>
      <c r="N149">
        <v>1.790757458948911</v>
      </c>
      <c r="O149">
        <v>-11.51292546497023</v>
      </c>
      <c r="P149">
        <v>8.5815019905567169E-2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</row>
    <row r="150" spans="1:23" x14ac:dyDescent="0.25">
      <c r="A150">
        <v>22</v>
      </c>
      <c r="B150">
        <v>2010</v>
      </c>
      <c r="C150">
        <v>-2.2082007102813228</v>
      </c>
      <c r="D150">
        <v>0.7236763855947681</v>
      </c>
      <c r="E150">
        <v>0.80074519115796339</v>
      </c>
      <c r="F150">
        <v>0.8545429795827455</v>
      </c>
      <c r="G150">
        <v>0.49255981495909817</v>
      </c>
      <c r="H150">
        <v>0.49341493350619681</v>
      </c>
      <c r="I150">
        <v>0.54615415681928514</v>
      </c>
      <c r="J150">
        <v>-11.51292546497023</v>
      </c>
      <c r="K150">
        <v>1.090797042355631</v>
      </c>
      <c r="L150">
        <v>-1.931148313878714</v>
      </c>
      <c r="M150">
        <v>1.95807987253376</v>
      </c>
      <c r="N150">
        <v>1.8773673090886771</v>
      </c>
      <c r="O150">
        <v>-11.51292546497023</v>
      </c>
      <c r="P150">
        <v>8.0712564289569855E-2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</row>
    <row r="151" spans="1:23" x14ac:dyDescent="0.25">
      <c r="A151">
        <v>22</v>
      </c>
      <c r="B151">
        <v>2011</v>
      </c>
      <c r="C151">
        <v>-2.127864435876516</v>
      </c>
      <c r="D151">
        <v>0.71476189053235328</v>
      </c>
      <c r="E151">
        <v>0.7236763855947681</v>
      </c>
      <c r="F151">
        <v>0.80074519115796339</v>
      </c>
      <c r="G151">
        <v>0.56064383074685153</v>
      </c>
      <c r="H151">
        <v>0.49255981495909817</v>
      </c>
      <c r="I151">
        <v>0.49341493350619681</v>
      </c>
      <c r="J151">
        <v>-6.6657881709257252</v>
      </c>
      <c r="K151">
        <v>1.090797042355631</v>
      </c>
      <c r="L151">
        <v>-1.7876086576556209</v>
      </c>
      <c r="M151">
        <v>2.0316048036389418</v>
      </c>
      <c r="N151">
        <v>1.9588750146332901</v>
      </c>
      <c r="O151">
        <v>-11.51292546497023</v>
      </c>
      <c r="P151">
        <v>7.2729788720607758E-2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</row>
    <row r="152" spans="1:23" x14ac:dyDescent="0.25">
      <c r="A152">
        <v>22</v>
      </c>
      <c r="B152">
        <v>2012</v>
      </c>
      <c r="C152">
        <v>-1.9384638846484969</v>
      </c>
      <c r="D152">
        <v>0.62748803175367107</v>
      </c>
      <c r="E152">
        <v>0.71476189053235328</v>
      </c>
      <c r="F152">
        <v>0.7236763855947681</v>
      </c>
      <c r="G152">
        <v>0.50386142996435779</v>
      </c>
      <c r="H152">
        <v>0.56064383074685153</v>
      </c>
      <c r="I152">
        <v>0.49255981495909817</v>
      </c>
      <c r="J152">
        <v>-6.4491260749965029</v>
      </c>
      <c r="K152">
        <v>1.090797042355631</v>
      </c>
      <c r="L152">
        <v>-1.669451473269018</v>
      </c>
      <c r="M152">
        <v>2.047573872737356</v>
      </c>
      <c r="N152">
        <v>2.025123348253953</v>
      </c>
      <c r="O152">
        <v>-11.51292546497023</v>
      </c>
      <c r="P152">
        <v>2.2450525313615799E-2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</row>
    <row r="153" spans="1:23" x14ac:dyDescent="0.25">
      <c r="A153">
        <v>22</v>
      </c>
      <c r="B153">
        <v>2013</v>
      </c>
      <c r="C153">
        <v>-1.851334602865897</v>
      </c>
      <c r="D153">
        <v>0.62288564751927877</v>
      </c>
      <c r="E153">
        <v>0.62748803175367107</v>
      </c>
      <c r="F153">
        <v>0.71476189053235328</v>
      </c>
      <c r="G153">
        <v>0.5019261405789579</v>
      </c>
      <c r="H153">
        <v>0.50386142996435779</v>
      </c>
      <c r="I153">
        <v>0.56064383074685153</v>
      </c>
      <c r="J153">
        <v>-5.5009963238221262</v>
      </c>
      <c r="K153">
        <v>1.090797042355631</v>
      </c>
      <c r="L153">
        <v>-1.5648872687125539</v>
      </c>
      <c r="M153">
        <v>2.056199324434782</v>
      </c>
      <c r="N153">
        <v>2.0401921788843018</v>
      </c>
      <c r="O153">
        <v>-11.51292546497023</v>
      </c>
      <c r="P153">
        <v>1.6007145866751671E-2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</row>
    <row r="154" spans="1:23" x14ac:dyDescent="0.25">
      <c r="A154">
        <v>22</v>
      </c>
      <c r="B154">
        <v>2014</v>
      </c>
      <c r="C154">
        <v>-1.7250043316309409</v>
      </c>
      <c r="D154">
        <v>0.60042863955673875</v>
      </c>
      <c r="E154">
        <v>0.62288564751927877</v>
      </c>
      <c r="F154">
        <v>0.62748803175367107</v>
      </c>
      <c r="G154">
        <v>0.49621947137662858</v>
      </c>
      <c r="H154">
        <v>0.5019261405789579</v>
      </c>
      <c r="I154">
        <v>0.50386142996435779</v>
      </c>
      <c r="J154">
        <v>-4.6680567183432871</v>
      </c>
      <c r="K154">
        <v>1.090797042355631</v>
      </c>
      <c r="L154">
        <v>-1.4703241790521</v>
      </c>
      <c r="M154">
        <v>2.1645396151373499</v>
      </c>
      <c r="N154">
        <v>2.052890905712994</v>
      </c>
      <c r="O154">
        <v>-11.51292546497023</v>
      </c>
      <c r="P154">
        <v>0.11164870858192444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</row>
    <row r="155" spans="1:23" x14ac:dyDescent="0.25">
      <c r="A155">
        <v>22</v>
      </c>
      <c r="B155">
        <v>2015</v>
      </c>
      <c r="C155">
        <v>-1.709276608751034</v>
      </c>
      <c r="D155">
        <v>0.64048452797663935</v>
      </c>
      <c r="E155">
        <v>0.60042863955673875</v>
      </c>
      <c r="F155">
        <v>0.62288564751927877</v>
      </c>
      <c r="G155">
        <v>0.46304195291218431</v>
      </c>
      <c r="H155">
        <v>0.49621947137662858</v>
      </c>
      <c r="I155">
        <v>0.5019261405789579</v>
      </c>
      <c r="J155">
        <v>-4.2655015574558997</v>
      </c>
      <c r="K155">
        <v>1.090797042355631</v>
      </c>
      <c r="L155">
        <v>-1.3976885176837111</v>
      </c>
      <c r="M155">
        <v>2.1258028532792732</v>
      </c>
      <c r="N155">
        <v>2.1616296679165679</v>
      </c>
      <c r="O155">
        <v>-11.51292546497023</v>
      </c>
      <c r="P155">
        <v>-3.582681342959404E-2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</row>
    <row r="156" spans="1:23" x14ac:dyDescent="0.25">
      <c r="A156">
        <v>22</v>
      </c>
      <c r="B156">
        <v>2016</v>
      </c>
      <c r="C156">
        <v>-1.684419044627796</v>
      </c>
      <c r="D156">
        <v>0.69524497864209145</v>
      </c>
      <c r="E156">
        <v>0.64048452797663935</v>
      </c>
      <c r="F156">
        <v>0.60042863955673875</v>
      </c>
      <c r="G156">
        <v>0.52591126118403153</v>
      </c>
      <c r="H156">
        <v>0.46304195291218431</v>
      </c>
      <c r="I156">
        <v>0.49621947137662858</v>
      </c>
      <c r="J156">
        <v>-3.8850503713206179</v>
      </c>
      <c r="K156">
        <v>1.090797042355631</v>
      </c>
      <c r="L156">
        <v>-1.3445155182719659</v>
      </c>
      <c r="M156">
        <v>2.1016394077339058</v>
      </c>
      <c r="N156">
        <v>2.1232617871584529</v>
      </c>
      <c r="O156">
        <v>-11.51292546497023</v>
      </c>
      <c r="P156">
        <v>-2.1622380241751671E-2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</row>
    <row r="157" spans="1:23" x14ac:dyDescent="0.25">
      <c r="A157">
        <v>22</v>
      </c>
      <c r="B157">
        <v>2017</v>
      </c>
      <c r="C157">
        <v>-1.667094603337729</v>
      </c>
      <c r="D157">
        <v>0.6634093622959889</v>
      </c>
      <c r="E157">
        <v>0.69524497864209145</v>
      </c>
      <c r="F157">
        <v>0.64048452797663935</v>
      </c>
      <c r="G157">
        <v>0.49035757512612699</v>
      </c>
      <c r="H157">
        <v>0.52591126118403153</v>
      </c>
      <c r="I157">
        <v>0.46304195291218431</v>
      </c>
      <c r="J157">
        <v>-3.1941039439846679</v>
      </c>
      <c r="K157">
        <v>1.090797042355631</v>
      </c>
      <c r="L157">
        <v>-1.29862280126731</v>
      </c>
      <c r="M157">
        <v>2.1544456128443699</v>
      </c>
      <c r="N157">
        <v>2.0994386545099091</v>
      </c>
      <c r="O157">
        <v>-11.51292546497023</v>
      </c>
      <c r="P157">
        <v>5.5006958544254303E-2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</row>
    <row r="158" spans="1:23" x14ac:dyDescent="0.25">
      <c r="A158">
        <v>22</v>
      </c>
      <c r="B158">
        <v>2018</v>
      </c>
      <c r="C158">
        <v>-1.7671186474372851</v>
      </c>
      <c r="D158">
        <v>0.81801616260581456</v>
      </c>
      <c r="E158">
        <v>0.6634093622959889</v>
      </c>
      <c r="F158">
        <v>0.69524497864209145</v>
      </c>
      <c r="G158">
        <v>0.55566513723868272</v>
      </c>
      <c r="H158">
        <v>0.49035757512612699</v>
      </c>
      <c r="I158">
        <v>0.52591126118403153</v>
      </c>
      <c r="J158">
        <v>-2.7248953716540978</v>
      </c>
      <c r="K158">
        <v>1.090797042355631</v>
      </c>
      <c r="L158">
        <v>-1.2680772242681011</v>
      </c>
      <c r="M158">
        <v>2.2013351426972991</v>
      </c>
      <c r="N158">
        <v>2.1404800927394581</v>
      </c>
      <c r="O158">
        <v>3.2580965380214821</v>
      </c>
      <c r="P158">
        <v>6.0855049639940262E-2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</row>
    <row r="159" spans="1:23" x14ac:dyDescent="0.25">
      <c r="A159">
        <v>22</v>
      </c>
      <c r="B159">
        <v>2019</v>
      </c>
      <c r="C159">
        <v>-1.764018016116248</v>
      </c>
      <c r="D159">
        <v>0.80258437525832049</v>
      </c>
      <c r="E159">
        <v>0.81801616260581456</v>
      </c>
      <c r="F159">
        <v>0.6634093622959889</v>
      </c>
      <c r="G159">
        <v>0.52514264436078373</v>
      </c>
      <c r="H159">
        <v>0.55566513723868272</v>
      </c>
      <c r="I159">
        <v>0.49035757512612699</v>
      </c>
      <c r="J159">
        <v>-1.986508739685457</v>
      </c>
      <c r="K159">
        <v>1.090797042355631</v>
      </c>
      <c r="L159">
        <v>-1.22934168582551</v>
      </c>
      <c r="M159">
        <v>2.2038845100015569</v>
      </c>
      <c r="N159">
        <v>2.1986749019455369</v>
      </c>
      <c r="O159">
        <v>5.393627546352362</v>
      </c>
      <c r="P159">
        <v>5.2096080034971237E-3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</row>
    <row r="160" spans="1:23" x14ac:dyDescent="0.25">
      <c r="A160">
        <v>22</v>
      </c>
      <c r="B160">
        <v>2020</v>
      </c>
      <c r="C160">
        <v>-1.8427194394348461</v>
      </c>
      <c r="D160">
        <v>0.72479118589440672</v>
      </c>
      <c r="E160">
        <v>0.80258437525832049</v>
      </c>
      <c r="F160">
        <v>0.81801616260581456</v>
      </c>
      <c r="G160">
        <v>0.47803380094099979</v>
      </c>
      <c r="H160">
        <v>0.52514264436078373</v>
      </c>
      <c r="I160">
        <v>0.55566513723868272</v>
      </c>
      <c r="J160">
        <v>-1.3426119005236929</v>
      </c>
      <c r="K160">
        <v>1.090797042355631</v>
      </c>
      <c r="L160">
        <v>-1.202562850060513</v>
      </c>
      <c r="M160">
        <v>2.2048166968771068</v>
      </c>
      <c r="N160">
        <v>2.2013663183077949</v>
      </c>
      <c r="O160">
        <v>5.9914645471079817</v>
      </c>
      <c r="P160">
        <v>3.450378542765975E-3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</row>
    <row r="161" spans="1:23" x14ac:dyDescent="0.25">
      <c r="A161">
        <v>22</v>
      </c>
      <c r="B161">
        <v>2021</v>
      </c>
      <c r="C161">
        <v>-1.814326231350831</v>
      </c>
      <c r="D161">
        <v>0.95789322172866853</v>
      </c>
      <c r="E161">
        <v>0.72479118589440672</v>
      </c>
      <c r="F161">
        <v>0.80258437525832049</v>
      </c>
      <c r="G161">
        <v>0.74088917654536646</v>
      </c>
      <c r="H161">
        <v>0.47803380094099979</v>
      </c>
      <c r="I161">
        <v>0.52514264436078373</v>
      </c>
      <c r="J161">
        <v>-0.77723845825946336</v>
      </c>
      <c r="K161">
        <v>1.090797042355631</v>
      </c>
      <c r="L161">
        <v>-1.1732130300297841</v>
      </c>
      <c r="M161">
        <v>2.2067905766247828</v>
      </c>
      <c r="N161">
        <v>2.2024395009996378</v>
      </c>
      <c r="O161">
        <v>6.6846117276679271</v>
      </c>
      <c r="P161">
        <v>4.3510757386684418E-3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</row>
    <row r="162" spans="1:23" x14ac:dyDescent="0.25">
      <c r="A162">
        <v>22</v>
      </c>
      <c r="B162">
        <v>2022</v>
      </c>
      <c r="C162">
        <v>-1.784177638624346</v>
      </c>
      <c r="D162">
        <v>0.9681998366115846</v>
      </c>
      <c r="E162">
        <v>0.95789322172866853</v>
      </c>
      <c r="F162">
        <v>0.72479118589440672</v>
      </c>
      <c r="G162">
        <v>0.71074148896089639</v>
      </c>
      <c r="H162">
        <v>0.74088917654536646</v>
      </c>
      <c r="I162">
        <v>0.47803380094099979</v>
      </c>
      <c r="J162">
        <v>-0.26720680039464911</v>
      </c>
      <c r="K162">
        <v>1.090797042355631</v>
      </c>
      <c r="L162">
        <v>-1.1438969346607319</v>
      </c>
      <c r="M162">
        <v>2.2534517562846741</v>
      </c>
      <c r="N162">
        <v>2.2067905766247828</v>
      </c>
      <c r="O162">
        <v>8.0551577318196781</v>
      </c>
      <c r="P162">
        <v>4.6661179512739182E-2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</row>
    <row r="163" spans="1:23" x14ac:dyDescent="0.25">
      <c r="A163">
        <v>22</v>
      </c>
      <c r="B163">
        <v>2023</v>
      </c>
      <c r="C163">
        <v>-1.665849576435277</v>
      </c>
      <c r="D163">
        <v>0.7437927652288373</v>
      </c>
      <c r="E163">
        <v>0.9681998366115846</v>
      </c>
      <c r="F163">
        <v>0.95789322172866853</v>
      </c>
      <c r="G163">
        <v>0.49743638664697459</v>
      </c>
      <c r="H163">
        <v>0.71074148896089639</v>
      </c>
      <c r="I163">
        <v>0.74088917654536646</v>
      </c>
      <c r="J163">
        <v>0.29546796007280218</v>
      </c>
      <c r="K163">
        <v>1.090797042355631</v>
      </c>
      <c r="L163">
        <v>-1.1046766252508049</v>
      </c>
      <c r="M163">
        <v>2.3083760538358988</v>
      </c>
      <c r="N163">
        <v>2.2534517562846741</v>
      </c>
      <c r="O163">
        <v>8.4658998970286863</v>
      </c>
      <c r="P163">
        <v>5.4924298077821732E-2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</row>
    <row r="164" spans="1:23" x14ac:dyDescent="0.25">
      <c r="A164">
        <v>23</v>
      </c>
      <c r="B164">
        <v>2006</v>
      </c>
      <c r="C164">
        <v>-2.7400225207029112</v>
      </c>
      <c r="D164">
        <v>0.99325177301028345</v>
      </c>
      <c r="E164">
        <v>0.92290878417573041</v>
      </c>
      <c r="F164">
        <v>0.88826155915265215</v>
      </c>
      <c r="G164">
        <v>0.65232518603969014</v>
      </c>
      <c r="H164">
        <v>0.54371866706801619</v>
      </c>
      <c r="I164">
        <v>0.47828177068996119</v>
      </c>
      <c r="J164">
        <v>-11.51292546497023</v>
      </c>
      <c r="K164">
        <v>0.94240070955773636</v>
      </c>
      <c r="L164">
        <v>-2.275966422923585</v>
      </c>
      <c r="M164">
        <v>2.031247207311957</v>
      </c>
      <c r="N164">
        <v>1.9723560596672469</v>
      </c>
      <c r="O164">
        <v>-11.51292546497023</v>
      </c>
      <c r="P164">
        <v>5.8891147375106812E-2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</row>
    <row r="165" spans="1:23" x14ac:dyDescent="0.25">
      <c r="A165">
        <v>23</v>
      </c>
      <c r="B165">
        <v>2007</v>
      </c>
      <c r="C165">
        <v>-2.713468700183479</v>
      </c>
      <c r="D165">
        <v>0.91573057501559185</v>
      </c>
      <c r="E165">
        <v>0.99325177301028345</v>
      </c>
      <c r="F165">
        <v>0.92290878417573041</v>
      </c>
      <c r="G165">
        <v>0.50446544061330811</v>
      </c>
      <c r="H165">
        <v>0.65232518603969014</v>
      </c>
      <c r="I165">
        <v>0.54371866706801619</v>
      </c>
      <c r="J165">
        <v>-11.51292546497023</v>
      </c>
      <c r="K165">
        <v>0.94240070955773636</v>
      </c>
      <c r="L165">
        <v>-2.176155426655149</v>
      </c>
      <c r="M165">
        <v>2.0435463985610518</v>
      </c>
      <c r="N165">
        <v>2.0171424760238659</v>
      </c>
      <c r="O165">
        <v>-11.51292546497023</v>
      </c>
      <c r="P165">
        <v>2.6403922587633133E-2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</row>
    <row r="166" spans="1:23" x14ac:dyDescent="0.25">
      <c r="A166">
        <v>23</v>
      </c>
      <c r="B166">
        <v>2008</v>
      </c>
      <c r="C166">
        <v>-2.6194848246392071</v>
      </c>
      <c r="D166">
        <v>0.8429455456483399</v>
      </c>
      <c r="E166">
        <v>0.91573057501559185</v>
      </c>
      <c r="F166">
        <v>0.99325177301028345</v>
      </c>
      <c r="G166">
        <v>0.49786195737413202</v>
      </c>
      <c r="H166">
        <v>0.50446544061330811</v>
      </c>
      <c r="I166">
        <v>0.65232518603969014</v>
      </c>
      <c r="J166">
        <v>-11.51292546497023</v>
      </c>
      <c r="K166">
        <v>0.94240070955773636</v>
      </c>
      <c r="L166">
        <v>-2.0768434254588288</v>
      </c>
      <c r="M166">
        <v>2.1184752833322422</v>
      </c>
      <c r="N166">
        <v>2.0296377285285612</v>
      </c>
      <c r="O166">
        <v>-11.51292546497023</v>
      </c>
      <c r="P166">
        <v>8.8837556540966034E-2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</row>
    <row r="167" spans="1:23" x14ac:dyDescent="0.25">
      <c r="A167">
        <v>23</v>
      </c>
      <c r="B167">
        <v>2009</v>
      </c>
      <c r="C167">
        <v>-2.5522791844167401</v>
      </c>
      <c r="D167">
        <v>0.78900266620346671</v>
      </c>
      <c r="E167">
        <v>0.8429455456483399</v>
      </c>
      <c r="F167">
        <v>0.91573057501559185</v>
      </c>
      <c r="G167">
        <v>0.44462171664268602</v>
      </c>
      <c r="H167">
        <v>0.49786195737413202</v>
      </c>
      <c r="I167">
        <v>0.50446544061330811</v>
      </c>
      <c r="J167">
        <v>-11.51292546497023</v>
      </c>
      <c r="K167">
        <v>0.94240070955773636</v>
      </c>
      <c r="L167">
        <v>-1.96366765203261</v>
      </c>
      <c r="M167">
        <v>2.142870807876518</v>
      </c>
      <c r="N167">
        <v>2.1070292151570942</v>
      </c>
      <c r="O167">
        <v>-11.51292546497023</v>
      </c>
      <c r="P167">
        <v>3.5841591656208038E-2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</row>
    <row r="168" spans="1:23" x14ac:dyDescent="0.25">
      <c r="A168">
        <v>23</v>
      </c>
      <c r="B168">
        <v>2010</v>
      </c>
      <c r="C168">
        <v>-2.3428914998236441</v>
      </c>
      <c r="D168">
        <v>0.766397642299538</v>
      </c>
      <c r="E168">
        <v>0.78900266620346671</v>
      </c>
      <c r="F168">
        <v>0.8429455456483399</v>
      </c>
      <c r="G168">
        <v>0.44654306986601078</v>
      </c>
      <c r="H168">
        <v>0.44462171664268602</v>
      </c>
      <c r="I168">
        <v>0.49786195737413202</v>
      </c>
      <c r="J168">
        <v>-9.0523970759305676</v>
      </c>
      <c r="K168">
        <v>0.94240070955773636</v>
      </c>
      <c r="L168">
        <v>-1.822121436694923</v>
      </c>
      <c r="M168">
        <v>2.2290539697095291</v>
      </c>
      <c r="N168">
        <v>2.1439040037276569</v>
      </c>
      <c r="O168">
        <v>-11.51292546497023</v>
      </c>
      <c r="P168">
        <v>8.5149966180324554E-2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</row>
    <row r="169" spans="1:23" x14ac:dyDescent="0.25">
      <c r="A169">
        <v>23</v>
      </c>
      <c r="B169">
        <v>2011</v>
      </c>
      <c r="C169">
        <v>-2.2019487102344648</v>
      </c>
      <c r="D169">
        <v>0.73706836761787342</v>
      </c>
      <c r="E169">
        <v>0.766397642299538</v>
      </c>
      <c r="F169">
        <v>0.78900266620346671</v>
      </c>
      <c r="G169">
        <v>0.49255981495909817</v>
      </c>
      <c r="H169">
        <v>0.44654306986601078</v>
      </c>
      <c r="I169">
        <v>0.44462171664268602</v>
      </c>
      <c r="J169">
        <v>-7.441924899047299</v>
      </c>
      <c r="K169">
        <v>0.94240070955773636</v>
      </c>
      <c r="L169">
        <v>-1.6897625030897661</v>
      </c>
      <c r="M169">
        <v>2.272910098304564</v>
      </c>
      <c r="N169">
        <v>2.2300882341585</v>
      </c>
      <c r="O169">
        <v>-11.51292546497023</v>
      </c>
      <c r="P169">
        <v>4.2821865528821945E-2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</row>
    <row r="170" spans="1:23" x14ac:dyDescent="0.25">
      <c r="A170">
        <v>23</v>
      </c>
      <c r="B170">
        <v>2012</v>
      </c>
      <c r="C170">
        <v>-2.0384463184817809</v>
      </c>
      <c r="D170">
        <v>0.67666204430008292</v>
      </c>
      <c r="E170">
        <v>0.73706836761787342</v>
      </c>
      <c r="F170">
        <v>0.766397642299538</v>
      </c>
      <c r="G170">
        <v>0.44980092192821608</v>
      </c>
      <c r="H170">
        <v>0.49255981495909817</v>
      </c>
      <c r="I170">
        <v>0.44654306986601078</v>
      </c>
      <c r="J170">
        <v>-7.1143053453331477</v>
      </c>
      <c r="K170">
        <v>0.94240070955773636</v>
      </c>
      <c r="L170">
        <v>-1.5917296205276319</v>
      </c>
      <c r="M170">
        <v>2.2656392122203219</v>
      </c>
      <c r="N170">
        <v>2.2640574153974211</v>
      </c>
      <c r="O170">
        <v>-11.51292546497023</v>
      </c>
      <c r="P170">
        <v>1.5817967941984534E-3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</row>
    <row r="171" spans="1:23" x14ac:dyDescent="0.25">
      <c r="A171">
        <v>23</v>
      </c>
      <c r="B171">
        <v>2013</v>
      </c>
      <c r="C171">
        <v>-1.9764717302603569</v>
      </c>
      <c r="D171">
        <v>0.6660842610102562</v>
      </c>
      <c r="E171">
        <v>0.67666204430008292</v>
      </c>
      <c r="F171">
        <v>0.73706836761787342</v>
      </c>
      <c r="G171">
        <v>0.46812686923287539</v>
      </c>
      <c r="H171">
        <v>0.44980092192821608</v>
      </c>
      <c r="I171">
        <v>0.49255981495909817</v>
      </c>
      <c r="J171">
        <v>-6.2468561426310938</v>
      </c>
      <c r="K171">
        <v>0.94240070955773636</v>
      </c>
      <c r="L171">
        <v>-1.5165408069304569</v>
      </c>
      <c r="M171">
        <v>2.290664946370319</v>
      </c>
      <c r="N171">
        <v>2.2457852199213981</v>
      </c>
      <c r="O171">
        <v>-11.51292546497023</v>
      </c>
      <c r="P171">
        <v>4.4879727065563202E-2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</row>
    <row r="172" spans="1:23" x14ac:dyDescent="0.25">
      <c r="A172">
        <v>23</v>
      </c>
      <c r="B172">
        <v>2014</v>
      </c>
      <c r="C172">
        <v>-1.8804784092060529</v>
      </c>
      <c r="D172">
        <v>0.6553933909480294</v>
      </c>
      <c r="E172">
        <v>0.6660842610102562</v>
      </c>
      <c r="F172">
        <v>0.67666204430008292</v>
      </c>
      <c r="G172">
        <v>0.46033200954900449</v>
      </c>
      <c r="H172">
        <v>0.46812686923287539</v>
      </c>
      <c r="I172">
        <v>0.44980092192821608</v>
      </c>
      <c r="J172">
        <v>-5.4764399171390501</v>
      </c>
      <c r="K172">
        <v>0.94240070955773636</v>
      </c>
      <c r="L172">
        <v>-1.440590910345094</v>
      </c>
      <c r="M172">
        <v>2.3528668534425492</v>
      </c>
      <c r="N172">
        <v>2.2833766032743652</v>
      </c>
      <c r="O172">
        <v>-11.51292546497023</v>
      </c>
      <c r="P172">
        <v>6.9490246474742889E-2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</row>
    <row r="173" spans="1:23" x14ac:dyDescent="0.25">
      <c r="A173">
        <v>23</v>
      </c>
      <c r="B173">
        <v>2015</v>
      </c>
      <c r="C173">
        <v>-1.900325340922125</v>
      </c>
      <c r="D173">
        <v>0.69713920182948275</v>
      </c>
      <c r="E173">
        <v>0.6553933909480294</v>
      </c>
      <c r="F173">
        <v>0.6660842610102562</v>
      </c>
      <c r="G173">
        <v>0.44455760791426069</v>
      </c>
      <c r="H173">
        <v>0.46033200954900449</v>
      </c>
      <c r="I173">
        <v>0.46812686923287539</v>
      </c>
      <c r="J173">
        <v>-5.0869742562594968</v>
      </c>
      <c r="K173">
        <v>0.94240070955773636</v>
      </c>
      <c r="L173">
        <v>-1.3804406487253209</v>
      </c>
      <c r="M173">
        <v>2.308634800602293</v>
      </c>
      <c r="N173">
        <v>2.345917241733849</v>
      </c>
      <c r="O173">
        <v>-11.51292546497023</v>
      </c>
      <c r="P173">
        <v>-3.7282440811395645E-2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</row>
    <row r="174" spans="1:23" x14ac:dyDescent="0.25">
      <c r="A174">
        <v>23</v>
      </c>
      <c r="B174">
        <v>2016</v>
      </c>
      <c r="C174">
        <v>-1.876780802351339</v>
      </c>
      <c r="D174">
        <v>0.76127300960754574</v>
      </c>
      <c r="E174">
        <v>0.69713920182948275</v>
      </c>
      <c r="F174">
        <v>0.6553933909480294</v>
      </c>
      <c r="G174">
        <v>0.56713033997645834</v>
      </c>
      <c r="H174">
        <v>0.44455760791426069</v>
      </c>
      <c r="I174">
        <v>0.46033200954900449</v>
      </c>
      <c r="J174">
        <v>-4.7314863869233648</v>
      </c>
      <c r="K174">
        <v>0.94240070955773636</v>
      </c>
      <c r="L174">
        <v>-1.34328618401536</v>
      </c>
      <c r="M174">
        <v>2.282031132172003</v>
      </c>
      <c r="N174">
        <v>2.3020080027038801</v>
      </c>
      <c r="O174">
        <v>-11.51292546497023</v>
      </c>
      <c r="P174">
        <v>-1.9976871088147163E-2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</row>
    <row r="175" spans="1:23" x14ac:dyDescent="0.25">
      <c r="A175">
        <v>23</v>
      </c>
      <c r="B175">
        <v>2017</v>
      </c>
      <c r="C175">
        <v>-1.8762247898236599</v>
      </c>
      <c r="D175">
        <v>0.73730759634559995</v>
      </c>
      <c r="E175">
        <v>0.76127300960754574</v>
      </c>
      <c r="F175">
        <v>0.69713920182948275</v>
      </c>
      <c r="G175">
        <v>0.55348273343197063</v>
      </c>
      <c r="H175">
        <v>0.56713033997645834</v>
      </c>
      <c r="I175">
        <v>0.44455760791426069</v>
      </c>
      <c r="J175">
        <v>-4.0768126881465969</v>
      </c>
      <c r="K175">
        <v>0.94240070955773636</v>
      </c>
      <c r="L175">
        <v>-1.3129630208470151</v>
      </c>
      <c r="M175">
        <v>2.306030019327109</v>
      </c>
      <c r="N175">
        <v>2.275714762023346</v>
      </c>
      <c r="O175">
        <v>-11.51292546497023</v>
      </c>
      <c r="P175">
        <v>3.0315257608890533E-2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</row>
    <row r="176" spans="1:23" x14ac:dyDescent="0.25">
      <c r="A176">
        <v>23</v>
      </c>
      <c r="B176">
        <v>2018</v>
      </c>
      <c r="C176">
        <v>-1.9205895670859261</v>
      </c>
      <c r="D176">
        <v>0.83594797919161656</v>
      </c>
      <c r="E176">
        <v>0.73730759634559995</v>
      </c>
      <c r="F176">
        <v>0.76127300960754574</v>
      </c>
      <c r="G176">
        <v>0.61003727383693873</v>
      </c>
      <c r="H176">
        <v>0.55348273343197063</v>
      </c>
      <c r="I176">
        <v>0.56713033997645834</v>
      </c>
      <c r="J176">
        <v>-3.6410794980560079</v>
      </c>
      <c r="K176">
        <v>0.94240070955773636</v>
      </c>
      <c r="L176">
        <v>-1.2814082160523841</v>
      </c>
      <c r="M176">
        <v>2.3085327992865792</v>
      </c>
      <c r="N176">
        <v>2.299930457138661</v>
      </c>
      <c r="O176">
        <v>3.2580965380214821</v>
      </c>
      <c r="P176">
        <v>8.6023425683379173E-3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</row>
    <row r="177" spans="1:23" x14ac:dyDescent="0.25">
      <c r="A177">
        <v>23</v>
      </c>
      <c r="B177">
        <v>2019</v>
      </c>
      <c r="C177">
        <v>-1.885905559529534</v>
      </c>
      <c r="D177">
        <v>0.79818264339382605</v>
      </c>
      <c r="E177">
        <v>0.83594797919161656</v>
      </c>
      <c r="F177">
        <v>0.73730759634559995</v>
      </c>
      <c r="G177">
        <v>0.59801198544490664</v>
      </c>
      <c r="H177">
        <v>0.61003727383693873</v>
      </c>
      <c r="I177">
        <v>0.55348273343197063</v>
      </c>
      <c r="J177">
        <v>-2.908948471981462</v>
      </c>
      <c r="K177">
        <v>0.94240070955773636</v>
      </c>
      <c r="L177">
        <v>-1.2479508548670499</v>
      </c>
      <c r="M177">
        <v>2.308993984237167</v>
      </c>
      <c r="N177">
        <v>2.302334422007946</v>
      </c>
      <c r="O177">
        <v>5.393627546352362</v>
      </c>
      <c r="P177">
        <v>6.6595622338354588E-3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</row>
    <row r="178" spans="1:23" x14ac:dyDescent="0.25">
      <c r="A178">
        <v>23</v>
      </c>
      <c r="B178">
        <v>2020</v>
      </c>
      <c r="C178">
        <v>-1.972287231124215</v>
      </c>
      <c r="D178">
        <v>0.72706539876340592</v>
      </c>
      <c r="E178">
        <v>0.79818264339382605</v>
      </c>
      <c r="F178">
        <v>0.83594797919161656</v>
      </c>
      <c r="G178">
        <v>0.53467885978815022</v>
      </c>
      <c r="H178">
        <v>0.59801198544490664</v>
      </c>
      <c r="I178">
        <v>0.61003727383693873</v>
      </c>
      <c r="J178">
        <v>-2.3165166256601419</v>
      </c>
      <c r="K178">
        <v>0.94240070955773636</v>
      </c>
      <c r="L178">
        <v>-1.2230636868595159</v>
      </c>
      <c r="M178">
        <v>2.2604783764800769</v>
      </c>
      <c r="N178">
        <v>2.3029866015401592</v>
      </c>
      <c r="O178">
        <v>5.9914645471079817</v>
      </c>
      <c r="P178">
        <v>-4.250822588801384E-2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</row>
    <row r="179" spans="1:23" x14ac:dyDescent="0.25">
      <c r="A179">
        <v>23</v>
      </c>
      <c r="B179">
        <v>2021</v>
      </c>
      <c r="C179">
        <v>-1.941188736177095</v>
      </c>
      <c r="D179">
        <v>0.91776963775355425</v>
      </c>
      <c r="E179">
        <v>0.72706539876340592</v>
      </c>
      <c r="F179">
        <v>0.79818264339382605</v>
      </c>
      <c r="G179">
        <v>0.75902854967345812</v>
      </c>
      <c r="H179">
        <v>0.53467885978815022</v>
      </c>
      <c r="I179">
        <v>0.59801198544490664</v>
      </c>
      <c r="J179">
        <v>-1.7301286688154971</v>
      </c>
      <c r="K179">
        <v>0.94240070955773636</v>
      </c>
      <c r="L179">
        <v>-1.199099363373487</v>
      </c>
      <c r="M179">
        <v>2.2869410639737482</v>
      </c>
      <c r="N179">
        <v>2.2546743749546869</v>
      </c>
      <c r="O179">
        <v>6.6846117276679271</v>
      </c>
      <c r="P179">
        <v>3.2266687601804733E-2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</row>
    <row r="180" spans="1:23" x14ac:dyDescent="0.25">
      <c r="A180">
        <v>23</v>
      </c>
      <c r="B180">
        <v>2022</v>
      </c>
      <c r="C180">
        <v>-1.865273851998017</v>
      </c>
      <c r="D180">
        <v>0.92271008367633833</v>
      </c>
      <c r="E180">
        <v>0.91776963775355425</v>
      </c>
      <c r="F180">
        <v>0.72706539876340592</v>
      </c>
      <c r="G180">
        <v>0.75724810596646897</v>
      </c>
      <c r="H180">
        <v>0.75902854967345812</v>
      </c>
      <c r="I180">
        <v>0.53467885978815022</v>
      </c>
      <c r="J180">
        <v>-1.2570011084986299</v>
      </c>
      <c r="K180">
        <v>0.94240070955773636</v>
      </c>
      <c r="L180">
        <v>-1.1721363853870821</v>
      </c>
      <c r="M180">
        <v>2.2964373068991701</v>
      </c>
      <c r="N180">
        <v>2.2869410639737482</v>
      </c>
      <c r="O180">
        <v>8.0551577318196781</v>
      </c>
      <c r="P180">
        <v>9.4962427392601967E-3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</row>
    <row r="181" spans="1:23" x14ac:dyDescent="0.25">
      <c r="A181">
        <v>23</v>
      </c>
      <c r="B181">
        <v>2023</v>
      </c>
      <c r="C181">
        <v>-1.8008710027392021</v>
      </c>
      <c r="D181">
        <v>0.79908253096861415</v>
      </c>
      <c r="E181">
        <v>0.92271008367633833</v>
      </c>
      <c r="F181">
        <v>0.91776963775355425</v>
      </c>
      <c r="G181">
        <v>0.56984896421545173</v>
      </c>
      <c r="H181">
        <v>0.75724810596646897</v>
      </c>
      <c r="I181">
        <v>0.75902854967345812</v>
      </c>
      <c r="J181">
        <v>-0.7159780079589585</v>
      </c>
      <c r="K181">
        <v>0.94240070955773636</v>
      </c>
      <c r="L181">
        <v>-1.1419418669119821</v>
      </c>
      <c r="M181">
        <v>2.329789097685202</v>
      </c>
      <c r="N181">
        <v>2.2964373068991701</v>
      </c>
      <c r="O181">
        <v>8.4658998970286863</v>
      </c>
      <c r="P181">
        <v>3.335179015994072E-2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</row>
    <row r="182" spans="1:23" x14ac:dyDescent="0.25">
      <c r="A182">
        <v>24</v>
      </c>
      <c r="B182">
        <v>2006</v>
      </c>
      <c r="C182">
        <v>-2.4349504883525261</v>
      </c>
      <c r="D182">
        <v>0.96317431777300555</v>
      </c>
      <c r="E182">
        <v>0.88107797611841054</v>
      </c>
      <c r="F182">
        <v>0.82342955082286751</v>
      </c>
      <c r="G182">
        <v>0.636576829071551</v>
      </c>
      <c r="H182">
        <v>0.53168651443331993</v>
      </c>
      <c r="I182">
        <v>0.42983246455645868</v>
      </c>
      <c r="J182">
        <v>-11.51292546497023</v>
      </c>
      <c r="K182">
        <v>0.60360268067701006</v>
      </c>
      <c r="L182">
        <v>-2.1371338032071021</v>
      </c>
      <c r="M182">
        <v>2.315615472719339</v>
      </c>
      <c r="N182">
        <v>2.2445335580631198</v>
      </c>
      <c r="O182">
        <v>-11.51292546497023</v>
      </c>
      <c r="P182">
        <v>7.1081914007663727E-2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</row>
    <row r="183" spans="1:23" x14ac:dyDescent="0.25">
      <c r="A183">
        <v>24</v>
      </c>
      <c r="B183">
        <v>2007</v>
      </c>
      <c r="C183">
        <v>-2.424065218979786</v>
      </c>
      <c r="D183">
        <v>0.8924487573885842</v>
      </c>
      <c r="E183">
        <v>0.96317431777300555</v>
      </c>
      <c r="F183">
        <v>0.88107797611841054</v>
      </c>
      <c r="G183">
        <v>0.45717165043035718</v>
      </c>
      <c r="H183">
        <v>0.636576829071551</v>
      </c>
      <c r="I183">
        <v>0.53168651443331993</v>
      </c>
      <c r="J183">
        <v>-11.51292546497023</v>
      </c>
      <c r="K183">
        <v>0.60360268067701006</v>
      </c>
      <c r="L183">
        <v>-2.008082809411563</v>
      </c>
      <c r="M183">
        <v>2.3825274780410539</v>
      </c>
      <c r="N183">
        <v>2.3053722953143039</v>
      </c>
      <c r="O183">
        <v>-11.51292546497023</v>
      </c>
      <c r="P183">
        <v>7.7155180275440216E-2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</row>
    <row r="184" spans="1:23" x14ac:dyDescent="0.25">
      <c r="A184">
        <v>24</v>
      </c>
      <c r="B184">
        <v>2008</v>
      </c>
      <c r="C184">
        <v>-2.32403325281124</v>
      </c>
      <c r="D184">
        <v>0.85070633066131007</v>
      </c>
      <c r="E184">
        <v>0.8924487573885842</v>
      </c>
      <c r="F184">
        <v>0.96317431777300555</v>
      </c>
      <c r="G184">
        <v>0.49237648009746082</v>
      </c>
      <c r="H184">
        <v>0.45717165043035718</v>
      </c>
      <c r="I184">
        <v>0.636576829071551</v>
      </c>
      <c r="J184">
        <v>-11.51292546497023</v>
      </c>
      <c r="K184">
        <v>0.60360268067701006</v>
      </c>
      <c r="L184">
        <v>-1.8931114226758019</v>
      </c>
      <c r="M184">
        <v>2.3817833481987249</v>
      </c>
      <c r="N184">
        <v>2.3723881603646371</v>
      </c>
      <c r="O184">
        <v>-11.51292546497023</v>
      </c>
      <c r="P184">
        <v>9.395187720656395E-3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</row>
    <row r="185" spans="1:23" x14ac:dyDescent="0.25">
      <c r="A185">
        <v>24</v>
      </c>
      <c r="B185">
        <v>2009</v>
      </c>
      <c r="C185">
        <v>-2.2391758099955328</v>
      </c>
      <c r="D185">
        <v>0.80848277923984968</v>
      </c>
      <c r="E185">
        <v>0.85070633066131007</v>
      </c>
      <c r="F185">
        <v>0.8924487573885842</v>
      </c>
      <c r="G185">
        <v>0.46115206952241822</v>
      </c>
      <c r="H185">
        <v>0.49237648009746082</v>
      </c>
      <c r="I185">
        <v>0.45717165043035718</v>
      </c>
      <c r="J185">
        <v>-11.51292546497023</v>
      </c>
      <c r="K185">
        <v>0.60360268067701006</v>
      </c>
      <c r="L185">
        <v>-1.793837456195611</v>
      </c>
      <c r="M185">
        <v>2.3695177165425099</v>
      </c>
      <c r="N185">
        <v>2.3718200644428848</v>
      </c>
      <c r="O185">
        <v>-11.51292546497023</v>
      </c>
      <c r="P185">
        <v>-2.3023479152470827E-3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</row>
    <row r="186" spans="1:23" x14ac:dyDescent="0.25">
      <c r="A186">
        <v>24</v>
      </c>
      <c r="B186">
        <v>2010</v>
      </c>
      <c r="C186">
        <v>-2.0605872757379622</v>
      </c>
      <c r="D186">
        <v>0.78522486876085318</v>
      </c>
      <c r="E186">
        <v>0.80848277923984968</v>
      </c>
      <c r="F186">
        <v>0.85070633066131007</v>
      </c>
      <c r="G186">
        <v>0.47237581339079121</v>
      </c>
      <c r="H186">
        <v>0.46115206952241822</v>
      </c>
      <c r="I186">
        <v>0.49237648009746082</v>
      </c>
      <c r="J186">
        <v>-8.0608870024461652</v>
      </c>
      <c r="K186">
        <v>0.60360268067701006</v>
      </c>
      <c r="L186">
        <v>-1.6886326266371581</v>
      </c>
      <c r="M186">
        <v>2.4354991821506609</v>
      </c>
      <c r="N186">
        <v>2.359825365180205</v>
      </c>
      <c r="O186">
        <v>-11.51292546497023</v>
      </c>
      <c r="P186">
        <v>7.5673818588256836E-2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</row>
    <row r="187" spans="1:23" x14ac:dyDescent="0.25">
      <c r="A187">
        <v>24</v>
      </c>
      <c r="B187">
        <v>2011</v>
      </c>
      <c r="C187">
        <v>-1.887333588368725</v>
      </c>
      <c r="D187">
        <v>0.73706836761787342</v>
      </c>
      <c r="E187">
        <v>0.78522486876085318</v>
      </c>
      <c r="F187">
        <v>0.80848277923984968</v>
      </c>
      <c r="G187">
        <v>0.53397558366469022</v>
      </c>
      <c r="H187">
        <v>0.47237581339079121</v>
      </c>
      <c r="I187">
        <v>0.46115206952241822</v>
      </c>
      <c r="J187">
        <v>-6.2787268439663473</v>
      </c>
      <c r="K187">
        <v>0.60360268067701006</v>
      </c>
      <c r="L187">
        <v>-1.598679576902704</v>
      </c>
      <c r="M187">
        <v>2.4707618300385872</v>
      </c>
      <c r="N187">
        <v>2.4258998714023359</v>
      </c>
      <c r="O187">
        <v>-11.51292546497023</v>
      </c>
      <c r="P187">
        <v>4.4861957430839539E-2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</row>
    <row r="188" spans="1:23" x14ac:dyDescent="0.25">
      <c r="A188">
        <v>24</v>
      </c>
      <c r="B188">
        <v>2012</v>
      </c>
      <c r="C188">
        <v>-1.7483490252738081</v>
      </c>
      <c r="D188">
        <v>0.67294447324242579</v>
      </c>
      <c r="E188">
        <v>0.73706836761787342</v>
      </c>
      <c r="F188">
        <v>0.78522486876085318</v>
      </c>
      <c r="G188">
        <v>0.48168513401957352</v>
      </c>
      <c r="H188">
        <v>0.53397558366469022</v>
      </c>
      <c r="I188">
        <v>0.47237581339079121</v>
      </c>
      <c r="J188">
        <v>-5.8824547884624812</v>
      </c>
      <c r="K188">
        <v>0.60360268067701006</v>
      </c>
      <c r="L188">
        <v>-1.51478770487112</v>
      </c>
      <c r="M188">
        <v>2.509297514626756</v>
      </c>
      <c r="N188">
        <v>2.4615687774342709</v>
      </c>
      <c r="O188">
        <v>-11.51292546497023</v>
      </c>
      <c r="P188">
        <v>4.7728735953569412E-2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</row>
    <row r="189" spans="1:23" x14ac:dyDescent="0.25">
      <c r="A189">
        <v>24</v>
      </c>
      <c r="B189">
        <v>2013</v>
      </c>
      <c r="C189">
        <v>-1.7176212697949069</v>
      </c>
      <c r="D189">
        <v>0.68006194101128981</v>
      </c>
      <c r="E189">
        <v>0.67294447324242579</v>
      </c>
      <c r="F189">
        <v>0.73706836761787342</v>
      </c>
      <c r="G189">
        <v>0.50603416302985993</v>
      </c>
      <c r="H189">
        <v>0.48168513401957352</v>
      </c>
      <c r="I189">
        <v>0.53397558366469022</v>
      </c>
      <c r="J189">
        <v>-5.079319673559997</v>
      </c>
      <c r="K189">
        <v>0.60360268067701006</v>
      </c>
      <c r="L189">
        <v>-1.475912521678826</v>
      </c>
      <c r="M189">
        <v>2.497149251437806</v>
      </c>
      <c r="N189">
        <v>2.4651347691420278</v>
      </c>
      <c r="O189">
        <v>-11.51292546497023</v>
      </c>
      <c r="P189">
        <v>3.2014481723308563E-2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</row>
    <row r="190" spans="1:23" x14ac:dyDescent="0.25">
      <c r="A190">
        <v>24</v>
      </c>
      <c r="B190">
        <v>2014</v>
      </c>
      <c r="C190">
        <v>-1.6534556585645781</v>
      </c>
      <c r="D190">
        <v>0.66870078765501906</v>
      </c>
      <c r="E190">
        <v>0.68006194101128981</v>
      </c>
      <c r="F190">
        <v>0.67294447324242579</v>
      </c>
      <c r="G190">
        <v>0.52330740126804653</v>
      </c>
      <c r="H190">
        <v>0.50603416302985993</v>
      </c>
      <c r="I190">
        <v>0.48168513401957352</v>
      </c>
      <c r="J190">
        <v>-4.4204584579360944</v>
      </c>
      <c r="K190">
        <v>0.60360268067701006</v>
      </c>
      <c r="L190">
        <v>-1.413824844881286</v>
      </c>
      <c r="M190">
        <v>2.458882208951175</v>
      </c>
      <c r="N190">
        <v>2.4869608380808188</v>
      </c>
      <c r="O190">
        <v>-11.51292546497023</v>
      </c>
      <c r="P190">
        <v>-2.8078628703951836E-2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</row>
    <row r="191" spans="1:23" x14ac:dyDescent="0.25">
      <c r="A191">
        <v>24</v>
      </c>
      <c r="B191">
        <v>2015</v>
      </c>
      <c r="C191">
        <v>-1.674943828750509</v>
      </c>
      <c r="D191">
        <v>0.67365850397608285</v>
      </c>
      <c r="E191">
        <v>0.66870078765501906</v>
      </c>
      <c r="F191">
        <v>0.68006194101128981</v>
      </c>
      <c r="G191">
        <v>0.45203057725548518</v>
      </c>
      <c r="H191">
        <v>0.52330740126804653</v>
      </c>
      <c r="I191">
        <v>0.50603416302985993</v>
      </c>
      <c r="J191">
        <v>-4.0167244329673659</v>
      </c>
      <c r="K191">
        <v>0.60360268067701006</v>
      </c>
      <c r="L191">
        <v>-1.3656918586521201</v>
      </c>
      <c r="M191">
        <v>2.4341584669458749</v>
      </c>
      <c r="N191">
        <v>2.4490539155791202</v>
      </c>
      <c r="O191">
        <v>-11.51292546497023</v>
      </c>
      <c r="P191">
        <v>-1.4895448461174965E-2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</row>
    <row r="192" spans="1:23" x14ac:dyDescent="0.25">
      <c r="A192">
        <v>24</v>
      </c>
      <c r="B192">
        <v>2016</v>
      </c>
      <c r="C192">
        <v>-1.6737951702802141</v>
      </c>
      <c r="D192">
        <v>0.74060312171624065</v>
      </c>
      <c r="E192">
        <v>0.67365850397608285</v>
      </c>
      <c r="F192">
        <v>0.66870078765501906</v>
      </c>
      <c r="G192">
        <v>0.55778554262926883</v>
      </c>
      <c r="H192">
        <v>0.45203057725548518</v>
      </c>
      <c r="I192">
        <v>0.52330740126804653</v>
      </c>
      <c r="J192">
        <v>-3.676012367980952</v>
      </c>
      <c r="K192">
        <v>0.60360268067701006</v>
      </c>
      <c r="L192">
        <v>-1.3317652697381079</v>
      </c>
      <c r="M192">
        <v>2.3882586401077348</v>
      </c>
      <c r="N192">
        <v>2.4246681024991741</v>
      </c>
      <c r="O192">
        <v>-11.51292546497023</v>
      </c>
      <c r="P192">
        <v>-3.6409463733434677E-2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</row>
    <row r="193" spans="1:23" x14ac:dyDescent="0.25">
      <c r="A193">
        <v>24</v>
      </c>
      <c r="B193">
        <v>2017</v>
      </c>
      <c r="C193">
        <v>-1.6687327971979049</v>
      </c>
      <c r="D193">
        <v>0.71935084605658173</v>
      </c>
      <c r="E193">
        <v>0.74060312171624065</v>
      </c>
      <c r="F193">
        <v>0.67365850397608285</v>
      </c>
      <c r="G193">
        <v>0.53807107265618603</v>
      </c>
      <c r="H193">
        <v>0.55778554262926883</v>
      </c>
      <c r="I193">
        <v>0.45203057725548518</v>
      </c>
      <c r="J193">
        <v>-3.0208535490691468</v>
      </c>
      <c r="K193">
        <v>0.60360268067701006</v>
      </c>
      <c r="L193">
        <v>-1.298643706120147</v>
      </c>
      <c r="M193">
        <v>2.4177344275341879</v>
      </c>
      <c r="N193">
        <v>2.3790907169950879</v>
      </c>
      <c r="O193">
        <v>-11.51292546497023</v>
      </c>
      <c r="P193">
        <v>3.8643710315227509E-2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</row>
    <row r="194" spans="1:23" x14ac:dyDescent="0.25">
      <c r="A194">
        <v>24</v>
      </c>
      <c r="B194">
        <v>2018</v>
      </c>
      <c r="C194">
        <v>-1.744181599365112</v>
      </c>
      <c r="D194">
        <v>0.81801616260581456</v>
      </c>
      <c r="E194">
        <v>0.71935084605658173</v>
      </c>
      <c r="F194">
        <v>0.74060312171624065</v>
      </c>
      <c r="G194">
        <v>0.57605140868369809</v>
      </c>
      <c r="H194">
        <v>0.53807107265618603</v>
      </c>
      <c r="I194">
        <v>0.55778554262926883</v>
      </c>
      <c r="J194">
        <v>-2.5672543911367551</v>
      </c>
      <c r="K194">
        <v>0.60360268067701006</v>
      </c>
      <c r="L194">
        <v>-1.2524127864998951</v>
      </c>
      <c r="M194">
        <v>2.422378828415336</v>
      </c>
      <c r="N194">
        <v>2.4257484835689902</v>
      </c>
      <c r="O194">
        <v>3.2580965380214821</v>
      </c>
      <c r="P194">
        <v>-3.3696552272886038E-3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</row>
    <row r="195" spans="1:23" x14ac:dyDescent="0.25">
      <c r="A195">
        <v>24</v>
      </c>
      <c r="B195">
        <v>2019</v>
      </c>
      <c r="C195">
        <v>-1.7319081974415671</v>
      </c>
      <c r="D195">
        <v>0.79154350241613858</v>
      </c>
      <c r="E195">
        <v>0.81801616260581456</v>
      </c>
      <c r="F195">
        <v>0.71935084605658173</v>
      </c>
      <c r="G195">
        <v>0.57340597894739664</v>
      </c>
      <c r="H195">
        <v>0.57605140868369809</v>
      </c>
      <c r="I195">
        <v>0.53807107265618603</v>
      </c>
      <c r="J195">
        <v>-1.8238802548908231</v>
      </c>
      <c r="K195">
        <v>0.60360268067701006</v>
      </c>
      <c r="L195">
        <v>-1.223270775918895</v>
      </c>
      <c r="M195">
        <v>2.4362066432551361</v>
      </c>
      <c r="N195">
        <v>2.4144075448583329</v>
      </c>
      <c r="O195">
        <v>5.393627546352362</v>
      </c>
      <c r="P195">
        <v>2.1799098700284958E-2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</row>
    <row r="196" spans="1:23" x14ac:dyDescent="0.25">
      <c r="A196">
        <v>24</v>
      </c>
      <c r="B196">
        <v>2020</v>
      </c>
      <c r="C196">
        <v>-1.81103430428288</v>
      </c>
      <c r="D196">
        <v>0.74507527342030444</v>
      </c>
      <c r="E196">
        <v>0.79154350241613858</v>
      </c>
      <c r="F196">
        <v>0.81801616260581456</v>
      </c>
      <c r="G196">
        <v>0.52915658045071412</v>
      </c>
      <c r="H196">
        <v>0.57340597894739664</v>
      </c>
      <c r="I196">
        <v>0.57605140868369809</v>
      </c>
      <c r="J196">
        <v>-1.2525267312583299</v>
      </c>
      <c r="K196">
        <v>0.60360268067701006</v>
      </c>
      <c r="L196">
        <v>-1.2030013353163891</v>
      </c>
      <c r="M196">
        <v>2.3690953343502521</v>
      </c>
      <c r="N196">
        <v>2.4284486352555081</v>
      </c>
      <c r="O196">
        <v>5.9914645471079817</v>
      </c>
      <c r="P196">
        <v>-5.93532994389534E-2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</row>
    <row r="197" spans="1:23" x14ac:dyDescent="0.25">
      <c r="A197">
        <v>24</v>
      </c>
      <c r="B197">
        <v>2021</v>
      </c>
      <c r="C197">
        <v>-1.788809764201982</v>
      </c>
      <c r="D197">
        <v>0.95624194737638279</v>
      </c>
      <c r="E197">
        <v>0.74507527342030444</v>
      </c>
      <c r="F197">
        <v>0.79154350241613858</v>
      </c>
      <c r="G197">
        <v>0.78472312404715483</v>
      </c>
      <c r="H197">
        <v>0.52915658045071412</v>
      </c>
      <c r="I197">
        <v>0.57340597894739664</v>
      </c>
      <c r="J197">
        <v>-0.71096996834871751</v>
      </c>
      <c r="K197">
        <v>0.60360268067701006</v>
      </c>
      <c r="L197">
        <v>-1.179439725978024</v>
      </c>
      <c r="M197">
        <v>2.3524061814011019</v>
      </c>
      <c r="N197">
        <v>2.3615582320765669</v>
      </c>
      <c r="O197">
        <v>6.6846117276679271</v>
      </c>
      <c r="P197">
        <v>-9.1520510613918304E-3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</row>
    <row r="198" spans="1:23" x14ac:dyDescent="0.25">
      <c r="A198">
        <v>24</v>
      </c>
      <c r="B198">
        <v>2022</v>
      </c>
      <c r="C198">
        <v>-1.752015770360724</v>
      </c>
      <c r="D198">
        <v>0.95896700615459141</v>
      </c>
      <c r="E198">
        <v>0.95624194737638279</v>
      </c>
      <c r="F198">
        <v>0.74507527342030444</v>
      </c>
      <c r="G198">
        <v>0.75912216948347822</v>
      </c>
      <c r="H198">
        <v>0.78472312404715483</v>
      </c>
      <c r="I198">
        <v>0.52915658045071412</v>
      </c>
      <c r="J198">
        <v>-0.1727360987302094</v>
      </c>
      <c r="K198">
        <v>0.60360268067701006</v>
      </c>
      <c r="L198">
        <v>-1.1500920847820439</v>
      </c>
      <c r="M198">
        <v>2.4272900357337601</v>
      </c>
      <c r="N198">
        <v>2.3524061814011019</v>
      </c>
      <c r="O198">
        <v>8.0551577318196781</v>
      </c>
      <c r="P198">
        <v>7.4883855879306793E-2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</row>
    <row r="199" spans="1:23" x14ac:dyDescent="0.25">
      <c r="A199">
        <v>24</v>
      </c>
      <c r="B199">
        <v>2023</v>
      </c>
      <c r="C199">
        <v>-1.667685180494805</v>
      </c>
      <c r="D199">
        <v>0.79389708366008849</v>
      </c>
      <c r="E199">
        <v>0.95896700615459141</v>
      </c>
      <c r="F199">
        <v>0.95624194737638279</v>
      </c>
      <c r="G199">
        <v>0.56326625970542532</v>
      </c>
      <c r="H199">
        <v>0.75912216948347822</v>
      </c>
      <c r="I199">
        <v>0.78472312404715483</v>
      </c>
      <c r="J199">
        <v>0.36587091806376609</v>
      </c>
      <c r="K199">
        <v>0.60360268067701006</v>
      </c>
      <c r="L199">
        <v>-1.1176948748155009</v>
      </c>
      <c r="M199">
        <v>2.4580347094703971</v>
      </c>
      <c r="N199">
        <v>2.4272900357337601</v>
      </c>
      <c r="O199">
        <v>8.4658998970286863</v>
      </c>
      <c r="P199">
        <v>3.0744673684239388E-2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</row>
    <row r="200" spans="1:23" x14ac:dyDescent="0.25">
      <c r="A200">
        <v>25</v>
      </c>
      <c r="B200">
        <v>2006</v>
      </c>
      <c r="C200">
        <v>-2.5567321498197288</v>
      </c>
      <c r="D200">
        <v>0.95165787571144633</v>
      </c>
      <c r="E200">
        <v>0.88107797611841054</v>
      </c>
      <c r="F200">
        <v>0.80897274606553571</v>
      </c>
      <c r="G200">
        <v>0.636576829071551</v>
      </c>
      <c r="H200">
        <v>0.52561570923862611</v>
      </c>
      <c r="I200">
        <v>0.42271546151469203</v>
      </c>
      <c r="J200">
        <v>-11.51292546497023</v>
      </c>
      <c r="K200">
        <v>0.66290777834686254</v>
      </c>
      <c r="L200">
        <v>-2.3834282850965671</v>
      </c>
      <c r="M200">
        <v>2.0474207723978028</v>
      </c>
      <c r="N200">
        <v>1.941654197132562</v>
      </c>
      <c r="O200">
        <v>-11.51292546497023</v>
      </c>
      <c r="P200">
        <v>0.10576657205820084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</row>
    <row r="201" spans="1:23" x14ac:dyDescent="0.25">
      <c r="A201">
        <v>25</v>
      </c>
      <c r="B201">
        <v>2007</v>
      </c>
      <c r="C201">
        <v>-2.5042752606476011</v>
      </c>
      <c r="D201">
        <v>0.88459364513090055</v>
      </c>
      <c r="E201">
        <v>0.95165787571144633</v>
      </c>
      <c r="F201">
        <v>0.88107797611841054</v>
      </c>
      <c r="G201">
        <v>0.50446544061330811</v>
      </c>
      <c r="H201">
        <v>0.636576829071551</v>
      </c>
      <c r="I201">
        <v>0.52561570923862611</v>
      </c>
      <c r="J201">
        <v>-11.51292546497023</v>
      </c>
      <c r="K201">
        <v>0.66290777834686254</v>
      </c>
      <c r="L201">
        <v>-2.270006468399421</v>
      </c>
      <c r="M201">
        <v>2.06346333805116</v>
      </c>
      <c r="N201">
        <v>2.0310793250721</v>
      </c>
      <c r="O201">
        <v>-11.51292546497023</v>
      </c>
      <c r="P201">
        <v>3.2384011894464493E-2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</row>
    <row r="202" spans="1:23" x14ac:dyDescent="0.25">
      <c r="A202">
        <v>25</v>
      </c>
      <c r="B202">
        <v>2008</v>
      </c>
      <c r="C202">
        <v>-2.394683198451248</v>
      </c>
      <c r="D202">
        <v>0.79511695414366257</v>
      </c>
      <c r="E202">
        <v>0.88459364513090055</v>
      </c>
      <c r="F202">
        <v>0.95165787571144633</v>
      </c>
      <c r="G202">
        <v>0.46436274935564981</v>
      </c>
      <c r="H202">
        <v>0.50446544061330811</v>
      </c>
      <c r="I202">
        <v>0.636576829071551</v>
      </c>
      <c r="J202">
        <v>-11.51292546497023</v>
      </c>
      <c r="K202">
        <v>0.66290777834686254</v>
      </c>
      <c r="L202">
        <v>-2.1509158248815639</v>
      </c>
      <c r="M202">
        <v>2.123414253380127</v>
      </c>
      <c r="N202">
        <v>2.047384912778214</v>
      </c>
      <c r="O202">
        <v>-11.51292546497023</v>
      </c>
      <c r="P202">
        <v>7.602933794260025E-2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</row>
    <row r="203" spans="1:23" x14ac:dyDescent="0.25">
      <c r="A203">
        <v>25</v>
      </c>
      <c r="B203">
        <v>2009</v>
      </c>
      <c r="C203">
        <v>-2.3512659415167949</v>
      </c>
      <c r="D203">
        <v>0.74060312171624065</v>
      </c>
      <c r="E203">
        <v>0.79511695414366257</v>
      </c>
      <c r="F203">
        <v>0.88459364513090055</v>
      </c>
      <c r="G203">
        <v>0.38158216764483233</v>
      </c>
      <c r="H203">
        <v>0.46436274935564981</v>
      </c>
      <c r="I203">
        <v>0.50446544061330811</v>
      </c>
      <c r="J203">
        <v>-11.51292546497023</v>
      </c>
      <c r="K203">
        <v>0.66290777834686254</v>
      </c>
      <c r="L203">
        <v>-2.0323858331525919</v>
      </c>
      <c r="M203">
        <v>2.1626525165686892</v>
      </c>
      <c r="N203">
        <v>2.1161269785712711</v>
      </c>
      <c r="O203">
        <v>-11.51292546497023</v>
      </c>
      <c r="P203">
        <v>4.6525537967681885E-2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</row>
    <row r="204" spans="1:23" x14ac:dyDescent="0.25">
      <c r="A204">
        <v>25</v>
      </c>
      <c r="B204">
        <v>2010</v>
      </c>
      <c r="C204">
        <v>-2.1399677883229629</v>
      </c>
      <c r="D204">
        <v>0.6954944236282935</v>
      </c>
      <c r="E204">
        <v>0.74060312171624065</v>
      </c>
      <c r="F204">
        <v>0.79511695414366257</v>
      </c>
      <c r="G204">
        <v>0.41462304589292998</v>
      </c>
      <c r="H204">
        <v>0.38158216764483233</v>
      </c>
      <c r="I204">
        <v>0.46436274935564981</v>
      </c>
      <c r="J204">
        <v>-8.2376501734829866</v>
      </c>
      <c r="K204">
        <v>0.66290777834686254</v>
      </c>
      <c r="L204">
        <v>-1.900139721059356</v>
      </c>
      <c r="M204">
        <v>2.1823217220252009</v>
      </c>
      <c r="N204">
        <v>2.1598265227134981</v>
      </c>
      <c r="O204">
        <v>-11.51292546497023</v>
      </c>
      <c r="P204">
        <v>2.2495198994874954E-2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</row>
    <row r="205" spans="1:23" x14ac:dyDescent="0.25">
      <c r="A205">
        <v>25</v>
      </c>
      <c r="B205">
        <v>2011</v>
      </c>
      <c r="C205">
        <v>-2.0027505400651182</v>
      </c>
      <c r="D205">
        <v>0.67645869927370994</v>
      </c>
      <c r="E205">
        <v>0.6954944236282935</v>
      </c>
      <c r="F205">
        <v>0.74060312171624065</v>
      </c>
      <c r="G205">
        <v>0.47840573250987939</v>
      </c>
      <c r="H205">
        <v>0.41462304589292998</v>
      </c>
      <c r="I205">
        <v>0.38158216764483233</v>
      </c>
      <c r="J205">
        <v>-6.8541738424771443</v>
      </c>
      <c r="K205">
        <v>0.66290777834686254</v>
      </c>
      <c r="L205">
        <v>-1.7739440801117641</v>
      </c>
      <c r="M205">
        <v>2.2012436684120029</v>
      </c>
      <c r="N205">
        <v>2.1795036919110808</v>
      </c>
      <c r="O205">
        <v>-11.51292546497023</v>
      </c>
      <c r="P205">
        <v>2.1739976480603218E-2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</row>
    <row r="206" spans="1:23" x14ac:dyDescent="0.25">
      <c r="A206">
        <v>25</v>
      </c>
      <c r="B206">
        <v>2012</v>
      </c>
      <c r="C206">
        <v>-1.869420099610005</v>
      </c>
      <c r="D206">
        <v>0.63520022060509562</v>
      </c>
      <c r="E206">
        <v>0.67645869927370994</v>
      </c>
      <c r="F206">
        <v>0.6954944236282935</v>
      </c>
      <c r="G206">
        <v>0.45444573032978619</v>
      </c>
      <c r="H206">
        <v>0.47840573250987939</v>
      </c>
      <c r="I206">
        <v>0.41462304589292998</v>
      </c>
      <c r="J206">
        <v>-6.3008306167255776</v>
      </c>
      <c r="K206">
        <v>0.66290777834686254</v>
      </c>
      <c r="L206">
        <v>-1.679318968441075</v>
      </c>
      <c r="M206">
        <v>2.2539034837379779</v>
      </c>
      <c r="N206">
        <v>2.1949711062281301</v>
      </c>
      <c r="O206">
        <v>-11.51292546497023</v>
      </c>
      <c r="P206">
        <v>5.8932378888130188E-2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</row>
    <row r="207" spans="1:23" x14ac:dyDescent="0.25">
      <c r="A207">
        <v>25</v>
      </c>
      <c r="B207">
        <v>2013</v>
      </c>
      <c r="C207">
        <v>-1.8343803932772089</v>
      </c>
      <c r="D207">
        <v>0.64474444133177788</v>
      </c>
      <c r="E207">
        <v>0.63520022060509562</v>
      </c>
      <c r="F207">
        <v>0.67645869927370994</v>
      </c>
      <c r="G207">
        <v>0.43760956143473151</v>
      </c>
      <c r="H207">
        <v>0.45444573032978619</v>
      </c>
      <c r="I207">
        <v>0.47840573250987939</v>
      </c>
      <c r="J207">
        <v>-5.4998339825276146</v>
      </c>
      <c r="K207">
        <v>0.66290777834686254</v>
      </c>
      <c r="L207">
        <v>-1.620454268991969</v>
      </c>
      <c r="M207">
        <v>2.2434386199640328</v>
      </c>
      <c r="N207">
        <v>2.2282215447514639</v>
      </c>
      <c r="O207">
        <v>-11.51292546497023</v>
      </c>
      <c r="P207">
        <v>1.5217075124382973E-2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</row>
    <row r="208" spans="1:23" x14ac:dyDescent="0.25">
      <c r="A208">
        <v>25</v>
      </c>
      <c r="B208">
        <v>2014</v>
      </c>
      <c r="C208">
        <v>-1.7486504936429701</v>
      </c>
      <c r="D208">
        <v>0.61096050957199821</v>
      </c>
      <c r="E208">
        <v>0.64474444133177788</v>
      </c>
      <c r="F208">
        <v>0.63520022060509562</v>
      </c>
      <c r="G208">
        <v>0.38872578410386638</v>
      </c>
      <c r="H208">
        <v>0.43760956143473151</v>
      </c>
      <c r="I208">
        <v>0.45444573032978619</v>
      </c>
      <c r="J208">
        <v>-4.7535610324662514</v>
      </c>
      <c r="K208">
        <v>0.66290777834686254</v>
      </c>
      <c r="L208">
        <v>-1.553078029137535</v>
      </c>
      <c r="M208">
        <v>2.292681756046643</v>
      </c>
      <c r="N208">
        <v>2.235939767649016</v>
      </c>
      <c r="O208">
        <v>-11.51292546497023</v>
      </c>
      <c r="P208">
        <v>5.6741990149021149E-2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</row>
    <row r="209" spans="1:23" x14ac:dyDescent="0.25">
      <c r="A209">
        <v>25</v>
      </c>
      <c r="B209">
        <v>2015</v>
      </c>
      <c r="C209">
        <v>-1.7912111832058371</v>
      </c>
      <c r="D209">
        <v>0.61880071843128848</v>
      </c>
      <c r="E209">
        <v>0.61096050957199821</v>
      </c>
      <c r="F209">
        <v>0.64474444133177788</v>
      </c>
      <c r="G209">
        <v>0.3342554957513682</v>
      </c>
      <c r="H209">
        <v>0.38872578410386638</v>
      </c>
      <c r="I209">
        <v>0.43760956143473151</v>
      </c>
      <c r="J209">
        <v>-4.316783966311764</v>
      </c>
      <c r="K209">
        <v>0.66290777834686254</v>
      </c>
      <c r="L209">
        <v>-1.4964916988102199</v>
      </c>
      <c r="M209">
        <v>2.2713808548730379</v>
      </c>
      <c r="N209">
        <v>2.2855274332651661</v>
      </c>
      <c r="O209">
        <v>-11.51292546497023</v>
      </c>
      <c r="P209">
        <v>-1.4146578498184681E-2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</row>
    <row r="210" spans="1:23" x14ac:dyDescent="0.25">
      <c r="A210">
        <v>25</v>
      </c>
      <c r="B210">
        <v>2016</v>
      </c>
      <c r="C210">
        <v>-1.7505820678848021</v>
      </c>
      <c r="D210">
        <v>0.69524497864209145</v>
      </c>
      <c r="E210">
        <v>0.61880071843128848</v>
      </c>
      <c r="F210">
        <v>0.61096050957199821</v>
      </c>
      <c r="G210">
        <v>0.50301520167401359</v>
      </c>
      <c r="H210">
        <v>0.3342554957513682</v>
      </c>
      <c r="I210">
        <v>0.38872578410386638</v>
      </c>
      <c r="J210">
        <v>-3.9631700391201239</v>
      </c>
      <c r="K210">
        <v>0.66290777834686254</v>
      </c>
      <c r="L210">
        <v>-1.4557608068263881</v>
      </c>
      <c r="M210">
        <v>2.238063056147455</v>
      </c>
      <c r="N210">
        <v>2.2645533553304689</v>
      </c>
      <c r="O210">
        <v>-11.51292546497023</v>
      </c>
      <c r="P210">
        <v>-2.649029903113842E-2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</row>
    <row r="211" spans="1:23" x14ac:dyDescent="0.25">
      <c r="A211">
        <v>25</v>
      </c>
      <c r="B211">
        <v>2017</v>
      </c>
      <c r="C211">
        <v>-1.730906748678263</v>
      </c>
      <c r="D211">
        <v>0.6634093622959889</v>
      </c>
      <c r="E211">
        <v>0.69524497864209145</v>
      </c>
      <c r="F211">
        <v>0.61880071843128848</v>
      </c>
      <c r="G211">
        <v>0.46731251143424452</v>
      </c>
      <c r="H211">
        <v>0.50301520167401359</v>
      </c>
      <c r="I211">
        <v>0.3342554957513682</v>
      </c>
      <c r="J211">
        <v>-3.3236850713637218</v>
      </c>
      <c r="K211">
        <v>0.66290777834686254</v>
      </c>
      <c r="L211">
        <v>-1.419417244995647</v>
      </c>
      <c r="M211">
        <v>2.2496934649603402</v>
      </c>
      <c r="N211">
        <v>2.231547621769614</v>
      </c>
      <c r="O211">
        <v>-11.51292546497023</v>
      </c>
      <c r="P211">
        <v>1.8145842477679253E-2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</row>
    <row r="212" spans="1:23" x14ac:dyDescent="0.25">
      <c r="A212">
        <v>25</v>
      </c>
      <c r="B212">
        <v>2018</v>
      </c>
      <c r="C212">
        <v>-1.8351671753535841</v>
      </c>
      <c r="D212">
        <v>0.77408179805594457</v>
      </c>
      <c r="E212">
        <v>0.6634093622959889</v>
      </c>
      <c r="F212">
        <v>0.69524497864209145</v>
      </c>
      <c r="G212">
        <v>0.4856308851314346</v>
      </c>
      <c r="H212">
        <v>0.46731251143424452</v>
      </c>
      <c r="I212">
        <v>0.50301520167401359</v>
      </c>
      <c r="J212">
        <v>-2.8860014847296882</v>
      </c>
      <c r="K212">
        <v>0.66290777834686254</v>
      </c>
      <c r="L212">
        <v>-1.368520546302926</v>
      </c>
      <c r="M212">
        <v>2.2441739376064671</v>
      </c>
      <c r="N212">
        <v>2.2569390225548291</v>
      </c>
      <c r="O212">
        <v>3.2580965380214821</v>
      </c>
      <c r="P212">
        <v>-1.2765085324645042E-2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</row>
    <row r="213" spans="1:23" x14ac:dyDescent="0.25">
      <c r="A213">
        <v>25</v>
      </c>
      <c r="B213">
        <v>2019</v>
      </c>
      <c r="C213">
        <v>-1.816851935449769</v>
      </c>
      <c r="D213">
        <v>0.7412704557416735</v>
      </c>
      <c r="E213">
        <v>0.77408179805594457</v>
      </c>
      <c r="F213">
        <v>0.6634093622959889</v>
      </c>
      <c r="G213">
        <v>0.4775376768998158</v>
      </c>
      <c r="H213">
        <v>0.4856308851314346</v>
      </c>
      <c r="I213">
        <v>0.46731251143424452</v>
      </c>
      <c r="J213">
        <v>-2.1437130586240052</v>
      </c>
      <c r="K213">
        <v>0.66290777834686254</v>
      </c>
      <c r="L213">
        <v>-1.329750878232308</v>
      </c>
      <c r="M213">
        <v>2.2520006708502098</v>
      </c>
      <c r="N213">
        <v>2.2387760411558508</v>
      </c>
      <c r="O213">
        <v>5.393627546352362</v>
      </c>
      <c r="P213">
        <v>1.3224629685282707E-2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</row>
    <row r="214" spans="1:23" x14ac:dyDescent="0.25">
      <c r="A214">
        <v>25</v>
      </c>
      <c r="B214">
        <v>2020</v>
      </c>
      <c r="C214">
        <v>-1.8714313104864531</v>
      </c>
      <c r="D214">
        <v>0.64909079436302541</v>
      </c>
      <c r="E214">
        <v>0.7412704557416735</v>
      </c>
      <c r="F214">
        <v>0.77408179805594457</v>
      </c>
      <c r="G214">
        <v>0.38328766316346141</v>
      </c>
      <c r="H214">
        <v>0.4775376768998158</v>
      </c>
      <c r="I214">
        <v>0.4856308851314346</v>
      </c>
      <c r="J214">
        <v>-1.5376292798834841</v>
      </c>
      <c r="K214">
        <v>0.66290777834686254</v>
      </c>
      <c r="L214">
        <v>-1.2965751946622699</v>
      </c>
      <c r="M214">
        <v>2.2173898707255222</v>
      </c>
      <c r="N214">
        <v>2.2467508289467988</v>
      </c>
      <c r="O214">
        <v>5.9914645471079817</v>
      </c>
      <c r="P214">
        <v>-2.9360957443714142E-2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</row>
    <row r="215" spans="1:23" x14ac:dyDescent="0.25">
      <c r="A215">
        <v>25</v>
      </c>
      <c r="B215">
        <v>2021</v>
      </c>
      <c r="C215">
        <v>-1.8120219515211859</v>
      </c>
      <c r="D215">
        <v>0.8723806407546667</v>
      </c>
      <c r="E215">
        <v>0.64909079436302541</v>
      </c>
      <c r="F215">
        <v>0.7412704557416735</v>
      </c>
      <c r="G215">
        <v>0.68001128116680476</v>
      </c>
      <c r="H215">
        <v>0.38328766316346141</v>
      </c>
      <c r="I215">
        <v>0.4775376768998158</v>
      </c>
      <c r="J215">
        <v>-1.007767047451207</v>
      </c>
      <c r="K215">
        <v>0.66290777834686254</v>
      </c>
      <c r="L215">
        <v>-1.2641710395091319</v>
      </c>
      <c r="M215">
        <v>2.1868725588788012</v>
      </c>
      <c r="N215">
        <v>2.2122960119621169</v>
      </c>
      <c r="O215">
        <v>6.6846117276679271</v>
      </c>
      <c r="P215">
        <v>-2.5423452258110046E-2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</row>
    <row r="216" spans="1:23" x14ac:dyDescent="0.25">
      <c r="A216">
        <v>25</v>
      </c>
      <c r="B216">
        <v>2022</v>
      </c>
      <c r="C216">
        <v>-1.7595164175781499</v>
      </c>
      <c r="D216">
        <v>0.88508898073089048</v>
      </c>
      <c r="E216">
        <v>0.8723806407546667</v>
      </c>
      <c r="F216">
        <v>0.64909079436302541</v>
      </c>
      <c r="G216">
        <v>0.63662973772477349</v>
      </c>
      <c r="H216">
        <v>0.68001128116680476</v>
      </c>
      <c r="I216">
        <v>0.38328766316346141</v>
      </c>
      <c r="J216">
        <v>-0.52111797512606772</v>
      </c>
      <c r="K216">
        <v>0.66290777834686243</v>
      </c>
      <c r="L216">
        <v>-1.234433158724195</v>
      </c>
      <c r="M216">
        <v>2.210215857827595</v>
      </c>
      <c r="N216">
        <v>2.1868725588788012</v>
      </c>
      <c r="O216">
        <v>8.0551577318196781</v>
      </c>
      <c r="P216">
        <v>2.3343298584222794E-2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</row>
    <row r="217" spans="1:23" x14ac:dyDescent="0.25">
      <c r="A217">
        <v>25</v>
      </c>
      <c r="B217">
        <v>2023</v>
      </c>
      <c r="C217">
        <v>-1.675578578080767</v>
      </c>
      <c r="D217">
        <v>0.72899683345364252</v>
      </c>
      <c r="E217">
        <v>0.88508898073089048</v>
      </c>
      <c r="F217">
        <v>0.8723806407546667</v>
      </c>
      <c r="G217">
        <v>0.44192560511093881</v>
      </c>
      <c r="H217">
        <v>0.63662973772477349</v>
      </c>
      <c r="I217">
        <v>0.68001128116680476</v>
      </c>
      <c r="J217">
        <v>5.5360231684286013E-2</v>
      </c>
      <c r="K217">
        <v>0.66290777834686243</v>
      </c>
      <c r="L217">
        <v>-1.196518951281881</v>
      </c>
      <c r="M217">
        <v>2.2787973141068578</v>
      </c>
      <c r="N217">
        <v>2.210215857827595</v>
      </c>
      <c r="O217">
        <v>8.4658998970286863</v>
      </c>
      <c r="P217">
        <v>6.8581454455852509E-2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</row>
    <row r="218" spans="1:23" x14ac:dyDescent="0.25">
      <c r="A218">
        <v>26</v>
      </c>
      <c r="B218">
        <v>2006</v>
      </c>
      <c r="C218">
        <v>-2.5903450348282231</v>
      </c>
      <c r="D218">
        <v>0.97077891715822484</v>
      </c>
      <c r="E218">
        <v>0.89379969403862336</v>
      </c>
      <c r="F218">
        <v>0.82820241155281016</v>
      </c>
      <c r="G218">
        <v>0.61518563909023349</v>
      </c>
      <c r="H218">
        <v>0.48833458593045898</v>
      </c>
      <c r="I218">
        <v>0.37891577287462791</v>
      </c>
      <c r="J218">
        <v>-11.51292546497023</v>
      </c>
      <c r="K218">
        <v>0.77993525432492927</v>
      </c>
      <c r="L218">
        <v>-2.2336802376436262</v>
      </c>
      <c r="M218">
        <v>2.1737491575544028</v>
      </c>
      <c r="N218">
        <v>2.1399959864850908</v>
      </c>
      <c r="O218">
        <v>-11.51292546497023</v>
      </c>
      <c r="P218">
        <v>3.3753171563148499E-2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</row>
    <row r="219" spans="1:23" x14ac:dyDescent="0.25">
      <c r="A219">
        <v>26</v>
      </c>
      <c r="B219">
        <v>2007</v>
      </c>
      <c r="C219">
        <v>-2.6287785958699339</v>
      </c>
      <c r="D219">
        <v>0.91188102338545496</v>
      </c>
      <c r="E219">
        <v>0.97077891715822484</v>
      </c>
      <c r="F219">
        <v>0.89379969403862336</v>
      </c>
      <c r="G219">
        <v>0.43877092681463697</v>
      </c>
      <c r="H219">
        <v>0.61518563909023349</v>
      </c>
      <c r="I219">
        <v>0.48833458593045898</v>
      </c>
      <c r="J219">
        <v>-11.51292546497023</v>
      </c>
      <c r="K219">
        <v>0.77993525432492927</v>
      </c>
      <c r="L219">
        <v>-2.1466279541391269</v>
      </c>
      <c r="M219">
        <v>2.2162173841391639</v>
      </c>
      <c r="N219">
        <v>2.160222056866488</v>
      </c>
      <c r="O219">
        <v>-11.51292546497023</v>
      </c>
      <c r="P219">
        <v>5.5995326489210129E-2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</row>
    <row r="220" spans="1:23" x14ac:dyDescent="0.25">
      <c r="A220">
        <v>26</v>
      </c>
      <c r="B220">
        <v>2008</v>
      </c>
      <c r="C220">
        <v>-2.5574184730470502</v>
      </c>
      <c r="D220">
        <v>0.8545429795827455</v>
      </c>
      <c r="E220">
        <v>0.91188102338545496</v>
      </c>
      <c r="F220">
        <v>0.97077891715822484</v>
      </c>
      <c r="G220">
        <v>0.4296372600791496</v>
      </c>
      <c r="H220">
        <v>0.43877092681463697</v>
      </c>
      <c r="I220">
        <v>0.61518563909023349</v>
      </c>
      <c r="J220">
        <v>-11.51292546497023</v>
      </c>
      <c r="K220">
        <v>0.77993525432492927</v>
      </c>
      <c r="L220">
        <v>-2.0506173040819982</v>
      </c>
      <c r="M220">
        <v>2.2386026334478739</v>
      </c>
      <c r="N220">
        <v>2.202870940890401</v>
      </c>
      <c r="O220">
        <v>-11.51292546497023</v>
      </c>
      <c r="P220">
        <v>3.5731691867113113E-2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</row>
    <row r="221" spans="1:23" x14ac:dyDescent="0.25">
      <c r="A221">
        <v>26</v>
      </c>
      <c r="B221">
        <v>2009</v>
      </c>
      <c r="C221">
        <v>-2.5307005302531782</v>
      </c>
      <c r="D221">
        <v>0.80074519115796339</v>
      </c>
      <c r="E221">
        <v>0.8545429795827455</v>
      </c>
      <c r="F221">
        <v>0.91188102338545496</v>
      </c>
      <c r="G221">
        <v>0.37562426609714311</v>
      </c>
      <c r="H221">
        <v>0.4296372600791496</v>
      </c>
      <c r="I221">
        <v>0.43877092681463697</v>
      </c>
      <c r="J221">
        <v>-11.51292546497023</v>
      </c>
      <c r="K221">
        <v>0.77993525432492927</v>
      </c>
      <c r="L221">
        <v>-1.94468018103902</v>
      </c>
      <c r="M221">
        <v>2.2839908173468459</v>
      </c>
      <c r="N221">
        <v>2.229932031879803</v>
      </c>
      <c r="O221">
        <v>-11.51292546497023</v>
      </c>
      <c r="P221">
        <v>5.4058786481618881E-2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</row>
    <row r="222" spans="1:23" x14ac:dyDescent="0.25">
      <c r="A222">
        <v>26</v>
      </c>
      <c r="B222">
        <v>2010</v>
      </c>
      <c r="C222">
        <v>-2.285560171446392</v>
      </c>
      <c r="D222">
        <v>0.76257995527528211</v>
      </c>
      <c r="E222">
        <v>0.80074519115796339</v>
      </c>
      <c r="F222">
        <v>0.8545429795827455</v>
      </c>
      <c r="G222">
        <v>0.42002525943949409</v>
      </c>
      <c r="H222">
        <v>0.37562426609714311</v>
      </c>
      <c r="I222">
        <v>0.4296372600791496</v>
      </c>
      <c r="J222">
        <v>-9.0867684756508957</v>
      </c>
      <c r="K222">
        <v>0.77993525432492927</v>
      </c>
      <c r="L222">
        <v>-1.822801359947529</v>
      </c>
      <c r="M222">
        <v>2.3976521594538101</v>
      </c>
      <c r="N222">
        <v>2.280894118092859</v>
      </c>
      <c r="O222">
        <v>-11.51292546497023</v>
      </c>
      <c r="P222">
        <v>0.11675804108381271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</row>
    <row r="223" spans="1:23" x14ac:dyDescent="0.25">
      <c r="A223">
        <v>26</v>
      </c>
      <c r="B223">
        <v>2011</v>
      </c>
      <c r="C223">
        <v>-2.0805677645541389</v>
      </c>
      <c r="D223">
        <v>0.7185224868911736</v>
      </c>
      <c r="E223">
        <v>0.76257995527528211</v>
      </c>
      <c r="F223">
        <v>0.80074519115796339</v>
      </c>
      <c r="G223">
        <v>0.48316661577201642</v>
      </c>
      <c r="H223">
        <v>0.42002525943949409</v>
      </c>
      <c r="I223">
        <v>0.37562426609714311</v>
      </c>
      <c r="J223">
        <v>-7.2980961457272429</v>
      </c>
      <c r="K223">
        <v>0.77993525432492927</v>
      </c>
      <c r="L223">
        <v>-1.70989039242969</v>
      </c>
      <c r="M223">
        <v>2.4399410439007672</v>
      </c>
      <c r="N223">
        <v>2.39456502014942</v>
      </c>
      <c r="O223">
        <v>-11.51292546497023</v>
      </c>
      <c r="P223">
        <v>4.5376025140285492E-2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</row>
    <row r="224" spans="1:23" x14ac:dyDescent="0.25">
      <c r="A224">
        <v>26</v>
      </c>
      <c r="B224">
        <v>2012</v>
      </c>
      <c r="C224">
        <v>-1.934713985007412</v>
      </c>
      <c r="D224">
        <v>0.68031520174456706</v>
      </c>
      <c r="E224">
        <v>0.7185224868911736</v>
      </c>
      <c r="F224">
        <v>0.76257995527528211</v>
      </c>
      <c r="G224">
        <v>0.4405104498509651</v>
      </c>
      <c r="H224">
        <v>0.48316661577201642</v>
      </c>
      <c r="I224">
        <v>0.42002525943949409</v>
      </c>
      <c r="J224">
        <v>-6.90006220749002</v>
      </c>
      <c r="K224">
        <v>0.77993525432492927</v>
      </c>
      <c r="L224">
        <v>-1.6203292439081409</v>
      </c>
      <c r="M224">
        <v>2.5060722262164208</v>
      </c>
      <c r="N224">
        <v>2.4325098740297491</v>
      </c>
      <c r="O224">
        <v>-11.51292546497023</v>
      </c>
      <c r="P224">
        <v>7.3562353849411011E-2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</row>
    <row r="225" spans="1:23" x14ac:dyDescent="0.25">
      <c r="A225">
        <v>26</v>
      </c>
      <c r="B225">
        <v>2013</v>
      </c>
      <c r="C225">
        <v>-1.8984148666435801</v>
      </c>
      <c r="D225">
        <v>0.66253332194210901</v>
      </c>
      <c r="E225">
        <v>0.68031520174456706</v>
      </c>
      <c r="F225">
        <v>0.7185224868911736</v>
      </c>
      <c r="G225">
        <v>0.44205415633877998</v>
      </c>
      <c r="H225">
        <v>0.4405104498509651</v>
      </c>
      <c r="I225">
        <v>0.48316661577201642</v>
      </c>
      <c r="J225">
        <v>-6.0833652415634818</v>
      </c>
      <c r="K225">
        <v>0.77993525432492927</v>
      </c>
      <c r="L225">
        <v>-1.569575443327718</v>
      </c>
      <c r="M225">
        <v>2.5009884916538612</v>
      </c>
      <c r="N225">
        <v>2.475471331755736</v>
      </c>
      <c r="O225">
        <v>-11.51292546497023</v>
      </c>
      <c r="P225">
        <v>2.5517160072922707E-2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</row>
    <row r="226" spans="1:23" x14ac:dyDescent="0.25">
      <c r="A226">
        <v>26</v>
      </c>
      <c r="B226">
        <v>2014</v>
      </c>
      <c r="C226">
        <v>-1.824005337354704</v>
      </c>
      <c r="D226">
        <v>0.63514723626195657</v>
      </c>
      <c r="E226">
        <v>0.66253332194210901</v>
      </c>
      <c r="F226">
        <v>0.68031520174456706</v>
      </c>
      <c r="G226">
        <v>0.43145768838241799</v>
      </c>
      <c r="H226">
        <v>0.44205415633877998</v>
      </c>
      <c r="I226">
        <v>0.4405104498509651</v>
      </c>
      <c r="J226">
        <v>-5.3741717447402957</v>
      </c>
      <c r="K226">
        <v>0.77993525432492927</v>
      </c>
      <c r="L226">
        <v>-1.510841257086355</v>
      </c>
      <c r="M226">
        <v>2.5124836951737342</v>
      </c>
      <c r="N226">
        <v>2.493504310506899</v>
      </c>
      <c r="O226">
        <v>-11.51292546497023</v>
      </c>
      <c r="P226">
        <v>1.8979385495185852E-2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</row>
    <row r="227" spans="1:23" x14ac:dyDescent="0.25">
      <c r="A227">
        <v>26</v>
      </c>
      <c r="B227">
        <v>2015</v>
      </c>
      <c r="C227">
        <v>-1.9144271128298549</v>
      </c>
      <c r="D227">
        <v>0.67661121191984575</v>
      </c>
      <c r="E227">
        <v>0.63514723626195657</v>
      </c>
      <c r="F227">
        <v>0.66253332194210901</v>
      </c>
      <c r="G227">
        <v>0.37101168003878521</v>
      </c>
      <c r="H227">
        <v>0.43145768838241799</v>
      </c>
      <c r="I227">
        <v>0.44205415633877998</v>
      </c>
      <c r="J227">
        <v>-4.9994805059003449</v>
      </c>
      <c r="K227">
        <v>0.77993525432492927</v>
      </c>
      <c r="L227">
        <v>-1.471134558582889</v>
      </c>
      <c r="M227">
        <v>2.44397363079668</v>
      </c>
      <c r="N227">
        <v>2.5052403233157161</v>
      </c>
      <c r="O227">
        <v>-11.51292546497023</v>
      </c>
      <c r="P227">
        <v>-6.1266694217920303E-2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</row>
    <row r="228" spans="1:23" x14ac:dyDescent="0.25">
      <c r="A228">
        <v>26</v>
      </c>
      <c r="B228">
        <v>2016</v>
      </c>
      <c r="C228">
        <v>-1.8763673993929531</v>
      </c>
      <c r="D228">
        <v>0.7061127629499685</v>
      </c>
      <c r="E228">
        <v>0.67661121191984575</v>
      </c>
      <c r="F228">
        <v>0.63514723626195657</v>
      </c>
      <c r="G228">
        <v>0.48291985451228192</v>
      </c>
      <c r="H228">
        <v>0.37101168003878521</v>
      </c>
      <c r="I228">
        <v>0.43145768838241799</v>
      </c>
      <c r="J228">
        <v>-4.6387044321201172</v>
      </c>
      <c r="K228">
        <v>0.77993525432492927</v>
      </c>
      <c r="L228">
        <v>-1.447700929104593</v>
      </c>
      <c r="M228">
        <v>2.4231484139469588</v>
      </c>
      <c r="N228">
        <v>2.4370249244515949</v>
      </c>
      <c r="O228">
        <v>-11.51292546497023</v>
      </c>
      <c r="P228">
        <v>-1.3876510784029961E-2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</row>
    <row r="229" spans="1:23" x14ac:dyDescent="0.25">
      <c r="A229">
        <v>26</v>
      </c>
      <c r="B229">
        <v>2017</v>
      </c>
      <c r="C229">
        <v>-1.8463595529795001</v>
      </c>
      <c r="D229">
        <v>0.66885448799090075</v>
      </c>
      <c r="E229">
        <v>0.7061127629499685</v>
      </c>
      <c r="F229">
        <v>0.67661121191984575</v>
      </c>
      <c r="G229">
        <v>0.45387424731585202</v>
      </c>
      <c r="H229">
        <v>0.48291985451228192</v>
      </c>
      <c r="I229">
        <v>0.37101168003878521</v>
      </c>
      <c r="J229">
        <v>-3.968843199446316</v>
      </c>
      <c r="K229">
        <v>0.77993525432492927</v>
      </c>
      <c r="L229">
        <v>-1.4235809967904469</v>
      </c>
      <c r="M229">
        <v>2.46222844916471</v>
      </c>
      <c r="N229">
        <v>2.416483347296853</v>
      </c>
      <c r="O229">
        <v>-11.51292546497023</v>
      </c>
      <c r="P229">
        <v>4.5745100826025009E-2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</row>
    <row r="230" spans="1:23" x14ac:dyDescent="0.25">
      <c r="A230">
        <v>26</v>
      </c>
      <c r="B230">
        <v>2018</v>
      </c>
      <c r="C230">
        <v>-1.98000640652259</v>
      </c>
      <c r="D230">
        <v>0.79050072581585518</v>
      </c>
      <c r="E230">
        <v>0.66885448799090075</v>
      </c>
      <c r="F230">
        <v>0.7061127629499685</v>
      </c>
      <c r="G230">
        <v>0.50126001889628968</v>
      </c>
      <c r="H230">
        <v>0.45387424731585202</v>
      </c>
      <c r="I230">
        <v>0.48291985451228192</v>
      </c>
      <c r="J230">
        <v>-3.5528548299186249</v>
      </c>
      <c r="K230">
        <v>0.77993525432492927</v>
      </c>
      <c r="L230">
        <v>-1.3924857911114339</v>
      </c>
      <c r="M230">
        <v>2.441623988283482</v>
      </c>
      <c r="N230">
        <v>2.4598005582371569</v>
      </c>
      <c r="O230">
        <v>3.2580965380214821</v>
      </c>
      <c r="P230">
        <v>-1.8176570534706116E-2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</row>
    <row r="231" spans="1:23" x14ac:dyDescent="0.25">
      <c r="A231">
        <v>26</v>
      </c>
      <c r="B231">
        <v>2019</v>
      </c>
      <c r="C231">
        <v>-1.9440290434043119</v>
      </c>
      <c r="D231">
        <v>0.75292438459580613</v>
      </c>
      <c r="E231">
        <v>0.79050072581585518</v>
      </c>
      <c r="F231">
        <v>0.66885448799090075</v>
      </c>
      <c r="G231">
        <v>0.50458619897597168</v>
      </c>
      <c r="H231">
        <v>0.50126001889628968</v>
      </c>
      <c r="I231">
        <v>0.45387424731585202</v>
      </c>
      <c r="J231">
        <v>-2.8089289176522461</v>
      </c>
      <c r="K231">
        <v>0.77993525432492927</v>
      </c>
      <c r="L231">
        <v>-1.361739138051314</v>
      </c>
      <c r="M231">
        <v>2.4537585962841439</v>
      </c>
      <c r="N231">
        <v>2.4352443061499658</v>
      </c>
      <c r="O231">
        <v>5.393627546352362</v>
      </c>
      <c r="P231">
        <v>1.8514290452003479E-2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</row>
    <row r="232" spans="1:23" x14ac:dyDescent="0.25">
      <c r="A232">
        <v>26</v>
      </c>
      <c r="B232">
        <v>2020</v>
      </c>
      <c r="C232">
        <v>-2.0220584994331561</v>
      </c>
      <c r="D232">
        <v>0.69708939979256901</v>
      </c>
      <c r="E232">
        <v>0.75292438459580613</v>
      </c>
      <c r="F232">
        <v>0.79050072581585518</v>
      </c>
      <c r="G232">
        <v>0.4633565865239419</v>
      </c>
      <c r="H232">
        <v>0.50458619897597168</v>
      </c>
      <c r="I232">
        <v>0.50126001889628968</v>
      </c>
      <c r="J232">
        <v>-2.2604974465947518</v>
      </c>
      <c r="K232">
        <v>0.77993525432492927</v>
      </c>
      <c r="L232">
        <v>-1.3408826344356339</v>
      </c>
      <c r="M232">
        <v>2.3615853912594869</v>
      </c>
      <c r="N232">
        <v>2.4475469400755929</v>
      </c>
      <c r="O232">
        <v>5.9914645471079817</v>
      </c>
      <c r="P232">
        <v>-8.596155047416687E-2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</row>
    <row r="233" spans="1:23" x14ac:dyDescent="0.25">
      <c r="A233">
        <v>26</v>
      </c>
      <c r="B233">
        <v>2021</v>
      </c>
      <c r="C233">
        <v>-1.993919182597867</v>
      </c>
      <c r="D233">
        <v>0.89881898596211529</v>
      </c>
      <c r="E233">
        <v>0.69708939979256901</v>
      </c>
      <c r="F233">
        <v>0.75292438459580613</v>
      </c>
      <c r="G233">
        <v>0.7098567941228926</v>
      </c>
      <c r="H233">
        <v>0.4633565865239419</v>
      </c>
      <c r="I233">
        <v>0.50458619897597168</v>
      </c>
      <c r="J233">
        <v>-1.6968508162460541</v>
      </c>
      <c r="K233">
        <v>0.77993525432492927</v>
      </c>
      <c r="L233">
        <v>-1.316936669827935</v>
      </c>
      <c r="M233">
        <v>2.3659318077915592</v>
      </c>
      <c r="N233">
        <v>2.3555545034959131</v>
      </c>
      <c r="O233">
        <v>6.6846117276679271</v>
      </c>
      <c r="P233">
        <v>1.0377304628491402E-2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</row>
    <row r="234" spans="1:23" x14ac:dyDescent="0.25">
      <c r="A234">
        <v>26</v>
      </c>
      <c r="B234">
        <v>2022</v>
      </c>
      <c r="C234">
        <v>-1.9661456224685481</v>
      </c>
      <c r="D234">
        <v>0.90490617300751686</v>
      </c>
      <c r="E234">
        <v>0.89881898596211529</v>
      </c>
      <c r="F234">
        <v>0.69708939979256901</v>
      </c>
      <c r="G234">
        <v>0.67849029121631166</v>
      </c>
      <c r="H234">
        <v>0.7098567941228926</v>
      </c>
      <c r="I234">
        <v>0.4633565865239419</v>
      </c>
      <c r="J234">
        <v>-1.2086134218540261</v>
      </c>
      <c r="K234">
        <v>0.77993525432492927</v>
      </c>
      <c r="L234">
        <v>-1.290538163663894</v>
      </c>
      <c r="M234">
        <v>2.391042028589438</v>
      </c>
      <c r="N234">
        <v>2.3659318077915592</v>
      </c>
      <c r="O234">
        <v>8.0551577318196781</v>
      </c>
      <c r="P234">
        <v>2.5110220536589622E-2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</row>
    <row r="235" spans="1:23" x14ac:dyDescent="0.25">
      <c r="A235">
        <v>26</v>
      </c>
      <c r="B235">
        <v>2023</v>
      </c>
      <c r="C235">
        <v>-1.8882860952337699</v>
      </c>
      <c r="D235">
        <v>0.74007847524437753</v>
      </c>
      <c r="E235">
        <v>0.90490617300751686</v>
      </c>
      <c r="F235">
        <v>0.89881898596211529</v>
      </c>
      <c r="G235">
        <v>0.47604782623004671</v>
      </c>
      <c r="H235">
        <v>0.67849029121631166</v>
      </c>
      <c r="I235">
        <v>0.7098567941228926</v>
      </c>
      <c r="J235">
        <v>-0.65549647857021687</v>
      </c>
      <c r="K235">
        <v>0.77993525432492927</v>
      </c>
      <c r="L235">
        <v>-1.2581451381638631</v>
      </c>
      <c r="M235">
        <v>2.4362811612601512</v>
      </c>
      <c r="N235">
        <v>2.391042028589438</v>
      </c>
      <c r="O235">
        <v>8.4658998970286863</v>
      </c>
      <c r="P235">
        <v>4.5239131897687912E-2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</row>
    <row r="236" spans="1:23" x14ac:dyDescent="0.25">
      <c r="A236">
        <v>27</v>
      </c>
      <c r="B236">
        <v>2006</v>
      </c>
      <c r="C236">
        <v>-2.893807405044873</v>
      </c>
      <c r="D236">
        <v>1.0296194171811579</v>
      </c>
      <c r="E236">
        <v>0.97093042083247871</v>
      </c>
      <c r="F236">
        <v>0.87016302023036873</v>
      </c>
      <c r="G236">
        <v>0.66782937257565544</v>
      </c>
      <c r="H236">
        <v>0.54371866706801619</v>
      </c>
      <c r="I236">
        <v>0.37891577287462791</v>
      </c>
      <c r="J236">
        <v>-11.51292546497023</v>
      </c>
      <c r="K236">
        <v>0.83755816851655263</v>
      </c>
      <c r="L236">
        <v>-2.6698411578857231</v>
      </c>
      <c r="M236">
        <v>2.0388695587168271</v>
      </c>
      <c r="N236">
        <v>1.9880358888256391</v>
      </c>
      <c r="O236">
        <v>-11.51292546497023</v>
      </c>
      <c r="P236">
        <v>5.0833668559789658E-2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</row>
    <row r="237" spans="1:23" x14ac:dyDescent="0.25">
      <c r="A237">
        <v>27</v>
      </c>
      <c r="B237">
        <v>2007</v>
      </c>
      <c r="C237">
        <v>-2.9388830404534758</v>
      </c>
      <c r="D237">
        <v>0.98600334428545533</v>
      </c>
      <c r="E237">
        <v>1.0296194171811579</v>
      </c>
      <c r="F237">
        <v>0.97093042083247871</v>
      </c>
      <c r="G237">
        <v>0.52732869586500486</v>
      </c>
      <c r="H237">
        <v>0.66782937257565544</v>
      </c>
      <c r="I237">
        <v>0.54371866706801619</v>
      </c>
      <c r="J237">
        <v>-11.51292546497023</v>
      </c>
      <c r="K237">
        <v>0.83755816851655263</v>
      </c>
      <c r="L237">
        <v>-2.576804968778645</v>
      </c>
      <c r="M237">
        <v>2.0969943318717892</v>
      </c>
      <c r="N237">
        <v>2.026343168322208</v>
      </c>
      <c r="O237">
        <v>-11.51292546497023</v>
      </c>
      <c r="P237">
        <v>7.0651166141033173E-2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</row>
    <row r="238" spans="1:23" x14ac:dyDescent="0.25">
      <c r="A238">
        <v>27</v>
      </c>
      <c r="B238">
        <v>2008</v>
      </c>
      <c r="C238">
        <v>-2.898338237181119</v>
      </c>
      <c r="D238">
        <v>0.91428872920348203</v>
      </c>
      <c r="E238">
        <v>0.98600334428545533</v>
      </c>
      <c r="F238">
        <v>1.0296194171811579</v>
      </c>
      <c r="G238">
        <v>0.48679928916313631</v>
      </c>
      <c r="H238">
        <v>0.52732869586500486</v>
      </c>
      <c r="I238">
        <v>0.66782937257565544</v>
      </c>
      <c r="J238">
        <v>-11.51292546497023</v>
      </c>
      <c r="K238">
        <v>0.83755816851655263</v>
      </c>
      <c r="L238">
        <v>-2.4762575176998389</v>
      </c>
      <c r="M238">
        <v>2.1140985810061821</v>
      </c>
      <c r="N238">
        <v>2.0846229127046909</v>
      </c>
      <c r="O238">
        <v>-11.51292546497023</v>
      </c>
      <c r="P238">
        <v>2.947566844522953E-2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</row>
    <row r="239" spans="1:23" x14ac:dyDescent="0.25">
      <c r="A239">
        <v>27</v>
      </c>
      <c r="B239">
        <v>2009</v>
      </c>
      <c r="C239">
        <v>-2.8674743324473879</v>
      </c>
      <c r="D239">
        <v>0.84638315645880335</v>
      </c>
      <c r="E239">
        <v>0.91428872920348203</v>
      </c>
      <c r="F239">
        <v>0.98600334428545533</v>
      </c>
      <c r="G239">
        <v>0.42781351177192622</v>
      </c>
      <c r="H239">
        <v>0.48679928916313631</v>
      </c>
      <c r="I239">
        <v>0.52732869586500486</v>
      </c>
      <c r="J239">
        <v>-11.51292546497023</v>
      </c>
      <c r="K239">
        <v>0.83755816851655263</v>
      </c>
      <c r="L239">
        <v>-2.3629823640902869</v>
      </c>
      <c r="M239">
        <v>2.117158154833088</v>
      </c>
      <c r="N239">
        <v>2.1050121059029281</v>
      </c>
      <c r="O239">
        <v>-11.51292546497023</v>
      </c>
      <c r="P239">
        <v>1.2146049179136753E-2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</row>
    <row r="240" spans="1:23" x14ac:dyDescent="0.25">
      <c r="A240">
        <v>27</v>
      </c>
      <c r="B240">
        <v>2010</v>
      </c>
      <c r="C240">
        <v>-2.552481695903928</v>
      </c>
      <c r="D240">
        <v>0.80370417112458914</v>
      </c>
      <c r="E240">
        <v>0.84638315645880335</v>
      </c>
      <c r="F240">
        <v>0.91428872920348203</v>
      </c>
      <c r="G240">
        <v>0.47237581339079121</v>
      </c>
      <c r="H240">
        <v>0.42781351177192622</v>
      </c>
      <c r="I240">
        <v>0.48679928916313631</v>
      </c>
      <c r="J240">
        <v>-8.0550770936479079</v>
      </c>
      <c r="K240">
        <v>0.83755816851655263</v>
      </c>
      <c r="L240">
        <v>-2.233167938684173</v>
      </c>
      <c r="M240">
        <v>2.1534302850945268</v>
      </c>
      <c r="N240">
        <v>2.119175963097788</v>
      </c>
      <c r="O240">
        <v>-11.51292546497023</v>
      </c>
      <c r="P240">
        <v>3.4254323691129684E-2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</row>
    <row r="241" spans="1:23" x14ac:dyDescent="0.25">
      <c r="A241">
        <v>27</v>
      </c>
      <c r="B241">
        <v>2011</v>
      </c>
      <c r="C241">
        <v>-2.3390053546446499</v>
      </c>
      <c r="D241">
        <v>0.77320527273052442</v>
      </c>
      <c r="E241">
        <v>0.80370417112458914</v>
      </c>
      <c r="F241">
        <v>0.84638315645880335</v>
      </c>
      <c r="G241">
        <v>0.55181400444330142</v>
      </c>
      <c r="H241">
        <v>0.47237581339079121</v>
      </c>
      <c r="I241">
        <v>0.42781351177192622</v>
      </c>
      <c r="J241">
        <v>-6.6667608444795556</v>
      </c>
      <c r="K241">
        <v>0.83755816851655263</v>
      </c>
      <c r="L241">
        <v>-2.1089469761102739</v>
      </c>
      <c r="M241">
        <v>2.2297628798534999</v>
      </c>
      <c r="N241">
        <v>2.1554521731430301</v>
      </c>
      <c r="O241">
        <v>-11.51292546497023</v>
      </c>
      <c r="P241">
        <v>7.4310705065727234E-2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</row>
    <row r="242" spans="1:23" x14ac:dyDescent="0.25">
      <c r="A242">
        <v>27</v>
      </c>
      <c r="B242">
        <v>2012</v>
      </c>
      <c r="C242">
        <v>-2.16336344541019</v>
      </c>
      <c r="D242">
        <v>0.69494556250132467</v>
      </c>
      <c r="E242">
        <v>0.77320527273052442</v>
      </c>
      <c r="F242">
        <v>0.80370417112458914</v>
      </c>
      <c r="G242">
        <v>0.49944106489935253</v>
      </c>
      <c r="H242">
        <v>0.55181400444330142</v>
      </c>
      <c r="I242">
        <v>0.47237581339079121</v>
      </c>
      <c r="J242">
        <v>-6.1141473055257016</v>
      </c>
      <c r="K242">
        <v>0.83755816851655263</v>
      </c>
      <c r="L242">
        <v>-1.997829271382167</v>
      </c>
      <c r="M242">
        <v>2.236666080771669</v>
      </c>
      <c r="N242">
        <v>2.2227606308718921</v>
      </c>
      <c r="O242">
        <v>-11.51292546497023</v>
      </c>
      <c r="P242">
        <v>1.3905449770390987E-2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</row>
    <row r="243" spans="1:23" x14ac:dyDescent="0.25">
      <c r="A243">
        <v>27</v>
      </c>
      <c r="B243">
        <v>2013</v>
      </c>
      <c r="C243">
        <v>-2.1092024062409052</v>
      </c>
      <c r="D243">
        <v>0.68355128688649835</v>
      </c>
      <c r="E243">
        <v>0.69494556250132467</v>
      </c>
      <c r="F243">
        <v>0.77320527273052442</v>
      </c>
      <c r="G243">
        <v>0.51018541887856739</v>
      </c>
      <c r="H243">
        <v>0.49944106489935253</v>
      </c>
      <c r="I243">
        <v>0.55181400444330142</v>
      </c>
      <c r="J243">
        <v>-5.3293723184168256</v>
      </c>
      <c r="K243">
        <v>0.83755816851655263</v>
      </c>
      <c r="L243">
        <v>-1.9389473345789749</v>
      </c>
      <c r="M243">
        <v>2.1956150157495049</v>
      </c>
      <c r="N243">
        <v>2.194762494696052</v>
      </c>
      <c r="O243">
        <v>-11.51292546497023</v>
      </c>
      <c r="P243">
        <v>8.5252104327082634E-4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</row>
    <row r="244" spans="1:23" x14ac:dyDescent="0.25">
      <c r="A244">
        <v>27</v>
      </c>
      <c r="B244">
        <v>2014</v>
      </c>
      <c r="C244">
        <v>-2.0178092740909261</v>
      </c>
      <c r="D244">
        <v>0.65876275369811454</v>
      </c>
      <c r="E244">
        <v>0.68355128688649835</v>
      </c>
      <c r="F244">
        <v>0.69494556250132467</v>
      </c>
      <c r="G244">
        <v>0.48833458593045898</v>
      </c>
      <c r="H244">
        <v>0.51018541887856739</v>
      </c>
      <c r="I244">
        <v>0.49944106489935253</v>
      </c>
      <c r="J244">
        <v>-4.6425051077308606</v>
      </c>
      <c r="K244">
        <v>0.83755816851655263</v>
      </c>
      <c r="L244">
        <v>-1.856258132411662</v>
      </c>
      <c r="M244">
        <v>2.2082315199032889</v>
      </c>
      <c r="N244">
        <v>2.189335045875517</v>
      </c>
      <c r="O244">
        <v>-11.51292546497023</v>
      </c>
      <c r="P244">
        <v>1.8896473571658134E-2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</row>
    <row r="245" spans="1:23" x14ac:dyDescent="0.25">
      <c r="A245">
        <v>27</v>
      </c>
      <c r="B245">
        <v>2015</v>
      </c>
      <c r="C245">
        <v>-2.0598646371223368</v>
      </c>
      <c r="D245">
        <v>0.67661121191984575</v>
      </c>
      <c r="E245">
        <v>0.65876275369811454</v>
      </c>
      <c r="F245">
        <v>0.68355128688649835</v>
      </c>
      <c r="G245">
        <v>0.4295071025884023</v>
      </c>
      <c r="H245">
        <v>0.48833458593045898</v>
      </c>
      <c r="I245">
        <v>0.51018541887856739</v>
      </c>
      <c r="J245">
        <v>-4.1627613703805331</v>
      </c>
      <c r="K245">
        <v>0.83755816851655263</v>
      </c>
      <c r="L245">
        <v>-1.794602835233692</v>
      </c>
      <c r="M245">
        <v>2.2531619595182182</v>
      </c>
      <c r="N245">
        <v>2.202467441471915</v>
      </c>
      <c r="O245">
        <v>-11.51292546497023</v>
      </c>
      <c r="P245">
        <v>5.069451779127121E-2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</row>
    <row r="246" spans="1:23" x14ac:dyDescent="0.25">
      <c r="A246">
        <v>27</v>
      </c>
      <c r="B246">
        <v>2016</v>
      </c>
      <c r="C246">
        <v>-2.001373485507532</v>
      </c>
      <c r="D246">
        <v>0.72750029693160778</v>
      </c>
      <c r="E246">
        <v>0.67661121191984575</v>
      </c>
      <c r="F246">
        <v>0.65876275369811454</v>
      </c>
      <c r="G246">
        <v>0.56713033997645834</v>
      </c>
      <c r="H246">
        <v>0.4295071025884023</v>
      </c>
      <c r="I246">
        <v>0.48833458593045898</v>
      </c>
      <c r="J246">
        <v>-3.8018994608322281</v>
      </c>
      <c r="K246">
        <v>0.8375581685165524</v>
      </c>
      <c r="L246">
        <v>-1.7494814545672011</v>
      </c>
      <c r="M246">
        <v>2.2346080184088182</v>
      </c>
      <c r="N246">
        <v>2.2477794741116419</v>
      </c>
      <c r="O246">
        <v>-11.51292546497023</v>
      </c>
      <c r="P246">
        <v>-1.3171455822885036E-2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</row>
    <row r="247" spans="1:23" x14ac:dyDescent="0.25">
      <c r="A247">
        <v>27</v>
      </c>
      <c r="B247">
        <v>2017</v>
      </c>
      <c r="C247">
        <v>-2.0026459718285721</v>
      </c>
      <c r="D247">
        <v>0.724500488217941</v>
      </c>
      <c r="E247">
        <v>0.72750029693160778</v>
      </c>
      <c r="F247">
        <v>0.67661121191984575</v>
      </c>
      <c r="G247">
        <v>0.53807107265618603</v>
      </c>
      <c r="H247">
        <v>0.56713033997645834</v>
      </c>
      <c r="I247">
        <v>0.4295071025884023</v>
      </c>
      <c r="J247">
        <v>-3.1407878037231169</v>
      </c>
      <c r="K247">
        <v>0.8375581685165524</v>
      </c>
      <c r="L247">
        <v>-1.7048882160364009</v>
      </c>
      <c r="M247">
        <v>2.2596821472676689</v>
      </c>
      <c r="N247">
        <v>2.2296011673459009</v>
      </c>
      <c r="O247">
        <v>-11.51292546497023</v>
      </c>
      <c r="P247">
        <v>3.0080979689955711E-2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</row>
    <row r="248" spans="1:23" x14ac:dyDescent="0.25">
      <c r="A248">
        <v>27</v>
      </c>
      <c r="B248">
        <v>2018</v>
      </c>
      <c r="C248">
        <v>-2.073760835553375</v>
      </c>
      <c r="D248">
        <v>0.84479473016908513</v>
      </c>
      <c r="E248">
        <v>0.724500488217941</v>
      </c>
      <c r="F248">
        <v>0.72750029693160778</v>
      </c>
      <c r="G248">
        <v>0.57605140868369809</v>
      </c>
      <c r="H248">
        <v>0.53807107265618603</v>
      </c>
      <c r="I248">
        <v>0.56713033997645834</v>
      </c>
      <c r="J248">
        <v>-2.6836190814855039</v>
      </c>
      <c r="K248">
        <v>0.83755816851655263</v>
      </c>
      <c r="L248">
        <v>-1.640373601863762</v>
      </c>
      <c r="M248">
        <v>2.2606785209916982</v>
      </c>
      <c r="N248">
        <v>2.275507473732215</v>
      </c>
      <c r="O248">
        <v>3.2580965380214821</v>
      </c>
      <c r="P248">
        <v>-1.4828952960669994E-2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</row>
    <row r="249" spans="1:23" x14ac:dyDescent="0.25">
      <c r="A249">
        <v>27</v>
      </c>
      <c r="B249">
        <v>2019</v>
      </c>
      <c r="C249">
        <v>-2.032838298703612</v>
      </c>
      <c r="D249">
        <v>0.79818264339382605</v>
      </c>
      <c r="E249">
        <v>0.84479473016908513</v>
      </c>
      <c r="F249">
        <v>0.724500488217941</v>
      </c>
      <c r="G249">
        <v>0.55382764031053344</v>
      </c>
      <c r="H249">
        <v>0.57605140868369809</v>
      </c>
      <c r="I249">
        <v>0.53807107265618603</v>
      </c>
      <c r="J249">
        <v>-1.9144557388563139</v>
      </c>
      <c r="K249">
        <v>0.83755816851655263</v>
      </c>
      <c r="L249">
        <v>-1.5886572799625751</v>
      </c>
      <c r="M249">
        <v>2.295256970206228</v>
      </c>
      <c r="N249">
        <v>2.2563131646099812</v>
      </c>
      <c r="O249">
        <v>5.393627546352362</v>
      </c>
      <c r="P249">
        <v>3.8943804800510406E-2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</row>
    <row r="250" spans="1:23" x14ac:dyDescent="0.25">
      <c r="A250">
        <v>27</v>
      </c>
      <c r="B250">
        <v>2020</v>
      </c>
      <c r="C250">
        <v>-2.0677555160978001</v>
      </c>
      <c r="D250">
        <v>0.72933445132165775</v>
      </c>
      <c r="E250">
        <v>0.79818264339382605</v>
      </c>
      <c r="F250">
        <v>0.84479473016908513</v>
      </c>
      <c r="G250">
        <v>0.4924987070731065</v>
      </c>
      <c r="H250">
        <v>0.55382764031053344</v>
      </c>
      <c r="I250">
        <v>0.57605140868369809</v>
      </c>
      <c r="J250">
        <v>-1.270232976206414</v>
      </c>
      <c r="K250">
        <v>0.83755816851655263</v>
      </c>
      <c r="L250">
        <v>-1.5508103434110101</v>
      </c>
      <c r="M250">
        <v>2.297717739630567</v>
      </c>
      <c r="N250">
        <v>2.2910153097630568</v>
      </c>
      <c r="O250">
        <v>5.9914645471079817</v>
      </c>
      <c r="P250">
        <v>6.7024300806224346E-3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</row>
    <row r="251" spans="1:23" x14ac:dyDescent="0.25">
      <c r="A251">
        <v>27</v>
      </c>
      <c r="B251">
        <v>2021</v>
      </c>
      <c r="C251">
        <v>-2.0350303845228228</v>
      </c>
      <c r="D251">
        <v>0.91776963775355425</v>
      </c>
      <c r="E251">
        <v>0.72933445132165775</v>
      </c>
      <c r="F251">
        <v>0.79818264339382605</v>
      </c>
      <c r="G251">
        <v>0.72445203038835781</v>
      </c>
      <c r="H251">
        <v>0.4924987070731065</v>
      </c>
      <c r="I251">
        <v>0.55382764031053344</v>
      </c>
      <c r="J251">
        <v>-0.64821845767071162</v>
      </c>
      <c r="K251">
        <v>0.83755816851655263</v>
      </c>
      <c r="L251">
        <v>-1.505719137222969</v>
      </c>
      <c r="M251">
        <v>2.358827079517972</v>
      </c>
      <c r="N251">
        <v>2.2936063097194519</v>
      </c>
      <c r="O251">
        <v>6.6846117276679271</v>
      </c>
      <c r="P251">
        <v>6.5220773220062256E-2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</row>
    <row r="252" spans="1:23" x14ac:dyDescent="0.25">
      <c r="A252">
        <v>27</v>
      </c>
      <c r="B252">
        <v>2022</v>
      </c>
      <c r="C252">
        <v>-1.975073198276198</v>
      </c>
      <c r="D252">
        <v>0.9065231843151027</v>
      </c>
      <c r="E252">
        <v>0.91776963775355425</v>
      </c>
      <c r="F252">
        <v>0.72933445132165775</v>
      </c>
      <c r="G252">
        <v>0.67023672897683917</v>
      </c>
      <c r="H252">
        <v>0.72445203038835781</v>
      </c>
      <c r="I252">
        <v>0.4924987070731065</v>
      </c>
      <c r="J252">
        <v>-0.26962636781364357</v>
      </c>
      <c r="K252">
        <v>0.83755816851655263</v>
      </c>
      <c r="L252">
        <v>-1.4599073422849631</v>
      </c>
      <c r="M252">
        <v>2.274000264712583</v>
      </c>
      <c r="N252">
        <v>2.358827079517972</v>
      </c>
      <c r="O252">
        <v>8.0551577318196781</v>
      </c>
      <c r="P252">
        <v>-8.4826812148094177E-2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</row>
    <row r="253" spans="1:23" x14ac:dyDescent="0.25">
      <c r="A253">
        <v>27</v>
      </c>
      <c r="B253">
        <v>2023</v>
      </c>
      <c r="C253">
        <v>-1.896478949702052</v>
      </c>
      <c r="D253">
        <v>0.76197337148979782</v>
      </c>
      <c r="E253">
        <v>0.9065231843151027</v>
      </c>
      <c r="F253">
        <v>0.91776963775355425</v>
      </c>
      <c r="G253">
        <v>0.4879663296199081</v>
      </c>
      <c r="H253">
        <v>0.67023672897683917</v>
      </c>
      <c r="I253">
        <v>0.72445203038835781</v>
      </c>
      <c r="J253">
        <v>0.35258052097495479</v>
      </c>
      <c r="K253">
        <v>0.83755816851655263</v>
      </c>
      <c r="L253">
        <v>-1.4096688125484551</v>
      </c>
      <c r="M253">
        <v>2.3884407371539851</v>
      </c>
      <c r="N253">
        <v>2.274000264712583</v>
      </c>
      <c r="O253">
        <v>8.4658998970286863</v>
      </c>
      <c r="P253">
        <v>0.11444047093391418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</row>
    <row r="254" spans="1:23" x14ac:dyDescent="0.25">
      <c r="A254">
        <v>28</v>
      </c>
      <c r="B254">
        <v>2006</v>
      </c>
      <c r="C254">
        <v>-2.4606930434845151</v>
      </c>
      <c r="D254">
        <v>0.93609335917033476</v>
      </c>
      <c r="E254">
        <v>0.87246422833360116</v>
      </c>
      <c r="F254">
        <v>0.80897274606553571</v>
      </c>
      <c r="G254">
        <v>0.71783979315031676</v>
      </c>
      <c r="H254">
        <v>0.58478215588182025</v>
      </c>
      <c r="I254">
        <v>0.4439162944824171</v>
      </c>
      <c r="J254">
        <v>-11.51292546497023</v>
      </c>
      <c r="K254">
        <v>0.72379967174414939</v>
      </c>
      <c r="L254">
        <v>-2.2437468778448921</v>
      </c>
      <c r="M254">
        <v>2.40297520420207</v>
      </c>
      <c r="N254">
        <v>2.339351784970658</v>
      </c>
      <c r="O254">
        <v>-11.51292546497023</v>
      </c>
      <c r="P254">
        <v>6.3623420894145966E-2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</row>
    <row r="255" spans="1:23" x14ac:dyDescent="0.25">
      <c r="A255">
        <v>28</v>
      </c>
      <c r="B255">
        <v>2007</v>
      </c>
      <c r="C255">
        <v>-2.4282767174428939</v>
      </c>
      <c r="D255">
        <v>0.88062210259469464</v>
      </c>
      <c r="E255">
        <v>0.93609335917033476</v>
      </c>
      <c r="F255">
        <v>0.87246422833360116</v>
      </c>
      <c r="G255">
        <v>0.59823192276365766</v>
      </c>
      <c r="H255">
        <v>0.71783979315031676</v>
      </c>
      <c r="I255">
        <v>0.58478215588182025</v>
      </c>
      <c r="J255">
        <v>-11.51292546497023</v>
      </c>
      <c r="K255">
        <v>0.72379967174414939</v>
      </c>
      <c r="L255">
        <v>-2.141127947275046</v>
      </c>
      <c r="M255">
        <v>2.4448609285518201</v>
      </c>
      <c r="N255">
        <v>2.403316136530306</v>
      </c>
      <c r="O255">
        <v>-11.51292546497023</v>
      </c>
      <c r="P255">
        <v>4.154479131102562E-2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</row>
    <row r="256" spans="1:23" x14ac:dyDescent="0.25">
      <c r="A256">
        <v>28</v>
      </c>
      <c r="B256">
        <v>2008</v>
      </c>
      <c r="C256">
        <v>-2.31569538527746</v>
      </c>
      <c r="D256">
        <v>0.82329786502499036</v>
      </c>
      <c r="E256">
        <v>0.88062210259469464</v>
      </c>
      <c r="F256">
        <v>0.93609335917033476</v>
      </c>
      <c r="G256">
        <v>0.50337795863083334</v>
      </c>
      <c r="H256">
        <v>0.59823192276365766</v>
      </c>
      <c r="I256">
        <v>0.71783979315031676</v>
      </c>
      <c r="J256">
        <v>-11.51292546497023</v>
      </c>
      <c r="K256">
        <v>0.72379967174414939</v>
      </c>
      <c r="L256">
        <v>-2.0325922953629618</v>
      </c>
      <c r="M256">
        <v>2.5228724955326638</v>
      </c>
      <c r="N256">
        <v>2.445201977154551</v>
      </c>
      <c r="O256">
        <v>-11.51292546497023</v>
      </c>
      <c r="P256">
        <v>7.7670522034168243E-2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</row>
    <row r="257" spans="1:23" x14ac:dyDescent="0.25">
      <c r="A257">
        <v>28</v>
      </c>
      <c r="B257">
        <v>2009</v>
      </c>
      <c r="C257">
        <v>-2.2632473460036282</v>
      </c>
      <c r="D257">
        <v>0.79294726563712226</v>
      </c>
      <c r="E257">
        <v>0.82329786502499036</v>
      </c>
      <c r="F257">
        <v>0.88062210259469464</v>
      </c>
      <c r="G257">
        <v>0.42781351177192622</v>
      </c>
      <c r="H257">
        <v>0.50337795863083334</v>
      </c>
      <c r="I257">
        <v>0.59823192276365766</v>
      </c>
      <c r="J257">
        <v>-11.51292546497023</v>
      </c>
      <c r="K257">
        <v>0.72379967174414939</v>
      </c>
      <c r="L257">
        <v>-1.9110700273691461</v>
      </c>
      <c r="M257">
        <v>2.4555805739085121</v>
      </c>
      <c r="N257">
        <v>2.512768039203535</v>
      </c>
      <c r="O257">
        <v>-11.51292546497023</v>
      </c>
      <c r="P257">
        <v>-5.7187464088201523E-2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</row>
    <row r="258" spans="1:23" x14ac:dyDescent="0.25">
      <c r="A258">
        <v>28</v>
      </c>
      <c r="B258">
        <v>2010</v>
      </c>
      <c r="C258">
        <v>-2.0708365835691378</v>
      </c>
      <c r="D258">
        <v>0.75879446179580023</v>
      </c>
      <c r="E258">
        <v>0.79294726563712226</v>
      </c>
      <c r="F258">
        <v>0.82329786502499036</v>
      </c>
      <c r="G258">
        <v>0.45691838969707999</v>
      </c>
      <c r="H258">
        <v>0.42781351177192622</v>
      </c>
      <c r="I258">
        <v>0.50337795863083334</v>
      </c>
      <c r="J258">
        <v>-7.6279089783512841</v>
      </c>
      <c r="K258">
        <v>0.72379967174414939</v>
      </c>
      <c r="L258">
        <v>-1.8006353459649711</v>
      </c>
      <c r="M258">
        <v>2.553395634518715</v>
      </c>
      <c r="N258">
        <v>2.4383654624337199</v>
      </c>
      <c r="O258">
        <v>-11.51292546497023</v>
      </c>
      <c r="P258">
        <v>0.11503016948699951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</row>
    <row r="259" spans="1:23" x14ac:dyDescent="0.25">
      <c r="A259">
        <v>28</v>
      </c>
      <c r="B259">
        <v>2011</v>
      </c>
      <c r="C259">
        <v>-1.9463940161282189</v>
      </c>
      <c r="D259">
        <v>0.74074615935922428</v>
      </c>
      <c r="E259">
        <v>0.75879446179580023</v>
      </c>
      <c r="F259">
        <v>0.79294726563712226</v>
      </c>
      <c r="G259">
        <v>0.53397558366469022</v>
      </c>
      <c r="H259">
        <v>0.45691838969707999</v>
      </c>
      <c r="I259">
        <v>0.42781351177192622</v>
      </c>
      <c r="J259">
        <v>-5.8530732691097702</v>
      </c>
      <c r="K259">
        <v>0.72379967174414939</v>
      </c>
      <c r="L259">
        <v>-1.702760661749307</v>
      </c>
      <c r="M259">
        <v>2.5540383090066419</v>
      </c>
      <c r="N259">
        <v>2.5364718745321961</v>
      </c>
      <c r="O259">
        <v>-11.51292546497023</v>
      </c>
      <c r="P259">
        <v>1.7566435039043427E-2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</row>
    <row r="260" spans="1:23" x14ac:dyDescent="0.25">
      <c r="A260">
        <v>28</v>
      </c>
      <c r="B260">
        <v>2012</v>
      </c>
      <c r="C260">
        <v>-1.8256375204588191</v>
      </c>
      <c r="D260">
        <v>0.69129546719647095</v>
      </c>
      <c r="E260">
        <v>0.74074615935922428</v>
      </c>
      <c r="F260">
        <v>0.75879446179580023</v>
      </c>
      <c r="G260">
        <v>0.508262341362826</v>
      </c>
      <c r="H260">
        <v>0.53397558366469022</v>
      </c>
      <c r="I260">
        <v>0.45691838969707999</v>
      </c>
      <c r="J260">
        <v>-5.3522689495535296</v>
      </c>
      <c r="K260">
        <v>0.72379967174414939</v>
      </c>
      <c r="L260">
        <v>-1.617474890301374</v>
      </c>
      <c r="M260">
        <v>2.5886088841378729</v>
      </c>
      <c r="N260">
        <v>2.544017004796876</v>
      </c>
      <c r="O260">
        <v>-11.51292546497023</v>
      </c>
      <c r="P260">
        <v>4.4591877609491348E-2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</row>
    <row r="261" spans="1:23" x14ac:dyDescent="0.25">
      <c r="A261">
        <v>28</v>
      </c>
      <c r="B261">
        <v>2013</v>
      </c>
      <c r="C261">
        <v>-1.789157529069664</v>
      </c>
      <c r="D261">
        <v>0.68006194101128981</v>
      </c>
      <c r="E261">
        <v>0.69129546719647095</v>
      </c>
      <c r="F261">
        <v>0.74074615935922428</v>
      </c>
      <c r="G261">
        <v>0.53051059708238879</v>
      </c>
      <c r="H261">
        <v>0.508262341362826</v>
      </c>
      <c r="I261">
        <v>0.53397558366469022</v>
      </c>
      <c r="J261">
        <v>-4.6031964212135046</v>
      </c>
      <c r="K261">
        <v>0.72379967174414939</v>
      </c>
      <c r="L261">
        <v>-1.578786139204712</v>
      </c>
      <c r="M261">
        <v>2.5497142344349002</v>
      </c>
      <c r="N261">
        <v>2.5492240521136251</v>
      </c>
      <c r="O261">
        <v>-11.51292546497023</v>
      </c>
      <c r="P261">
        <v>4.9018231220543385E-4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</row>
    <row r="262" spans="1:23" x14ac:dyDescent="0.25">
      <c r="A262">
        <v>28</v>
      </c>
      <c r="B262">
        <v>2014</v>
      </c>
      <c r="C262">
        <v>-1.705889690029134</v>
      </c>
      <c r="D262">
        <v>0.63853258728672235</v>
      </c>
      <c r="E262">
        <v>0.68006194101128981</v>
      </c>
      <c r="F262">
        <v>0.69129546719647095</v>
      </c>
      <c r="G262">
        <v>0.47642049704181327</v>
      </c>
      <c r="H262">
        <v>0.53051059708238879</v>
      </c>
      <c r="I262">
        <v>0.508262341362826</v>
      </c>
      <c r="J262">
        <v>-3.94387044886727</v>
      </c>
      <c r="K262">
        <v>0.72379967174414939</v>
      </c>
      <c r="L262">
        <v>-1.5149088590435631</v>
      </c>
      <c r="M262">
        <v>2.522045503632826</v>
      </c>
      <c r="N262">
        <v>2.538882544445884</v>
      </c>
      <c r="O262">
        <v>-11.51292546497023</v>
      </c>
      <c r="P262">
        <v>-1.6837039962410927E-2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</row>
    <row r="263" spans="1:23" x14ac:dyDescent="0.25">
      <c r="A263">
        <v>28</v>
      </c>
      <c r="B263">
        <v>2015</v>
      </c>
      <c r="C263">
        <v>-1.7474812573818881</v>
      </c>
      <c r="D263">
        <v>0.67365850397608285</v>
      </c>
      <c r="E263">
        <v>0.63853258728672235</v>
      </c>
      <c r="F263">
        <v>0.68006194101128981</v>
      </c>
      <c r="G263">
        <v>0.43333964487414411</v>
      </c>
      <c r="H263">
        <v>0.47642049704181327</v>
      </c>
      <c r="I263">
        <v>0.53051059708238879</v>
      </c>
      <c r="J263">
        <v>-3.556658363383113</v>
      </c>
      <c r="K263">
        <v>0.72379967174414939</v>
      </c>
      <c r="L263">
        <v>-1.4676281744427999</v>
      </c>
      <c r="M263">
        <v>2.46715852785516</v>
      </c>
      <c r="N263">
        <v>2.511574621450873</v>
      </c>
      <c r="O263">
        <v>-11.51292546497023</v>
      </c>
      <c r="P263">
        <v>-4.4416092336177826E-2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</row>
    <row r="264" spans="1:23" x14ac:dyDescent="0.25">
      <c r="A264">
        <v>28</v>
      </c>
      <c r="B264">
        <v>2016</v>
      </c>
      <c r="C264">
        <v>-1.7385889625078721</v>
      </c>
      <c r="D264">
        <v>0.70066882195879143</v>
      </c>
      <c r="E264">
        <v>0.67365850397608285</v>
      </c>
      <c r="F264">
        <v>0.63853258728672235</v>
      </c>
      <c r="G264">
        <v>0.54197539275820672</v>
      </c>
      <c r="H264">
        <v>0.43333964487414411</v>
      </c>
      <c r="I264">
        <v>0.47642049704181327</v>
      </c>
      <c r="J264">
        <v>-3.248337093668606</v>
      </c>
      <c r="K264">
        <v>0.72379967174414939</v>
      </c>
      <c r="L264">
        <v>-1.43682327519625</v>
      </c>
      <c r="M264">
        <v>2.3873947918417349</v>
      </c>
      <c r="N264">
        <v>2.457026066451129</v>
      </c>
      <c r="O264">
        <v>-11.51292546497023</v>
      </c>
      <c r="P264">
        <v>-6.9631271064281464E-2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</row>
    <row r="265" spans="1:23" x14ac:dyDescent="0.25">
      <c r="A265">
        <v>28</v>
      </c>
      <c r="B265">
        <v>2017</v>
      </c>
      <c r="C265">
        <v>-1.740456109842007</v>
      </c>
      <c r="D265">
        <v>0.67970726819324312</v>
      </c>
      <c r="E265">
        <v>0.70066882195879143</v>
      </c>
      <c r="F265">
        <v>0.67365850397608285</v>
      </c>
      <c r="G265">
        <v>0.5192698705486537</v>
      </c>
      <c r="H265">
        <v>0.54197539275820672</v>
      </c>
      <c r="I265">
        <v>0.43333964487414411</v>
      </c>
      <c r="J265">
        <v>-2.623496262158679</v>
      </c>
      <c r="K265">
        <v>0.72379967174414939</v>
      </c>
      <c r="L265">
        <v>-1.4074115617086631</v>
      </c>
      <c r="M265">
        <v>2.3876248847915611</v>
      </c>
      <c r="N265">
        <v>2.3775846494733259</v>
      </c>
      <c r="O265">
        <v>-11.51292546497023</v>
      </c>
      <c r="P265">
        <v>1.0040235705673695E-2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</row>
    <row r="266" spans="1:23" x14ac:dyDescent="0.25">
      <c r="A266">
        <v>28</v>
      </c>
      <c r="B266">
        <v>2018</v>
      </c>
      <c r="C266">
        <v>-1.8173717630980011</v>
      </c>
      <c r="D266">
        <v>0.81801616260581456</v>
      </c>
      <c r="E266">
        <v>0.67970726819324312</v>
      </c>
      <c r="F266">
        <v>0.70066882195879143</v>
      </c>
      <c r="G266">
        <v>0.5875088485369484</v>
      </c>
      <c r="H266">
        <v>0.5192698705486537</v>
      </c>
      <c r="I266">
        <v>0.54197539275820672</v>
      </c>
      <c r="J266">
        <v>-2.186010896709349</v>
      </c>
      <c r="K266">
        <v>0.72379967174414939</v>
      </c>
      <c r="L266">
        <v>-1.365776873222653</v>
      </c>
      <c r="M266">
        <v>2.3795529648176008</v>
      </c>
      <c r="N266">
        <v>2.3919205941178721</v>
      </c>
      <c r="O266">
        <v>3.2580965380214821</v>
      </c>
      <c r="P266">
        <v>-1.2367629446089268E-2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</row>
    <row r="267" spans="1:23" x14ac:dyDescent="0.25">
      <c r="A267">
        <v>28</v>
      </c>
      <c r="B267">
        <v>2019</v>
      </c>
      <c r="C267">
        <v>-1.7997144227063051</v>
      </c>
      <c r="D267">
        <v>0.76899649284338312</v>
      </c>
      <c r="E267">
        <v>0.81801616260581456</v>
      </c>
      <c r="F267">
        <v>0.67970726819324312</v>
      </c>
      <c r="G267">
        <v>0.53672726128864368</v>
      </c>
      <c r="H267">
        <v>0.5875088485369484</v>
      </c>
      <c r="I267">
        <v>0.5192698705486537</v>
      </c>
      <c r="J267">
        <v>-1.4466780057683979</v>
      </c>
      <c r="K267">
        <v>0.72379967174414939</v>
      </c>
      <c r="L267">
        <v>-1.3360778215868709</v>
      </c>
      <c r="M267">
        <v>2.390909843085292</v>
      </c>
      <c r="N267">
        <v>2.370644021391632</v>
      </c>
      <c r="O267">
        <v>5.393627546352362</v>
      </c>
      <c r="P267">
        <v>2.0265821367502213E-2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</row>
    <row r="268" spans="1:23" x14ac:dyDescent="0.25">
      <c r="A268">
        <v>28</v>
      </c>
      <c r="B268">
        <v>2020</v>
      </c>
      <c r="C268">
        <v>-1.869611748696973</v>
      </c>
      <c r="D268">
        <v>0.731598366934198</v>
      </c>
      <c r="E268">
        <v>0.76899649284338312</v>
      </c>
      <c r="F268">
        <v>0.81801616260581456</v>
      </c>
      <c r="G268">
        <v>0.50675735959003665</v>
      </c>
      <c r="H268">
        <v>0.53672726128864368</v>
      </c>
      <c r="I268">
        <v>0.5875088485369484</v>
      </c>
      <c r="J268">
        <v>-0.86432792504382172</v>
      </c>
      <c r="K268">
        <v>0.72379967174414939</v>
      </c>
      <c r="L268">
        <v>-1.3133711893383231</v>
      </c>
      <c r="M268">
        <v>2.3354626018328828</v>
      </c>
      <c r="N268">
        <v>2.3821925506135671</v>
      </c>
      <c r="O268">
        <v>5.9914645471079817</v>
      </c>
      <c r="P268">
        <v>-4.6729948371648788E-2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</row>
    <row r="269" spans="1:23" x14ac:dyDescent="0.25">
      <c r="A269">
        <v>28</v>
      </c>
      <c r="B269">
        <v>2021</v>
      </c>
      <c r="C269">
        <v>-1.8545011063658161</v>
      </c>
      <c r="D269">
        <v>0.91091631553670016</v>
      </c>
      <c r="E269">
        <v>0.731598366934198</v>
      </c>
      <c r="F269">
        <v>0.76899649284338312</v>
      </c>
      <c r="G269">
        <v>0.73063562497093693</v>
      </c>
      <c r="H269">
        <v>0.50675735959003665</v>
      </c>
      <c r="I269">
        <v>0.53672726128864368</v>
      </c>
      <c r="J269">
        <v>-0.30543162233801641</v>
      </c>
      <c r="K269">
        <v>0.72379967174414939</v>
      </c>
      <c r="L269">
        <v>-1.2881167267698941</v>
      </c>
      <c r="M269">
        <v>2.3372132310973339</v>
      </c>
      <c r="N269">
        <v>2.3270233200535411</v>
      </c>
      <c r="O269">
        <v>6.6846117276679271</v>
      </c>
      <c r="P269">
        <v>1.0189911350607872E-2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</row>
    <row r="270" spans="1:23" x14ac:dyDescent="0.25">
      <c r="A270">
        <v>28</v>
      </c>
      <c r="B270">
        <v>2022</v>
      </c>
      <c r="C270">
        <v>-1.812582902906464</v>
      </c>
      <c r="D270">
        <v>0.89833040649716212</v>
      </c>
      <c r="E270">
        <v>0.91091631553670016</v>
      </c>
      <c r="F270">
        <v>0.731598366934198</v>
      </c>
      <c r="G270">
        <v>0.68868724983785201</v>
      </c>
      <c r="H270">
        <v>0.73063562497093693</v>
      </c>
      <c r="I270">
        <v>0.50675735959003665</v>
      </c>
      <c r="J270">
        <v>0.17654301594946539</v>
      </c>
      <c r="K270">
        <v>0.72379967174414939</v>
      </c>
      <c r="L270">
        <v>-1.255833566226364</v>
      </c>
      <c r="M270">
        <v>2.3559957060864791</v>
      </c>
      <c r="N270">
        <v>2.3372132310973339</v>
      </c>
      <c r="O270">
        <v>8.0551577318196781</v>
      </c>
      <c r="P270">
        <v>1.8782474100589752E-2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</row>
    <row r="271" spans="1:23" x14ac:dyDescent="0.25">
      <c r="A271">
        <v>28</v>
      </c>
      <c r="B271">
        <v>2023</v>
      </c>
      <c r="C271">
        <v>-1.719655696902602</v>
      </c>
      <c r="D271">
        <v>0.77094120799996546</v>
      </c>
      <c r="E271">
        <v>0.89833040649716212</v>
      </c>
      <c r="F271">
        <v>0.91091631553670016</v>
      </c>
      <c r="G271">
        <v>0.53203902016518811</v>
      </c>
      <c r="H271">
        <v>0.68868724983785201</v>
      </c>
      <c r="I271">
        <v>0.73063562497093693</v>
      </c>
      <c r="J271">
        <v>0.69230268383448001</v>
      </c>
      <c r="K271">
        <v>0.72379967174414939</v>
      </c>
      <c r="L271">
        <v>-1.2171116995767179</v>
      </c>
      <c r="M271">
        <v>2.3639908490931592</v>
      </c>
      <c r="N271">
        <v>2.3559957060864791</v>
      </c>
      <c r="O271">
        <v>8.4658998970286863</v>
      </c>
      <c r="P271">
        <v>7.9951426014304161E-3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</row>
    <row r="272" spans="1:23" x14ac:dyDescent="0.25">
      <c r="A272">
        <v>29</v>
      </c>
      <c r="B272">
        <v>2006</v>
      </c>
      <c r="C272">
        <v>-2.629085297957777</v>
      </c>
      <c r="D272">
        <v>0.97077891715822484</v>
      </c>
      <c r="E272">
        <v>0.89379969403862336</v>
      </c>
      <c r="F272">
        <v>0.85637086166195941</v>
      </c>
      <c r="G272">
        <v>0.62057648772510998</v>
      </c>
      <c r="H272">
        <v>0.56741387509418195</v>
      </c>
      <c r="I272">
        <v>0.49834810225487802</v>
      </c>
      <c r="J272">
        <v>-11.51292546497023</v>
      </c>
      <c r="K272">
        <v>1.382848308078898</v>
      </c>
      <c r="L272">
        <v>-2.5561013264933559</v>
      </c>
      <c r="M272">
        <v>2.220044820524175</v>
      </c>
      <c r="N272">
        <v>2.2087085512740452</v>
      </c>
      <c r="O272">
        <v>-11.51292546497023</v>
      </c>
      <c r="P272">
        <v>1.1336268857121468E-2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</row>
    <row r="273" spans="1:23" x14ac:dyDescent="0.25">
      <c r="A273">
        <v>29</v>
      </c>
      <c r="B273">
        <v>2007</v>
      </c>
      <c r="C273">
        <v>-2.6662463024562171</v>
      </c>
      <c r="D273">
        <v>0.91573057501559185</v>
      </c>
      <c r="E273">
        <v>0.97077891715822484</v>
      </c>
      <c r="F273">
        <v>0.89379969403862336</v>
      </c>
      <c r="G273">
        <v>0.48106720160171512</v>
      </c>
      <c r="H273">
        <v>0.62057648772510998</v>
      </c>
      <c r="I273">
        <v>0.56741387509418195</v>
      </c>
      <c r="J273">
        <v>-11.51292546497023</v>
      </c>
      <c r="K273">
        <v>1.382848308078898</v>
      </c>
      <c r="L273">
        <v>-2.4598937520601778</v>
      </c>
      <c r="M273">
        <v>2.274871646071611</v>
      </c>
      <c r="N273">
        <v>2.2004386346696978</v>
      </c>
      <c r="O273">
        <v>-11.51292546497023</v>
      </c>
      <c r="P273">
        <v>7.4433013796806335E-2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</row>
    <row r="274" spans="1:23" x14ac:dyDescent="0.25">
      <c r="A274">
        <v>29</v>
      </c>
      <c r="B274">
        <v>2008</v>
      </c>
      <c r="C274">
        <v>-2.625445327537109</v>
      </c>
      <c r="D274">
        <v>0.86221462167548391</v>
      </c>
      <c r="E274">
        <v>0.91573057501559185</v>
      </c>
      <c r="F274">
        <v>0.97077891715822484</v>
      </c>
      <c r="G274">
        <v>0.4296372600791496</v>
      </c>
      <c r="H274">
        <v>0.48106720160171512</v>
      </c>
      <c r="I274">
        <v>0.62057648772510998</v>
      </c>
      <c r="J274">
        <v>-11.51292546497023</v>
      </c>
      <c r="K274">
        <v>1.382848308078898</v>
      </c>
      <c r="L274">
        <v>-2.3518702232055779</v>
      </c>
      <c r="M274">
        <v>2.2784234404880701</v>
      </c>
      <c r="N274">
        <v>2.2556424136612621</v>
      </c>
      <c r="O274">
        <v>-11.51292546497023</v>
      </c>
      <c r="P274">
        <v>2.2781027480959892E-2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</row>
    <row r="275" spans="1:23" x14ac:dyDescent="0.25">
      <c r="A275">
        <v>29</v>
      </c>
      <c r="B275">
        <v>2009</v>
      </c>
      <c r="C275">
        <v>-2.6286510813579991</v>
      </c>
      <c r="D275">
        <v>0.82763436626869735</v>
      </c>
      <c r="E275">
        <v>0.86221462167548391</v>
      </c>
      <c r="F275">
        <v>0.91573057501559185</v>
      </c>
      <c r="G275">
        <v>0.40499833251872053</v>
      </c>
      <c r="H275">
        <v>0.4296372600791496</v>
      </c>
      <c r="I275">
        <v>0.48106720160171512</v>
      </c>
      <c r="J275">
        <v>-11.51292546497023</v>
      </c>
      <c r="K275">
        <v>1.382848308078898</v>
      </c>
      <c r="L275">
        <v>-2.232301838313691</v>
      </c>
      <c r="M275">
        <v>2.3241325343923962</v>
      </c>
      <c r="N275">
        <v>2.2691713952387511</v>
      </c>
      <c r="O275">
        <v>-11.51292546497023</v>
      </c>
      <c r="P275">
        <v>5.4961137473583221E-2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</row>
    <row r="276" spans="1:23" x14ac:dyDescent="0.25">
      <c r="A276">
        <v>29</v>
      </c>
      <c r="B276">
        <v>2010</v>
      </c>
      <c r="C276">
        <v>-2.4232699220657108</v>
      </c>
      <c r="D276">
        <v>0.7963804352015974</v>
      </c>
      <c r="E276">
        <v>0.82763436626869735</v>
      </c>
      <c r="F276">
        <v>0.86221462167548391</v>
      </c>
      <c r="G276">
        <v>0.43067791057956828</v>
      </c>
      <c r="H276">
        <v>0.40499833251872053</v>
      </c>
      <c r="I276">
        <v>0.4296372600791496</v>
      </c>
      <c r="J276">
        <v>-9.5727204406975037</v>
      </c>
      <c r="K276">
        <v>1.382848308078898</v>
      </c>
      <c r="L276">
        <v>-2.089347798874174</v>
      </c>
      <c r="M276">
        <v>2.3747080676031711</v>
      </c>
      <c r="N276">
        <v>2.342744810353603</v>
      </c>
      <c r="O276">
        <v>-11.51292546497023</v>
      </c>
      <c r="P276">
        <v>3.1963258981704712E-2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</row>
    <row r="277" spans="1:23" x14ac:dyDescent="0.25">
      <c r="A277">
        <v>29</v>
      </c>
      <c r="B277">
        <v>2011</v>
      </c>
      <c r="C277">
        <v>-2.1830046985633729</v>
      </c>
      <c r="D277">
        <v>0.74806141143733718</v>
      </c>
      <c r="E277">
        <v>0.7963804352015974</v>
      </c>
      <c r="F277">
        <v>0.82763436626869735</v>
      </c>
      <c r="G277">
        <v>0.47840573250987939</v>
      </c>
      <c r="H277">
        <v>0.43067791057956828</v>
      </c>
      <c r="I277">
        <v>0.40499833251872053</v>
      </c>
      <c r="J277">
        <v>-7.9443172550196612</v>
      </c>
      <c r="K277">
        <v>1.382848308078898</v>
      </c>
      <c r="L277">
        <v>-1.958855689807649</v>
      </c>
      <c r="M277">
        <v>2.389706123292918</v>
      </c>
      <c r="N277">
        <v>2.393673340847108</v>
      </c>
      <c r="O277">
        <v>-11.51292546497023</v>
      </c>
      <c r="P277">
        <v>-3.9672176353633404E-3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</row>
    <row r="278" spans="1:23" x14ac:dyDescent="0.25">
      <c r="A278">
        <v>29</v>
      </c>
      <c r="B278">
        <v>2012</v>
      </c>
      <c r="C278">
        <v>-2.0402557814915272</v>
      </c>
      <c r="D278">
        <v>0.6840055226426619</v>
      </c>
      <c r="E278">
        <v>0.74806141143733718</v>
      </c>
      <c r="F278">
        <v>0.7963804352015974</v>
      </c>
      <c r="G278">
        <v>0.4263782296883713</v>
      </c>
      <c r="H278">
        <v>0.47840573250987939</v>
      </c>
      <c r="I278">
        <v>0.43067791057956828</v>
      </c>
      <c r="J278">
        <v>-7.4798176430643304</v>
      </c>
      <c r="K278">
        <v>1.382848308078898</v>
      </c>
      <c r="L278">
        <v>-1.85830010033828</v>
      </c>
      <c r="M278">
        <v>2.3993026863329461</v>
      </c>
      <c r="N278">
        <v>2.384202106002494</v>
      </c>
      <c r="O278">
        <v>-11.51292546497023</v>
      </c>
      <c r="P278">
        <v>1.5100580640137196E-2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</row>
    <row r="279" spans="1:23" x14ac:dyDescent="0.25">
      <c r="A279">
        <v>29</v>
      </c>
      <c r="B279">
        <v>2013</v>
      </c>
      <c r="C279">
        <v>-2.0463788297089032</v>
      </c>
      <c r="D279">
        <v>0.68697819141441629</v>
      </c>
      <c r="E279">
        <v>0.6840055226426619</v>
      </c>
      <c r="F279">
        <v>0.74806141143733718</v>
      </c>
      <c r="G279">
        <v>0.4287258016827164</v>
      </c>
      <c r="H279">
        <v>0.4263782296883713</v>
      </c>
      <c r="I279">
        <v>0.47840573250987939</v>
      </c>
      <c r="J279">
        <v>-6.674304647002967</v>
      </c>
      <c r="K279">
        <v>1.382848308078898</v>
      </c>
      <c r="L279">
        <v>-1.828241575759683</v>
      </c>
      <c r="M279">
        <v>2.382557656180655</v>
      </c>
      <c r="N279">
        <v>2.3398182449075948</v>
      </c>
      <c r="O279">
        <v>-11.51292546497023</v>
      </c>
      <c r="P279">
        <v>4.2739409953355789E-2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</row>
    <row r="280" spans="1:23" x14ac:dyDescent="0.25">
      <c r="A280">
        <v>29</v>
      </c>
      <c r="B280">
        <v>2014</v>
      </c>
      <c r="C280">
        <v>-1.953292082765113</v>
      </c>
      <c r="D280">
        <v>0.66541620682163427</v>
      </c>
      <c r="E280">
        <v>0.68697819141441629</v>
      </c>
      <c r="F280">
        <v>0.6840055226426619</v>
      </c>
      <c r="G280">
        <v>0.42304304038223289</v>
      </c>
      <c r="H280">
        <v>0.4287258016827164</v>
      </c>
      <c r="I280">
        <v>0.4263782296883713</v>
      </c>
      <c r="J280">
        <v>-5.9866087636928187</v>
      </c>
      <c r="K280">
        <v>1.382848308078898</v>
      </c>
      <c r="L280">
        <v>-1.7551732524677071</v>
      </c>
      <c r="M280">
        <v>2.3906489800003539</v>
      </c>
      <c r="N280">
        <v>2.3771063589308312</v>
      </c>
      <c r="O280">
        <v>-11.51292546497023</v>
      </c>
      <c r="P280">
        <v>1.3542621396481991E-2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</row>
    <row r="281" spans="1:23" x14ac:dyDescent="0.25">
      <c r="A281">
        <v>29</v>
      </c>
      <c r="B281">
        <v>2015</v>
      </c>
      <c r="C281">
        <v>-2.0032879398494932</v>
      </c>
      <c r="D281">
        <v>0.71720544565301625</v>
      </c>
      <c r="E281">
        <v>0.66541620682163427</v>
      </c>
      <c r="F281">
        <v>0.68697819141441629</v>
      </c>
      <c r="G281">
        <v>0.40653120629016198</v>
      </c>
      <c r="H281">
        <v>0.42304304038223289</v>
      </c>
      <c r="I281">
        <v>0.4287258016827164</v>
      </c>
      <c r="J281">
        <v>-5.5349254626655782</v>
      </c>
      <c r="K281">
        <v>1.382848308078898</v>
      </c>
      <c r="L281">
        <v>-1.701241367198965</v>
      </c>
      <c r="M281">
        <v>2.4027409948229188</v>
      </c>
      <c r="N281">
        <v>2.3855738785318512</v>
      </c>
      <c r="O281">
        <v>-11.51292546497023</v>
      </c>
      <c r="P281">
        <v>1.7167115584015846E-2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</row>
    <row r="282" spans="1:23" x14ac:dyDescent="0.25">
      <c r="A282">
        <v>29</v>
      </c>
      <c r="B282">
        <v>2016</v>
      </c>
      <c r="C282">
        <v>-1.933059323500631</v>
      </c>
      <c r="D282">
        <v>0.72750029693160778</v>
      </c>
      <c r="E282">
        <v>0.71720544565301625</v>
      </c>
      <c r="F282">
        <v>0.66541620682163427</v>
      </c>
      <c r="G282">
        <v>0.49968378334714619</v>
      </c>
      <c r="H282">
        <v>0.40653120629016198</v>
      </c>
      <c r="I282">
        <v>0.42304304038223289</v>
      </c>
      <c r="J282">
        <v>-5.1681671805886298</v>
      </c>
      <c r="K282">
        <v>1.382848308078898</v>
      </c>
      <c r="L282">
        <v>-1.6646193261471509</v>
      </c>
      <c r="M282">
        <v>2.374399034037272</v>
      </c>
      <c r="N282">
        <v>2.3979357204673888</v>
      </c>
      <c r="O282">
        <v>-11.51292546497023</v>
      </c>
      <c r="P282">
        <v>-2.3536685854196548E-2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</row>
    <row r="283" spans="1:23" x14ac:dyDescent="0.25">
      <c r="A283">
        <v>29</v>
      </c>
      <c r="B283">
        <v>2017</v>
      </c>
      <c r="C283">
        <v>-1.9193188007571429</v>
      </c>
      <c r="D283">
        <v>0.7089220996753075</v>
      </c>
      <c r="E283">
        <v>0.72750029693160778</v>
      </c>
      <c r="F283">
        <v>0.71720544565301625</v>
      </c>
      <c r="G283">
        <v>0.47393339758158343</v>
      </c>
      <c r="H283">
        <v>0.49968378334714619</v>
      </c>
      <c r="I283">
        <v>0.40653120629016198</v>
      </c>
      <c r="J283">
        <v>-4.5386425007829434</v>
      </c>
      <c r="K283">
        <v>1.382848308078898</v>
      </c>
      <c r="L283">
        <v>-1.631185817633853</v>
      </c>
      <c r="M283">
        <v>2.371774908255234</v>
      </c>
      <c r="N283">
        <v>2.369965404673338</v>
      </c>
      <c r="O283">
        <v>-11.51292546497023</v>
      </c>
      <c r="P283">
        <v>1.8095035338774323E-3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</row>
    <row r="284" spans="1:23" x14ac:dyDescent="0.25">
      <c r="A284">
        <v>29</v>
      </c>
      <c r="B284">
        <v>2018</v>
      </c>
      <c r="C284">
        <v>-1.996961763344304</v>
      </c>
      <c r="D284">
        <v>0.83815620246992029</v>
      </c>
      <c r="E284">
        <v>0.7089220996753075</v>
      </c>
      <c r="F284">
        <v>0.72750029693160778</v>
      </c>
      <c r="G284">
        <v>0.55267748778855108</v>
      </c>
      <c r="H284">
        <v>0.47393339758158343</v>
      </c>
      <c r="I284">
        <v>0.49968378334714619</v>
      </c>
      <c r="J284">
        <v>-4.0122476160696179</v>
      </c>
      <c r="K284">
        <v>1.382848308078898</v>
      </c>
      <c r="L284">
        <v>-1.556783547043304</v>
      </c>
      <c r="M284">
        <v>2.426238079922038</v>
      </c>
      <c r="N284">
        <v>2.407049240281895</v>
      </c>
      <c r="O284">
        <v>3.2580965380214821</v>
      </c>
      <c r="P284">
        <v>1.9188839942216873E-2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</row>
    <row r="285" spans="1:23" x14ac:dyDescent="0.25">
      <c r="A285">
        <v>29</v>
      </c>
      <c r="B285">
        <v>2019</v>
      </c>
      <c r="C285">
        <v>-1.984798248808102</v>
      </c>
      <c r="D285">
        <v>0.80482271445053444</v>
      </c>
      <c r="E285">
        <v>0.83815620246992029</v>
      </c>
      <c r="F285">
        <v>0.7089220996753075</v>
      </c>
      <c r="G285">
        <v>0.52514264436078373</v>
      </c>
      <c r="H285">
        <v>0.55267748778855108</v>
      </c>
      <c r="I285">
        <v>0.47393339758158343</v>
      </c>
      <c r="J285">
        <v>-3.2992086291733882</v>
      </c>
      <c r="K285">
        <v>1.382848308078898</v>
      </c>
      <c r="L285">
        <v>-1.51963451544666</v>
      </c>
      <c r="M285">
        <v>2.404954967805796</v>
      </c>
      <c r="N285">
        <v>2.4221656058195919</v>
      </c>
      <c r="O285">
        <v>5.393627546352362</v>
      </c>
      <c r="P285">
        <v>-1.7210638150572777E-2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</row>
    <row r="286" spans="1:23" x14ac:dyDescent="0.25">
      <c r="A286">
        <v>29</v>
      </c>
      <c r="B286">
        <v>2020</v>
      </c>
      <c r="C286">
        <v>-2.009730139541797</v>
      </c>
      <c r="D286">
        <v>0.71564225838731621</v>
      </c>
      <c r="E286">
        <v>0.80482271445053444</v>
      </c>
      <c r="F286">
        <v>0.83815620246992029</v>
      </c>
      <c r="G286">
        <v>0.44846073856926022</v>
      </c>
      <c r="H286">
        <v>0.52514264436078373</v>
      </c>
      <c r="I286">
        <v>0.55267748778855108</v>
      </c>
      <c r="J286">
        <v>-2.6836124481892152</v>
      </c>
      <c r="K286">
        <v>1.382848308078898</v>
      </c>
      <c r="L286">
        <v>-1.488372962634988</v>
      </c>
      <c r="M286">
        <v>2.3787451024793471</v>
      </c>
      <c r="N286">
        <v>2.4010916840211798</v>
      </c>
      <c r="O286">
        <v>5.9914645471079817</v>
      </c>
      <c r="P286">
        <v>-2.2346582263708115E-2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</row>
    <row r="287" spans="1:23" x14ac:dyDescent="0.25">
      <c r="A287">
        <v>29</v>
      </c>
      <c r="B287">
        <v>2021</v>
      </c>
      <c r="C287">
        <v>-1.982345753960298</v>
      </c>
      <c r="D287">
        <v>0.92115886327101559</v>
      </c>
      <c r="E287">
        <v>0.71564225838731621</v>
      </c>
      <c r="F287">
        <v>0.80482271445053444</v>
      </c>
      <c r="G287">
        <v>0.71402765813930047</v>
      </c>
      <c r="H287">
        <v>0.44846073856926022</v>
      </c>
      <c r="I287">
        <v>0.52514264436078373</v>
      </c>
      <c r="J287">
        <v>-2.1038461798426962</v>
      </c>
      <c r="K287">
        <v>1.382848308078898</v>
      </c>
      <c r="L287">
        <v>-1.4567183066990961</v>
      </c>
      <c r="M287">
        <v>2.396453340283081</v>
      </c>
      <c r="N287">
        <v>2.3750915250900881</v>
      </c>
      <c r="O287">
        <v>6.6846117276679271</v>
      </c>
      <c r="P287">
        <v>2.1361814811825752E-2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</row>
    <row r="288" spans="1:23" x14ac:dyDescent="0.25">
      <c r="A288">
        <v>29</v>
      </c>
      <c r="B288">
        <v>2022</v>
      </c>
      <c r="C288">
        <v>-1.9422258804690751</v>
      </c>
      <c r="D288">
        <v>0.96202862354800878</v>
      </c>
      <c r="E288">
        <v>0.92115886327101559</v>
      </c>
      <c r="F288">
        <v>0.71564225838731621</v>
      </c>
      <c r="G288">
        <v>0.7067541839661623</v>
      </c>
      <c r="H288">
        <v>0.71402765813930047</v>
      </c>
      <c r="I288">
        <v>0.44846073856926022</v>
      </c>
      <c r="J288">
        <v>-1.589961781570379</v>
      </c>
      <c r="K288">
        <v>1.382848308078898</v>
      </c>
      <c r="L288">
        <v>-1.422763275197988</v>
      </c>
      <c r="M288">
        <v>2.44692431473355</v>
      </c>
      <c r="N288">
        <v>2.396453340283081</v>
      </c>
      <c r="O288">
        <v>8.0551577318196781</v>
      </c>
      <c r="P288">
        <v>5.0470974296331406E-2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</row>
    <row r="289" spans="1:23" x14ac:dyDescent="0.25">
      <c r="A289">
        <v>29</v>
      </c>
      <c r="B289">
        <v>2023</v>
      </c>
      <c r="C289">
        <v>-1.8582235971545269</v>
      </c>
      <c r="D289">
        <v>0.80083498597686265</v>
      </c>
      <c r="E289">
        <v>0.96202862354800878</v>
      </c>
      <c r="F289">
        <v>0.92115886327101559</v>
      </c>
      <c r="G289">
        <v>0.52063733114998356</v>
      </c>
      <c r="H289">
        <v>0.7067541839661623</v>
      </c>
      <c r="I289">
        <v>0.71402765813930047</v>
      </c>
      <c r="J289">
        <v>-1.0645828863943529</v>
      </c>
      <c r="K289">
        <v>1.382848308078898</v>
      </c>
      <c r="L289">
        <v>-1.3833903952551321</v>
      </c>
      <c r="M289">
        <v>2.4646368850346452</v>
      </c>
      <c r="N289">
        <v>2.44692431473355</v>
      </c>
      <c r="O289">
        <v>8.4658998970286863</v>
      </c>
      <c r="P289">
        <v>1.771257072687149E-2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</row>
    <row r="290" spans="1:23" x14ac:dyDescent="0.25">
      <c r="A290">
        <v>31</v>
      </c>
      <c r="B290">
        <v>2006</v>
      </c>
      <c r="C290">
        <v>-1.976825740702415</v>
      </c>
      <c r="D290">
        <v>0.91228271047661635</v>
      </c>
      <c r="E290">
        <v>0.84629736005362011</v>
      </c>
      <c r="F290">
        <v>0.80897274606553571</v>
      </c>
      <c r="G290">
        <v>0.64710324205853842</v>
      </c>
      <c r="H290">
        <v>0.48199395709728798</v>
      </c>
      <c r="I290">
        <v>0.38635024424848219</v>
      </c>
      <c r="J290">
        <v>-11.51292546497023</v>
      </c>
      <c r="K290">
        <v>1.665048632597683</v>
      </c>
      <c r="L290">
        <v>-1.6316084705918179</v>
      </c>
      <c r="M290">
        <v>2.688340792759726</v>
      </c>
      <c r="N290">
        <v>2.632573684932809</v>
      </c>
      <c r="O290">
        <v>-11.51292546497023</v>
      </c>
      <c r="P290">
        <v>5.5767107754945755E-2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</row>
    <row r="291" spans="1:23" x14ac:dyDescent="0.25">
      <c r="A291">
        <v>31</v>
      </c>
      <c r="B291">
        <v>2007</v>
      </c>
      <c r="C291">
        <v>-1.939408501019503</v>
      </c>
      <c r="D291">
        <v>0.85654072746838106</v>
      </c>
      <c r="E291">
        <v>0.91228271047661635</v>
      </c>
      <c r="F291">
        <v>0.84629736005362011</v>
      </c>
      <c r="G291">
        <v>0.48106720160171512</v>
      </c>
      <c r="H291">
        <v>0.64710324205853842</v>
      </c>
      <c r="I291">
        <v>0.48199395709728798</v>
      </c>
      <c r="J291">
        <v>-11.51292546497023</v>
      </c>
      <c r="K291">
        <v>1.665048632597683</v>
      </c>
      <c r="L291">
        <v>-1.543054838681122</v>
      </c>
      <c r="M291">
        <v>2.7388937262800388</v>
      </c>
      <c r="N291">
        <v>2.6788704738218438</v>
      </c>
      <c r="O291">
        <v>-11.51292546497023</v>
      </c>
      <c r="P291">
        <v>6.0023251920938492E-2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</row>
    <row r="292" spans="1:23" x14ac:dyDescent="0.25">
      <c r="A292">
        <v>31</v>
      </c>
      <c r="B292">
        <v>2008</v>
      </c>
      <c r="C292">
        <v>-1.914953380717666</v>
      </c>
      <c r="D292">
        <v>0.79511695414366257</v>
      </c>
      <c r="E292">
        <v>0.85654072746838106</v>
      </c>
      <c r="F292">
        <v>0.91228271047661635</v>
      </c>
      <c r="G292">
        <v>0.38764052319561237</v>
      </c>
      <c r="H292">
        <v>0.48106720160171512</v>
      </c>
      <c r="I292">
        <v>0.64710324205853842</v>
      </c>
      <c r="J292">
        <v>-11.51292546497023</v>
      </c>
      <c r="K292">
        <v>1.665048632597683</v>
      </c>
      <c r="L292">
        <v>-1.447732346433706</v>
      </c>
      <c r="M292">
        <v>2.7930546671945402</v>
      </c>
      <c r="N292">
        <v>2.7295122535389189</v>
      </c>
      <c r="O292">
        <v>-11.51292546497023</v>
      </c>
      <c r="P292">
        <v>6.3542410731315613E-2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</row>
    <row r="293" spans="1:23" x14ac:dyDescent="0.25">
      <c r="A293">
        <v>31</v>
      </c>
      <c r="B293">
        <v>2009</v>
      </c>
      <c r="C293">
        <v>-1.896107555932413</v>
      </c>
      <c r="D293">
        <v>0.74881837793040629</v>
      </c>
      <c r="E293">
        <v>0.79511695414366257</v>
      </c>
      <c r="F293">
        <v>0.85654072746838106</v>
      </c>
      <c r="G293">
        <v>0.35760451175666452</v>
      </c>
      <c r="H293">
        <v>0.38764052319561237</v>
      </c>
      <c r="I293">
        <v>0.48106720160171512</v>
      </c>
      <c r="J293">
        <v>-9.905169387458578</v>
      </c>
      <c r="K293">
        <v>1.665048632597683</v>
      </c>
      <c r="L293">
        <v>-1.365071522325926</v>
      </c>
      <c r="M293">
        <v>2.7444865995273799</v>
      </c>
      <c r="N293">
        <v>2.783847588516756</v>
      </c>
      <c r="O293">
        <v>-11.51292546497023</v>
      </c>
      <c r="P293">
        <v>-3.9360988885164261E-2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</row>
    <row r="294" spans="1:23" x14ac:dyDescent="0.25">
      <c r="A294">
        <v>31</v>
      </c>
      <c r="B294">
        <v>2010</v>
      </c>
      <c r="C294">
        <v>-1.6874307470552039</v>
      </c>
      <c r="D294">
        <v>0.7236763855947681</v>
      </c>
      <c r="E294">
        <v>0.74881837793040629</v>
      </c>
      <c r="F294">
        <v>0.79511695414366257</v>
      </c>
      <c r="G294">
        <v>0.41462304589292998</v>
      </c>
      <c r="H294">
        <v>0.35760451175666452</v>
      </c>
      <c r="I294">
        <v>0.38764052319561237</v>
      </c>
      <c r="J294">
        <v>-9.2043818049227788</v>
      </c>
      <c r="K294">
        <v>1.665048632597683</v>
      </c>
      <c r="L294">
        <v>-1.2660821794952271</v>
      </c>
      <c r="M294">
        <v>2.8713640733960721</v>
      </c>
      <c r="N294">
        <v>2.7521270015036121</v>
      </c>
      <c r="O294">
        <v>-11.51292546497023</v>
      </c>
      <c r="P294">
        <v>0.11923707276582718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</row>
    <row r="295" spans="1:23" x14ac:dyDescent="0.25">
      <c r="A295">
        <v>31</v>
      </c>
      <c r="B295">
        <v>2011</v>
      </c>
      <c r="C295">
        <v>-1.571107417726038</v>
      </c>
      <c r="D295">
        <v>0.76248665863855825</v>
      </c>
      <c r="E295">
        <v>0.7236763855947681</v>
      </c>
      <c r="F295">
        <v>0.74881837793040629</v>
      </c>
      <c r="G295">
        <v>0.5019261405789579</v>
      </c>
      <c r="H295">
        <v>0.41462304589292998</v>
      </c>
      <c r="I295">
        <v>0.35760451175666452</v>
      </c>
      <c r="J295">
        <v>-7.6926051806889442</v>
      </c>
      <c r="K295">
        <v>1.665048632597683</v>
      </c>
      <c r="L295">
        <v>-1.1720532749662791</v>
      </c>
      <c r="M295">
        <v>2.9297951104025599</v>
      </c>
      <c r="N295">
        <v>2.8790633008533519</v>
      </c>
      <c r="O295">
        <v>-11.51292546497023</v>
      </c>
      <c r="P295">
        <v>5.0731807947158813E-2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</row>
    <row r="296" spans="1:23" x14ac:dyDescent="0.25">
      <c r="A296">
        <v>31</v>
      </c>
      <c r="B296">
        <v>2012</v>
      </c>
      <c r="C296">
        <v>-1.4934795514968711</v>
      </c>
      <c r="D296">
        <v>0.71285176383428073</v>
      </c>
      <c r="E296">
        <v>0.76248665863855825</v>
      </c>
      <c r="F296">
        <v>0.7236763855947681</v>
      </c>
      <c r="G296">
        <v>0.43580030790423729</v>
      </c>
      <c r="H296">
        <v>0.5019261405789579</v>
      </c>
      <c r="I296">
        <v>0.41462304589292998</v>
      </c>
      <c r="J296">
        <v>-7.2571705350392399</v>
      </c>
      <c r="K296">
        <v>1.665048632597683</v>
      </c>
      <c r="L296">
        <v>-1.1022677043832061</v>
      </c>
      <c r="M296">
        <v>2.9471360520100429</v>
      </c>
      <c r="N296">
        <v>2.9233970037731618</v>
      </c>
      <c r="O296">
        <v>-11.51292546497023</v>
      </c>
      <c r="P296">
        <v>2.3739047348499298E-2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</row>
    <row r="297" spans="1:23" x14ac:dyDescent="0.25">
      <c r="A297">
        <v>31</v>
      </c>
      <c r="B297">
        <v>2013</v>
      </c>
      <c r="C297">
        <v>-1.4869349667615681</v>
      </c>
      <c r="D297">
        <v>0.68355128688649835</v>
      </c>
      <c r="E297">
        <v>0.71285176383428073</v>
      </c>
      <c r="F297">
        <v>0.76248665863855825</v>
      </c>
      <c r="G297">
        <v>0.35942116960675757</v>
      </c>
      <c r="H297">
        <v>0.43580030790423729</v>
      </c>
      <c r="I297">
        <v>0.5019261405789579</v>
      </c>
      <c r="J297">
        <v>-6.4362162170172619</v>
      </c>
      <c r="K297">
        <v>1.665048632597683</v>
      </c>
      <c r="L297">
        <v>-1.0743911160916</v>
      </c>
      <c r="M297">
        <v>2.9366529053581152</v>
      </c>
      <c r="N297">
        <v>2.9106401381808178</v>
      </c>
      <c r="O297">
        <v>-11.51292546497023</v>
      </c>
      <c r="P297">
        <v>2.6012767106294632E-2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</row>
    <row r="298" spans="1:23" x14ac:dyDescent="0.25">
      <c r="A298">
        <v>31</v>
      </c>
      <c r="B298">
        <v>2014</v>
      </c>
      <c r="C298">
        <v>-1.425130660492147</v>
      </c>
      <c r="D298">
        <v>0.65206473545871535</v>
      </c>
      <c r="E298">
        <v>0.68355128688649835</v>
      </c>
      <c r="F298">
        <v>0.71285176383428073</v>
      </c>
      <c r="G298">
        <v>0.34861252984868768</v>
      </c>
      <c r="H298">
        <v>0.35942116960675757</v>
      </c>
      <c r="I298">
        <v>0.43580030790423729</v>
      </c>
      <c r="J298">
        <v>-5.7806517388186291</v>
      </c>
      <c r="K298">
        <v>1.665048632597683</v>
      </c>
      <c r="L298">
        <v>-1.0264351275750001</v>
      </c>
      <c r="M298">
        <v>2.911310392527914</v>
      </c>
      <c r="N298">
        <v>2.929841861663526</v>
      </c>
      <c r="O298">
        <v>-11.51292546497023</v>
      </c>
      <c r="P298">
        <v>-1.8531469628214836E-2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</row>
    <row r="299" spans="1:23" x14ac:dyDescent="0.25">
      <c r="A299">
        <v>31</v>
      </c>
      <c r="B299">
        <v>2015</v>
      </c>
      <c r="C299">
        <v>-1.580485424436801</v>
      </c>
      <c r="D299">
        <v>0.67365850397608285</v>
      </c>
      <c r="E299">
        <v>0.65206473545871535</v>
      </c>
      <c r="F299">
        <v>0.68355128688649835</v>
      </c>
      <c r="G299">
        <v>0.30032678998485968</v>
      </c>
      <c r="H299">
        <v>0.34861252984868768</v>
      </c>
      <c r="I299">
        <v>0.35942116960675757</v>
      </c>
      <c r="J299">
        <v>-5.4134254298042874</v>
      </c>
      <c r="K299">
        <v>1.665048632597683</v>
      </c>
      <c r="L299">
        <v>-0.99061680141015673</v>
      </c>
      <c r="M299">
        <v>2.8370914305315349</v>
      </c>
      <c r="N299">
        <v>2.9048202917486639</v>
      </c>
      <c r="O299">
        <v>-11.51292546497023</v>
      </c>
      <c r="P299">
        <v>-6.7728862166404724E-2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</row>
    <row r="300" spans="1:23" x14ac:dyDescent="0.25">
      <c r="A300">
        <v>31</v>
      </c>
      <c r="B300">
        <v>2016</v>
      </c>
      <c r="C300">
        <v>-1.537501426855469</v>
      </c>
      <c r="D300">
        <v>0.70877443644564431</v>
      </c>
      <c r="E300">
        <v>0.67365850397608285</v>
      </c>
      <c r="F300">
        <v>0.65206473545871535</v>
      </c>
      <c r="G300">
        <v>0.39467375702994367</v>
      </c>
      <c r="H300">
        <v>0.30032678998485968</v>
      </c>
      <c r="I300">
        <v>0.34861252984868768</v>
      </c>
      <c r="J300">
        <v>-5.0618123912569919</v>
      </c>
      <c r="K300">
        <v>1.665048632597683</v>
      </c>
      <c r="L300">
        <v>-0.9609825132529638</v>
      </c>
      <c r="M300">
        <v>2.800931067191438</v>
      </c>
      <c r="N300">
        <v>2.8309548340103299</v>
      </c>
      <c r="O300">
        <v>-11.51292546497023</v>
      </c>
      <c r="P300">
        <v>-3.0023766681551933E-2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</row>
    <row r="301" spans="1:23" x14ac:dyDescent="0.25">
      <c r="A301">
        <v>31</v>
      </c>
      <c r="B301">
        <v>2017</v>
      </c>
      <c r="C301">
        <v>-1.5306391406381299</v>
      </c>
      <c r="D301">
        <v>0.71676604615857931</v>
      </c>
      <c r="E301">
        <v>0.70877443644564431</v>
      </c>
      <c r="F301">
        <v>0.67365850397608285</v>
      </c>
      <c r="G301">
        <v>0.38028404291090551</v>
      </c>
      <c r="H301">
        <v>0.39467375702994367</v>
      </c>
      <c r="I301">
        <v>0.30032678998485968</v>
      </c>
      <c r="J301">
        <v>-4.4166902227234708</v>
      </c>
      <c r="K301">
        <v>1.665048632597683</v>
      </c>
      <c r="L301">
        <v>-0.92806234712043212</v>
      </c>
      <c r="M301">
        <v>2.8154043395803452</v>
      </c>
      <c r="N301">
        <v>2.79513881878828</v>
      </c>
      <c r="O301">
        <v>-11.51292546497023</v>
      </c>
      <c r="P301">
        <v>2.0265521481633186E-2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</row>
    <row r="302" spans="1:23" x14ac:dyDescent="0.25">
      <c r="A302">
        <v>31</v>
      </c>
      <c r="B302">
        <v>2018</v>
      </c>
      <c r="C302">
        <v>-1.773131054291377</v>
      </c>
      <c r="D302">
        <v>0.87304914583513249</v>
      </c>
      <c r="E302">
        <v>0.71676604615857931</v>
      </c>
      <c r="F302">
        <v>0.70877443644564431</v>
      </c>
      <c r="G302">
        <v>0.45031099589999951</v>
      </c>
      <c r="H302">
        <v>0.38028404291090551</v>
      </c>
      <c r="I302">
        <v>0.39467375702994367</v>
      </c>
      <c r="J302">
        <v>-3.950325063128457</v>
      </c>
      <c r="K302">
        <v>1.665048632597683</v>
      </c>
      <c r="L302">
        <v>-0.88429864165826255</v>
      </c>
      <c r="M302">
        <v>2.839851858776707</v>
      </c>
      <c r="N302">
        <v>2.8191459772272398</v>
      </c>
      <c r="O302">
        <v>3.2580965380214821</v>
      </c>
      <c r="P302">
        <v>2.0705882459878922E-2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>
        <v>31</v>
      </c>
      <c r="B303">
        <v>2019</v>
      </c>
      <c r="C303">
        <v>-1.858401975125525</v>
      </c>
      <c r="D303">
        <v>0.82868281335263771</v>
      </c>
      <c r="E303">
        <v>0.87304914583513249</v>
      </c>
      <c r="F303">
        <v>0.71676604615857931</v>
      </c>
      <c r="G303">
        <v>0.38831894927319383</v>
      </c>
      <c r="H303">
        <v>0.45031099589999951</v>
      </c>
      <c r="I303">
        <v>0.38028404291090551</v>
      </c>
      <c r="J303">
        <v>-3.206845334783671</v>
      </c>
      <c r="K303">
        <v>1.665048632597683</v>
      </c>
      <c r="L303">
        <v>-0.84793328981547011</v>
      </c>
      <c r="M303">
        <v>2.8508349529448558</v>
      </c>
      <c r="N303">
        <v>2.833780735630254</v>
      </c>
      <c r="O303">
        <v>5.393627546352362</v>
      </c>
      <c r="P303">
        <v>1.7054216936230659E-2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</row>
    <row r="304" spans="1:23" x14ac:dyDescent="0.25">
      <c r="A304">
        <v>31</v>
      </c>
      <c r="B304">
        <v>2020</v>
      </c>
      <c r="C304">
        <v>-1.8829612093822541</v>
      </c>
      <c r="D304">
        <v>0.73835952338149324</v>
      </c>
      <c r="E304">
        <v>0.82868281335263771</v>
      </c>
      <c r="F304">
        <v>0.87304914583513249</v>
      </c>
      <c r="G304">
        <v>0.34074879338847308</v>
      </c>
      <c r="H304">
        <v>0.38831894927319383</v>
      </c>
      <c r="I304">
        <v>0.45031099589999951</v>
      </c>
      <c r="J304">
        <v>-2.5883590649293349</v>
      </c>
      <c r="K304">
        <v>1.665048632597683</v>
      </c>
      <c r="L304">
        <v>-0.83191594082884701</v>
      </c>
      <c r="M304">
        <v>2.828616070877128</v>
      </c>
      <c r="N304">
        <v>2.845000233169098</v>
      </c>
      <c r="O304">
        <v>5.9914645471079817</v>
      </c>
      <c r="P304">
        <v>-1.638416200876236E-2</v>
      </c>
      <c r="Q304">
        <v>1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</row>
    <row r="305" spans="1:23" x14ac:dyDescent="0.25">
      <c r="A305">
        <v>31</v>
      </c>
      <c r="B305">
        <v>2021</v>
      </c>
      <c r="C305">
        <v>-1.7583049679789671</v>
      </c>
      <c r="D305">
        <v>0.94137351224161814</v>
      </c>
      <c r="E305">
        <v>0.73835952338149324</v>
      </c>
      <c r="F305">
        <v>0.82868281335263771</v>
      </c>
      <c r="G305">
        <v>0.63350332763243034</v>
      </c>
      <c r="H305">
        <v>0.34074879338847308</v>
      </c>
      <c r="I305">
        <v>0.38831894927319383</v>
      </c>
      <c r="J305">
        <v>-1.9290036984948411</v>
      </c>
      <c r="K305">
        <v>1.665048632597683</v>
      </c>
      <c r="L305">
        <v>-0.80830727196723884</v>
      </c>
      <c r="M305">
        <v>2.9283190562134078</v>
      </c>
      <c r="N305">
        <v>2.8230308486418569</v>
      </c>
      <c r="O305">
        <v>6.6846117276679271</v>
      </c>
      <c r="P305">
        <v>0.10528820753097534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</row>
    <row r="306" spans="1:23" x14ac:dyDescent="0.25">
      <c r="A306">
        <v>31</v>
      </c>
      <c r="B306">
        <v>2022</v>
      </c>
      <c r="C306">
        <v>-1.6094302601847861</v>
      </c>
      <c r="D306">
        <v>0.92107924860595225</v>
      </c>
      <c r="E306">
        <v>0.94137351224161814</v>
      </c>
      <c r="F306">
        <v>0.73835952338149324</v>
      </c>
      <c r="G306">
        <v>0.59960543615158113</v>
      </c>
      <c r="H306">
        <v>0.63350332763243034</v>
      </c>
      <c r="I306">
        <v>0.34074879338847308</v>
      </c>
      <c r="J306">
        <v>-1.492004208403821</v>
      </c>
      <c r="K306">
        <v>1.665048632597683</v>
      </c>
      <c r="L306">
        <v>-0.77348469736340553</v>
      </c>
      <c r="M306">
        <v>2.9018312435238851</v>
      </c>
      <c r="N306">
        <v>2.9283190562134078</v>
      </c>
      <c r="O306">
        <v>8.0551577318196781</v>
      </c>
      <c r="P306">
        <v>-2.6487812399864197E-2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</row>
    <row r="307" spans="1:23" x14ac:dyDescent="0.25">
      <c r="A307">
        <v>31</v>
      </c>
      <c r="B307">
        <v>2023</v>
      </c>
      <c r="C307">
        <v>-1.4965861262527229</v>
      </c>
      <c r="D307">
        <v>0.72149165356908784</v>
      </c>
      <c r="E307">
        <v>0.92107924860595225</v>
      </c>
      <c r="F307">
        <v>0.94137351224161814</v>
      </c>
      <c r="G307">
        <v>0.35107931758157263</v>
      </c>
      <c r="H307">
        <v>0.59960543615158113</v>
      </c>
      <c r="I307">
        <v>0.63350332763243034</v>
      </c>
      <c r="J307">
        <v>-0.96519406369813177</v>
      </c>
      <c r="K307">
        <v>1.665048632597683</v>
      </c>
      <c r="L307">
        <v>-0.7452298622928164</v>
      </c>
      <c r="M307">
        <v>2.9210104236017731</v>
      </c>
      <c r="N307">
        <v>2.9018312435238851</v>
      </c>
      <c r="O307">
        <v>8.4658998970286863</v>
      </c>
      <c r="P307">
        <v>1.9179180264472961E-2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</row>
    <row r="308" spans="1:23" x14ac:dyDescent="0.25">
      <c r="A308">
        <v>32</v>
      </c>
      <c r="B308">
        <v>2006</v>
      </c>
      <c r="C308">
        <v>-2.0154650404173702</v>
      </c>
      <c r="D308">
        <v>0.96317431777300555</v>
      </c>
      <c r="E308">
        <v>0.88957707835573163</v>
      </c>
      <c r="F308">
        <v>0.8423858160261829</v>
      </c>
      <c r="G308">
        <v>0.67803354274989713</v>
      </c>
      <c r="H308">
        <v>0.46919079898870919</v>
      </c>
      <c r="I308">
        <v>0.31736222655319152</v>
      </c>
      <c r="J308">
        <v>-11.51292546497023</v>
      </c>
      <c r="K308">
        <v>0.1210771896579252</v>
      </c>
      <c r="L308">
        <v>-1.72030015686339</v>
      </c>
      <c r="M308">
        <v>3.0345033139311699</v>
      </c>
      <c r="N308">
        <v>2.9716296335152319</v>
      </c>
      <c r="O308">
        <v>-11.51292546497023</v>
      </c>
      <c r="P308">
        <v>6.2873683869838715E-2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>
        <v>32</v>
      </c>
      <c r="B309">
        <v>2007</v>
      </c>
      <c r="C309">
        <v>-1.9854443444285541</v>
      </c>
      <c r="D309">
        <v>0.91952549438408449</v>
      </c>
      <c r="E309">
        <v>0.96317431777300555</v>
      </c>
      <c r="F309">
        <v>0.88957707835573163</v>
      </c>
      <c r="G309">
        <v>0.54412499416691684</v>
      </c>
      <c r="H309">
        <v>0.67803354274989713</v>
      </c>
      <c r="I309">
        <v>0.46919079898870919</v>
      </c>
      <c r="J309">
        <v>-11.51292546497023</v>
      </c>
      <c r="K309">
        <v>0.1210771896579252</v>
      </c>
      <c r="L309">
        <v>-1.601206695277904</v>
      </c>
      <c r="M309">
        <v>3.0998896343384841</v>
      </c>
      <c r="N309">
        <v>3.0360398755975089</v>
      </c>
      <c r="O309">
        <v>-11.51292546497023</v>
      </c>
      <c r="P309">
        <v>6.3849762082099915E-2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</row>
    <row r="310" spans="1:23" x14ac:dyDescent="0.25">
      <c r="A310">
        <v>32</v>
      </c>
      <c r="B310">
        <v>2008</v>
      </c>
      <c r="C310">
        <v>-1.962435383477668</v>
      </c>
      <c r="D310">
        <v>0.86600745356438702</v>
      </c>
      <c r="E310">
        <v>0.91952549438408449</v>
      </c>
      <c r="F310">
        <v>0.96317431777300555</v>
      </c>
      <c r="G310">
        <v>0.47000362924573558</v>
      </c>
      <c r="H310">
        <v>0.54412499416691684</v>
      </c>
      <c r="I310">
        <v>0.67803354274989713</v>
      </c>
      <c r="J310">
        <v>-11.51292546497023</v>
      </c>
      <c r="K310">
        <v>0.1210771896579252</v>
      </c>
      <c r="L310">
        <v>-1.4792777697496631</v>
      </c>
      <c r="M310">
        <v>3.1899582055058429</v>
      </c>
      <c r="N310">
        <v>3.1014288502095142</v>
      </c>
      <c r="O310">
        <v>-11.51292546497023</v>
      </c>
      <c r="P310">
        <v>8.8529355823993683E-2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</row>
    <row r="311" spans="1:23" x14ac:dyDescent="0.25">
      <c r="A311">
        <v>32</v>
      </c>
      <c r="B311">
        <v>2009</v>
      </c>
      <c r="C311">
        <v>-1.920097925506407</v>
      </c>
      <c r="D311">
        <v>0.82382450420156139</v>
      </c>
      <c r="E311">
        <v>0.86600745356438702</v>
      </c>
      <c r="F311">
        <v>0.91952549438408449</v>
      </c>
      <c r="G311">
        <v>0.46662292108625802</v>
      </c>
      <c r="H311">
        <v>0.47000362924573558</v>
      </c>
      <c r="I311">
        <v>0.54412499416691684</v>
      </c>
      <c r="J311">
        <v>-8.1568541141611828</v>
      </c>
      <c r="K311">
        <v>0.1210771896579252</v>
      </c>
      <c r="L311">
        <v>-1.3854822910721349</v>
      </c>
      <c r="M311">
        <v>3.0689971607260609</v>
      </c>
      <c r="N311">
        <v>3.1802898549320782</v>
      </c>
      <c r="O311">
        <v>-11.51292546497023</v>
      </c>
      <c r="P311">
        <v>-0.11129269748926163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:23" x14ac:dyDescent="0.25">
      <c r="A312">
        <v>32</v>
      </c>
      <c r="B312">
        <v>2010</v>
      </c>
      <c r="C312">
        <v>-1.706711018642455</v>
      </c>
      <c r="D312">
        <v>0.78895723540592111</v>
      </c>
      <c r="E312">
        <v>0.82382450420156139</v>
      </c>
      <c r="F312">
        <v>0.86600745356438702</v>
      </c>
      <c r="G312">
        <v>0.50748003351489412</v>
      </c>
      <c r="H312">
        <v>0.46662292108625802</v>
      </c>
      <c r="I312">
        <v>0.47000362924573558</v>
      </c>
      <c r="J312">
        <v>-7.4722525615834847</v>
      </c>
      <c r="K312">
        <v>0.1210771896579252</v>
      </c>
      <c r="L312">
        <v>-1.3149918360292321</v>
      </c>
      <c r="M312">
        <v>3.1886505585110809</v>
      </c>
      <c r="N312">
        <v>3.0604515327438668</v>
      </c>
      <c r="O312">
        <v>-11.51292546497023</v>
      </c>
      <c r="P312">
        <v>0.1281990259885788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</row>
    <row r="313" spans="1:23" x14ac:dyDescent="0.25">
      <c r="A313">
        <v>32</v>
      </c>
      <c r="B313">
        <v>2011</v>
      </c>
      <c r="C313">
        <v>-1.60053839816128</v>
      </c>
      <c r="D313">
        <v>0.79077285934438513</v>
      </c>
      <c r="E313">
        <v>0.78895723540592111</v>
      </c>
      <c r="F313">
        <v>0.82382450420156139</v>
      </c>
      <c r="G313">
        <v>0.60355064674818915</v>
      </c>
      <c r="H313">
        <v>0.50748003351489412</v>
      </c>
      <c r="I313">
        <v>0.46662292108625802</v>
      </c>
      <c r="J313">
        <v>-5.5348156310996162</v>
      </c>
      <c r="K313">
        <v>0.1210771896579252</v>
      </c>
      <c r="L313">
        <v>-1.2476551676735821</v>
      </c>
      <c r="M313">
        <v>3.317190439872213</v>
      </c>
      <c r="N313">
        <v>3.1801773399395339</v>
      </c>
      <c r="O313">
        <v>-11.51292546497023</v>
      </c>
      <c r="P313">
        <v>0.13701309263706207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</row>
    <row r="314" spans="1:23" x14ac:dyDescent="0.25">
      <c r="A314">
        <v>32</v>
      </c>
      <c r="B314">
        <v>2012</v>
      </c>
      <c r="C314">
        <v>-1.471108373131875</v>
      </c>
      <c r="D314">
        <v>0.71998383451350489</v>
      </c>
      <c r="E314">
        <v>0.79077285934438513</v>
      </c>
      <c r="F314">
        <v>0.78895723540592111</v>
      </c>
      <c r="G314">
        <v>0.57986649410097901</v>
      </c>
      <c r="H314">
        <v>0.60355064674818915</v>
      </c>
      <c r="I314">
        <v>0.50748003351489412</v>
      </c>
      <c r="J314">
        <v>-5.1380555517149187</v>
      </c>
      <c r="K314">
        <v>0.1210771896579252</v>
      </c>
      <c r="L314">
        <v>-1.179704367233158</v>
      </c>
      <c r="M314">
        <v>3.329732396070292</v>
      </c>
      <c r="N314">
        <v>3.3084854111487361</v>
      </c>
      <c r="O314">
        <v>-11.51292546497023</v>
      </c>
      <c r="P314">
        <v>2.1246984601020813E-2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</row>
    <row r="315" spans="1:23" x14ac:dyDescent="0.25">
      <c r="A315">
        <v>32</v>
      </c>
      <c r="B315">
        <v>2013</v>
      </c>
      <c r="C315">
        <v>-1.494133934603429</v>
      </c>
      <c r="D315">
        <v>0.68355128688649835</v>
      </c>
      <c r="E315">
        <v>0.71998383451350489</v>
      </c>
      <c r="F315">
        <v>0.79077285934438513</v>
      </c>
      <c r="G315">
        <v>0.53456168144257443</v>
      </c>
      <c r="H315">
        <v>0.57986649410097901</v>
      </c>
      <c r="I315">
        <v>0.60355064674818915</v>
      </c>
      <c r="J315">
        <v>-4.491862412090355</v>
      </c>
      <c r="K315">
        <v>0.1210771896579252</v>
      </c>
      <c r="L315">
        <v>-1.1875772680358909</v>
      </c>
      <c r="M315">
        <v>3.190504739213627</v>
      </c>
      <c r="N315">
        <v>3.2592478577247208</v>
      </c>
      <c r="O315">
        <v>-11.51292546497023</v>
      </c>
      <c r="P315">
        <v>-6.8743117153644562E-2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</row>
    <row r="316" spans="1:23" x14ac:dyDescent="0.25">
      <c r="A316">
        <v>32</v>
      </c>
      <c r="B316">
        <v>2014</v>
      </c>
      <c r="C316">
        <v>-1.4244153753066211</v>
      </c>
      <c r="D316">
        <v>0.65876275369811454</v>
      </c>
      <c r="E316">
        <v>0.68355128688649835</v>
      </c>
      <c r="F316">
        <v>0.71998383451350489</v>
      </c>
      <c r="G316">
        <v>0.51950782414882457</v>
      </c>
      <c r="H316">
        <v>0.53456168144257443</v>
      </c>
      <c r="I316">
        <v>0.57986649410097901</v>
      </c>
      <c r="J316">
        <v>-3.810543579081318</v>
      </c>
      <c r="K316">
        <v>0.1210771896579252</v>
      </c>
      <c r="L316">
        <v>-1.1445370486744579</v>
      </c>
      <c r="M316">
        <v>3.1967545587293689</v>
      </c>
      <c r="N316">
        <v>3.1786763916627172</v>
      </c>
      <c r="O316">
        <v>-11.51292546497023</v>
      </c>
      <c r="P316">
        <v>1.8078166991472244E-2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</row>
    <row r="317" spans="1:23" x14ac:dyDescent="0.25">
      <c r="A317">
        <v>32</v>
      </c>
      <c r="B317">
        <v>2015</v>
      </c>
      <c r="C317">
        <v>-1.455241445631601</v>
      </c>
      <c r="D317">
        <v>0.67661121191984575</v>
      </c>
      <c r="E317">
        <v>0.65876275369811454</v>
      </c>
      <c r="F317">
        <v>0.68355128688649835</v>
      </c>
      <c r="G317">
        <v>0.48839594879980602</v>
      </c>
      <c r="H317">
        <v>0.51950782414882457</v>
      </c>
      <c r="I317">
        <v>0.53456168144257443</v>
      </c>
      <c r="J317">
        <v>-3.5314399299331951</v>
      </c>
      <c r="K317">
        <v>0.1210771896579252</v>
      </c>
      <c r="L317">
        <v>-1.1171376979228</v>
      </c>
      <c r="M317">
        <v>3.0447393750450531</v>
      </c>
      <c r="N317">
        <v>3.185273375767748</v>
      </c>
      <c r="O317">
        <v>-11.51292546497023</v>
      </c>
      <c r="P317">
        <v>-0.14053399860858917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</row>
    <row r="318" spans="1:23" x14ac:dyDescent="0.25">
      <c r="A318">
        <v>32</v>
      </c>
      <c r="B318">
        <v>2016</v>
      </c>
      <c r="C318">
        <v>-1.4339957442757869</v>
      </c>
      <c r="D318">
        <v>0.70066882195879143</v>
      </c>
      <c r="E318">
        <v>0.67661121191984575</v>
      </c>
      <c r="F318">
        <v>0.65876275369811454</v>
      </c>
      <c r="G318">
        <v>0.56092921073223634</v>
      </c>
      <c r="H318">
        <v>0.48839594879980602</v>
      </c>
      <c r="I318">
        <v>0.51950782414882457</v>
      </c>
      <c r="J318">
        <v>-3.3386922842303748</v>
      </c>
      <c r="K318">
        <v>0.1210771896579252</v>
      </c>
      <c r="L318">
        <v>-1.100672190265807</v>
      </c>
      <c r="M318">
        <v>2.858973286589729</v>
      </c>
      <c r="N318">
        <v>3.0336592587329538</v>
      </c>
      <c r="O318">
        <v>-11.51292546497023</v>
      </c>
      <c r="P318">
        <v>-0.17468596994876862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</row>
    <row r="319" spans="1:23" x14ac:dyDescent="0.25">
      <c r="A319">
        <v>32</v>
      </c>
      <c r="B319">
        <v>2017</v>
      </c>
      <c r="C319">
        <v>-1.4548490777612779</v>
      </c>
      <c r="D319">
        <v>0.69574380640721123</v>
      </c>
      <c r="E319">
        <v>0.70066882195879143</v>
      </c>
      <c r="F319">
        <v>0.67661121191984575</v>
      </c>
      <c r="G319">
        <v>0.57464513647894466</v>
      </c>
      <c r="H319">
        <v>0.56092921073223634</v>
      </c>
      <c r="I319">
        <v>0.48839594879980602</v>
      </c>
      <c r="J319">
        <v>-2.7221811997148042</v>
      </c>
      <c r="K319">
        <v>0.1210771896579252</v>
      </c>
      <c r="L319">
        <v>-1.0829756218864179</v>
      </c>
      <c r="M319">
        <v>2.8493892042478808</v>
      </c>
      <c r="N319">
        <v>2.848295158337153</v>
      </c>
      <c r="O319">
        <v>-11.51292546497023</v>
      </c>
      <c r="P319">
        <v>1.0940459324046969E-3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</row>
    <row r="320" spans="1:23" x14ac:dyDescent="0.25">
      <c r="A320">
        <v>32</v>
      </c>
      <c r="B320">
        <v>2018</v>
      </c>
      <c r="C320">
        <v>-1.474068202726299</v>
      </c>
      <c r="D320">
        <v>0.80892821354565558</v>
      </c>
      <c r="E320">
        <v>0.69574380640721123</v>
      </c>
      <c r="F320">
        <v>0.70066882195879143</v>
      </c>
      <c r="G320">
        <v>0.60163478005383786</v>
      </c>
      <c r="H320">
        <v>0.57464513647894466</v>
      </c>
      <c r="I320">
        <v>0.56092921073223634</v>
      </c>
      <c r="J320">
        <v>-2.1175119716893631</v>
      </c>
      <c r="K320">
        <v>0.1210771896579252</v>
      </c>
      <c r="L320">
        <v>-1.0407638899801599</v>
      </c>
      <c r="M320">
        <v>3.0056482580876702</v>
      </c>
      <c r="N320">
        <v>2.860396802928181</v>
      </c>
      <c r="O320">
        <v>3.2580965380214821</v>
      </c>
      <c r="P320">
        <v>0.14525145292282104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</row>
    <row r="321" spans="1:23" x14ac:dyDescent="0.25">
      <c r="A321">
        <v>32</v>
      </c>
      <c r="B321">
        <v>2019</v>
      </c>
      <c r="C321">
        <v>-1.4606561361193731</v>
      </c>
      <c r="D321">
        <v>0.78481436908576918</v>
      </c>
      <c r="E321">
        <v>0.80892821354565558</v>
      </c>
      <c r="F321">
        <v>0.69574380640721123</v>
      </c>
      <c r="G321">
        <v>0.56781068924864764</v>
      </c>
      <c r="H321">
        <v>0.60163478005383786</v>
      </c>
      <c r="I321">
        <v>0.57464513647894466</v>
      </c>
      <c r="J321">
        <v>-1.4401362695257149</v>
      </c>
      <c r="K321">
        <v>0.1210771896579252</v>
      </c>
      <c r="L321">
        <v>-1.019930205089437</v>
      </c>
      <c r="M321">
        <v>2.9550679697659179</v>
      </c>
      <c r="N321">
        <v>2.994069657951409</v>
      </c>
      <c r="O321">
        <v>5.393627546352362</v>
      </c>
      <c r="P321">
        <v>-3.9001688361167908E-2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</row>
    <row r="322" spans="1:23" x14ac:dyDescent="0.25">
      <c r="A322">
        <v>32</v>
      </c>
      <c r="B322">
        <v>2020</v>
      </c>
      <c r="C322">
        <v>-1.5028086365445701</v>
      </c>
      <c r="D322">
        <v>0.68056839835308525</v>
      </c>
      <c r="E322">
        <v>0.78481436908576918</v>
      </c>
      <c r="F322">
        <v>0.80892821354565558</v>
      </c>
      <c r="G322">
        <v>0.52360363612520588</v>
      </c>
      <c r="H322">
        <v>0.56781068924864764</v>
      </c>
      <c r="I322">
        <v>0.60163478005383786</v>
      </c>
      <c r="J322">
        <v>-0.87155225440774209</v>
      </c>
      <c r="K322">
        <v>0.1210771896579252</v>
      </c>
      <c r="L322">
        <v>-1.002540329386377</v>
      </c>
      <c r="M322">
        <v>2.8890963972944359</v>
      </c>
      <c r="N322">
        <v>2.9438334896309488</v>
      </c>
      <c r="O322">
        <v>5.9914645471079817</v>
      </c>
      <c r="P322">
        <v>-5.4737091064453125E-2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</row>
    <row r="323" spans="1:23" x14ac:dyDescent="0.25">
      <c r="A323">
        <v>32</v>
      </c>
      <c r="B323">
        <v>2021</v>
      </c>
      <c r="C323">
        <v>-1.3732322435946691</v>
      </c>
      <c r="D323">
        <v>0.91605070306954628</v>
      </c>
      <c r="E323">
        <v>0.68056839835308525</v>
      </c>
      <c r="F323">
        <v>0.78481436908576918</v>
      </c>
      <c r="G323">
        <v>0.7530185775973357</v>
      </c>
      <c r="H323">
        <v>0.52360363612520588</v>
      </c>
      <c r="I323">
        <v>0.56781068924864764</v>
      </c>
      <c r="J323">
        <v>-0.1537470462107792</v>
      </c>
      <c r="K323">
        <v>0.1210771896579252</v>
      </c>
      <c r="L323">
        <v>-0.98375136577726552</v>
      </c>
      <c r="M323">
        <v>3.0526313545272359</v>
      </c>
      <c r="N323">
        <v>2.8782169571944691</v>
      </c>
      <c r="O323">
        <v>6.6846117276679271</v>
      </c>
      <c r="P323">
        <v>0.17441439628601074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</row>
    <row r="324" spans="1:23" x14ac:dyDescent="0.25">
      <c r="A324">
        <v>32</v>
      </c>
      <c r="B324">
        <v>2022</v>
      </c>
      <c r="C324">
        <v>-1.408030673586286</v>
      </c>
      <c r="D324">
        <v>0.91948562277067425</v>
      </c>
      <c r="E324">
        <v>0.91605070306954628</v>
      </c>
      <c r="F324">
        <v>0.68056839835308525</v>
      </c>
      <c r="G324">
        <v>0.73620667002039231</v>
      </c>
      <c r="H324">
        <v>0.7530185775973357</v>
      </c>
      <c r="I324">
        <v>0.52360363612520588</v>
      </c>
      <c r="J324">
        <v>0.2069221807398918</v>
      </c>
      <c r="K324">
        <v>0.1210771896579252</v>
      </c>
      <c r="L324">
        <v>-0.95235125574320523</v>
      </c>
      <c r="M324">
        <v>2.9498901365852981</v>
      </c>
      <c r="N324">
        <v>3.0526313545272359</v>
      </c>
      <c r="O324">
        <v>8.0551577318196781</v>
      </c>
      <c r="P324">
        <v>-0.10274121910333633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</row>
    <row r="325" spans="1:23" x14ac:dyDescent="0.25">
      <c r="A325">
        <v>32</v>
      </c>
      <c r="B325">
        <v>2023</v>
      </c>
      <c r="C325">
        <v>-1.409933029471633</v>
      </c>
      <c r="D325">
        <v>0.77094120799996546</v>
      </c>
      <c r="E325">
        <v>0.91948562277067425</v>
      </c>
      <c r="F325">
        <v>0.91605070306954628</v>
      </c>
      <c r="G325">
        <v>0.51372142687801625</v>
      </c>
      <c r="H325">
        <v>0.73620667002039231</v>
      </c>
      <c r="I325">
        <v>0.7530185775973357</v>
      </c>
      <c r="J325">
        <v>0.80364040826699634</v>
      </c>
      <c r="K325">
        <v>0.1210771896579252</v>
      </c>
      <c r="L325">
        <v>-0.91589480276000479</v>
      </c>
      <c r="M325">
        <v>3.038862087768913</v>
      </c>
      <c r="N325">
        <v>2.9498901365852981</v>
      </c>
      <c r="O325">
        <v>8.4658998970286863</v>
      </c>
      <c r="P325">
        <v>8.8971950113773346E-2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</row>
    <row r="326" spans="1:23" x14ac:dyDescent="0.25">
      <c r="A326">
        <v>33</v>
      </c>
      <c r="B326">
        <v>2006</v>
      </c>
      <c r="C326">
        <v>-2.237512838161928</v>
      </c>
      <c r="D326">
        <v>0.94000725849147115</v>
      </c>
      <c r="E326">
        <v>0.88107797611841054</v>
      </c>
      <c r="F326">
        <v>0.83768033129224362</v>
      </c>
      <c r="G326">
        <v>0.63127177684185776</v>
      </c>
      <c r="H326">
        <v>0.47561286801024621</v>
      </c>
      <c r="I326">
        <v>0.34089103078292382</v>
      </c>
      <c r="J326">
        <v>-11.51292546497023</v>
      </c>
      <c r="K326">
        <v>0.82647109558213605</v>
      </c>
      <c r="L326">
        <v>-1.70570799043904</v>
      </c>
      <c r="M326">
        <v>3.2560988326107489</v>
      </c>
      <c r="N326">
        <v>3.2165286519569731</v>
      </c>
      <c r="O326">
        <v>-11.51292546497023</v>
      </c>
      <c r="P326">
        <v>3.9570178836584091E-2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</row>
    <row r="327" spans="1:23" x14ac:dyDescent="0.25">
      <c r="A327">
        <v>33</v>
      </c>
      <c r="B327">
        <v>2007</v>
      </c>
      <c r="C327">
        <v>-2.2630099486957058</v>
      </c>
      <c r="D327">
        <v>0.88459364513090055</v>
      </c>
      <c r="E327">
        <v>0.94000725849147115</v>
      </c>
      <c r="F327">
        <v>0.88107797611841054</v>
      </c>
      <c r="G327">
        <v>0.48698364928041982</v>
      </c>
      <c r="H327">
        <v>0.63127177684185776</v>
      </c>
      <c r="I327">
        <v>0.47561286801024621</v>
      </c>
      <c r="J327">
        <v>-11.51292546497023</v>
      </c>
      <c r="K327">
        <v>0.82647109558213605</v>
      </c>
      <c r="L327">
        <v>-1.646945585204012</v>
      </c>
      <c r="M327">
        <v>3.2606676200173892</v>
      </c>
      <c r="N327">
        <v>3.2461673473665589</v>
      </c>
      <c r="O327">
        <v>-11.51292546497023</v>
      </c>
      <c r="P327">
        <v>1.4500272460281849E-2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</row>
    <row r="328" spans="1:23" x14ac:dyDescent="0.25">
      <c r="A328">
        <v>33</v>
      </c>
      <c r="B328">
        <v>2008</v>
      </c>
      <c r="C328">
        <v>-2.2843596656263521</v>
      </c>
      <c r="D328">
        <v>0.83512405945549484</v>
      </c>
      <c r="E328">
        <v>0.88459364513090055</v>
      </c>
      <c r="F328">
        <v>0.94000725849147115</v>
      </c>
      <c r="G328">
        <v>0.41785470575408717</v>
      </c>
      <c r="H328">
        <v>0.48698364928041982</v>
      </c>
      <c r="I328">
        <v>0.63127177684185776</v>
      </c>
      <c r="J328">
        <v>-11.51292546497023</v>
      </c>
      <c r="K328">
        <v>0.82647109558213605</v>
      </c>
      <c r="L328">
        <v>-1.584602466258185</v>
      </c>
      <c r="M328">
        <v>3.3225279254154221</v>
      </c>
      <c r="N328">
        <v>3.2508338000063959</v>
      </c>
      <c r="O328">
        <v>-11.51292546497023</v>
      </c>
      <c r="P328">
        <v>7.1694128215312958E-2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</row>
    <row r="329" spans="1:23" x14ac:dyDescent="0.25">
      <c r="A329">
        <v>33</v>
      </c>
      <c r="B329">
        <v>2009</v>
      </c>
      <c r="C329">
        <v>-2.2804418069396069</v>
      </c>
      <c r="D329">
        <v>0.80074519115796339</v>
      </c>
      <c r="E329">
        <v>0.83512405945549484</v>
      </c>
      <c r="F329">
        <v>0.88459364513090055</v>
      </c>
      <c r="G329">
        <v>0.39332504821399572</v>
      </c>
      <c r="H329">
        <v>0.41785470575408717</v>
      </c>
      <c r="I329">
        <v>0.48698364928041982</v>
      </c>
      <c r="J329">
        <v>-9.6809956013844154</v>
      </c>
      <c r="K329">
        <v>0.82647109558213605</v>
      </c>
      <c r="L329">
        <v>-1.5249243700995121</v>
      </c>
      <c r="M329">
        <v>3.2780036200734699</v>
      </c>
      <c r="N329">
        <v>3.3138669607552518</v>
      </c>
      <c r="O329">
        <v>-11.51292546497023</v>
      </c>
      <c r="P329">
        <v>-3.5863339900970459E-2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</row>
    <row r="330" spans="1:23" x14ac:dyDescent="0.25">
      <c r="A330">
        <v>33</v>
      </c>
      <c r="B330">
        <v>2010</v>
      </c>
      <c r="C330">
        <v>-2.1519550381873729</v>
      </c>
      <c r="D330">
        <v>0.77398956840404609</v>
      </c>
      <c r="E330">
        <v>0.80074519115796339</v>
      </c>
      <c r="F330">
        <v>0.83512405945549484</v>
      </c>
      <c r="G330">
        <v>0.42533309274563069</v>
      </c>
      <c r="H330">
        <v>0.39332504821399572</v>
      </c>
      <c r="I330">
        <v>0.41785470575408717</v>
      </c>
      <c r="J330">
        <v>-8.5855714562939589</v>
      </c>
      <c r="K330">
        <v>0.82647109558213605</v>
      </c>
      <c r="L330">
        <v>-1.4550788418249221</v>
      </c>
      <c r="M330">
        <v>3.3325037359465162</v>
      </c>
      <c r="N330">
        <v>3.2748154764963191</v>
      </c>
      <c r="O330">
        <v>-11.51292546497023</v>
      </c>
      <c r="P330">
        <v>5.7688258588314056E-2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</row>
    <row r="331" spans="1:23" x14ac:dyDescent="0.25">
      <c r="A331">
        <v>33</v>
      </c>
      <c r="B331">
        <v>2011</v>
      </c>
      <c r="C331">
        <v>-1.9553968459507789</v>
      </c>
      <c r="D331">
        <v>0.77670677365887608</v>
      </c>
      <c r="E331">
        <v>0.77398956840404609</v>
      </c>
      <c r="F331">
        <v>0.80074519115796339</v>
      </c>
      <c r="G331">
        <v>0.54290551722940239</v>
      </c>
      <c r="H331">
        <v>0.42533309274563069</v>
      </c>
      <c r="I331">
        <v>0.39332504821399572</v>
      </c>
      <c r="J331">
        <v>-6.9793114934077973</v>
      </c>
      <c r="K331">
        <v>0.82647109558213605</v>
      </c>
      <c r="L331">
        <v>-1.3877135055700109</v>
      </c>
      <c r="M331">
        <v>3.3803102737778499</v>
      </c>
      <c r="N331">
        <v>3.329325786398154</v>
      </c>
      <c r="O331">
        <v>-11.51292546497023</v>
      </c>
      <c r="P331">
        <v>5.0984486937522888E-2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</row>
    <row r="332" spans="1:23" x14ac:dyDescent="0.25">
      <c r="A332">
        <v>33</v>
      </c>
      <c r="B332">
        <v>2012</v>
      </c>
      <c r="C332">
        <v>-1.8824604353078249</v>
      </c>
      <c r="D332">
        <v>0.72701706506756059</v>
      </c>
      <c r="E332">
        <v>0.77670677365887608</v>
      </c>
      <c r="F332">
        <v>0.77398956840404609</v>
      </c>
      <c r="G332">
        <v>0.48168513401957352</v>
      </c>
      <c r="H332">
        <v>0.54290551722940239</v>
      </c>
      <c r="I332">
        <v>0.42533309274563069</v>
      </c>
      <c r="J332">
        <v>-6.5592065445550389</v>
      </c>
      <c r="K332">
        <v>0.82647109558213605</v>
      </c>
      <c r="L332">
        <v>-1.32546433749687</v>
      </c>
      <c r="M332">
        <v>3.410883565693982</v>
      </c>
      <c r="N332">
        <v>3.3729712078036278</v>
      </c>
      <c r="O332">
        <v>-11.51292546497023</v>
      </c>
      <c r="P332">
        <v>3.7912357598543167E-2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</row>
    <row r="333" spans="1:23" x14ac:dyDescent="0.25">
      <c r="A333">
        <v>33</v>
      </c>
      <c r="B333">
        <v>2013</v>
      </c>
      <c r="C333">
        <v>-1.833439934878303</v>
      </c>
      <c r="D333">
        <v>0.72090825134533554</v>
      </c>
      <c r="E333">
        <v>0.72701706506756059</v>
      </c>
      <c r="F333">
        <v>0.77670677365887608</v>
      </c>
      <c r="G333">
        <v>0.45082080982896172</v>
      </c>
      <c r="H333">
        <v>0.48168513401957352</v>
      </c>
      <c r="I333">
        <v>0.54290551722940239</v>
      </c>
      <c r="J333">
        <v>-5.7141714698248407</v>
      </c>
      <c r="K333">
        <v>0.82647109558213605</v>
      </c>
      <c r="L333">
        <v>-1.2719662823073969</v>
      </c>
      <c r="M333">
        <v>3.4187957986930062</v>
      </c>
      <c r="N333">
        <v>3.402428809789027</v>
      </c>
      <c r="O333">
        <v>-11.51292546497023</v>
      </c>
      <c r="P333">
        <v>1.636698842048645E-2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</row>
    <row r="334" spans="1:23" x14ac:dyDescent="0.25">
      <c r="A334">
        <v>33</v>
      </c>
      <c r="B334">
        <v>2014</v>
      </c>
      <c r="C334">
        <v>-1.749828565635781</v>
      </c>
      <c r="D334">
        <v>0.70116495215352848</v>
      </c>
      <c r="E334">
        <v>0.72090825134533554</v>
      </c>
      <c r="F334">
        <v>0.72701706506756059</v>
      </c>
      <c r="G334">
        <v>0.45622159177194999</v>
      </c>
      <c r="H334">
        <v>0.45082080982896172</v>
      </c>
      <c r="I334">
        <v>0.48168513401957352</v>
      </c>
      <c r="J334">
        <v>-5.0547993852039159</v>
      </c>
      <c r="K334">
        <v>0.82647109558213605</v>
      </c>
      <c r="L334">
        <v>-1.2217981484674389</v>
      </c>
      <c r="M334">
        <v>3.4036344688988498</v>
      </c>
      <c r="N334">
        <v>3.413191579720682</v>
      </c>
      <c r="O334">
        <v>-11.51292546497023</v>
      </c>
      <c r="P334">
        <v>-9.5571111887693405E-3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</row>
    <row r="335" spans="1:23" x14ac:dyDescent="0.25">
      <c r="A335">
        <v>33</v>
      </c>
      <c r="B335">
        <v>2015</v>
      </c>
      <c r="C335">
        <v>-1.8007779194908979</v>
      </c>
      <c r="D335">
        <v>0.72571117143320785</v>
      </c>
      <c r="E335">
        <v>0.70116495215352848</v>
      </c>
      <c r="F335">
        <v>0.72090825134533554</v>
      </c>
      <c r="G335">
        <v>0.46304195291218431</v>
      </c>
      <c r="H335">
        <v>0.45622159177194999</v>
      </c>
      <c r="I335">
        <v>0.45082080982896172</v>
      </c>
      <c r="J335">
        <v>-4.7101965250097608</v>
      </c>
      <c r="K335">
        <v>0.82647109558213605</v>
      </c>
      <c r="L335">
        <v>-1.186573062907786</v>
      </c>
      <c r="M335">
        <v>3.3073660326615402</v>
      </c>
      <c r="N335">
        <v>3.398251373305063</v>
      </c>
      <c r="O335">
        <v>-11.51292546497023</v>
      </c>
      <c r="P335">
        <v>-9.0885341167449951E-2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</row>
    <row r="336" spans="1:23" x14ac:dyDescent="0.25">
      <c r="A336">
        <v>33</v>
      </c>
      <c r="B336">
        <v>2016</v>
      </c>
      <c r="C336">
        <v>-1.823923987083893</v>
      </c>
      <c r="D336">
        <v>0.76383860868247833</v>
      </c>
      <c r="E336">
        <v>0.72571117143320785</v>
      </c>
      <c r="F336">
        <v>0.70116495215352848</v>
      </c>
      <c r="G336">
        <v>0.57334961710434951</v>
      </c>
      <c r="H336">
        <v>0.46304195291218431</v>
      </c>
      <c r="I336">
        <v>0.45622159177194999</v>
      </c>
      <c r="J336">
        <v>-4.4310570297258298</v>
      </c>
      <c r="K336">
        <v>0.82647109558213583</v>
      </c>
      <c r="L336">
        <v>-1.164044452768576</v>
      </c>
      <c r="M336">
        <v>3.19542542152741</v>
      </c>
      <c r="N336">
        <v>3.3021848031963952</v>
      </c>
      <c r="O336">
        <v>-11.51292546497023</v>
      </c>
      <c r="P336">
        <v>-0.10675938427448273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</row>
    <row r="337" spans="1:23" x14ac:dyDescent="0.25">
      <c r="A337">
        <v>33</v>
      </c>
      <c r="B337">
        <v>2017</v>
      </c>
      <c r="C337">
        <v>-1.8911561148776641</v>
      </c>
      <c r="D337">
        <v>0.78211913436220926</v>
      </c>
      <c r="E337">
        <v>0.76383860868247833</v>
      </c>
      <c r="F337">
        <v>0.72571117143320785</v>
      </c>
      <c r="G337">
        <v>0.56565466004466869</v>
      </c>
      <c r="H337">
        <v>0.57334961710434951</v>
      </c>
      <c r="I337">
        <v>0.46304195291218431</v>
      </c>
      <c r="J337">
        <v>-3.794709301107944</v>
      </c>
      <c r="K337">
        <v>0.82647109558213583</v>
      </c>
      <c r="L337">
        <v>-1.1451991938333961</v>
      </c>
      <c r="M337">
        <v>3.201971591587994</v>
      </c>
      <c r="N337">
        <v>3.1904510374499342</v>
      </c>
      <c r="O337">
        <v>-11.51292546497023</v>
      </c>
      <c r="P337">
        <v>1.1520554311573505E-2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</row>
    <row r="338" spans="1:23" x14ac:dyDescent="0.25">
      <c r="A338">
        <v>33</v>
      </c>
      <c r="B338">
        <v>2018</v>
      </c>
      <c r="C338">
        <v>-2.1486303885364362</v>
      </c>
      <c r="D338">
        <v>0.9108358811911913</v>
      </c>
      <c r="E338">
        <v>0.78211913436220926</v>
      </c>
      <c r="F338">
        <v>0.76383860868247833</v>
      </c>
      <c r="G338">
        <v>0.59316108568401837</v>
      </c>
      <c r="H338">
        <v>0.56565466004466869</v>
      </c>
      <c r="I338">
        <v>0.57334961710434951</v>
      </c>
      <c r="J338">
        <v>-3.3303391138897651</v>
      </c>
      <c r="K338">
        <v>0.82647109558213605</v>
      </c>
      <c r="L338">
        <v>-1.144966067317355</v>
      </c>
      <c r="M338">
        <v>3.2541256695778928</v>
      </c>
      <c r="N338">
        <v>3.175935994048924</v>
      </c>
      <c r="O338">
        <v>3.2580965380214821</v>
      </c>
      <c r="P338">
        <v>7.8189678490161896E-2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</row>
    <row r="339" spans="1:23" x14ac:dyDescent="0.25">
      <c r="A339">
        <v>33</v>
      </c>
      <c r="B339">
        <v>2019</v>
      </c>
      <c r="C339">
        <v>-2.13907748087883</v>
      </c>
      <c r="D339">
        <v>0.87070742025218939</v>
      </c>
      <c r="E339">
        <v>0.9108358811911913</v>
      </c>
      <c r="F339">
        <v>0.78211913436220926</v>
      </c>
      <c r="G339">
        <v>0.63254755843101573</v>
      </c>
      <c r="H339">
        <v>0.59316108568401837</v>
      </c>
      <c r="I339">
        <v>0.56565466004466869</v>
      </c>
      <c r="J339">
        <v>-2.6191548710812809</v>
      </c>
      <c r="K339">
        <v>0.82647109558213605</v>
      </c>
      <c r="L339">
        <v>-1.1202000938310921</v>
      </c>
      <c r="M339">
        <v>3.2340371263750378</v>
      </c>
      <c r="N339">
        <v>3.2480264032731321</v>
      </c>
      <c r="O339">
        <v>5.393627546352362</v>
      </c>
      <c r="P339">
        <v>-1.3989277184009552E-2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</row>
    <row r="340" spans="1:23" x14ac:dyDescent="0.25">
      <c r="A340">
        <v>33</v>
      </c>
      <c r="B340">
        <v>2020</v>
      </c>
      <c r="C340">
        <v>-2.2366779689925438</v>
      </c>
      <c r="D340">
        <v>0.80571664916344143</v>
      </c>
      <c r="E340">
        <v>0.87070742025218939</v>
      </c>
      <c r="F340">
        <v>0.9108358811911913</v>
      </c>
      <c r="G340">
        <v>0.60387871280176308</v>
      </c>
      <c r="H340">
        <v>0.63254755843101573</v>
      </c>
      <c r="I340">
        <v>0.59316108568401837</v>
      </c>
      <c r="J340">
        <v>-2.081643006335685</v>
      </c>
      <c r="K340">
        <v>0.82647109558213605</v>
      </c>
      <c r="L340">
        <v>-1.1083155054469129</v>
      </c>
      <c r="M340">
        <v>3.1314304889748761</v>
      </c>
      <c r="N340">
        <v>3.228190000820085</v>
      </c>
      <c r="O340">
        <v>5.9914645471079817</v>
      </c>
      <c r="P340">
        <v>-9.6759513020515442E-2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</row>
    <row r="341" spans="1:23" x14ac:dyDescent="0.25">
      <c r="A341">
        <v>33</v>
      </c>
      <c r="B341">
        <v>2021</v>
      </c>
      <c r="C341">
        <v>-2.2436494113731271</v>
      </c>
      <c r="D341">
        <v>0.99017296426485946</v>
      </c>
      <c r="E341">
        <v>0.80571664916344143</v>
      </c>
      <c r="F341">
        <v>0.87070742025218939</v>
      </c>
      <c r="G341">
        <v>0.80972949563980989</v>
      </c>
      <c r="H341">
        <v>0.60387871280176308</v>
      </c>
      <c r="I341">
        <v>0.63254755843101573</v>
      </c>
      <c r="J341">
        <v>-1.41955856591758</v>
      </c>
      <c r="K341">
        <v>0.82647109558213605</v>
      </c>
      <c r="L341">
        <v>-1.089817092932543</v>
      </c>
      <c r="M341">
        <v>3.2337584360799538</v>
      </c>
      <c r="N341">
        <v>3.1258513020199721</v>
      </c>
      <c r="O341">
        <v>6.6846117276679271</v>
      </c>
      <c r="P341">
        <v>0.10790713131427765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</row>
    <row r="342" spans="1:23" x14ac:dyDescent="0.25">
      <c r="A342">
        <v>33</v>
      </c>
      <c r="B342">
        <v>2022</v>
      </c>
      <c r="C342">
        <v>-2.1213573857838068</v>
      </c>
      <c r="D342">
        <v>0.95273837284520058</v>
      </c>
      <c r="E342">
        <v>0.99017296426485946</v>
      </c>
      <c r="F342">
        <v>0.80571664916344143</v>
      </c>
      <c r="G342">
        <v>0.75912216948347822</v>
      </c>
      <c r="H342">
        <v>0.80972949563980989</v>
      </c>
      <c r="I342">
        <v>0.60387871280176308</v>
      </c>
      <c r="J342">
        <v>-0.84360259996342513</v>
      </c>
      <c r="K342">
        <v>0.82647109558213605</v>
      </c>
      <c r="L342">
        <v>-1.0708892735523441</v>
      </c>
      <c r="M342">
        <v>3.3463959725109111</v>
      </c>
      <c r="N342">
        <v>3.2337584360799538</v>
      </c>
      <c r="O342">
        <v>8.0551577318196781</v>
      </c>
      <c r="P342">
        <v>0.11263753473758698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</row>
    <row r="343" spans="1:23" x14ac:dyDescent="0.25">
      <c r="A343">
        <v>33</v>
      </c>
      <c r="B343">
        <v>2023</v>
      </c>
      <c r="C343">
        <v>-1.9706228229045011</v>
      </c>
      <c r="D343">
        <v>0.75108584548039126</v>
      </c>
      <c r="E343">
        <v>0.95273837284520058</v>
      </c>
      <c r="F343">
        <v>0.99017296426485946</v>
      </c>
      <c r="G343">
        <v>0.49035757512612699</v>
      </c>
      <c r="H343">
        <v>0.75912216948347822</v>
      </c>
      <c r="I343">
        <v>0.80972949563980989</v>
      </c>
      <c r="J343">
        <v>-0.36954702057257222</v>
      </c>
      <c r="K343">
        <v>0.82647109558213605</v>
      </c>
      <c r="L343">
        <v>-1.047297432211312</v>
      </c>
      <c r="M343">
        <v>3.3127315355148799</v>
      </c>
      <c r="N343">
        <v>3.3463959725109111</v>
      </c>
      <c r="O343">
        <v>8.4658998970286863</v>
      </c>
      <c r="P343">
        <v>-3.3664435148239136E-2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</row>
    <row r="344" spans="1:23" x14ac:dyDescent="0.25">
      <c r="A344">
        <v>35</v>
      </c>
      <c r="B344">
        <v>2006</v>
      </c>
      <c r="C344">
        <v>-1.7630864665386961</v>
      </c>
      <c r="D344">
        <v>0.89199803930511046</v>
      </c>
      <c r="E344">
        <v>0.83290912293510388</v>
      </c>
      <c r="F344">
        <v>0.77941661571212117</v>
      </c>
      <c r="G344">
        <v>0.35065687161316927</v>
      </c>
      <c r="H344">
        <v>0.19647097989837431</v>
      </c>
      <c r="I344">
        <v>6.6068599969704711E-2</v>
      </c>
      <c r="J344">
        <v>-11.51292546497023</v>
      </c>
      <c r="K344">
        <v>1.265354355328006</v>
      </c>
      <c r="L344">
        <v>-1.19793178021197</v>
      </c>
      <c r="M344">
        <v>3.2978856822071889</v>
      </c>
      <c r="N344">
        <v>3.259373679013422</v>
      </c>
      <c r="O344">
        <v>-11.51292546497023</v>
      </c>
      <c r="P344">
        <v>3.8512002676725388E-2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</row>
    <row r="345" spans="1:23" x14ac:dyDescent="0.25">
      <c r="A345">
        <v>35</v>
      </c>
      <c r="B345">
        <v>2007</v>
      </c>
      <c r="C345">
        <v>-1.746733925088098</v>
      </c>
      <c r="D345">
        <v>0.83599132458942582</v>
      </c>
      <c r="E345">
        <v>0.89199803930511046</v>
      </c>
      <c r="F345">
        <v>0.83290912293510388</v>
      </c>
      <c r="G345">
        <v>0.1954022963324851</v>
      </c>
      <c r="H345">
        <v>0.35065687161316927</v>
      </c>
      <c r="I345">
        <v>0.19647097989837431</v>
      </c>
      <c r="J345">
        <v>-11.51292546497023</v>
      </c>
      <c r="K345">
        <v>1.265354355328006</v>
      </c>
      <c r="L345">
        <v>-1.1162756448768509</v>
      </c>
      <c r="M345">
        <v>3.3624528263573801</v>
      </c>
      <c r="N345">
        <v>3.2984228525399839</v>
      </c>
      <c r="O345">
        <v>-11.51292546497023</v>
      </c>
      <c r="P345">
        <v>6.4029976725578308E-2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</row>
    <row r="346" spans="1:23" x14ac:dyDescent="0.25">
      <c r="A346">
        <v>35</v>
      </c>
      <c r="B346">
        <v>2008</v>
      </c>
      <c r="C346">
        <v>-1.765048737085086</v>
      </c>
      <c r="D346">
        <v>0.77449672625626842</v>
      </c>
      <c r="E346">
        <v>0.83599132458942582</v>
      </c>
      <c r="F346">
        <v>0.89199803930511046</v>
      </c>
      <c r="G346">
        <v>0.13802129789737461</v>
      </c>
      <c r="H346">
        <v>0.1954022963324851</v>
      </c>
      <c r="I346">
        <v>0.35065687161316927</v>
      </c>
      <c r="J346">
        <v>-11.51292546497023</v>
      </c>
      <c r="K346">
        <v>1.265354355328006</v>
      </c>
      <c r="L346">
        <v>-1.0360122036168831</v>
      </c>
      <c r="M346">
        <v>3.386988115588411</v>
      </c>
      <c r="N346">
        <v>3.3629902853972329</v>
      </c>
      <c r="O346">
        <v>-11.51292546497023</v>
      </c>
      <c r="P346">
        <v>2.3997830227017403E-2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</row>
    <row r="347" spans="1:23" x14ac:dyDescent="0.25">
      <c r="A347">
        <v>35</v>
      </c>
      <c r="B347">
        <v>2009</v>
      </c>
      <c r="C347">
        <v>-1.8212686673049381</v>
      </c>
      <c r="D347">
        <v>0.73231981563441728</v>
      </c>
      <c r="E347">
        <v>0.77449672625626842</v>
      </c>
      <c r="F347">
        <v>0.83599132458942582</v>
      </c>
      <c r="G347">
        <v>0.142020260020429</v>
      </c>
      <c r="H347">
        <v>0.13802129789737461</v>
      </c>
      <c r="I347">
        <v>0.1954022963324851</v>
      </c>
      <c r="J347">
        <v>-9.9375033735161562</v>
      </c>
      <c r="K347">
        <v>1.265354355328006</v>
      </c>
      <c r="L347">
        <v>-0.97659553740601257</v>
      </c>
      <c r="M347">
        <v>3.385375666510726</v>
      </c>
      <c r="N347">
        <v>3.3779487205784622</v>
      </c>
      <c r="O347">
        <v>-11.51292546497023</v>
      </c>
      <c r="P347">
        <v>7.4269459582865238E-3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</row>
    <row r="348" spans="1:23" x14ac:dyDescent="0.25">
      <c r="A348">
        <v>35</v>
      </c>
      <c r="B348">
        <v>2010</v>
      </c>
      <c r="C348">
        <v>-1.7189817245146379</v>
      </c>
      <c r="D348">
        <v>0.6995764683248491</v>
      </c>
      <c r="E348">
        <v>0.73231981563441728</v>
      </c>
      <c r="F348">
        <v>0.77449672625626842</v>
      </c>
      <c r="G348">
        <v>0.21817120968765191</v>
      </c>
      <c r="H348">
        <v>0.142020260020429</v>
      </c>
      <c r="I348">
        <v>0.13802129789737461</v>
      </c>
      <c r="J348">
        <v>-9.5344896104320913</v>
      </c>
      <c r="K348">
        <v>1.265354355328006</v>
      </c>
      <c r="L348">
        <v>-0.91249109744974854</v>
      </c>
      <c r="M348">
        <v>3.440684568154373</v>
      </c>
      <c r="N348">
        <v>3.382924321486628</v>
      </c>
      <c r="O348">
        <v>-11.51292546497023</v>
      </c>
      <c r="P348">
        <v>5.7760246098041534E-2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</row>
    <row r="349" spans="1:23" x14ac:dyDescent="0.25">
      <c r="A349">
        <v>35</v>
      </c>
      <c r="B349">
        <v>2011</v>
      </c>
      <c r="C349">
        <v>-1.4805213850711589</v>
      </c>
      <c r="D349">
        <v>0.7072473049387269</v>
      </c>
      <c r="E349">
        <v>0.6995764683248491</v>
      </c>
      <c r="F349">
        <v>0.73231981563441728</v>
      </c>
      <c r="G349">
        <v>0.36241841856579821</v>
      </c>
      <c r="H349">
        <v>0.21817120968765191</v>
      </c>
      <c r="I349">
        <v>0.142020260020429</v>
      </c>
      <c r="J349">
        <v>-7.8023339297130283</v>
      </c>
      <c r="K349">
        <v>1.265354355328006</v>
      </c>
      <c r="L349">
        <v>-0.85356057190685719</v>
      </c>
      <c r="M349">
        <v>3.4623864788456791</v>
      </c>
      <c r="N349">
        <v>3.4382391934854799</v>
      </c>
      <c r="O349">
        <v>-11.51292546497023</v>
      </c>
      <c r="P349">
        <v>2.4147285148501396E-2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</row>
    <row r="350" spans="1:23" x14ac:dyDescent="0.25">
      <c r="A350">
        <v>35</v>
      </c>
      <c r="B350">
        <v>2012</v>
      </c>
      <c r="C350">
        <v>-1.402603731890806</v>
      </c>
      <c r="D350">
        <v>0.65044842602683006</v>
      </c>
      <c r="E350">
        <v>0.7072473049387269</v>
      </c>
      <c r="F350">
        <v>0.6995764683248491</v>
      </c>
      <c r="G350">
        <v>0.27299981366563941</v>
      </c>
      <c r="H350">
        <v>0.36241841856579821</v>
      </c>
      <c r="I350">
        <v>0.21817120968765191</v>
      </c>
      <c r="J350">
        <v>-7.4650163682179782</v>
      </c>
      <c r="K350">
        <v>1.265354355328006</v>
      </c>
      <c r="L350">
        <v>-0.80722742659963931</v>
      </c>
      <c r="M350">
        <v>3.4601654748241999</v>
      </c>
      <c r="N350">
        <v>3.45486355404898</v>
      </c>
      <c r="O350">
        <v>-11.51292546497023</v>
      </c>
      <c r="P350">
        <v>5.3019206970930099E-3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</row>
    <row r="351" spans="1:23" x14ac:dyDescent="0.25">
      <c r="A351">
        <v>35</v>
      </c>
      <c r="B351">
        <v>2013</v>
      </c>
      <c r="C351">
        <v>-1.4273509861010041</v>
      </c>
      <c r="D351">
        <v>0.62657993628783215</v>
      </c>
      <c r="E351">
        <v>0.65044842602683006</v>
      </c>
      <c r="F351">
        <v>0.7072473049387269</v>
      </c>
      <c r="G351">
        <v>0.22657764804849201</v>
      </c>
      <c r="H351">
        <v>0.27299981366563941</v>
      </c>
      <c r="I351">
        <v>0.36241841856579821</v>
      </c>
      <c r="J351">
        <v>-6.6769384770713529</v>
      </c>
      <c r="K351">
        <v>1.265354355328006</v>
      </c>
      <c r="L351">
        <v>-0.79988354835896736</v>
      </c>
      <c r="M351">
        <v>3.442086937200926</v>
      </c>
      <c r="N351">
        <v>3.4189640110862158</v>
      </c>
      <c r="O351">
        <v>-11.51292546497023</v>
      </c>
      <c r="P351">
        <v>2.3122925311326981E-2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</row>
    <row r="352" spans="1:23" x14ac:dyDescent="0.25">
      <c r="A352">
        <v>35</v>
      </c>
      <c r="B352">
        <v>2014</v>
      </c>
      <c r="C352">
        <v>-1.4008463333685071</v>
      </c>
      <c r="D352">
        <v>0.61442859584854015</v>
      </c>
      <c r="E352">
        <v>0.62657993628783215</v>
      </c>
      <c r="F352">
        <v>0.65044842602683006</v>
      </c>
      <c r="G352">
        <v>0.2124465417658743</v>
      </c>
      <c r="H352">
        <v>0.22657764804849201</v>
      </c>
      <c r="I352">
        <v>0.27299981366563941</v>
      </c>
      <c r="J352">
        <v>-6.0013990725860262</v>
      </c>
      <c r="K352">
        <v>1.265354355328006</v>
      </c>
      <c r="L352">
        <v>-0.76685051736193866</v>
      </c>
      <c r="M352">
        <v>3.4381250306036359</v>
      </c>
      <c r="N352">
        <v>3.433611644689563</v>
      </c>
      <c r="O352">
        <v>-11.51292546497023</v>
      </c>
      <c r="P352">
        <v>4.5133857056498528E-3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</row>
    <row r="353" spans="1:23" x14ac:dyDescent="0.25">
      <c r="A353">
        <v>35</v>
      </c>
      <c r="B353">
        <v>2015</v>
      </c>
      <c r="C353">
        <v>-1.5485504172300191</v>
      </c>
      <c r="D353">
        <v>0.61880071843128848</v>
      </c>
      <c r="E353">
        <v>0.61442859584854015</v>
      </c>
      <c r="F353">
        <v>0.62657993628783215</v>
      </c>
      <c r="G353">
        <v>0.20073432980108</v>
      </c>
      <c r="H353">
        <v>0.2124465417658743</v>
      </c>
      <c r="I353">
        <v>0.22657764804849201</v>
      </c>
      <c r="J353">
        <v>-5.6010491282713071</v>
      </c>
      <c r="K353">
        <v>1.265354355328006</v>
      </c>
      <c r="L353">
        <v>-0.74372905009135759</v>
      </c>
      <c r="M353">
        <v>3.400051629814719</v>
      </c>
      <c r="N353">
        <v>3.429956429323278</v>
      </c>
      <c r="O353">
        <v>-11.51292546497023</v>
      </c>
      <c r="P353">
        <v>-2.9904799535870552E-2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</row>
    <row r="354" spans="1:23" x14ac:dyDescent="0.25">
      <c r="A354">
        <v>35</v>
      </c>
      <c r="B354">
        <v>2016</v>
      </c>
      <c r="C354">
        <v>-1.4994484294193799</v>
      </c>
      <c r="D354">
        <v>0.6505006058384728</v>
      </c>
      <c r="E354">
        <v>0.61880071843128848</v>
      </c>
      <c r="F354">
        <v>0.61442859584854015</v>
      </c>
      <c r="G354">
        <v>0.30601302913650452</v>
      </c>
      <c r="H354">
        <v>0.20073432980108</v>
      </c>
      <c r="I354">
        <v>0.2124465417658743</v>
      </c>
      <c r="J354">
        <v>-5.2535188820657037</v>
      </c>
      <c r="K354">
        <v>1.265354355328006</v>
      </c>
      <c r="L354">
        <v>-0.7272040533751134</v>
      </c>
      <c r="M354">
        <v>3.3639103949803069</v>
      </c>
      <c r="N354">
        <v>3.3921271884868189</v>
      </c>
      <c r="O354">
        <v>-11.51292546497023</v>
      </c>
      <c r="P354">
        <v>-2.821679413318634E-2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</row>
    <row r="355" spans="1:23" x14ac:dyDescent="0.25">
      <c r="A355">
        <v>35</v>
      </c>
      <c r="B355">
        <v>2017</v>
      </c>
      <c r="C355">
        <v>-1.4600525533671029</v>
      </c>
      <c r="D355">
        <v>0.64406197286945388</v>
      </c>
      <c r="E355">
        <v>0.6505006058384728</v>
      </c>
      <c r="F355">
        <v>0.61880071843128848</v>
      </c>
      <c r="G355">
        <v>0.28893129185221278</v>
      </c>
      <c r="H355">
        <v>0.30601302913650452</v>
      </c>
      <c r="I355">
        <v>0.20073432980108</v>
      </c>
      <c r="J355">
        <v>-4.6297489561784877</v>
      </c>
      <c r="K355">
        <v>1.265354355328006</v>
      </c>
      <c r="L355">
        <v>-0.70813243422289962</v>
      </c>
      <c r="M355">
        <v>3.359605553219466</v>
      </c>
      <c r="N355">
        <v>3.3562267093129119</v>
      </c>
      <c r="O355">
        <v>-11.51292546497023</v>
      </c>
      <c r="P355">
        <v>3.3788438886404037E-3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</row>
    <row r="356" spans="1:23" x14ac:dyDescent="0.25">
      <c r="A356">
        <v>35</v>
      </c>
      <c r="B356">
        <v>2018</v>
      </c>
      <c r="C356">
        <v>-1.687282034701959</v>
      </c>
      <c r="D356">
        <v>0.76458373049779393</v>
      </c>
      <c r="E356">
        <v>0.64406197286945388</v>
      </c>
      <c r="F356">
        <v>0.6505006058384728</v>
      </c>
      <c r="G356">
        <v>0.32880002317267892</v>
      </c>
      <c r="H356">
        <v>0.28893129185221278</v>
      </c>
      <c r="I356">
        <v>0.30601302913650452</v>
      </c>
      <c r="J356">
        <v>-4.2145776456245212</v>
      </c>
      <c r="K356">
        <v>1.265354355328006</v>
      </c>
      <c r="L356">
        <v>-0.68901549049015742</v>
      </c>
      <c r="M356">
        <v>3.347322722778256</v>
      </c>
      <c r="N356">
        <v>3.3498062610410102</v>
      </c>
      <c r="O356">
        <v>3.2580965380214821</v>
      </c>
      <c r="P356">
        <v>-2.4835383519530296E-3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</row>
    <row r="357" spans="1:23" x14ac:dyDescent="0.25">
      <c r="A357">
        <v>35</v>
      </c>
      <c r="B357">
        <v>2019</v>
      </c>
      <c r="C357">
        <v>-1.7539985792808619</v>
      </c>
      <c r="D357">
        <v>0.7103483878797201</v>
      </c>
      <c r="E357">
        <v>0.76458373049779393</v>
      </c>
      <c r="F357">
        <v>0.64406197286945388</v>
      </c>
      <c r="G357">
        <v>0.28660649422484791</v>
      </c>
      <c r="H357">
        <v>0.32880002317267892</v>
      </c>
      <c r="I357">
        <v>0.28893129185221278</v>
      </c>
      <c r="J357">
        <v>-3.4734102288767632</v>
      </c>
      <c r="K357">
        <v>1.265354355328006</v>
      </c>
      <c r="L357">
        <v>-0.66727942967695109</v>
      </c>
      <c r="M357">
        <v>3.3580967354450082</v>
      </c>
      <c r="N357">
        <v>3.3390103771988229</v>
      </c>
      <c r="O357">
        <v>5.393627546352362</v>
      </c>
      <c r="P357">
        <v>1.9086359068751335E-2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</row>
    <row r="358" spans="1:23" x14ac:dyDescent="0.25">
      <c r="A358">
        <v>35</v>
      </c>
      <c r="B358">
        <v>2020</v>
      </c>
      <c r="C358">
        <v>-1.86403964962227</v>
      </c>
      <c r="D358">
        <v>0.65399046535875138</v>
      </c>
      <c r="E358">
        <v>0.7103483878797201</v>
      </c>
      <c r="F358">
        <v>0.76458373049779393</v>
      </c>
      <c r="G358">
        <v>0.26428549464538492</v>
      </c>
      <c r="H358">
        <v>0.28660649422484791</v>
      </c>
      <c r="I358">
        <v>0.32880002317267892</v>
      </c>
      <c r="J358">
        <v>-2.8937330983977869</v>
      </c>
      <c r="K358">
        <v>1.265354355328006</v>
      </c>
      <c r="L358">
        <v>-0.65527629986212466</v>
      </c>
      <c r="M358">
        <v>3.2997488115508631</v>
      </c>
      <c r="N358">
        <v>3.3500652315318309</v>
      </c>
      <c r="O358">
        <v>5.9914645471079817</v>
      </c>
      <c r="P358">
        <v>-5.0316419452428818E-2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</row>
    <row r="359" spans="1:23" x14ac:dyDescent="0.25">
      <c r="A359">
        <v>35</v>
      </c>
      <c r="B359">
        <v>2021</v>
      </c>
      <c r="C359">
        <v>-1.662372354249732</v>
      </c>
      <c r="D359">
        <v>0.85070633066131007</v>
      </c>
      <c r="E359">
        <v>0.65399046535875138</v>
      </c>
      <c r="F359">
        <v>0.7103483878797201</v>
      </c>
      <c r="G359">
        <v>0.57030135056109943</v>
      </c>
      <c r="H359">
        <v>0.26428549464538492</v>
      </c>
      <c r="I359">
        <v>0.28660649422484791</v>
      </c>
      <c r="J359">
        <v>-2.3321531559009401</v>
      </c>
      <c r="K359">
        <v>1.265354355328006</v>
      </c>
      <c r="L359">
        <v>-0.6472323188136947</v>
      </c>
      <c r="M359">
        <v>3.3037784711010461</v>
      </c>
      <c r="N359">
        <v>3.2920060368555659</v>
      </c>
      <c r="O359">
        <v>6.6846117276679271</v>
      </c>
      <c r="P359">
        <v>1.177243422716856E-2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</row>
    <row r="360" spans="1:23" x14ac:dyDescent="0.25">
      <c r="A360">
        <v>35</v>
      </c>
      <c r="B360">
        <v>2022</v>
      </c>
      <c r="C360">
        <v>-1.539345348544559</v>
      </c>
      <c r="D360">
        <v>0.86487111371861958</v>
      </c>
      <c r="E360">
        <v>0.85070633066131007</v>
      </c>
      <c r="F360">
        <v>0.65399046535875138</v>
      </c>
      <c r="G360">
        <v>0.53315446924905385</v>
      </c>
      <c r="H360">
        <v>0.57030135056109943</v>
      </c>
      <c r="I360">
        <v>0.26428549464538492</v>
      </c>
      <c r="J360">
        <v>-1.8103043863290309</v>
      </c>
      <c r="K360">
        <v>1.265354355328006</v>
      </c>
      <c r="L360">
        <v>-0.6258211804677235</v>
      </c>
      <c r="M360">
        <v>3.362174111307882</v>
      </c>
      <c r="N360">
        <v>3.3037784711010461</v>
      </c>
      <c r="O360">
        <v>8.0551577318196781</v>
      </c>
      <c r="P360">
        <v>5.8395639061927795E-2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</row>
    <row r="361" spans="1:23" x14ac:dyDescent="0.25">
      <c r="A361">
        <v>35</v>
      </c>
      <c r="B361">
        <v>2023</v>
      </c>
      <c r="C361">
        <v>-1.4942475735529499</v>
      </c>
      <c r="D361">
        <v>0.72711373012321823</v>
      </c>
      <c r="E361">
        <v>0.86487111371861958</v>
      </c>
      <c r="F361">
        <v>0.85070633066131007</v>
      </c>
      <c r="G361">
        <v>0.33461336713621331</v>
      </c>
      <c r="H361">
        <v>0.53315446924905385</v>
      </c>
      <c r="I361">
        <v>0.57030135056109943</v>
      </c>
      <c r="J361">
        <v>-1.257223832920717</v>
      </c>
      <c r="K361">
        <v>1.265354355328006</v>
      </c>
      <c r="L361">
        <v>-0.60173262156518448</v>
      </c>
      <c r="M361">
        <v>3.4075965113004578</v>
      </c>
      <c r="N361">
        <v>3.362174111307882</v>
      </c>
      <c r="O361">
        <v>8.4658998970286863</v>
      </c>
      <c r="P361">
        <v>4.5422401279211044E-2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</row>
    <row r="362" spans="1:23" x14ac:dyDescent="0.25">
      <c r="A362">
        <v>41</v>
      </c>
      <c r="B362">
        <v>2006</v>
      </c>
      <c r="C362">
        <v>-1.8423609383586479</v>
      </c>
      <c r="D362">
        <v>0.91629073187415511</v>
      </c>
      <c r="E362">
        <v>0.85946637987639407</v>
      </c>
      <c r="F362">
        <v>0.81863380060136115</v>
      </c>
      <c r="G362">
        <v>0.50681760236845186</v>
      </c>
      <c r="H362">
        <v>0.36018876323852889</v>
      </c>
      <c r="I362">
        <v>0.23467678712788281</v>
      </c>
      <c r="J362">
        <v>-11.51292546497023</v>
      </c>
      <c r="K362">
        <v>1.552935502058828</v>
      </c>
      <c r="L362">
        <v>-1.2951281768844689</v>
      </c>
      <c r="M362">
        <v>2.8821140608554998</v>
      </c>
      <c r="N362">
        <v>2.870796881453622</v>
      </c>
      <c r="O362">
        <v>-11.51292546497023</v>
      </c>
      <c r="P362">
        <v>1.1317179538309574E-2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</row>
    <row r="363" spans="1:23" x14ac:dyDescent="0.25">
      <c r="A363">
        <v>41</v>
      </c>
      <c r="B363">
        <v>2007</v>
      </c>
      <c r="C363">
        <v>-1.8560792646036639</v>
      </c>
      <c r="D363">
        <v>0.84835444486232792</v>
      </c>
      <c r="E363">
        <v>0.91629073187415511</v>
      </c>
      <c r="F363">
        <v>0.85946637987639407</v>
      </c>
      <c r="G363">
        <v>0.32099595148171439</v>
      </c>
      <c r="H363">
        <v>0.50681760236845186</v>
      </c>
      <c r="I363">
        <v>0.36018876323852889</v>
      </c>
      <c r="J363">
        <v>-11.51292546497023</v>
      </c>
      <c r="K363">
        <v>1.552935502058828</v>
      </c>
      <c r="L363">
        <v>-1.2165735664723041</v>
      </c>
      <c r="M363">
        <v>2.992506428742332</v>
      </c>
      <c r="N363">
        <v>2.872399933716999</v>
      </c>
      <c r="O363">
        <v>-11.51292546497023</v>
      </c>
      <c r="P363">
        <v>0.12010649591684341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</row>
    <row r="364" spans="1:23" x14ac:dyDescent="0.25">
      <c r="A364">
        <v>41</v>
      </c>
      <c r="B364">
        <v>2008</v>
      </c>
      <c r="C364">
        <v>-1.829494845679668</v>
      </c>
      <c r="D364">
        <v>0.77868246866620794</v>
      </c>
      <c r="E364">
        <v>0.84835444486232792</v>
      </c>
      <c r="F364">
        <v>0.91629073187415511</v>
      </c>
      <c r="G364">
        <v>0.24263240389805671</v>
      </c>
      <c r="H364">
        <v>0.32099595148171439</v>
      </c>
      <c r="I364">
        <v>0.50681760236845186</v>
      </c>
      <c r="J364">
        <v>-11.51292546497023</v>
      </c>
      <c r="K364">
        <v>1.552935502058828</v>
      </c>
      <c r="L364">
        <v>-1.1381487519499429</v>
      </c>
      <c r="M364">
        <v>3.0155765265959911</v>
      </c>
      <c r="N364">
        <v>2.9828856643160169</v>
      </c>
      <c r="O364">
        <v>-11.51292546497023</v>
      </c>
      <c r="P364">
        <v>3.2690864056348801E-2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</row>
    <row r="365" spans="1:23" x14ac:dyDescent="0.25">
      <c r="A365">
        <v>41</v>
      </c>
      <c r="B365">
        <v>2009</v>
      </c>
      <c r="C365">
        <v>-1.8964178520160431</v>
      </c>
      <c r="D365">
        <v>0.76103944660286371</v>
      </c>
      <c r="E365">
        <v>0.77868246866620794</v>
      </c>
      <c r="F365">
        <v>0.84835444486232792</v>
      </c>
      <c r="G365">
        <v>0.24208306113360409</v>
      </c>
      <c r="H365">
        <v>0.24263240389805671</v>
      </c>
      <c r="I365">
        <v>0.32099595148171439</v>
      </c>
      <c r="J365">
        <v>-9.2767128666058145</v>
      </c>
      <c r="K365">
        <v>1.552935502058828</v>
      </c>
      <c r="L365">
        <v>-1.07274631637666</v>
      </c>
      <c r="M365">
        <v>2.9934713224657501</v>
      </c>
      <c r="N365">
        <v>3.0065452457640429</v>
      </c>
      <c r="O365">
        <v>-11.51292546497023</v>
      </c>
      <c r="P365">
        <v>-1.307392306625843E-2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</row>
    <row r="366" spans="1:23" x14ac:dyDescent="0.25">
      <c r="A366">
        <v>41</v>
      </c>
      <c r="B366">
        <v>2010</v>
      </c>
      <c r="C366">
        <v>-1.726507138524179</v>
      </c>
      <c r="D366">
        <v>0.72764522096751272</v>
      </c>
      <c r="E366">
        <v>0.76103944660286371</v>
      </c>
      <c r="F366">
        <v>0.77868246866620794</v>
      </c>
      <c r="G366">
        <v>0.28803201121606892</v>
      </c>
      <c r="H366">
        <v>0.24208306113360409</v>
      </c>
      <c r="I366">
        <v>0.24263240389805671</v>
      </c>
      <c r="J366">
        <v>-8.575395870932196</v>
      </c>
      <c r="K366">
        <v>1.552935502058828</v>
      </c>
      <c r="L366">
        <v>-0.99196821018247971</v>
      </c>
      <c r="M366">
        <v>3.0562244582969211</v>
      </c>
      <c r="N366">
        <v>3.0016411375795662</v>
      </c>
      <c r="O366">
        <v>-11.51292546497023</v>
      </c>
      <c r="P366">
        <v>5.4583322256803513E-2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</row>
    <row r="367" spans="1:23" x14ac:dyDescent="0.25">
      <c r="A367">
        <v>41</v>
      </c>
      <c r="B367">
        <v>2011</v>
      </c>
      <c r="C367">
        <v>-1.4758305114994541</v>
      </c>
      <c r="D367">
        <v>0.72226899413196388</v>
      </c>
      <c r="E367">
        <v>0.72764522096751272</v>
      </c>
      <c r="F367">
        <v>0.76103944660286371</v>
      </c>
      <c r="G367">
        <v>0.41449091931547682</v>
      </c>
      <c r="H367">
        <v>0.28803201121606892</v>
      </c>
      <c r="I367">
        <v>0.24208306113360409</v>
      </c>
      <c r="J367">
        <v>-6.7753992905375107</v>
      </c>
      <c r="K367">
        <v>1.552935502058828</v>
      </c>
      <c r="L367">
        <v>-0.91369468549430466</v>
      </c>
      <c r="M367">
        <v>3.117094438691538</v>
      </c>
      <c r="N367">
        <v>3.064461569463433</v>
      </c>
      <c r="O367">
        <v>-11.51292546497023</v>
      </c>
      <c r="P367">
        <v>5.263286828994751E-2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</row>
    <row r="368" spans="1:23" x14ac:dyDescent="0.25">
      <c r="A368">
        <v>41</v>
      </c>
      <c r="B368">
        <v>2012</v>
      </c>
      <c r="C368">
        <v>-1.339446711138798</v>
      </c>
      <c r="D368">
        <v>0.66921303026431433</v>
      </c>
      <c r="E368">
        <v>0.72226899413196388</v>
      </c>
      <c r="F368">
        <v>0.72764522096751272</v>
      </c>
      <c r="G368">
        <v>0.34238330322186772</v>
      </c>
      <c r="H368">
        <v>0.41449091931547682</v>
      </c>
      <c r="I368">
        <v>0.28803201121606892</v>
      </c>
      <c r="J368">
        <v>-6.4332951460233661</v>
      </c>
      <c r="K368">
        <v>1.552935502058828</v>
      </c>
      <c r="L368">
        <v>-0.85480182225983004</v>
      </c>
      <c r="M368">
        <v>3.1395688255276668</v>
      </c>
      <c r="N368">
        <v>3.1108918889374499</v>
      </c>
      <c r="O368">
        <v>-11.51292546497023</v>
      </c>
      <c r="P368">
        <v>2.8676936402916908E-2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</row>
    <row r="369" spans="1:23" x14ac:dyDescent="0.25">
      <c r="A369">
        <v>41</v>
      </c>
      <c r="B369">
        <v>2013</v>
      </c>
      <c r="C369">
        <v>-1.3850817769822621</v>
      </c>
      <c r="D369">
        <v>0.6660842610102562</v>
      </c>
      <c r="E369">
        <v>0.66921303026431433</v>
      </c>
      <c r="F369">
        <v>0.72226899413196388</v>
      </c>
      <c r="G369">
        <v>0.29012907609483268</v>
      </c>
      <c r="H369">
        <v>0.34238330322186772</v>
      </c>
      <c r="I369">
        <v>0.41449091931547682</v>
      </c>
      <c r="J369">
        <v>-5.5677504523929784</v>
      </c>
      <c r="K369">
        <v>1.552935502058828</v>
      </c>
      <c r="L369">
        <v>-0.83520570489409651</v>
      </c>
      <c r="M369">
        <v>3.183217508248168</v>
      </c>
      <c r="N369">
        <v>3.1006572449309169</v>
      </c>
      <c r="O369">
        <v>-11.51292546497023</v>
      </c>
      <c r="P369">
        <v>8.2560263574123383E-2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</row>
    <row r="370" spans="1:23" x14ac:dyDescent="0.25">
      <c r="A370">
        <v>41</v>
      </c>
      <c r="B370">
        <v>2014</v>
      </c>
      <c r="C370">
        <v>-1.345189368281094</v>
      </c>
      <c r="D370">
        <v>0.641959143790512</v>
      </c>
      <c r="E370">
        <v>0.6660842610102562</v>
      </c>
      <c r="F370">
        <v>0.66921303026431433</v>
      </c>
      <c r="G370">
        <v>0.27307592006241882</v>
      </c>
      <c r="H370">
        <v>0.29012907609483268</v>
      </c>
      <c r="I370">
        <v>0.34238330322186772</v>
      </c>
      <c r="J370">
        <v>-4.918600501551456</v>
      </c>
      <c r="K370">
        <v>1.552935502058828</v>
      </c>
      <c r="L370">
        <v>-0.79188257119245631</v>
      </c>
      <c r="M370">
        <v>3.142905274687771</v>
      </c>
      <c r="N370">
        <v>3.175587922700605</v>
      </c>
      <c r="O370">
        <v>-11.51292546497023</v>
      </c>
      <c r="P370">
        <v>-3.2682649791240692E-2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</row>
    <row r="371" spans="1:23" x14ac:dyDescent="0.25">
      <c r="A371">
        <v>41</v>
      </c>
      <c r="B371">
        <v>2015</v>
      </c>
      <c r="C371">
        <v>-1.460493169190533</v>
      </c>
      <c r="D371">
        <v>0.64966540194798428</v>
      </c>
      <c r="E371">
        <v>0.641959143790512</v>
      </c>
      <c r="F371">
        <v>0.6660842610102562</v>
      </c>
      <c r="G371">
        <v>0.26972174707478819</v>
      </c>
      <c r="H371">
        <v>0.27307592006241882</v>
      </c>
      <c r="I371">
        <v>0.29012907609483268</v>
      </c>
      <c r="J371">
        <v>-4.484079722531721</v>
      </c>
      <c r="K371">
        <v>1.552935502058828</v>
      </c>
      <c r="L371">
        <v>-0.7667308249154009</v>
      </c>
      <c r="M371">
        <v>3.142359436250826</v>
      </c>
      <c r="N371">
        <v>3.13559330142846</v>
      </c>
      <c r="O371">
        <v>-11.51292546497023</v>
      </c>
      <c r="P371">
        <v>6.7661348730325699E-3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</row>
    <row r="372" spans="1:23" x14ac:dyDescent="0.25">
      <c r="A372">
        <v>41</v>
      </c>
      <c r="B372">
        <v>2016</v>
      </c>
      <c r="C372">
        <v>-1.3613844512385129</v>
      </c>
      <c r="D372">
        <v>0.68697819141441629</v>
      </c>
      <c r="E372">
        <v>0.64966540194798428</v>
      </c>
      <c r="F372">
        <v>0.641959143790512</v>
      </c>
      <c r="G372">
        <v>0.39102806031039478</v>
      </c>
      <c r="H372">
        <v>0.26972174707478819</v>
      </c>
      <c r="I372">
        <v>0.27307592006241882</v>
      </c>
      <c r="J372">
        <v>-4.1179899342132718</v>
      </c>
      <c r="K372">
        <v>1.552935502058828</v>
      </c>
      <c r="L372">
        <v>-0.75113211232978527</v>
      </c>
      <c r="M372">
        <v>3.1211682337027451</v>
      </c>
      <c r="N372">
        <v>3.135244978679335</v>
      </c>
      <c r="O372">
        <v>-11.51292546497023</v>
      </c>
      <c r="P372">
        <v>-1.4076745137572289E-2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</row>
    <row r="373" spans="1:23" x14ac:dyDescent="0.25">
      <c r="A373">
        <v>41</v>
      </c>
      <c r="B373">
        <v>2017</v>
      </c>
      <c r="C373">
        <v>-1.3064815329151609</v>
      </c>
      <c r="D373">
        <v>0.67701779863006162</v>
      </c>
      <c r="E373">
        <v>0.68697819141441629</v>
      </c>
      <c r="F373">
        <v>0.64966540194798428</v>
      </c>
      <c r="G373">
        <v>0.38028404291090551</v>
      </c>
      <c r="H373">
        <v>0.39102806031039478</v>
      </c>
      <c r="I373">
        <v>0.26972174707478819</v>
      </c>
      <c r="J373">
        <v>-3.482202667464827</v>
      </c>
      <c r="K373">
        <v>1.552935502058828</v>
      </c>
      <c r="L373">
        <v>-0.73423257976881406</v>
      </c>
      <c r="M373">
        <v>3.1260082481797218</v>
      </c>
      <c r="N373">
        <v>3.1142391735181341</v>
      </c>
      <c r="O373">
        <v>-11.51292546497023</v>
      </c>
      <c r="P373">
        <v>1.1769074946641922E-2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</row>
    <row r="374" spans="1:23" x14ac:dyDescent="0.25">
      <c r="A374">
        <v>41</v>
      </c>
      <c r="B374">
        <v>2018</v>
      </c>
      <c r="C374">
        <v>-1.4986251909305219</v>
      </c>
      <c r="D374">
        <v>0.78349050045754698</v>
      </c>
      <c r="E374">
        <v>0.67701779863006162</v>
      </c>
      <c r="F374">
        <v>0.68697819141441629</v>
      </c>
      <c r="G374">
        <v>0.41369779303464072</v>
      </c>
      <c r="H374">
        <v>0.38028404291090551</v>
      </c>
      <c r="I374">
        <v>0.39102806031039478</v>
      </c>
      <c r="J374">
        <v>-3.0490208019740672</v>
      </c>
      <c r="K374">
        <v>1.552935502058828</v>
      </c>
      <c r="L374">
        <v>-0.7080024089864696</v>
      </c>
      <c r="M374">
        <v>3.1226058478362422</v>
      </c>
      <c r="N374">
        <v>3.123534033283172</v>
      </c>
      <c r="O374">
        <v>3.2580965380214821</v>
      </c>
      <c r="P374">
        <v>-9.2818547273054719E-4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</row>
    <row r="375" spans="1:23" x14ac:dyDescent="0.25">
      <c r="A375">
        <v>41</v>
      </c>
      <c r="B375">
        <v>2019</v>
      </c>
      <c r="C375">
        <v>-1.5143299060988189</v>
      </c>
      <c r="D375">
        <v>0.71759586096225525</v>
      </c>
      <c r="E375">
        <v>0.78349050045754698</v>
      </c>
      <c r="F375">
        <v>0.67701779863006162</v>
      </c>
      <c r="G375">
        <v>0.36464311358790918</v>
      </c>
      <c r="H375">
        <v>0.41369779303464072</v>
      </c>
      <c r="I375">
        <v>0.38028404291090551</v>
      </c>
      <c r="J375">
        <v>-2.3090742918220881</v>
      </c>
      <c r="K375">
        <v>1.552935502058828</v>
      </c>
      <c r="L375">
        <v>-0.68325093447038077</v>
      </c>
      <c r="M375">
        <v>3.1319204394203441</v>
      </c>
      <c r="N375">
        <v>3.1151423188689078</v>
      </c>
      <c r="O375">
        <v>5.393627546352362</v>
      </c>
      <c r="P375">
        <v>1.6778120771050453E-2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</row>
    <row r="376" spans="1:23" x14ac:dyDescent="0.25">
      <c r="A376">
        <v>41</v>
      </c>
      <c r="B376">
        <v>2020</v>
      </c>
      <c r="C376">
        <v>-1.530973710856024</v>
      </c>
      <c r="D376">
        <v>0.63673554663398246</v>
      </c>
      <c r="E376">
        <v>0.71759586096225525</v>
      </c>
      <c r="F376">
        <v>0.78349050045754698</v>
      </c>
      <c r="G376">
        <v>0.33404071142979791</v>
      </c>
      <c r="H376">
        <v>0.36464311358790918</v>
      </c>
      <c r="I376">
        <v>0.41369779303464072</v>
      </c>
      <c r="J376">
        <v>-1.6952284246354941</v>
      </c>
      <c r="K376">
        <v>1.552935502058828</v>
      </c>
      <c r="L376">
        <v>-0.66505064194755892</v>
      </c>
      <c r="M376">
        <v>3.1071599665025058</v>
      </c>
      <c r="N376">
        <v>3.1246977394578521</v>
      </c>
      <c r="O376">
        <v>5.9914645471079817</v>
      </c>
      <c r="P376">
        <v>-1.7537772655487061E-2</v>
      </c>
      <c r="Q376">
        <v>1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0</v>
      </c>
    </row>
    <row r="377" spans="1:23" x14ac:dyDescent="0.25">
      <c r="A377">
        <v>41</v>
      </c>
      <c r="B377">
        <v>2021</v>
      </c>
      <c r="C377">
        <v>-1.421809541109802</v>
      </c>
      <c r="D377">
        <v>0.85980503288729271</v>
      </c>
      <c r="E377">
        <v>0.63673554663398246</v>
      </c>
      <c r="F377">
        <v>0.71759586096225525</v>
      </c>
      <c r="G377">
        <v>0.62663337650160578</v>
      </c>
      <c r="H377">
        <v>0.33404071142979791</v>
      </c>
      <c r="I377">
        <v>0.36464311358790918</v>
      </c>
      <c r="J377">
        <v>-1.146789059642076</v>
      </c>
      <c r="K377">
        <v>1.552935502058828</v>
      </c>
      <c r="L377">
        <v>-0.64621235690546897</v>
      </c>
      <c r="M377">
        <v>3.0972182161012869</v>
      </c>
      <c r="N377">
        <v>3.1001821005509091</v>
      </c>
      <c r="O377">
        <v>6.6846117276679271</v>
      </c>
      <c r="P377">
        <v>-2.9638845007866621E-3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</row>
    <row r="378" spans="1:23" x14ac:dyDescent="0.25">
      <c r="A378">
        <v>41</v>
      </c>
      <c r="B378">
        <v>2022</v>
      </c>
      <c r="C378">
        <v>-1.292181866336219</v>
      </c>
      <c r="D378">
        <v>0.9032460183533465</v>
      </c>
      <c r="E378">
        <v>0.85980503288729271</v>
      </c>
      <c r="F378">
        <v>0.63673554663398246</v>
      </c>
      <c r="G378">
        <v>0.64301111106614806</v>
      </c>
      <c r="H378">
        <v>0.62663337650160578</v>
      </c>
      <c r="I378">
        <v>0.33404071142979791</v>
      </c>
      <c r="J378">
        <v>-0.65453880353422889</v>
      </c>
      <c r="K378">
        <v>1.552935502058828</v>
      </c>
      <c r="L378">
        <v>-0.62477866230722001</v>
      </c>
      <c r="M378">
        <v>3.1261348219753211</v>
      </c>
      <c r="N378">
        <v>3.0972182161012869</v>
      </c>
      <c r="O378">
        <v>8.0551577318196781</v>
      </c>
      <c r="P378">
        <v>2.8916606679558754E-2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</row>
    <row r="379" spans="1:23" x14ac:dyDescent="0.25">
      <c r="A379">
        <v>41</v>
      </c>
      <c r="B379">
        <v>2023</v>
      </c>
      <c r="C379">
        <v>-1.2328482132081771</v>
      </c>
      <c r="D379">
        <v>0.77803964757790789</v>
      </c>
      <c r="E379">
        <v>0.9032460183533465</v>
      </c>
      <c r="F379">
        <v>0.85980503288729271</v>
      </c>
      <c r="G379">
        <v>0.43696377516753537</v>
      </c>
      <c r="H379">
        <v>0.64301111106614806</v>
      </c>
      <c r="I379">
        <v>0.62663337650160578</v>
      </c>
      <c r="J379">
        <v>-0.1094632567251597</v>
      </c>
      <c r="K379">
        <v>1.552935502058828</v>
      </c>
      <c r="L379">
        <v>-0.60228029567260255</v>
      </c>
      <c r="M379">
        <v>3.1634861092570059</v>
      </c>
      <c r="N379">
        <v>3.1261348219753211</v>
      </c>
      <c r="O379">
        <v>8.4658998970286863</v>
      </c>
      <c r="P379">
        <v>3.735128790140152E-2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</row>
    <row r="380" spans="1:23" x14ac:dyDescent="0.25">
      <c r="A380">
        <v>42</v>
      </c>
      <c r="B380">
        <v>2006</v>
      </c>
      <c r="C380">
        <v>-1.393732183021102</v>
      </c>
      <c r="D380">
        <v>0.94390589890712839</v>
      </c>
      <c r="E380">
        <v>0.9146894505071812</v>
      </c>
      <c r="F380">
        <v>0.86098941608906565</v>
      </c>
      <c r="G380">
        <v>0.59883650108870401</v>
      </c>
      <c r="H380">
        <v>0.51336240341796069</v>
      </c>
      <c r="I380">
        <v>0.40832767372164103</v>
      </c>
      <c r="J380">
        <v>-11.51292546497023</v>
      </c>
      <c r="K380">
        <v>0.76262602198805785</v>
      </c>
      <c r="L380">
        <v>-1.137032485298213</v>
      </c>
      <c r="M380">
        <v>3.024780520985785</v>
      </c>
      <c r="N380">
        <v>2.9799779067954488</v>
      </c>
      <c r="O380">
        <v>-11.51292546497023</v>
      </c>
      <c r="P380">
        <v>4.480261355638504E-2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</row>
    <row r="381" spans="1:23" x14ac:dyDescent="0.25">
      <c r="A381">
        <v>42</v>
      </c>
      <c r="B381">
        <v>2007</v>
      </c>
      <c r="C381">
        <v>-1.5006937786087979</v>
      </c>
      <c r="D381">
        <v>0.88854947689243036</v>
      </c>
      <c r="E381">
        <v>0.94390589890712839</v>
      </c>
      <c r="F381">
        <v>0.9146894505071812</v>
      </c>
      <c r="G381">
        <v>0.49286529838899779</v>
      </c>
      <c r="H381">
        <v>0.59883650108870401</v>
      </c>
      <c r="I381">
        <v>0.51336240341796069</v>
      </c>
      <c r="J381">
        <v>-11.51292546497023</v>
      </c>
      <c r="K381">
        <v>0.76262602198805785</v>
      </c>
      <c r="L381">
        <v>-1.057041665037638</v>
      </c>
      <c r="M381">
        <v>3.0847108733252599</v>
      </c>
      <c r="N381">
        <v>3.016896626236234</v>
      </c>
      <c r="O381">
        <v>-11.51292546497023</v>
      </c>
      <c r="P381">
        <v>6.7814245820045471E-2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</row>
    <row r="382" spans="1:23" x14ac:dyDescent="0.25">
      <c r="A382">
        <v>42</v>
      </c>
      <c r="B382">
        <v>2008</v>
      </c>
      <c r="C382">
        <v>-1.481321040208609</v>
      </c>
      <c r="D382">
        <v>0.83121203151584044</v>
      </c>
      <c r="E382">
        <v>0.88854947689243036</v>
      </c>
      <c r="F382">
        <v>0.94390589890712839</v>
      </c>
      <c r="G382">
        <v>0.4296372600791496</v>
      </c>
      <c r="H382">
        <v>0.49286529838899779</v>
      </c>
      <c r="I382">
        <v>0.59883650108870401</v>
      </c>
      <c r="J382">
        <v>-11.51292546497023</v>
      </c>
      <c r="K382">
        <v>0.76262602198805785</v>
      </c>
      <c r="L382">
        <v>-0.98384170078727839</v>
      </c>
      <c r="M382">
        <v>3.1506985729239658</v>
      </c>
      <c r="N382">
        <v>3.0768884832713241</v>
      </c>
      <c r="O382">
        <v>-11.51292546497023</v>
      </c>
      <c r="P382">
        <v>7.3810093104839325E-2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</row>
    <row r="383" spans="1:23" x14ac:dyDescent="0.25">
      <c r="A383">
        <v>42</v>
      </c>
      <c r="B383">
        <v>2009</v>
      </c>
      <c r="C383">
        <v>-1.4386193539111141</v>
      </c>
      <c r="D383">
        <v>0.78504244526420097</v>
      </c>
      <c r="E383">
        <v>0.83121203151584044</v>
      </c>
      <c r="F383">
        <v>0.88854947689243036</v>
      </c>
      <c r="G383">
        <v>0.40499833251872053</v>
      </c>
      <c r="H383">
        <v>0.4296372600791496</v>
      </c>
      <c r="I383">
        <v>0.49286529838899779</v>
      </c>
      <c r="J383">
        <v>-8.7191119622539297</v>
      </c>
      <c r="K383">
        <v>0.76262602198805785</v>
      </c>
      <c r="L383">
        <v>-0.91604814610972674</v>
      </c>
      <c r="M383">
        <v>3.130092444870475</v>
      </c>
      <c r="N383">
        <v>3.1398276736047461</v>
      </c>
      <c r="O383">
        <v>-11.51292546497023</v>
      </c>
      <c r="P383">
        <v>-9.7352284938097E-3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</row>
    <row r="384" spans="1:23" x14ac:dyDescent="0.25">
      <c r="A384">
        <v>42</v>
      </c>
      <c r="B384">
        <v>2010</v>
      </c>
      <c r="C384">
        <v>-1.246790307904005</v>
      </c>
      <c r="D384">
        <v>0.74720913865847582</v>
      </c>
      <c r="E384">
        <v>0.78504244526420097</v>
      </c>
      <c r="F384">
        <v>0.83121203151584044</v>
      </c>
      <c r="G384">
        <v>0.47237581339079121</v>
      </c>
      <c r="H384">
        <v>0.40499833251872053</v>
      </c>
      <c r="I384">
        <v>0.4296372600791496</v>
      </c>
      <c r="J384">
        <v>-8.0420400059359878</v>
      </c>
      <c r="K384">
        <v>0.76262602198805785</v>
      </c>
      <c r="L384">
        <v>-0.85606414860519153</v>
      </c>
      <c r="M384">
        <v>3.207739934963127</v>
      </c>
      <c r="N384">
        <v>3.1140172206283951</v>
      </c>
      <c r="O384">
        <v>-11.51292546497023</v>
      </c>
      <c r="P384">
        <v>9.3722715973854065E-2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</row>
    <row r="385" spans="1:23" x14ac:dyDescent="0.25">
      <c r="A385">
        <v>42</v>
      </c>
      <c r="B385">
        <v>2011</v>
      </c>
      <c r="C385">
        <v>-1.1457883531947981</v>
      </c>
      <c r="D385">
        <v>0.73706836761787342</v>
      </c>
      <c r="E385">
        <v>0.74720913865847582</v>
      </c>
      <c r="F385">
        <v>0.78504244526420097</v>
      </c>
      <c r="G385">
        <v>0.58661931715011228</v>
      </c>
      <c r="H385">
        <v>0.47237581339079121</v>
      </c>
      <c r="I385">
        <v>0.40499833251872053</v>
      </c>
      <c r="J385">
        <v>-6.1860588817622144</v>
      </c>
      <c r="K385">
        <v>0.76262602198805785</v>
      </c>
      <c r="L385">
        <v>-0.80329043221256957</v>
      </c>
      <c r="M385">
        <v>3.2362882904880972</v>
      </c>
      <c r="N385">
        <v>3.191918882235131</v>
      </c>
      <c r="O385">
        <v>-11.51292546497023</v>
      </c>
      <c r="P385">
        <v>4.4369406998157501E-2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</row>
    <row r="386" spans="1:23" x14ac:dyDescent="0.25">
      <c r="A386">
        <v>42</v>
      </c>
      <c r="B386">
        <v>2012</v>
      </c>
      <c r="C386">
        <v>-1.0504947660197681</v>
      </c>
      <c r="D386">
        <v>0.68031520174456706</v>
      </c>
      <c r="E386">
        <v>0.73706836761787342</v>
      </c>
      <c r="F386">
        <v>0.74720913865847582</v>
      </c>
      <c r="G386">
        <v>0.54679104419859936</v>
      </c>
      <c r="H386">
        <v>0.58661931715011228</v>
      </c>
      <c r="I386">
        <v>0.47237581339079121</v>
      </c>
      <c r="J386">
        <v>-5.8137744590121443</v>
      </c>
      <c r="K386">
        <v>0.76262602198805785</v>
      </c>
      <c r="L386">
        <v>-0.74688021980413444</v>
      </c>
      <c r="M386">
        <v>3.24962619301956</v>
      </c>
      <c r="N386">
        <v>3.22908309153327</v>
      </c>
      <c r="O386">
        <v>-11.51292546497023</v>
      </c>
      <c r="P386">
        <v>2.054310217499733E-2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</row>
    <row r="387" spans="1:23" x14ac:dyDescent="0.25">
      <c r="A387">
        <v>42</v>
      </c>
      <c r="B387">
        <v>2013</v>
      </c>
      <c r="C387">
        <v>-1.03185787121915</v>
      </c>
      <c r="D387">
        <v>0.66957144403123958</v>
      </c>
      <c r="E387">
        <v>0.68031520174456706</v>
      </c>
      <c r="F387">
        <v>0.73706836761787342</v>
      </c>
      <c r="G387">
        <v>0.49774038421733519</v>
      </c>
      <c r="H387">
        <v>0.54679104419859936</v>
      </c>
      <c r="I387">
        <v>0.58661931715011228</v>
      </c>
      <c r="J387">
        <v>-4.9933390166130129</v>
      </c>
      <c r="K387">
        <v>0.76262602198805785</v>
      </c>
      <c r="L387">
        <v>-0.73164084194109869</v>
      </c>
      <c r="M387">
        <v>3.2474165335249561</v>
      </c>
      <c r="N387">
        <v>3.2078381248147831</v>
      </c>
      <c r="O387">
        <v>-11.51292546497023</v>
      </c>
      <c r="P387">
        <v>3.9578408002853394E-2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</row>
    <row r="388" spans="1:23" x14ac:dyDescent="0.25">
      <c r="A388">
        <v>42</v>
      </c>
      <c r="B388">
        <v>2014</v>
      </c>
      <c r="C388">
        <v>-0.96167624316490352</v>
      </c>
      <c r="D388">
        <v>0.64532155107734079</v>
      </c>
      <c r="E388">
        <v>0.66957144403123958</v>
      </c>
      <c r="F388">
        <v>0.68031520174456706</v>
      </c>
      <c r="G388">
        <v>0.47243816336119532</v>
      </c>
      <c r="H388">
        <v>0.49774038421733519</v>
      </c>
      <c r="I388">
        <v>0.54679104419859936</v>
      </c>
      <c r="J388">
        <v>-4.281307065522264</v>
      </c>
      <c r="K388">
        <v>0.76262602198805785</v>
      </c>
      <c r="L388">
        <v>-0.69640885170269451</v>
      </c>
      <c r="M388">
        <v>3.280825766320369</v>
      </c>
      <c r="N388">
        <v>3.2335114812327692</v>
      </c>
      <c r="O388">
        <v>-11.51292546497023</v>
      </c>
      <c r="P388">
        <v>4.7314286231994629E-2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</row>
    <row r="389" spans="1:23" x14ac:dyDescent="0.25">
      <c r="A389">
        <v>42</v>
      </c>
      <c r="B389">
        <v>2015</v>
      </c>
      <c r="C389">
        <v>-0.97948746823497623</v>
      </c>
      <c r="D389">
        <v>0.64048452797663935</v>
      </c>
      <c r="E389">
        <v>0.64532155107734079</v>
      </c>
      <c r="F389">
        <v>0.66957144403123958</v>
      </c>
      <c r="G389">
        <v>0.41811805423147991</v>
      </c>
      <c r="H389">
        <v>0.47243816336119532</v>
      </c>
      <c r="I389">
        <v>0.49774038421733519</v>
      </c>
      <c r="J389">
        <v>-3.907515049627424</v>
      </c>
      <c r="K389">
        <v>0.76262602198805785</v>
      </c>
      <c r="L389">
        <v>-0.6753936138371639</v>
      </c>
      <c r="M389">
        <v>3.2208512157920479</v>
      </c>
      <c r="N389">
        <v>3.2672363495403411</v>
      </c>
      <c r="O389">
        <v>-11.51292546497023</v>
      </c>
      <c r="P389">
        <v>-4.6385135501623154E-2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</row>
    <row r="390" spans="1:23" x14ac:dyDescent="0.25">
      <c r="A390">
        <v>42</v>
      </c>
      <c r="B390">
        <v>2016</v>
      </c>
      <c r="C390">
        <v>-0.93951189807711188</v>
      </c>
      <c r="D390">
        <v>0.65622382645534749</v>
      </c>
      <c r="E390">
        <v>0.64048452797663935</v>
      </c>
      <c r="F390">
        <v>0.64532155107734079</v>
      </c>
      <c r="G390">
        <v>0.53561579257320946</v>
      </c>
      <c r="H390">
        <v>0.41811805423147991</v>
      </c>
      <c r="I390">
        <v>0.47243816336119532</v>
      </c>
      <c r="J390">
        <v>-3.588531514456502</v>
      </c>
      <c r="K390">
        <v>0.76262602198805785</v>
      </c>
      <c r="L390">
        <v>-0.66142540700881813</v>
      </c>
      <c r="M390">
        <v>3.159970708774186</v>
      </c>
      <c r="N390">
        <v>3.2075422487444629</v>
      </c>
      <c r="O390">
        <v>-11.51292546497023</v>
      </c>
      <c r="P390">
        <v>-4.7571539878845215E-2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</row>
    <row r="391" spans="1:23" x14ac:dyDescent="0.25">
      <c r="A391">
        <v>42</v>
      </c>
      <c r="B391">
        <v>2017</v>
      </c>
      <c r="C391">
        <v>-0.91395387035870879</v>
      </c>
      <c r="D391">
        <v>0.6661356313130955</v>
      </c>
      <c r="E391">
        <v>0.65622382645534749</v>
      </c>
      <c r="F391">
        <v>0.64048452797663935</v>
      </c>
      <c r="G391">
        <v>0.5442410573053944</v>
      </c>
      <c r="H391">
        <v>0.53561579257320946</v>
      </c>
      <c r="I391">
        <v>0.41811805423147991</v>
      </c>
      <c r="J391">
        <v>-2.9376292088200979</v>
      </c>
      <c r="K391">
        <v>0.76262602198805785</v>
      </c>
      <c r="L391">
        <v>-0.64353260194844553</v>
      </c>
      <c r="M391">
        <v>3.1877600153943462</v>
      </c>
      <c r="N391">
        <v>3.146944379849784</v>
      </c>
      <c r="O391">
        <v>-11.51292546497023</v>
      </c>
      <c r="P391">
        <v>4.0815636515617371E-2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</row>
    <row r="392" spans="1:23" x14ac:dyDescent="0.25">
      <c r="A392">
        <v>42</v>
      </c>
      <c r="B392">
        <v>2018</v>
      </c>
      <c r="C392">
        <v>-0.944958930277492</v>
      </c>
      <c r="D392">
        <v>0.74284169758379726</v>
      </c>
      <c r="E392">
        <v>0.6661356313130955</v>
      </c>
      <c r="F392">
        <v>0.65622382645534749</v>
      </c>
      <c r="G392">
        <v>0.5789140863985206</v>
      </c>
      <c r="H392">
        <v>0.5442410573053944</v>
      </c>
      <c r="I392">
        <v>0.53561579257320946</v>
      </c>
      <c r="J392">
        <v>-2.492780696163603</v>
      </c>
      <c r="K392">
        <v>0.76262602198805785</v>
      </c>
      <c r="L392">
        <v>-0.61980314191261154</v>
      </c>
      <c r="M392">
        <v>3.206106360172182</v>
      </c>
      <c r="N392">
        <v>3.1771987434264202</v>
      </c>
      <c r="O392">
        <v>3.2580965380214821</v>
      </c>
      <c r="P392">
        <v>2.8907617554068565E-2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</row>
    <row r="393" spans="1:23" x14ac:dyDescent="0.25">
      <c r="A393">
        <v>42</v>
      </c>
      <c r="B393">
        <v>2019</v>
      </c>
      <c r="C393">
        <v>-0.90954320781252307</v>
      </c>
      <c r="D393">
        <v>0.69579367550085092</v>
      </c>
      <c r="E393">
        <v>0.74284169758379726</v>
      </c>
      <c r="F393">
        <v>0.6661356313130955</v>
      </c>
      <c r="G393">
        <v>0.55663993590528216</v>
      </c>
      <c r="H393">
        <v>0.5789140863985206</v>
      </c>
      <c r="I393">
        <v>0.5442410573053944</v>
      </c>
      <c r="J393">
        <v>-1.741246404520044</v>
      </c>
      <c r="K393">
        <v>0.76262602198805785</v>
      </c>
      <c r="L393">
        <v>-0.59560037145709022</v>
      </c>
      <c r="M393">
        <v>3.2328040663406181</v>
      </c>
      <c r="N393">
        <v>3.1935651520194539</v>
      </c>
      <c r="O393">
        <v>5.393627546352362</v>
      </c>
      <c r="P393">
        <v>3.9238914847373962E-2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</row>
    <row r="394" spans="1:23" x14ac:dyDescent="0.25">
      <c r="A394">
        <v>42</v>
      </c>
      <c r="B394">
        <v>2020</v>
      </c>
      <c r="C394">
        <v>-1.011838933733094</v>
      </c>
      <c r="D394">
        <v>0.66859830763853256</v>
      </c>
      <c r="E394">
        <v>0.69579367550085092</v>
      </c>
      <c r="F394">
        <v>0.74284169758379726</v>
      </c>
      <c r="G394">
        <v>0.53467885978815022</v>
      </c>
      <c r="H394">
        <v>0.55663993590528216</v>
      </c>
      <c r="I394">
        <v>0.5789140863985206</v>
      </c>
      <c r="J394">
        <v>-1.1046285560260289</v>
      </c>
      <c r="K394">
        <v>0.76262602198805785</v>
      </c>
      <c r="L394">
        <v>-0.5789384278531744</v>
      </c>
      <c r="M394">
        <v>3.2353102188231069</v>
      </c>
      <c r="N394">
        <v>3.2206360261263072</v>
      </c>
      <c r="O394">
        <v>5.9914645471079817</v>
      </c>
      <c r="P394">
        <v>1.4674192294478416E-2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</row>
    <row r="395" spans="1:23" x14ac:dyDescent="0.25">
      <c r="A395">
        <v>42</v>
      </c>
      <c r="B395">
        <v>2021</v>
      </c>
      <c r="C395">
        <v>-0.94960041247688209</v>
      </c>
      <c r="D395">
        <v>0.86520794164483905</v>
      </c>
      <c r="E395">
        <v>0.66859830763853256</v>
      </c>
      <c r="F395">
        <v>0.69579367550085092</v>
      </c>
      <c r="G395">
        <v>0.76304630793961248</v>
      </c>
      <c r="H395">
        <v>0.53467885978815022</v>
      </c>
      <c r="I395">
        <v>0.55663993590528216</v>
      </c>
      <c r="J395">
        <v>-0.48086478215452139</v>
      </c>
      <c r="K395">
        <v>0.76262602198805785</v>
      </c>
      <c r="L395">
        <v>-0.56530419946763544</v>
      </c>
      <c r="M395">
        <v>3.3054624717010972</v>
      </c>
      <c r="N395">
        <v>3.22352594876712</v>
      </c>
      <c r="O395">
        <v>6.6846117276679271</v>
      </c>
      <c r="P395">
        <v>8.193652331829071E-2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</row>
    <row r="396" spans="1:23" x14ac:dyDescent="0.25">
      <c r="A396">
        <v>42</v>
      </c>
      <c r="B396">
        <v>2022</v>
      </c>
      <c r="C396">
        <v>-0.90764552114857155</v>
      </c>
      <c r="D396">
        <v>0.8950262365694307</v>
      </c>
      <c r="E396">
        <v>0.86520794164483905</v>
      </c>
      <c r="F396">
        <v>0.66859830763853256</v>
      </c>
      <c r="G396">
        <v>0.78527046943575118</v>
      </c>
      <c r="H396">
        <v>0.76304630793961248</v>
      </c>
      <c r="I396">
        <v>0.53467885978815022</v>
      </c>
      <c r="J396">
        <v>-1.544515011089968E-2</v>
      </c>
      <c r="K396">
        <v>0.76262602198805785</v>
      </c>
      <c r="L396">
        <v>-0.54276363401586869</v>
      </c>
      <c r="M396">
        <v>3.3075765826809751</v>
      </c>
      <c r="N396">
        <v>3.3054624717010972</v>
      </c>
      <c r="O396">
        <v>8.0551577318196781</v>
      </c>
      <c r="P396">
        <v>2.1141110919415951E-3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</row>
    <row r="397" spans="1:23" x14ac:dyDescent="0.25">
      <c r="A397">
        <v>42</v>
      </c>
      <c r="B397">
        <v>2023</v>
      </c>
      <c r="C397">
        <v>-0.86068777455664414</v>
      </c>
      <c r="D397">
        <v>0.77094120799996546</v>
      </c>
      <c r="E397">
        <v>0.8950262365694307</v>
      </c>
      <c r="F397">
        <v>0.86520794164483905</v>
      </c>
      <c r="G397">
        <v>0.55669724742204718</v>
      </c>
      <c r="H397">
        <v>0.78527046943575118</v>
      </c>
      <c r="I397">
        <v>0.76304630793961248</v>
      </c>
      <c r="J397">
        <v>0.53826179109634587</v>
      </c>
      <c r="K397">
        <v>0.76262602198805785</v>
      </c>
      <c r="L397">
        <v>-0.51737696039870651</v>
      </c>
      <c r="M397">
        <v>3.3535364298210641</v>
      </c>
      <c r="N397">
        <v>3.3075765826809751</v>
      </c>
      <c r="O397">
        <v>8.4658998970286863</v>
      </c>
      <c r="P397">
        <v>4.5959848910570145E-2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</row>
    <row r="398" spans="1:23" x14ac:dyDescent="0.25">
      <c r="A398">
        <v>43</v>
      </c>
      <c r="B398">
        <v>2006</v>
      </c>
      <c r="C398">
        <v>-1.753645194906905</v>
      </c>
      <c r="D398">
        <v>1.000631880307906</v>
      </c>
      <c r="E398">
        <v>0.9748237560598092</v>
      </c>
      <c r="F398">
        <v>0.89718945857175403</v>
      </c>
      <c r="G398">
        <v>0.77472716755236815</v>
      </c>
      <c r="H398">
        <v>0.62422573509352353</v>
      </c>
      <c r="I398">
        <v>0.45780452178873787</v>
      </c>
      <c r="J398">
        <v>-11.51292546497023</v>
      </c>
      <c r="K398">
        <v>1.394292615005166</v>
      </c>
      <c r="L398">
        <v>-1.329463895418197</v>
      </c>
      <c r="M398">
        <v>2.8981165822450889</v>
      </c>
      <c r="N398">
        <v>2.884323158134944</v>
      </c>
      <c r="O398">
        <v>-11.51292546497023</v>
      </c>
      <c r="P398">
        <v>1.3793423771858215E-2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</row>
    <row r="399" spans="1:23" x14ac:dyDescent="0.25">
      <c r="A399">
        <v>43</v>
      </c>
      <c r="B399">
        <v>2007</v>
      </c>
      <c r="C399">
        <v>-1.7129132809711911</v>
      </c>
      <c r="D399">
        <v>0.89637369803379618</v>
      </c>
      <c r="E399">
        <v>1.000631880307906</v>
      </c>
      <c r="F399">
        <v>0.9748237560598092</v>
      </c>
      <c r="G399">
        <v>0.52732869586500486</v>
      </c>
      <c r="H399">
        <v>0.77472716755236815</v>
      </c>
      <c r="I399">
        <v>0.62422573509352353</v>
      </c>
      <c r="J399">
        <v>-11.51292546497023</v>
      </c>
      <c r="K399">
        <v>1.394292615005166</v>
      </c>
      <c r="L399">
        <v>-1.259825287207806</v>
      </c>
      <c r="M399">
        <v>2.9700146472848301</v>
      </c>
      <c r="N399">
        <v>2.9030538551125771</v>
      </c>
      <c r="O399">
        <v>-11.51292546497023</v>
      </c>
      <c r="P399">
        <v>6.6960789263248444E-2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</row>
    <row r="400" spans="1:23" x14ac:dyDescent="0.25">
      <c r="A400">
        <v>43</v>
      </c>
      <c r="B400">
        <v>2008</v>
      </c>
      <c r="C400">
        <v>-1.632342014529147</v>
      </c>
      <c r="D400">
        <v>0.8429455456483399</v>
      </c>
      <c r="E400">
        <v>0.89637369803379618</v>
      </c>
      <c r="F400">
        <v>1.000631880307906</v>
      </c>
      <c r="G400">
        <v>0.47567501648296739</v>
      </c>
      <c r="H400">
        <v>0.52732869586500486</v>
      </c>
      <c r="I400">
        <v>0.77472716755236815</v>
      </c>
      <c r="J400">
        <v>-11.51292546497023</v>
      </c>
      <c r="K400">
        <v>1.394292615005166</v>
      </c>
      <c r="L400">
        <v>-1.1829128071823389</v>
      </c>
      <c r="M400">
        <v>3.0150434119850198</v>
      </c>
      <c r="N400">
        <v>2.974976509938859</v>
      </c>
      <c r="O400">
        <v>-11.51292546497023</v>
      </c>
      <c r="P400">
        <v>4.0066901594400406E-2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</row>
    <row r="401" spans="1:23" x14ac:dyDescent="0.25">
      <c r="A401">
        <v>43</v>
      </c>
      <c r="B401">
        <v>2009</v>
      </c>
      <c r="C401">
        <v>-1.581124182932099</v>
      </c>
      <c r="D401">
        <v>0.79683129183682722</v>
      </c>
      <c r="E401">
        <v>0.8429455456483399</v>
      </c>
      <c r="F401">
        <v>0.89637369803379618</v>
      </c>
      <c r="G401">
        <v>0.44462171664268602</v>
      </c>
      <c r="H401">
        <v>0.47567501648296739</v>
      </c>
      <c r="I401">
        <v>0.52732869586500486</v>
      </c>
      <c r="J401">
        <v>-9.2978133757331118</v>
      </c>
      <c r="K401">
        <v>1.394292615005166</v>
      </c>
      <c r="L401">
        <v>-1.1210942174554031</v>
      </c>
      <c r="M401">
        <v>3.0106245296607348</v>
      </c>
      <c r="N401">
        <v>3.009632122489271</v>
      </c>
      <c r="O401">
        <v>-11.51292546497023</v>
      </c>
      <c r="P401">
        <v>9.9240720737725496E-4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</row>
    <row r="402" spans="1:23" x14ac:dyDescent="0.25">
      <c r="A402">
        <v>43</v>
      </c>
      <c r="B402">
        <v>2010</v>
      </c>
      <c r="C402">
        <v>-1.4328128258210631</v>
      </c>
      <c r="D402">
        <v>0.75494758146539209</v>
      </c>
      <c r="E402">
        <v>0.79683129183682722</v>
      </c>
      <c r="F402">
        <v>0.8429455456483399</v>
      </c>
      <c r="G402">
        <v>0.49755799676508627</v>
      </c>
      <c r="H402">
        <v>0.44462171664268602</v>
      </c>
      <c r="I402">
        <v>0.47567501648296739</v>
      </c>
      <c r="J402">
        <v>-8.5963350934867027</v>
      </c>
      <c r="K402">
        <v>1.394292615005166</v>
      </c>
      <c r="L402">
        <v>-1.0495763025808691</v>
      </c>
      <c r="M402">
        <v>3.1041032798641042</v>
      </c>
      <c r="N402">
        <v>3.018955631347696</v>
      </c>
      <c r="O402">
        <v>-11.51292546497023</v>
      </c>
      <c r="P402">
        <v>8.5147649049758911E-2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</row>
    <row r="403" spans="1:23" x14ac:dyDescent="0.25">
      <c r="A403">
        <v>43</v>
      </c>
      <c r="B403">
        <v>2011</v>
      </c>
      <c r="C403">
        <v>-1.3388052020833481</v>
      </c>
      <c r="D403">
        <v>0.74806141143733718</v>
      </c>
      <c r="E403">
        <v>0.75494758146539209</v>
      </c>
      <c r="F403">
        <v>0.79683129183682722</v>
      </c>
      <c r="G403">
        <v>0.59933088435566051</v>
      </c>
      <c r="H403">
        <v>0.49755799676508627</v>
      </c>
      <c r="I403">
        <v>0.44462171664268602</v>
      </c>
      <c r="J403">
        <v>-6.7961745318075186</v>
      </c>
      <c r="K403">
        <v>1.394292615005166</v>
      </c>
      <c r="L403">
        <v>-0.9769624058166676</v>
      </c>
      <c r="M403">
        <v>3.1267101646923612</v>
      </c>
      <c r="N403">
        <v>3.1125043723147749</v>
      </c>
      <c r="O403">
        <v>-11.51292546497023</v>
      </c>
      <c r="P403">
        <v>1.4205791987478733E-2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</row>
    <row r="404" spans="1:23" x14ac:dyDescent="0.25">
      <c r="A404">
        <v>43</v>
      </c>
      <c r="B404">
        <v>2012</v>
      </c>
      <c r="C404">
        <v>-1.251168951714438</v>
      </c>
      <c r="D404">
        <v>0.69494556250132467</v>
      </c>
      <c r="E404">
        <v>0.74806141143733718</v>
      </c>
      <c r="F404">
        <v>0.75494758146539209</v>
      </c>
      <c r="G404">
        <v>0.55514868240265458</v>
      </c>
      <c r="H404">
        <v>0.59933088435566051</v>
      </c>
      <c r="I404">
        <v>0.49755799676508627</v>
      </c>
      <c r="J404">
        <v>-6.4511230295195494</v>
      </c>
      <c r="K404">
        <v>1.394292615005166</v>
      </c>
      <c r="L404">
        <v>-0.91462143886203429</v>
      </c>
      <c r="M404">
        <v>3.128603467996856</v>
      </c>
      <c r="N404">
        <v>3.1234549727121181</v>
      </c>
      <c r="O404">
        <v>-11.51292546497023</v>
      </c>
      <c r="P404">
        <v>5.1484950818121433E-3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</row>
    <row r="405" spans="1:23" x14ac:dyDescent="0.25">
      <c r="A405">
        <v>43</v>
      </c>
      <c r="B405">
        <v>2013</v>
      </c>
      <c r="C405">
        <v>-1.21962571153388</v>
      </c>
      <c r="D405">
        <v>0.67656037695554638</v>
      </c>
      <c r="E405">
        <v>0.69494556250132467</v>
      </c>
      <c r="F405">
        <v>0.74806141143733718</v>
      </c>
      <c r="G405">
        <v>0.51018541887856739</v>
      </c>
      <c r="H405">
        <v>0.55514868240265458</v>
      </c>
      <c r="I405">
        <v>0.59933088435566051</v>
      </c>
      <c r="J405">
        <v>-5.5827838280315172</v>
      </c>
      <c r="K405">
        <v>1.394292615005166</v>
      </c>
      <c r="L405">
        <v>-0.89064857564990396</v>
      </c>
      <c r="M405">
        <v>3.1646140698555278</v>
      </c>
      <c r="N405">
        <v>3.0924863952577129</v>
      </c>
      <c r="O405">
        <v>-11.51292546497023</v>
      </c>
      <c r="P405">
        <v>7.2127677500247955E-2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</row>
    <row r="406" spans="1:23" x14ac:dyDescent="0.25">
      <c r="A406">
        <v>43</v>
      </c>
      <c r="B406">
        <v>2014</v>
      </c>
      <c r="C406">
        <v>-1.1488799804869669</v>
      </c>
      <c r="D406">
        <v>0.64532155107734079</v>
      </c>
      <c r="E406">
        <v>0.67656037695554638</v>
      </c>
      <c r="F406">
        <v>0.69494556250132467</v>
      </c>
      <c r="G406">
        <v>0.46837730750115147</v>
      </c>
      <c r="H406">
        <v>0.51018541887856739</v>
      </c>
      <c r="I406">
        <v>0.55514868240265458</v>
      </c>
      <c r="J406">
        <v>-4.9175990634939977</v>
      </c>
      <c r="K406">
        <v>1.394292615005166</v>
      </c>
      <c r="L406">
        <v>-0.84520795212677169</v>
      </c>
      <c r="M406">
        <v>3.159212314237815</v>
      </c>
      <c r="N406">
        <v>3.1607492054121509</v>
      </c>
      <c r="O406">
        <v>-11.51292546497023</v>
      </c>
      <c r="P406">
        <v>-1.5368912136182189E-3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</row>
    <row r="407" spans="1:23" x14ac:dyDescent="0.25">
      <c r="A407">
        <v>43</v>
      </c>
      <c r="B407">
        <v>2015</v>
      </c>
      <c r="C407">
        <v>-1.1689292396529061</v>
      </c>
      <c r="D407">
        <v>0.67069705172235339</v>
      </c>
      <c r="E407">
        <v>0.64532155107734079</v>
      </c>
      <c r="F407">
        <v>0.67656037695554638</v>
      </c>
      <c r="G407">
        <v>0.44455760791426069</v>
      </c>
      <c r="H407">
        <v>0.46837730750115147</v>
      </c>
      <c r="I407">
        <v>0.51018541887856739</v>
      </c>
      <c r="J407">
        <v>-4.4837560382573232</v>
      </c>
      <c r="K407">
        <v>1.394292615005166</v>
      </c>
      <c r="L407">
        <v>-0.81478004329457732</v>
      </c>
      <c r="M407">
        <v>3.1480326131264391</v>
      </c>
      <c r="N407">
        <v>3.1555875002801459</v>
      </c>
      <c r="O407">
        <v>-11.51292546497023</v>
      </c>
      <c r="P407">
        <v>-7.5548873282968998E-3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</row>
    <row r="408" spans="1:23" x14ac:dyDescent="0.25">
      <c r="A408">
        <v>43</v>
      </c>
      <c r="B408">
        <v>2016</v>
      </c>
      <c r="C408">
        <v>-1.1813691965431139</v>
      </c>
      <c r="D408">
        <v>0.75099147024438317</v>
      </c>
      <c r="E408">
        <v>0.67069705172235339</v>
      </c>
      <c r="F408">
        <v>0.64532155107734079</v>
      </c>
      <c r="G408">
        <v>0.66186289052017888</v>
      </c>
      <c r="H408">
        <v>0.44455760791426069</v>
      </c>
      <c r="I408">
        <v>0.46837730750115147</v>
      </c>
      <c r="J408">
        <v>-4.1056159265104339</v>
      </c>
      <c r="K408">
        <v>1.394292615005166</v>
      </c>
      <c r="L408">
        <v>-0.79229715995028049</v>
      </c>
      <c r="M408">
        <v>3.1344924395282949</v>
      </c>
      <c r="N408">
        <v>3.144613137618717</v>
      </c>
      <c r="O408">
        <v>-11.51292546497023</v>
      </c>
      <c r="P408">
        <v>-1.0120698250830173E-2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</row>
    <row r="409" spans="1:23" x14ac:dyDescent="0.25">
      <c r="A409">
        <v>43</v>
      </c>
      <c r="B409">
        <v>2017</v>
      </c>
      <c r="C409">
        <v>-1.1474899667955909</v>
      </c>
      <c r="D409">
        <v>0.73222365254173816</v>
      </c>
      <c r="E409">
        <v>0.75099147024438317</v>
      </c>
      <c r="F409">
        <v>0.67069705172235339</v>
      </c>
      <c r="G409">
        <v>0.65793442480420083</v>
      </c>
      <c r="H409">
        <v>0.66186289052017888</v>
      </c>
      <c r="I409">
        <v>0.44455760791426069</v>
      </c>
      <c r="J409">
        <v>-3.4766489066267621</v>
      </c>
      <c r="K409">
        <v>1.394292615005166</v>
      </c>
      <c r="L409">
        <v>-0.76976414629165346</v>
      </c>
      <c r="M409">
        <v>3.1300269945941022</v>
      </c>
      <c r="N409">
        <v>3.1312729786417068</v>
      </c>
      <c r="O409">
        <v>-11.51292546497023</v>
      </c>
      <c r="P409">
        <v>-1.245983992703259E-3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</row>
    <row r="410" spans="1:23" x14ac:dyDescent="0.25">
      <c r="A410">
        <v>43</v>
      </c>
      <c r="B410">
        <v>2018</v>
      </c>
      <c r="C410">
        <v>-1.185861415436875</v>
      </c>
      <c r="D410">
        <v>0.85573360777969776</v>
      </c>
      <c r="E410">
        <v>0.73222365254173816</v>
      </c>
      <c r="F410">
        <v>0.75099147024438317</v>
      </c>
      <c r="G410">
        <v>0.71818119827958704</v>
      </c>
      <c r="H410">
        <v>0.65793442480420083</v>
      </c>
      <c r="I410">
        <v>0.66186289052017888</v>
      </c>
      <c r="J410">
        <v>-3.0072377064900651</v>
      </c>
      <c r="K410">
        <v>1.394292615005166</v>
      </c>
      <c r="L410">
        <v>-0.74270185594626881</v>
      </c>
      <c r="M410">
        <v>3.1627955883168761</v>
      </c>
      <c r="N410">
        <v>3.129434565485063</v>
      </c>
      <c r="O410">
        <v>3.2580965380214821</v>
      </c>
      <c r="P410">
        <v>3.3361021429300308E-2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</row>
    <row r="411" spans="1:23" x14ac:dyDescent="0.25">
      <c r="A411">
        <v>43</v>
      </c>
      <c r="B411">
        <v>2019</v>
      </c>
      <c r="C411">
        <v>-1.1636872799363609</v>
      </c>
      <c r="D411">
        <v>0.7959744903594157</v>
      </c>
      <c r="E411">
        <v>0.85573360777969776</v>
      </c>
      <c r="F411">
        <v>0.73222365254173816</v>
      </c>
      <c r="G411">
        <v>0.69084453149726976</v>
      </c>
      <c r="H411">
        <v>0.71818119827958704</v>
      </c>
      <c r="I411">
        <v>0.65793442480420083</v>
      </c>
      <c r="J411">
        <v>-2.2652532434171251</v>
      </c>
      <c r="K411">
        <v>1.394292615005166</v>
      </c>
      <c r="L411">
        <v>-0.7200209016275827</v>
      </c>
      <c r="M411">
        <v>3.170805547254858</v>
      </c>
      <c r="N411">
        <v>3.158600018921649</v>
      </c>
      <c r="O411">
        <v>5.393627546352362</v>
      </c>
      <c r="P411">
        <v>1.2205528095364571E-2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</row>
    <row r="412" spans="1:23" x14ac:dyDescent="0.25">
      <c r="A412">
        <v>43</v>
      </c>
      <c r="B412">
        <v>2020</v>
      </c>
      <c r="C412">
        <v>-1.2792861663795729</v>
      </c>
      <c r="D412">
        <v>0.71564225838731621</v>
      </c>
      <c r="E412">
        <v>0.7959744903594157</v>
      </c>
      <c r="F412">
        <v>0.85573360777969776</v>
      </c>
      <c r="G412">
        <v>0.66618699897716227</v>
      </c>
      <c r="H412">
        <v>0.69084453149726976</v>
      </c>
      <c r="I412">
        <v>0.71818119827958704</v>
      </c>
      <c r="J412">
        <v>-1.714377892425917</v>
      </c>
      <c r="K412">
        <v>1.394292615005166</v>
      </c>
      <c r="L412">
        <v>-0.70344543233434553</v>
      </c>
      <c r="M412">
        <v>3.079905222339911</v>
      </c>
      <c r="N412">
        <v>3.1667938247904721</v>
      </c>
      <c r="O412">
        <v>5.9914645471079817</v>
      </c>
      <c r="P412">
        <v>-8.6888603866100311E-2</v>
      </c>
      <c r="Q412">
        <v>1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0</v>
      </c>
    </row>
    <row r="413" spans="1:23" x14ac:dyDescent="0.25">
      <c r="A413">
        <v>43</v>
      </c>
      <c r="B413">
        <v>2021</v>
      </c>
      <c r="C413">
        <v>-1.2547276923864741</v>
      </c>
      <c r="D413">
        <v>0.94304950117484621</v>
      </c>
      <c r="E413">
        <v>0.71564225838731621</v>
      </c>
      <c r="F413">
        <v>0.7959744903594157</v>
      </c>
      <c r="G413">
        <v>0.89531221348895718</v>
      </c>
      <c r="H413">
        <v>0.66618699897716227</v>
      </c>
      <c r="I413">
        <v>0.69084453149726976</v>
      </c>
      <c r="J413">
        <v>-1.068768097814778</v>
      </c>
      <c r="K413">
        <v>1.394292615005166</v>
      </c>
      <c r="L413">
        <v>-0.68890576751442378</v>
      </c>
      <c r="M413">
        <v>3.1639349121749452</v>
      </c>
      <c r="N413">
        <v>3.0760906474049361</v>
      </c>
      <c r="O413">
        <v>6.6846117276679271</v>
      </c>
      <c r="P413">
        <v>8.784426748752594E-2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</row>
    <row r="414" spans="1:23" x14ac:dyDescent="0.25">
      <c r="A414">
        <v>43</v>
      </c>
      <c r="B414">
        <v>2022</v>
      </c>
      <c r="C414">
        <v>-1.1578699023743559</v>
      </c>
      <c r="D414">
        <v>0.86827626677239533</v>
      </c>
      <c r="E414">
        <v>0.94304950117484621</v>
      </c>
      <c r="F414">
        <v>0.71564225838731621</v>
      </c>
      <c r="G414">
        <v>0.83729081364000524</v>
      </c>
      <c r="H414">
        <v>0.89531221348895718</v>
      </c>
      <c r="I414">
        <v>0.66618699897716227</v>
      </c>
      <c r="J414">
        <v>-0.66652469660513669</v>
      </c>
      <c r="K414">
        <v>1.394292615005166</v>
      </c>
      <c r="L414">
        <v>-0.67216233134431047</v>
      </c>
      <c r="M414">
        <v>3.102755010118011</v>
      </c>
      <c r="N414">
        <v>3.1639349121749452</v>
      </c>
      <c r="O414">
        <v>8.0551577318196781</v>
      </c>
      <c r="P414">
        <v>-6.1179902404546738E-2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</row>
    <row r="415" spans="1:23" x14ac:dyDescent="0.25">
      <c r="A415">
        <v>43</v>
      </c>
      <c r="B415">
        <v>2023</v>
      </c>
      <c r="C415">
        <v>-1.0976857307889401</v>
      </c>
      <c r="D415">
        <v>0.74007847524437753</v>
      </c>
      <c r="E415">
        <v>0.86827626677239533</v>
      </c>
      <c r="F415">
        <v>0.94304950117484621</v>
      </c>
      <c r="G415">
        <v>0.5978470007056208</v>
      </c>
      <c r="H415">
        <v>0.83729081364000524</v>
      </c>
      <c r="I415">
        <v>0.89531221348895718</v>
      </c>
      <c r="J415">
        <v>-0.1183286804237825</v>
      </c>
      <c r="K415">
        <v>1.394292615005166</v>
      </c>
      <c r="L415">
        <v>-0.65299503340882381</v>
      </c>
      <c r="M415">
        <v>3.1433215520329649</v>
      </c>
      <c r="N415">
        <v>3.102755010118011</v>
      </c>
      <c r="O415">
        <v>8.4658998970286863</v>
      </c>
      <c r="P415">
        <v>4.0566541254520416E-2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</row>
    <row r="416" spans="1:23" x14ac:dyDescent="0.25">
      <c r="A416">
        <v>50</v>
      </c>
      <c r="B416">
        <v>2006</v>
      </c>
      <c r="C416">
        <v>-1.975513597005494</v>
      </c>
      <c r="D416">
        <v>1.015230679729058</v>
      </c>
      <c r="E416">
        <v>0.97093042083247871</v>
      </c>
      <c r="F416">
        <v>0.89718945857175403</v>
      </c>
      <c r="G416">
        <v>0.66268797307523675</v>
      </c>
      <c r="H416">
        <v>0.53168651443331993</v>
      </c>
      <c r="I416">
        <v>0.4439162944824171</v>
      </c>
      <c r="J416">
        <v>-11.51292546497023</v>
      </c>
      <c r="K416">
        <v>1.130977484562024</v>
      </c>
      <c r="L416">
        <v>-1.579811695749985</v>
      </c>
      <c r="M416">
        <v>2.74943297343194</v>
      </c>
      <c r="N416">
        <v>2.6980596550138718</v>
      </c>
      <c r="O416">
        <v>-11.51292546497023</v>
      </c>
      <c r="P416">
        <v>5.1373317837715149E-2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</row>
    <row r="417" spans="1:23" x14ac:dyDescent="0.25">
      <c r="A417">
        <v>50</v>
      </c>
      <c r="B417">
        <v>2007</v>
      </c>
      <c r="C417">
        <v>-1.952096980782045</v>
      </c>
      <c r="D417">
        <v>0.95331673071060219</v>
      </c>
      <c r="E417">
        <v>1.015230679729058</v>
      </c>
      <c r="F417">
        <v>0.97093042083247871</v>
      </c>
      <c r="G417">
        <v>0.50446544061330811</v>
      </c>
      <c r="H417">
        <v>0.66268797307523675</v>
      </c>
      <c r="I417">
        <v>0.53168651443331993</v>
      </c>
      <c r="J417">
        <v>-11.51292546497023</v>
      </c>
      <c r="K417">
        <v>1.130977484562024</v>
      </c>
      <c r="L417">
        <v>-1.4896782365077359</v>
      </c>
      <c r="M417">
        <v>2.7993383120309798</v>
      </c>
      <c r="N417">
        <v>2.7411820075006239</v>
      </c>
      <c r="O417">
        <v>-11.51292546497023</v>
      </c>
      <c r="P417">
        <v>5.8156304061412811E-2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>
        <v>50</v>
      </c>
      <c r="B418">
        <v>2008</v>
      </c>
      <c r="C418">
        <v>-1.880283809994443</v>
      </c>
      <c r="D418">
        <v>0.8960063885714481</v>
      </c>
      <c r="E418">
        <v>0.95331673071060219</v>
      </c>
      <c r="F418">
        <v>1.015230679729058</v>
      </c>
      <c r="G418">
        <v>0.4529210492644597</v>
      </c>
      <c r="H418">
        <v>0.50446544061330811</v>
      </c>
      <c r="I418">
        <v>0.66268797307523675</v>
      </c>
      <c r="J418">
        <v>-11.51292546497023</v>
      </c>
      <c r="K418">
        <v>1.130977484562024</v>
      </c>
      <c r="L418">
        <v>-1.396145555598052</v>
      </c>
      <c r="M418">
        <v>2.8925826433772062</v>
      </c>
      <c r="N418">
        <v>2.7911544397278618</v>
      </c>
      <c r="O418">
        <v>-11.51292546497023</v>
      </c>
      <c r="P418">
        <v>0.10142820328474045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</row>
    <row r="419" spans="1:23" x14ac:dyDescent="0.25">
      <c r="A419">
        <v>50</v>
      </c>
      <c r="B419">
        <v>2009</v>
      </c>
      <c r="C419">
        <v>-1.8462884171821501</v>
      </c>
      <c r="D419">
        <v>0.83893441262592605</v>
      </c>
      <c r="E419">
        <v>0.8960063885714481</v>
      </c>
      <c r="F419">
        <v>0.95331673071060219</v>
      </c>
      <c r="G419">
        <v>0.41071795438961278</v>
      </c>
      <c r="H419">
        <v>0.4529210492644597</v>
      </c>
      <c r="I419">
        <v>0.50446544061330811</v>
      </c>
      <c r="J419">
        <v>-7.7666278927080938</v>
      </c>
      <c r="K419">
        <v>1.130977484562024</v>
      </c>
      <c r="L419">
        <v>-1.3133919458640591</v>
      </c>
      <c r="M419">
        <v>2.8987503000406152</v>
      </c>
      <c r="N419">
        <v>2.8821757792191152</v>
      </c>
      <c r="O419">
        <v>-11.51292546497023</v>
      </c>
      <c r="P419">
        <v>1.6574520617723465E-2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</row>
    <row r="420" spans="1:23" x14ac:dyDescent="0.25">
      <c r="A420">
        <v>50</v>
      </c>
      <c r="B420">
        <v>2010</v>
      </c>
      <c r="C420">
        <v>-1.6790492006636919</v>
      </c>
      <c r="D420">
        <v>0.77398956840404609</v>
      </c>
      <c r="E420">
        <v>0.83893441262592605</v>
      </c>
      <c r="F420">
        <v>0.8960063885714481</v>
      </c>
      <c r="G420">
        <v>0.39823906301642481</v>
      </c>
      <c r="H420">
        <v>0.41071795438961278</v>
      </c>
      <c r="I420">
        <v>0.4529210492644597</v>
      </c>
      <c r="J420">
        <v>-7.0979705978952667</v>
      </c>
      <c r="K420">
        <v>1.130977484562024</v>
      </c>
      <c r="L420">
        <v>-1.2405089831405469</v>
      </c>
      <c r="M420">
        <v>2.972527222959565</v>
      </c>
      <c r="N420">
        <v>2.874260414293341</v>
      </c>
      <c r="O420">
        <v>-11.51292546497023</v>
      </c>
      <c r="P420">
        <v>9.8266810178756714E-2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</row>
    <row r="421" spans="1:23" x14ac:dyDescent="0.25">
      <c r="A421">
        <v>50</v>
      </c>
      <c r="B421">
        <v>2011</v>
      </c>
      <c r="C421">
        <v>-1.5013570777630769</v>
      </c>
      <c r="D421">
        <v>0.74074615935922428</v>
      </c>
      <c r="E421">
        <v>0.77398956840404609</v>
      </c>
      <c r="F421">
        <v>0.83893441262592605</v>
      </c>
      <c r="G421">
        <v>0.46881542360892609</v>
      </c>
      <c r="H421">
        <v>0.39823906301642481</v>
      </c>
      <c r="I421">
        <v>0.41071795438961278</v>
      </c>
      <c r="J421">
        <v>-5.5124371256395719</v>
      </c>
      <c r="K421">
        <v>1.130977484562024</v>
      </c>
      <c r="L421">
        <v>-1.174478633946102</v>
      </c>
      <c r="M421">
        <v>3.0225778200583151</v>
      </c>
      <c r="N421">
        <v>2.948622782781094</v>
      </c>
      <c r="O421">
        <v>-11.51292546497023</v>
      </c>
      <c r="P421">
        <v>7.3955036699771881E-2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</row>
    <row r="422" spans="1:23" x14ac:dyDescent="0.25">
      <c r="A422">
        <v>50</v>
      </c>
      <c r="B422">
        <v>2012</v>
      </c>
      <c r="C422">
        <v>-1.3576503718458801</v>
      </c>
      <c r="D422">
        <v>0.70215647471753273</v>
      </c>
      <c r="E422">
        <v>0.74074615935922428</v>
      </c>
      <c r="F422">
        <v>0.77398956840404609</v>
      </c>
      <c r="G422">
        <v>0.43580030790423729</v>
      </c>
      <c r="H422">
        <v>0.46881542360892609</v>
      </c>
      <c r="I422">
        <v>0.39823906301642481</v>
      </c>
      <c r="J422">
        <v>-5.0516032779595612</v>
      </c>
      <c r="K422">
        <v>1.130977484562024</v>
      </c>
      <c r="L422">
        <v>-1.102219461000258</v>
      </c>
      <c r="M422">
        <v>3.0545696338853041</v>
      </c>
      <c r="N422">
        <v>3.0134080384925941</v>
      </c>
      <c r="O422">
        <v>-11.51292546497023</v>
      </c>
      <c r="P422">
        <v>4.1161596775054932E-2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>
        <v>50</v>
      </c>
      <c r="B423">
        <v>2013</v>
      </c>
      <c r="C423">
        <v>-1.349415161555104</v>
      </c>
      <c r="D423">
        <v>0.72090825134533554</v>
      </c>
      <c r="E423">
        <v>0.70215647471753273</v>
      </c>
      <c r="F423">
        <v>0.74074615935922428</v>
      </c>
      <c r="G423">
        <v>0.39237986855950879</v>
      </c>
      <c r="H423">
        <v>0.43580030790423729</v>
      </c>
      <c r="I423">
        <v>0.46881542360892609</v>
      </c>
      <c r="J423">
        <v>-4.2474402455818021</v>
      </c>
      <c r="K423">
        <v>1.130977484562024</v>
      </c>
      <c r="L423">
        <v>-1.0624577711181571</v>
      </c>
      <c r="M423">
        <v>3.0577401914607312</v>
      </c>
      <c r="N423">
        <v>3.0204034758586098</v>
      </c>
      <c r="O423">
        <v>-11.51292546497023</v>
      </c>
      <c r="P423">
        <v>3.7336714565753937E-2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 x14ac:dyDescent="0.25">
      <c r="A424">
        <v>50</v>
      </c>
      <c r="B424">
        <v>2014</v>
      </c>
      <c r="C424">
        <v>-1.294690965227715</v>
      </c>
      <c r="D424">
        <v>0.68506460436658934</v>
      </c>
      <c r="E424">
        <v>0.72090825134533554</v>
      </c>
      <c r="F424">
        <v>0.70215647471753273</v>
      </c>
      <c r="G424">
        <v>0.34401514579194181</v>
      </c>
      <c r="H424">
        <v>0.39237986855950879</v>
      </c>
      <c r="I424">
        <v>0.43580030790423729</v>
      </c>
      <c r="J424">
        <v>-3.514089845464766</v>
      </c>
      <c r="K424">
        <v>1.130977484562024</v>
      </c>
      <c r="L424">
        <v>-1.0143261612993819</v>
      </c>
      <c r="M424">
        <v>3.1015283053931602</v>
      </c>
      <c r="N424">
        <v>3.0452996775323982</v>
      </c>
      <c r="O424">
        <v>-11.51292546497023</v>
      </c>
      <c r="P424">
        <v>5.6228626519441605E-2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</row>
    <row r="425" spans="1:23" x14ac:dyDescent="0.25">
      <c r="A425">
        <v>50</v>
      </c>
      <c r="B425">
        <v>2015</v>
      </c>
      <c r="C425">
        <v>-1.3848701080031769</v>
      </c>
      <c r="D425">
        <v>0.66772680321303413</v>
      </c>
      <c r="E425">
        <v>0.68506460436658934</v>
      </c>
      <c r="F425">
        <v>0.72090825134533554</v>
      </c>
      <c r="G425">
        <v>0.32164862201505379</v>
      </c>
      <c r="H425">
        <v>0.34401514579194181</v>
      </c>
      <c r="I425">
        <v>0.39237986855950879</v>
      </c>
      <c r="J425">
        <v>-3.1206069133565029</v>
      </c>
      <c r="K425">
        <v>1.130977484562024</v>
      </c>
      <c r="L425">
        <v>-0.98173704079714696</v>
      </c>
      <c r="M425">
        <v>3.067628402405107</v>
      </c>
      <c r="N425">
        <v>3.0895461293932569</v>
      </c>
      <c r="O425">
        <v>-11.51292546497023</v>
      </c>
      <c r="P425">
        <v>-2.1917726844549179E-2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>
        <v>50</v>
      </c>
      <c r="B426">
        <v>2016</v>
      </c>
      <c r="C426">
        <v>-1.285285227425053</v>
      </c>
      <c r="D426">
        <v>0.65336631054810068</v>
      </c>
      <c r="E426">
        <v>0.66772680321303413</v>
      </c>
      <c r="F426">
        <v>0.68506460436658934</v>
      </c>
      <c r="G426">
        <v>0.4415398522451548</v>
      </c>
      <c r="H426">
        <v>0.32164862201505379</v>
      </c>
      <c r="I426">
        <v>0.34401514579194181</v>
      </c>
      <c r="J426">
        <v>-2.7239779808935669</v>
      </c>
      <c r="K426">
        <v>1.130977484562024</v>
      </c>
      <c r="L426">
        <v>-0.96065305975401938</v>
      </c>
      <c r="M426">
        <v>3.078809717589027</v>
      </c>
      <c r="N426">
        <v>3.0559472746276479</v>
      </c>
      <c r="O426">
        <v>-11.51292546497023</v>
      </c>
      <c r="P426">
        <v>2.2862443700432777E-2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</row>
    <row r="427" spans="1:23" x14ac:dyDescent="0.25">
      <c r="A427">
        <v>50</v>
      </c>
      <c r="B427">
        <v>2017</v>
      </c>
      <c r="C427">
        <v>-1.2638688961429589</v>
      </c>
      <c r="D427">
        <v>0.67701779863006162</v>
      </c>
      <c r="E427">
        <v>0.65336631054810068</v>
      </c>
      <c r="F427">
        <v>0.66772680321303413</v>
      </c>
      <c r="G427">
        <v>0.49035757512612699</v>
      </c>
      <c r="H427">
        <v>0.4415398522451548</v>
      </c>
      <c r="I427">
        <v>0.32164862201505379</v>
      </c>
      <c r="J427">
        <v>-2.1007295258352019</v>
      </c>
      <c r="K427">
        <v>1.130977484562024</v>
      </c>
      <c r="L427">
        <v>-0.93731049146277712</v>
      </c>
      <c r="M427">
        <v>3.0792033858508652</v>
      </c>
      <c r="N427">
        <v>3.0674071987690561</v>
      </c>
      <c r="O427">
        <v>-11.51292546497023</v>
      </c>
      <c r="P427">
        <v>1.1796186678111553E-2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</row>
    <row r="428" spans="1:23" x14ac:dyDescent="0.25">
      <c r="A428">
        <v>50</v>
      </c>
      <c r="B428">
        <v>2018</v>
      </c>
      <c r="C428">
        <v>-1.3495948435285481</v>
      </c>
      <c r="D428">
        <v>0.7764307846966827</v>
      </c>
      <c r="E428">
        <v>0.67701779863006162</v>
      </c>
      <c r="F428">
        <v>0.65336631054810068</v>
      </c>
      <c r="G428">
        <v>0.53783749601278841</v>
      </c>
      <c r="H428">
        <v>0.49035757512612699</v>
      </c>
      <c r="I428">
        <v>0.4415398522451548</v>
      </c>
      <c r="J428">
        <v>-1.6270678834723289</v>
      </c>
      <c r="K428">
        <v>1.130977484562024</v>
      </c>
      <c r="L428">
        <v>-0.91339665834032158</v>
      </c>
      <c r="M428">
        <v>3.126547037607621</v>
      </c>
      <c r="N428">
        <v>3.066430857571905</v>
      </c>
      <c r="O428">
        <v>3.2580965380214821</v>
      </c>
      <c r="P428">
        <v>6.0116179287433624E-2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</row>
    <row r="429" spans="1:23" x14ac:dyDescent="0.25">
      <c r="A429">
        <v>50</v>
      </c>
      <c r="B429">
        <v>2019</v>
      </c>
      <c r="C429">
        <v>-1.285858708664841</v>
      </c>
      <c r="D429">
        <v>0.7103483878797201</v>
      </c>
      <c r="E429">
        <v>0.7764307846966827</v>
      </c>
      <c r="F429">
        <v>0.67701779863006162</v>
      </c>
      <c r="G429">
        <v>0.51641000205989129</v>
      </c>
      <c r="H429">
        <v>0.53783749601278841</v>
      </c>
      <c r="I429">
        <v>0.49035757512612699</v>
      </c>
      <c r="J429">
        <v>-0.95256005031569146</v>
      </c>
      <c r="K429">
        <v>1.130977484562024</v>
      </c>
      <c r="L429">
        <v>-0.88821277880844851</v>
      </c>
      <c r="M429">
        <v>3.0737258239883838</v>
      </c>
      <c r="N429">
        <v>3.1153426686918322</v>
      </c>
      <c r="O429">
        <v>5.393627546352362</v>
      </c>
      <c r="P429">
        <v>-4.161684587597847E-2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</row>
    <row r="430" spans="1:23" x14ac:dyDescent="0.25">
      <c r="A430">
        <v>50</v>
      </c>
      <c r="B430">
        <v>2020</v>
      </c>
      <c r="C430">
        <v>-1.3925580452554449</v>
      </c>
      <c r="D430">
        <v>0.70872521052326376</v>
      </c>
      <c r="E430">
        <v>0.7103483878797201</v>
      </c>
      <c r="F430">
        <v>0.7764307846966827</v>
      </c>
      <c r="G430">
        <v>0.44243971089952577</v>
      </c>
      <c r="H430">
        <v>0.51641000205989129</v>
      </c>
      <c r="I430">
        <v>0.53783749601278841</v>
      </c>
      <c r="J430">
        <v>-0.25456177721428758</v>
      </c>
      <c r="K430">
        <v>1.130977484562024</v>
      </c>
      <c r="L430">
        <v>-0.87034242799961925</v>
      </c>
      <c r="M430">
        <v>3.1369814545481511</v>
      </c>
      <c r="N430">
        <v>3.0628431352276291</v>
      </c>
      <c r="O430">
        <v>5.9914645471079817</v>
      </c>
      <c r="P430">
        <v>7.4138320982456207E-2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 x14ac:dyDescent="0.25">
      <c r="A431">
        <v>50</v>
      </c>
      <c r="B431">
        <v>2021</v>
      </c>
      <c r="C431">
        <v>-1.434501324363882</v>
      </c>
      <c r="D431">
        <v>0.90401570099854245</v>
      </c>
      <c r="E431">
        <v>0.70872521052326376</v>
      </c>
      <c r="F431">
        <v>0.7103483878797201</v>
      </c>
      <c r="G431">
        <v>0.64924753826992698</v>
      </c>
      <c r="H431">
        <v>0.44243971089952577</v>
      </c>
      <c r="I431">
        <v>0.51641000205989129</v>
      </c>
      <c r="J431">
        <v>0.31514809820388678</v>
      </c>
      <c r="K431">
        <v>1.130977484562024</v>
      </c>
      <c r="L431">
        <v>-0.85750585795415835</v>
      </c>
      <c r="M431">
        <v>3.1518800036120922</v>
      </c>
      <c r="N431">
        <v>3.126432160474677</v>
      </c>
      <c r="O431">
        <v>6.6846117276679271</v>
      </c>
      <c r="P431">
        <v>2.5447843596339226E-2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</row>
    <row r="432" spans="1:23" x14ac:dyDescent="0.25">
      <c r="A432">
        <v>50</v>
      </c>
      <c r="B432">
        <v>2022</v>
      </c>
      <c r="C432">
        <v>-1.305504312734995</v>
      </c>
      <c r="D432">
        <v>0.86827626677239533</v>
      </c>
      <c r="E432">
        <v>0.90401570099854245</v>
      </c>
      <c r="F432">
        <v>0.70872521052326376</v>
      </c>
      <c r="G432">
        <v>0.61285860933110847</v>
      </c>
      <c r="H432">
        <v>0.64924753826992698</v>
      </c>
      <c r="I432">
        <v>0.44243971089952577</v>
      </c>
      <c r="J432">
        <v>0.8535018840870181</v>
      </c>
      <c r="K432">
        <v>1.130977484562024</v>
      </c>
      <c r="L432">
        <v>-0.83501885082324967</v>
      </c>
      <c r="M432">
        <v>3.2268541726774989</v>
      </c>
      <c r="N432">
        <v>3.1518800036120922</v>
      </c>
      <c r="O432">
        <v>8.0551577318196781</v>
      </c>
      <c r="P432">
        <v>7.4974171817302704E-2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</row>
    <row r="433" spans="1:23" x14ac:dyDescent="0.25">
      <c r="A433">
        <v>50</v>
      </c>
      <c r="B433">
        <v>2023</v>
      </c>
      <c r="C433">
        <v>-1.2479133990084019</v>
      </c>
      <c r="D433">
        <v>0.70640885454313052</v>
      </c>
      <c r="E433">
        <v>0.86827626677239533</v>
      </c>
      <c r="F433">
        <v>0.90401570099854245</v>
      </c>
      <c r="G433">
        <v>0.36186147062603241</v>
      </c>
      <c r="H433">
        <v>0.61285860933110847</v>
      </c>
      <c r="I433">
        <v>0.64924753826992698</v>
      </c>
      <c r="J433">
        <v>1.413503350499935</v>
      </c>
      <c r="K433">
        <v>1.130977484562024</v>
      </c>
      <c r="L433">
        <v>-0.80935547800188667</v>
      </c>
      <c r="M433">
        <v>3.2792263326556959</v>
      </c>
      <c r="N433">
        <v>3.2268541726774989</v>
      </c>
      <c r="O433">
        <v>8.4658998970286863</v>
      </c>
      <c r="P433">
        <v>5.237216129899025E-2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>
        <v>51</v>
      </c>
      <c r="B434">
        <v>2006</v>
      </c>
      <c r="C434">
        <v>-2.05774652737274</v>
      </c>
      <c r="D434">
        <v>1.081805170351728</v>
      </c>
      <c r="E434">
        <v>1.042535642447705</v>
      </c>
      <c r="F434">
        <v>0.99047013004840656</v>
      </c>
      <c r="G434">
        <v>0.69314718055994529</v>
      </c>
      <c r="H434">
        <v>0.58478215588182025</v>
      </c>
      <c r="I434">
        <v>0.51801968434623125</v>
      </c>
      <c r="J434">
        <v>-11.51292546497023</v>
      </c>
      <c r="K434">
        <v>1.9730087517591539</v>
      </c>
      <c r="L434">
        <v>-1.798920155106793</v>
      </c>
      <c r="M434">
        <v>2.6724997707606679</v>
      </c>
      <c r="N434">
        <v>2.847671102973925</v>
      </c>
      <c r="O434">
        <v>-11.51292546497023</v>
      </c>
      <c r="P434">
        <v>-0.17517133057117462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 x14ac:dyDescent="0.25">
      <c r="A435">
        <v>51</v>
      </c>
      <c r="B435">
        <v>2007</v>
      </c>
      <c r="C435">
        <v>-2.1237769983382999</v>
      </c>
      <c r="D435">
        <v>1.021083086158872</v>
      </c>
      <c r="E435">
        <v>1.081805170351728</v>
      </c>
      <c r="F435">
        <v>1.042535642447705</v>
      </c>
      <c r="G435">
        <v>0.36845528247426368</v>
      </c>
      <c r="H435">
        <v>0.69314718055994529</v>
      </c>
      <c r="I435">
        <v>0.58478215588182025</v>
      </c>
      <c r="J435">
        <v>-11.51292546497023</v>
      </c>
      <c r="K435">
        <v>1.9730087517591539</v>
      </c>
      <c r="L435">
        <v>-1.6952029836220981</v>
      </c>
      <c r="M435">
        <v>2.8066650646061579</v>
      </c>
      <c r="N435">
        <v>2.6550236833934591</v>
      </c>
      <c r="O435">
        <v>-11.51292546497023</v>
      </c>
      <c r="P435">
        <v>0.15164138376712799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 x14ac:dyDescent="0.25">
      <c r="A436">
        <v>51</v>
      </c>
      <c r="B436">
        <v>2008</v>
      </c>
      <c r="C436">
        <v>-2.1175597176399039</v>
      </c>
      <c r="D436">
        <v>0.91063476701799762</v>
      </c>
      <c r="E436">
        <v>1.021083086158872</v>
      </c>
      <c r="F436">
        <v>1.081805170351728</v>
      </c>
      <c r="G436">
        <v>0.24966863025356481</v>
      </c>
      <c r="H436">
        <v>0.36845528247426368</v>
      </c>
      <c r="I436">
        <v>0.69314718055994529</v>
      </c>
      <c r="J436">
        <v>-11.51292546497023</v>
      </c>
      <c r="K436">
        <v>1.9730087517591539</v>
      </c>
      <c r="L436">
        <v>-1.5606998325896051</v>
      </c>
      <c r="M436">
        <v>2.962978052689655</v>
      </c>
      <c r="N436">
        <v>2.7894891524881991</v>
      </c>
      <c r="O436">
        <v>-11.51292546497023</v>
      </c>
      <c r="P436">
        <v>0.17348890006542206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</row>
    <row r="437" spans="1:23" x14ac:dyDescent="0.25">
      <c r="A437">
        <v>51</v>
      </c>
      <c r="B437">
        <v>2009</v>
      </c>
      <c r="C437">
        <v>-2.1349810416516708</v>
      </c>
      <c r="D437">
        <v>0.85747447398162135</v>
      </c>
      <c r="E437">
        <v>0.91063476701799762</v>
      </c>
      <c r="F437">
        <v>1.021083086158872</v>
      </c>
      <c r="G437">
        <v>0.2214621385316716</v>
      </c>
      <c r="H437">
        <v>0.24966863025356481</v>
      </c>
      <c r="I437">
        <v>0.36845528247426368</v>
      </c>
      <c r="J437">
        <v>-8.0069314086622185</v>
      </c>
      <c r="K437">
        <v>1.9730087517591539</v>
      </c>
      <c r="L437">
        <v>-1.4506574410501361</v>
      </c>
      <c r="M437">
        <v>2.9461875816004648</v>
      </c>
      <c r="N437">
        <v>2.94822569572601</v>
      </c>
      <c r="O437">
        <v>-11.51292546497023</v>
      </c>
      <c r="P437">
        <v>-2.0381142385303974E-3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</row>
    <row r="438" spans="1:23" x14ac:dyDescent="0.25">
      <c r="A438">
        <v>51</v>
      </c>
      <c r="B438">
        <v>2010</v>
      </c>
      <c r="C438">
        <v>-2.0433626100727298</v>
      </c>
      <c r="D438">
        <v>0.81828091131671099</v>
      </c>
      <c r="E438">
        <v>0.85747447398162135</v>
      </c>
      <c r="F438">
        <v>0.91063476701799762</v>
      </c>
      <c r="G438">
        <v>0.33590064472225528</v>
      </c>
      <c r="H438">
        <v>0.2214621385316716</v>
      </c>
      <c r="I438">
        <v>0.24966863025356481</v>
      </c>
      <c r="J438">
        <v>-7.3260754061403617</v>
      </c>
      <c r="K438">
        <v>1.9730087517591539</v>
      </c>
      <c r="L438">
        <v>-1.3486996414753709</v>
      </c>
      <c r="M438">
        <v>2.9245585501402531</v>
      </c>
      <c r="N438">
        <v>2.9338964035622919</v>
      </c>
      <c r="O438">
        <v>-11.51292546497023</v>
      </c>
      <c r="P438">
        <v>-9.3378536403179169E-3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</row>
    <row r="439" spans="1:23" x14ac:dyDescent="0.25">
      <c r="A439">
        <v>51</v>
      </c>
      <c r="B439">
        <v>2011</v>
      </c>
      <c r="C439">
        <v>-1.840213729643446</v>
      </c>
      <c r="D439">
        <v>0.79768735983386929</v>
      </c>
      <c r="E439">
        <v>0.81828091131671099</v>
      </c>
      <c r="F439">
        <v>0.85747447398162135</v>
      </c>
      <c r="G439">
        <v>0.4093907261106367</v>
      </c>
      <c r="H439">
        <v>0.33590064472225528</v>
      </c>
      <c r="I439">
        <v>0.2214621385316716</v>
      </c>
      <c r="J439">
        <v>-5.6334692513688536</v>
      </c>
      <c r="K439">
        <v>1.9730087517591539</v>
      </c>
      <c r="L439">
        <v>-1.254492718073984</v>
      </c>
      <c r="M439">
        <v>3.0328194081271249</v>
      </c>
      <c r="N439">
        <v>2.91241661267324</v>
      </c>
      <c r="O439">
        <v>-11.51292546497023</v>
      </c>
      <c r="P439">
        <v>0.12040279805660248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</row>
    <row r="440" spans="1:23" x14ac:dyDescent="0.25">
      <c r="A440">
        <v>51</v>
      </c>
      <c r="B440">
        <v>2012</v>
      </c>
      <c r="C440">
        <v>-1.6588784145306159</v>
      </c>
      <c r="D440">
        <v>0.76825465304675078</v>
      </c>
      <c r="E440">
        <v>0.79768735983386929</v>
      </c>
      <c r="F440">
        <v>0.81828091131671099</v>
      </c>
      <c r="G440">
        <v>0.36276635357504911</v>
      </c>
      <c r="H440">
        <v>0.4093907261106367</v>
      </c>
      <c r="I440">
        <v>0.33590064472225528</v>
      </c>
      <c r="J440">
        <v>-5.271503568333296</v>
      </c>
      <c r="K440">
        <v>1.9730087517591539</v>
      </c>
      <c r="L440">
        <v>-1.1799399526944709</v>
      </c>
      <c r="M440">
        <v>3.0851610781021268</v>
      </c>
      <c r="N440">
        <v>3.0200916417212711</v>
      </c>
      <c r="O440">
        <v>-11.51292546497023</v>
      </c>
      <c r="P440">
        <v>6.5069437026977539E-2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</row>
    <row r="441" spans="1:23" x14ac:dyDescent="0.25">
      <c r="A441">
        <v>51</v>
      </c>
      <c r="B441">
        <v>2013</v>
      </c>
      <c r="C441">
        <v>-1.690374031574946</v>
      </c>
      <c r="D441">
        <v>0.72754860727727766</v>
      </c>
      <c r="E441">
        <v>0.76825465304675078</v>
      </c>
      <c r="F441">
        <v>0.79768735983386929</v>
      </c>
      <c r="G441">
        <v>0.30535007010518789</v>
      </c>
      <c r="H441">
        <v>0.36276635357504911</v>
      </c>
      <c r="I441">
        <v>0.4093907261106367</v>
      </c>
      <c r="J441">
        <v>-4.4017390743939897</v>
      </c>
      <c r="K441">
        <v>1.9730087517591539</v>
      </c>
      <c r="L441">
        <v>-1.1195437403122011</v>
      </c>
      <c r="M441">
        <v>3.1047763713222141</v>
      </c>
      <c r="N441">
        <v>3.0639526481515622</v>
      </c>
      <c r="O441">
        <v>-11.51292546497023</v>
      </c>
      <c r="P441">
        <v>4.0823724120855331E-2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>
        <v>51</v>
      </c>
      <c r="B442">
        <v>2014</v>
      </c>
      <c r="C442">
        <v>-1.582605413124665</v>
      </c>
      <c r="D442">
        <v>0.69474590192364238</v>
      </c>
      <c r="E442">
        <v>0.72754860727727766</v>
      </c>
      <c r="F442">
        <v>0.76825465304675078</v>
      </c>
      <c r="G442">
        <v>0.29728580859447568</v>
      </c>
      <c r="H442">
        <v>0.30535007010518789</v>
      </c>
      <c r="I442">
        <v>0.36276635357504911</v>
      </c>
      <c r="J442">
        <v>-3.6840396748336701</v>
      </c>
      <c r="K442">
        <v>1.9730087517591539</v>
      </c>
      <c r="L442">
        <v>-1.0613115936954669</v>
      </c>
      <c r="M442">
        <v>3.142461528138865</v>
      </c>
      <c r="N442">
        <v>3.091588262339735</v>
      </c>
      <c r="O442">
        <v>-11.51292546497023</v>
      </c>
      <c r="P442">
        <v>5.0873264670372009E-2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>
        <v>51</v>
      </c>
      <c r="B443">
        <v>2015</v>
      </c>
      <c r="C443">
        <v>-1.7534303860936951</v>
      </c>
      <c r="D443">
        <v>0.67960590999327797</v>
      </c>
      <c r="E443">
        <v>0.69474590192364238</v>
      </c>
      <c r="F443">
        <v>0.72754860727727766</v>
      </c>
      <c r="G443">
        <v>0.20073432980108</v>
      </c>
      <c r="H443">
        <v>0.29728580859447568</v>
      </c>
      <c r="I443">
        <v>0.30535007010518789</v>
      </c>
      <c r="J443">
        <v>-3.2789795267156618</v>
      </c>
      <c r="K443">
        <v>1.9730087517591539</v>
      </c>
      <c r="L443">
        <v>-1.020982827946896</v>
      </c>
      <c r="M443">
        <v>3.1161413519454091</v>
      </c>
      <c r="N443">
        <v>3.1297864755568958</v>
      </c>
      <c r="O443">
        <v>-11.51292546497023</v>
      </c>
      <c r="P443">
        <v>-1.3645123690366745E-2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</row>
    <row r="444" spans="1:23" x14ac:dyDescent="0.25">
      <c r="A444">
        <v>51</v>
      </c>
      <c r="B444">
        <v>2016</v>
      </c>
      <c r="C444">
        <v>-1.679206203083961</v>
      </c>
      <c r="D444">
        <v>0.71147813724466868</v>
      </c>
      <c r="E444">
        <v>0.67960590999327797</v>
      </c>
      <c r="F444">
        <v>0.69474590192364238</v>
      </c>
      <c r="G444">
        <v>0.34557355086755848</v>
      </c>
      <c r="H444">
        <v>0.20073432980108</v>
      </c>
      <c r="I444">
        <v>0.29728580859447568</v>
      </c>
      <c r="J444">
        <v>-2.8458570330107551</v>
      </c>
      <c r="K444">
        <v>1.9730087517591539</v>
      </c>
      <c r="L444">
        <v>-0.98968193431058293</v>
      </c>
      <c r="M444">
        <v>3.1686179571010782</v>
      </c>
      <c r="N444">
        <v>3.1039528289949501</v>
      </c>
      <c r="O444">
        <v>-11.51292546497023</v>
      </c>
      <c r="P444">
        <v>6.4665131270885468E-2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</row>
    <row r="445" spans="1:23" x14ac:dyDescent="0.25">
      <c r="A445">
        <v>51</v>
      </c>
      <c r="B445">
        <v>2017</v>
      </c>
      <c r="C445">
        <v>-1.67921739515646</v>
      </c>
      <c r="D445">
        <v>0.70631016708622618</v>
      </c>
      <c r="E445">
        <v>0.71147813724466868</v>
      </c>
      <c r="F445">
        <v>0.67960590999327797</v>
      </c>
      <c r="G445">
        <v>0.27292370147623563</v>
      </c>
      <c r="H445">
        <v>0.34557355086755848</v>
      </c>
      <c r="I445">
        <v>0.20073432980108</v>
      </c>
      <c r="J445">
        <v>-2.2429678509241522</v>
      </c>
      <c r="K445">
        <v>1.9730087517591539</v>
      </c>
      <c r="L445">
        <v>-0.96161077735185829</v>
      </c>
      <c r="M445">
        <v>3.144485979086646</v>
      </c>
      <c r="N445">
        <v>3.156884721740048</v>
      </c>
      <c r="O445">
        <v>-11.51292546497023</v>
      </c>
      <c r="P445">
        <v>-1.2398743070662022E-2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>
        <v>51</v>
      </c>
      <c r="B446">
        <v>2018</v>
      </c>
      <c r="C446">
        <v>-1.8864132743384829</v>
      </c>
      <c r="D446">
        <v>0.83594797919161656</v>
      </c>
      <c r="E446">
        <v>0.70631016708622618</v>
      </c>
      <c r="F446">
        <v>0.71147813724466868</v>
      </c>
      <c r="G446">
        <v>0.33253592808540672</v>
      </c>
      <c r="H446">
        <v>0.27292370147623563</v>
      </c>
      <c r="I446">
        <v>0.34557355086755848</v>
      </c>
      <c r="J446">
        <v>-1.826642708966508</v>
      </c>
      <c r="K446">
        <v>1.9730087517591539</v>
      </c>
      <c r="L446">
        <v>-0.94169512122798971</v>
      </c>
      <c r="M446">
        <v>3.1520444807485388</v>
      </c>
      <c r="N446">
        <v>3.115764223772421</v>
      </c>
      <c r="O446">
        <v>3.2580965380214821</v>
      </c>
      <c r="P446">
        <v>3.6280255764722824E-2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</row>
    <row r="447" spans="1:23" x14ac:dyDescent="0.25">
      <c r="A447">
        <v>51</v>
      </c>
      <c r="B447">
        <v>2019</v>
      </c>
      <c r="C447">
        <v>-1.9921047751330849</v>
      </c>
      <c r="D447">
        <v>0.79376145059253866</v>
      </c>
      <c r="E447">
        <v>0.83594797919161656</v>
      </c>
      <c r="F447">
        <v>0.70631016708622618</v>
      </c>
      <c r="G447">
        <v>0.24904518883686269</v>
      </c>
      <c r="H447">
        <v>0.33253592808540672</v>
      </c>
      <c r="I447">
        <v>0.27292370147623563</v>
      </c>
      <c r="J447">
        <v>-1.120801484052383</v>
      </c>
      <c r="K447">
        <v>1.9730087517591539</v>
      </c>
      <c r="L447">
        <v>-0.90391195547556569</v>
      </c>
      <c r="M447">
        <v>3.13188489075428</v>
      </c>
      <c r="N447">
        <v>3.1397817931288499</v>
      </c>
      <c r="O447">
        <v>5.393627546352362</v>
      </c>
      <c r="P447">
        <v>-7.8969020396471024E-3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</row>
    <row r="448" spans="1:23" x14ac:dyDescent="0.25">
      <c r="A448">
        <v>51</v>
      </c>
      <c r="B448">
        <v>2020</v>
      </c>
      <c r="C448">
        <v>-1.9497546726642769</v>
      </c>
      <c r="D448">
        <v>0.7133418878454646</v>
      </c>
      <c r="E448">
        <v>0.79376145059253866</v>
      </c>
      <c r="F448">
        <v>0.83594797919161656</v>
      </c>
      <c r="G448">
        <v>0.28930575356787852</v>
      </c>
      <c r="H448">
        <v>0.24904518883686269</v>
      </c>
      <c r="I448">
        <v>0.33253592808540672</v>
      </c>
      <c r="J448">
        <v>-0.33279799939185711</v>
      </c>
      <c r="K448">
        <v>1.9730087517591539</v>
      </c>
      <c r="L448">
        <v>-0.87596321331421045</v>
      </c>
      <c r="M448">
        <v>3.2859967765217868</v>
      </c>
      <c r="N448">
        <v>3.1199732194291552</v>
      </c>
      <c r="O448">
        <v>5.9914645471079817</v>
      </c>
      <c r="P448">
        <v>0.16602355241775513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</row>
    <row r="449" spans="1:23" x14ac:dyDescent="0.25">
      <c r="A449">
        <v>51</v>
      </c>
      <c r="B449">
        <v>2021</v>
      </c>
      <c r="C449">
        <v>-1.765906089621222</v>
      </c>
      <c r="D449">
        <v>0.90401570099854245</v>
      </c>
      <c r="E449">
        <v>0.7133418878454646</v>
      </c>
      <c r="F449">
        <v>0.79376145059253866</v>
      </c>
      <c r="G449">
        <v>0.57515162232223782</v>
      </c>
      <c r="H449">
        <v>0.28930575356787852</v>
      </c>
      <c r="I449">
        <v>0.24904518883686269</v>
      </c>
      <c r="J449">
        <v>0.35411113289401652</v>
      </c>
      <c r="K449">
        <v>1.9730087517591539</v>
      </c>
      <c r="L449">
        <v>-0.85090031149088408</v>
      </c>
      <c r="M449">
        <v>3.4190583322518591</v>
      </c>
      <c r="N449">
        <v>3.2744327466275061</v>
      </c>
      <c r="O449">
        <v>6.6846117276679271</v>
      </c>
      <c r="P449">
        <v>0.14462558925151825</v>
      </c>
      <c r="Q449">
        <v>1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>
        <v>51</v>
      </c>
      <c r="B450">
        <v>2022</v>
      </c>
      <c r="C450">
        <v>-1.681463142928628</v>
      </c>
      <c r="D450">
        <v>0.89006995223107255</v>
      </c>
      <c r="E450">
        <v>0.90401570099854245</v>
      </c>
      <c r="F450">
        <v>0.7133418878454646</v>
      </c>
      <c r="G450">
        <v>0.5042842757225684</v>
      </c>
      <c r="H450">
        <v>0.57515162232223782</v>
      </c>
      <c r="I450">
        <v>0.28930575356787852</v>
      </c>
      <c r="J450">
        <v>0.82585925575775587</v>
      </c>
      <c r="K450">
        <v>1.9730087517591539</v>
      </c>
      <c r="L450">
        <v>-0.8181080957602257</v>
      </c>
      <c r="M450">
        <v>3.4274724365402758</v>
      </c>
      <c r="N450">
        <v>3.4190583322518591</v>
      </c>
      <c r="O450">
        <v>8.0551577318196781</v>
      </c>
      <c r="P450">
        <v>8.4141045808792114E-3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</row>
    <row r="451" spans="1:23" x14ac:dyDescent="0.25">
      <c r="A451">
        <v>51</v>
      </c>
      <c r="B451">
        <v>2023</v>
      </c>
      <c r="C451">
        <v>-1.6568841041092961</v>
      </c>
      <c r="D451">
        <v>0.75292438459580613</v>
      </c>
      <c r="E451">
        <v>0.89006995223107255</v>
      </c>
      <c r="F451">
        <v>0.90401570099854245</v>
      </c>
      <c r="G451">
        <v>0.28073298336357422</v>
      </c>
      <c r="H451">
        <v>0.5042842757225684</v>
      </c>
      <c r="I451">
        <v>0.57515162232223782</v>
      </c>
      <c r="J451">
        <v>1.3493937625097989</v>
      </c>
      <c r="K451">
        <v>1.9730087517591539</v>
      </c>
      <c r="L451">
        <v>-0.78477121725476684</v>
      </c>
      <c r="M451">
        <v>3.443338371166075</v>
      </c>
      <c r="N451">
        <v>3.4274724365402758</v>
      </c>
      <c r="O451">
        <v>8.4658998970286863</v>
      </c>
      <c r="P451">
        <v>1.5865935012698174E-2</v>
      </c>
      <c r="Q451">
        <v>1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>
        <v>52</v>
      </c>
      <c r="B452">
        <v>2006</v>
      </c>
      <c r="C452">
        <v>-1.862337595589032</v>
      </c>
      <c r="D452">
        <v>0.94778939893352609</v>
      </c>
      <c r="E452">
        <v>0.88533655655224996</v>
      </c>
      <c r="F452">
        <v>0.82342955082286751</v>
      </c>
      <c r="G452">
        <v>0.52472852893498212</v>
      </c>
      <c r="H452">
        <v>0.40246059908786569</v>
      </c>
      <c r="I452">
        <v>0.34861252984868768</v>
      </c>
      <c r="J452">
        <v>-11.51292546497023</v>
      </c>
      <c r="K452">
        <v>2.05817408255127</v>
      </c>
      <c r="L452">
        <v>-1.608091352549371</v>
      </c>
      <c r="M452">
        <v>2.6691657313985648</v>
      </c>
      <c r="N452">
        <v>2.604186425782943</v>
      </c>
      <c r="O452">
        <v>-11.51292546497023</v>
      </c>
      <c r="P452">
        <v>6.4979307353496552E-2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>
        <v>52</v>
      </c>
      <c r="B453">
        <v>2007</v>
      </c>
      <c r="C453">
        <v>-1.883076035962455</v>
      </c>
      <c r="D453">
        <v>0.88459364513090055</v>
      </c>
      <c r="E453">
        <v>0.94778939893352609</v>
      </c>
      <c r="F453">
        <v>0.88533655655224996</v>
      </c>
      <c r="G453">
        <v>0.33482802850872367</v>
      </c>
      <c r="H453">
        <v>0.52472852893498212</v>
      </c>
      <c r="I453">
        <v>0.40246059908786569</v>
      </c>
      <c r="J453">
        <v>-11.51292546497023</v>
      </c>
      <c r="K453">
        <v>2.05817408255127</v>
      </c>
      <c r="L453">
        <v>-1.5047876678710319</v>
      </c>
      <c r="M453">
        <v>2.7482821220994418</v>
      </c>
      <c r="N453">
        <v>2.6592476277490902</v>
      </c>
      <c r="O453">
        <v>-11.51292546497023</v>
      </c>
      <c r="P453">
        <v>8.9034497737884521E-2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>
        <v>52</v>
      </c>
      <c r="B454">
        <v>2008</v>
      </c>
      <c r="C454">
        <v>-1.846873097254206</v>
      </c>
      <c r="D454">
        <v>0.81933920579770469</v>
      </c>
      <c r="E454">
        <v>0.88459364513090055</v>
      </c>
      <c r="F454">
        <v>0.94778939893352609</v>
      </c>
      <c r="G454">
        <v>0.33732901234119472</v>
      </c>
      <c r="H454">
        <v>0.33482802850872367</v>
      </c>
      <c r="I454">
        <v>0.52472852893498212</v>
      </c>
      <c r="J454">
        <v>-11.51292546497023</v>
      </c>
      <c r="K454">
        <v>2.05817408255127</v>
      </c>
      <c r="L454">
        <v>-1.396098820537637</v>
      </c>
      <c r="M454">
        <v>2.7976701186191248</v>
      </c>
      <c r="N454">
        <v>2.7384614219624459</v>
      </c>
      <c r="O454">
        <v>-11.51292546497023</v>
      </c>
      <c r="P454">
        <v>5.9208694845438004E-2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>
        <v>52</v>
      </c>
      <c r="B455">
        <v>2009</v>
      </c>
      <c r="C455">
        <v>-1.8293809229926421</v>
      </c>
      <c r="D455">
        <v>0.80848277923984968</v>
      </c>
      <c r="E455">
        <v>0.81933920579770469</v>
      </c>
      <c r="F455">
        <v>0.88459364513090055</v>
      </c>
      <c r="G455">
        <v>0.30792577892882339</v>
      </c>
      <c r="H455">
        <v>0.33732901234119472</v>
      </c>
      <c r="I455">
        <v>0.33482802850872367</v>
      </c>
      <c r="J455">
        <v>-8.6871553512195536</v>
      </c>
      <c r="K455">
        <v>2.05817408255127</v>
      </c>
      <c r="L455">
        <v>-1.3112481563549381</v>
      </c>
      <c r="M455">
        <v>2.8326279323779491</v>
      </c>
      <c r="N455">
        <v>2.7838557858735991</v>
      </c>
      <c r="O455">
        <v>-11.51292546497023</v>
      </c>
      <c r="P455">
        <v>4.8772145062685013E-2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</row>
    <row r="456" spans="1:23" x14ac:dyDescent="0.25">
      <c r="A456">
        <v>52</v>
      </c>
      <c r="B456">
        <v>2010</v>
      </c>
      <c r="C456">
        <v>-1.712140667188591</v>
      </c>
      <c r="D456">
        <v>0.73553594705173186</v>
      </c>
      <c r="E456">
        <v>0.80848277923984968</v>
      </c>
      <c r="F456">
        <v>0.81933920579770469</v>
      </c>
      <c r="G456">
        <v>0.26941626364488841</v>
      </c>
      <c r="H456">
        <v>0.30792577892882339</v>
      </c>
      <c r="I456">
        <v>0.33732901234119472</v>
      </c>
      <c r="J456">
        <v>-8.0069520634659508</v>
      </c>
      <c r="K456">
        <v>2.05817408255127</v>
      </c>
      <c r="L456">
        <v>-1.226555268770485</v>
      </c>
      <c r="M456">
        <v>2.8783340440319498</v>
      </c>
      <c r="N456">
        <v>2.8196840395713911</v>
      </c>
      <c r="O456">
        <v>-11.51292546497023</v>
      </c>
      <c r="P456">
        <v>5.8650005608797073E-2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</row>
    <row r="457" spans="1:23" x14ac:dyDescent="0.25">
      <c r="A457">
        <v>52</v>
      </c>
      <c r="B457">
        <v>2011</v>
      </c>
      <c r="C457">
        <v>-1.57674716233004</v>
      </c>
      <c r="D457">
        <v>0.78376454814355934</v>
      </c>
      <c r="E457">
        <v>0.73553594705173186</v>
      </c>
      <c r="F457">
        <v>0.80848277923984968</v>
      </c>
      <c r="G457">
        <v>0.41449091931547682</v>
      </c>
      <c r="H457">
        <v>0.26941626364488841</v>
      </c>
      <c r="I457">
        <v>0.30792577892882339</v>
      </c>
      <c r="J457">
        <v>-6.5156531538483913</v>
      </c>
      <c r="K457">
        <v>2.05817408255127</v>
      </c>
      <c r="L457">
        <v>-1.146732879284716</v>
      </c>
      <c r="M457">
        <v>2.913210704642244</v>
      </c>
      <c r="N457">
        <v>2.865555556873272</v>
      </c>
      <c r="O457">
        <v>-11.51292546497023</v>
      </c>
      <c r="P457">
        <v>4.7655146569013596E-2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</row>
    <row r="458" spans="1:23" x14ac:dyDescent="0.25">
      <c r="A458">
        <v>52</v>
      </c>
      <c r="B458">
        <v>2012</v>
      </c>
      <c r="C458">
        <v>-1.448318342264364</v>
      </c>
      <c r="D458">
        <v>0.69853265283628319</v>
      </c>
      <c r="E458">
        <v>0.78376454814355934</v>
      </c>
      <c r="F458">
        <v>0.73553594705173186</v>
      </c>
      <c r="G458">
        <v>0.32157612409933711</v>
      </c>
      <c r="H458">
        <v>0.41449091931547682</v>
      </c>
      <c r="I458">
        <v>0.26941626364488841</v>
      </c>
      <c r="J458">
        <v>-6.085962059124963</v>
      </c>
      <c r="K458">
        <v>2.05817408255127</v>
      </c>
      <c r="L458">
        <v>-1.0747697773179961</v>
      </c>
      <c r="M458">
        <v>2.9591251110415029</v>
      </c>
      <c r="N458">
        <v>2.9010690470866201</v>
      </c>
      <c r="O458">
        <v>-11.51292546497023</v>
      </c>
      <c r="P458">
        <v>5.8056063950061798E-2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</row>
    <row r="459" spans="1:23" x14ac:dyDescent="0.25">
      <c r="A459">
        <v>52</v>
      </c>
      <c r="B459">
        <v>2013</v>
      </c>
      <c r="C459">
        <v>-1.4365780065249001</v>
      </c>
      <c r="D459">
        <v>0.68697819141441629</v>
      </c>
      <c r="E459">
        <v>0.69853265283628319</v>
      </c>
      <c r="F459">
        <v>0.78376454814355934</v>
      </c>
      <c r="G459">
        <v>0.29012907609483268</v>
      </c>
      <c r="H459">
        <v>0.32157612409933711</v>
      </c>
      <c r="I459">
        <v>0.41449091931547682</v>
      </c>
      <c r="J459">
        <v>-5.2728516066714688</v>
      </c>
      <c r="K459">
        <v>2.05817408255127</v>
      </c>
      <c r="L459">
        <v>-1.0479609113622159</v>
      </c>
      <c r="M459">
        <v>2.9289578402063898</v>
      </c>
      <c r="N459">
        <v>2.914785331643754</v>
      </c>
      <c r="O459">
        <v>-11.51292546497023</v>
      </c>
      <c r="P459">
        <v>1.4172508381307125E-2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</row>
    <row r="460" spans="1:23" x14ac:dyDescent="0.25">
      <c r="A460">
        <v>52</v>
      </c>
      <c r="B460">
        <v>2014</v>
      </c>
      <c r="C460">
        <v>-1.3807401617391359</v>
      </c>
      <c r="D460">
        <v>0.69154589919297138</v>
      </c>
      <c r="E460">
        <v>0.68697819141441629</v>
      </c>
      <c r="F460">
        <v>0.69853265283628319</v>
      </c>
      <c r="G460">
        <v>0.32092340623158289</v>
      </c>
      <c r="H460">
        <v>0.29012907609483268</v>
      </c>
      <c r="I460">
        <v>0.32157612409933711</v>
      </c>
      <c r="J460">
        <v>-4.6087364347415463</v>
      </c>
      <c r="K460">
        <v>2.05817408255127</v>
      </c>
      <c r="L460">
        <v>-1.0035831305194249</v>
      </c>
      <c r="M460">
        <v>2.9264251535538919</v>
      </c>
      <c r="N460">
        <v>2.9151933037071571</v>
      </c>
      <c r="O460">
        <v>-11.51292546497023</v>
      </c>
      <c r="P460">
        <v>1.1231849901378155E-2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</row>
    <row r="461" spans="1:23" x14ac:dyDescent="0.25">
      <c r="A461">
        <v>52</v>
      </c>
      <c r="B461">
        <v>2015</v>
      </c>
      <c r="C461">
        <v>-1.5035055965192929</v>
      </c>
      <c r="D461">
        <v>0.68546776921607577</v>
      </c>
      <c r="E461">
        <v>0.69154589919297138</v>
      </c>
      <c r="F461">
        <v>0.68697819141441629</v>
      </c>
      <c r="G461">
        <v>0.28728199243044122</v>
      </c>
      <c r="H461">
        <v>0.32092340623158289</v>
      </c>
      <c r="I461">
        <v>0.29012907609483268</v>
      </c>
      <c r="J461">
        <v>-4.2114744745869892</v>
      </c>
      <c r="K461">
        <v>2.05817408255127</v>
      </c>
      <c r="L461">
        <v>-0.97614255218666246</v>
      </c>
      <c r="M461">
        <v>2.8910732539968542</v>
      </c>
      <c r="N461">
        <v>2.9131069049335139</v>
      </c>
      <c r="O461">
        <v>-11.51292546497023</v>
      </c>
      <c r="P461">
        <v>-2.2033650428056717E-2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</row>
    <row r="462" spans="1:23" x14ac:dyDescent="0.25">
      <c r="A462">
        <v>52</v>
      </c>
      <c r="B462">
        <v>2016</v>
      </c>
      <c r="C462">
        <v>-1.475509365994625</v>
      </c>
      <c r="D462">
        <v>0.7353921621536913</v>
      </c>
      <c r="E462">
        <v>0.68546776921607577</v>
      </c>
      <c r="F462">
        <v>0.69154589919297138</v>
      </c>
      <c r="G462">
        <v>0.41660285251862028</v>
      </c>
      <c r="H462">
        <v>0.28728199243044122</v>
      </c>
      <c r="I462">
        <v>0.32092340623158289</v>
      </c>
      <c r="J462">
        <v>-3.8747700240849192</v>
      </c>
      <c r="K462">
        <v>2.05817408255127</v>
      </c>
      <c r="L462">
        <v>-0.96055762781918241</v>
      </c>
      <c r="M462">
        <v>2.8460956172467662</v>
      </c>
      <c r="N462">
        <v>2.8782712500388001</v>
      </c>
      <c r="O462">
        <v>-11.51292546497023</v>
      </c>
      <c r="P462">
        <v>-3.2175634056329727E-2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</row>
    <row r="463" spans="1:23" x14ac:dyDescent="0.25">
      <c r="A463">
        <v>52</v>
      </c>
      <c r="B463">
        <v>2017</v>
      </c>
      <c r="C463">
        <v>-1.4696235507545861</v>
      </c>
      <c r="D463">
        <v>0.73476885525076474</v>
      </c>
      <c r="E463">
        <v>0.7353921621536913</v>
      </c>
      <c r="F463">
        <v>0.68546776921607577</v>
      </c>
      <c r="G463">
        <v>0.39474114474518868</v>
      </c>
      <c r="H463">
        <v>0.41660285251862028</v>
      </c>
      <c r="I463">
        <v>0.28728199243044122</v>
      </c>
      <c r="J463">
        <v>-3.2418214175998878</v>
      </c>
      <c r="K463">
        <v>2.05817408255127</v>
      </c>
      <c r="L463">
        <v>-0.94435316692870053</v>
      </c>
      <c r="M463">
        <v>2.8522734979292972</v>
      </c>
      <c r="N463">
        <v>2.8337883308762648</v>
      </c>
      <c r="O463">
        <v>-11.51292546497023</v>
      </c>
      <c r="P463">
        <v>1.8485166132450104E-2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</row>
    <row r="464" spans="1:23" x14ac:dyDescent="0.25">
      <c r="A464">
        <v>52</v>
      </c>
      <c r="B464">
        <v>2018</v>
      </c>
      <c r="C464">
        <v>-1.733218604785566</v>
      </c>
      <c r="D464">
        <v>0.86010126022277811</v>
      </c>
      <c r="E464">
        <v>0.73476885525076474</v>
      </c>
      <c r="F464">
        <v>0.7353921621536913</v>
      </c>
      <c r="G464">
        <v>0.41025362483996158</v>
      </c>
      <c r="H464">
        <v>0.39474114474518868</v>
      </c>
      <c r="I464">
        <v>0.41660285251862028</v>
      </c>
      <c r="J464">
        <v>-2.8710769693151481</v>
      </c>
      <c r="K464">
        <v>2.05817408255127</v>
      </c>
      <c r="L464">
        <v>-0.9332166258941994</v>
      </c>
      <c r="M464">
        <v>2.806794333389377</v>
      </c>
      <c r="N464">
        <v>2.831485932409795</v>
      </c>
      <c r="O464">
        <v>3.2580965380214821</v>
      </c>
      <c r="P464">
        <v>-2.4691598489880562E-2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>
        <v>52</v>
      </c>
      <c r="B465">
        <v>2019</v>
      </c>
      <c r="C465">
        <v>-1.816508491222407</v>
      </c>
      <c r="D465">
        <v>0.79818264339382605</v>
      </c>
      <c r="E465">
        <v>0.86010126022277811</v>
      </c>
      <c r="F465">
        <v>0.73476885525076474</v>
      </c>
      <c r="G465">
        <v>0.38158216764483233</v>
      </c>
      <c r="H465">
        <v>0.41025362483996158</v>
      </c>
      <c r="I465">
        <v>0.39474114474518868</v>
      </c>
      <c r="J465">
        <v>-2.137270842207049</v>
      </c>
      <c r="K465">
        <v>2.05817408255127</v>
      </c>
      <c r="L465">
        <v>-0.91537341618496637</v>
      </c>
      <c r="M465">
        <v>2.815750935788969</v>
      </c>
      <c r="N465">
        <v>2.792849145902681</v>
      </c>
      <c r="O465">
        <v>5.393627546352362</v>
      </c>
      <c r="P465">
        <v>2.2901790216565132E-2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>
        <v>52</v>
      </c>
      <c r="B466">
        <v>2020</v>
      </c>
      <c r="C466">
        <v>-1.8383913807628991</v>
      </c>
      <c r="D466">
        <v>0.73385716880773211</v>
      </c>
      <c r="E466">
        <v>0.79818264339382605</v>
      </c>
      <c r="F466">
        <v>0.86010126022277811</v>
      </c>
      <c r="G466">
        <v>0.34741217665954732</v>
      </c>
      <c r="H466">
        <v>0.38158216764483233</v>
      </c>
      <c r="I466">
        <v>0.41025362483996158</v>
      </c>
      <c r="J466">
        <v>-1.5096513161972469</v>
      </c>
      <c r="K466">
        <v>2.05817408255127</v>
      </c>
      <c r="L466">
        <v>-0.89931511695172039</v>
      </c>
      <c r="M466">
        <v>2.811005991483424</v>
      </c>
      <c r="N466">
        <v>2.8022796431948782</v>
      </c>
      <c r="O466">
        <v>5.9914645471079817</v>
      </c>
      <c r="P466">
        <v>8.7263481691479683E-3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</row>
    <row r="467" spans="1:23" x14ac:dyDescent="0.25">
      <c r="A467">
        <v>52</v>
      </c>
      <c r="B467">
        <v>2021</v>
      </c>
      <c r="C467">
        <v>-1.7292290550868969</v>
      </c>
      <c r="D467">
        <v>0.95296975613264678</v>
      </c>
      <c r="E467">
        <v>0.73385716880773211</v>
      </c>
      <c r="F467">
        <v>0.79818264339382605</v>
      </c>
      <c r="G467">
        <v>0.63350332763243034</v>
      </c>
      <c r="H467">
        <v>0.34741217665954732</v>
      </c>
      <c r="I467">
        <v>0.38158216764483233</v>
      </c>
      <c r="J467">
        <v>-0.90821818127850906</v>
      </c>
      <c r="K467">
        <v>2.05817408255127</v>
      </c>
      <c r="L467">
        <v>-0.88316070483754894</v>
      </c>
      <c r="M467">
        <v>2.8601841126256451</v>
      </c>
      <c r="N467">
        <v>2.7980102552610839</v>
      </c>
      <c r="O467">
        <v>6.6846117276679271</v>
      </c>
      <c r="P467">
        <v>6.2173858284950256E-2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</row>
    <row r="468" spans="1:23" x14ac:dyDescent="0.25">
      <c r="A468">
        <v>52</v>
      </c>
      <c r="B468">
        <v>2022</v>
      </c>
      <c r="C468">
        <v>-1.6142570925529649</v>
      </c>
      <c r="D468">
        <v>0.91464938560202946</v>
      </c>
      <c r="E468">
        <v>0.95296975613264678</v>
      </c>
      <c r="F468">
        <v>0.73385716880773211</v>
      </c>
      <c r="G468">
        <v>0.55658262110371903</v>
      </c>
      <c r="H468">
        <v>0.63350332763243034</v>
      </c>
      <c r="I468">
        <v>0.34741217665954732</v>
      </c>
      <c r="J468">
        <v>-0.35997345569859929</v>
      </c>
      <c r="K468">
        <v>2.05817408255127</v>
      </c>
      <c r="L468">
        <v>-0.85553986918257652</v>
      </c>
      <c r="M468">
        <v>2.944830875983496</v>
      </c>
      <c r="N468">
        <v>2.8601841126256451</v>
      </c>
      <c r="O468">
        <v>8.0551577318196781</v>
      </c>
      <c r="P468">
        <v>8.4646761417388916E-2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</row>
    <row r="469" spans="1:23" x14ac:dyDescent="0.25">
      <c r="A469">
        <v>52</v>
      </c>
      <c r="B469">
        <v>2023</v>
      </c>
      <c r="C469">
        <v>-1.481450227393704</v>
      </c>
      <c r="D469">
        <v>0.74193734472937733</v>
      </c>
      <c r="E469">
        <v>0.91464938560202946</v>
      </c>
      <c r="F469">
        <v>0.95296975613264678</v>
      </c>
      <c r="G469">
        <v>0.36186147062603241</v>
      </c>
      <c r="H469">
        <v>0.55658262110371903</v>
      </c>
      <c r="I469">
        <v>0.63350332763243034</v>
      </c>
      <c r="J469">
        <v>0.15275965553178639</v>
      </c>
      <c r="K469">
        <v>2.05817408255127</v>
      </c>
      <c r="L469">
        <v>-0.8245319525329371</v>
      </c>
      <c r="M469">
        <v>2.9499617173955852</v>
      </c>
      <c r="N469">
        <v>2.944830875983496</v>
      </c>
      <c r="O469">
        <v>8.4658998970286863</v>
      </c>
      <c r="P469">
        <v>5.1308413967490196E-3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</row>
    <row r="470" spans="1:23" x14ac:dyDescent="0.25">
      <c r="A470">
        <v>53</v>
      </c>
      <c r="B470">
        <v>2006</v>
      </c>
      <c r="C470">
        <v>-1.175193201003861</v>
      </c>
      <c r="D470">
        <v>0.95551144502743635</v>
      </c>
      <c r="E470">
        <v>0.87680118258767858</v>
      </c>
      <c r="F470">
        <v>0.82342955082286751</v>
      </c>
      <c r="G470">
        <v>0.64710324205853842</v>
      </c>
      <c r="H470">
        <v>0.53772068722863497</v>
      </c>
      <c r="I470">
        <v>0.47828177068996119</v>
      </c>
      <c r="J470">
        <v>-11.51292546497023</v>
      </c>
      <c r="K470">
        <v>0.607173681386733</v>
      </c>
      <c r="L470">
        <v>-1.1475238008918609</v>
      </c>
      <c r="M470">
        <v>3.8679742163097819</v>
      </c>
      <c r="N470">
        <v>3.822070990820412</v>
      </c>
      <c r="O470">
        <v>-11.51292546497023</v>
      </c>
      <c r="P470">
        <v>4.5903224498033524E-2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</row>
    <row r="471" spans="1:23" x14ac:dyDescent="0.25">
      <c r="A471">
        <v>53</v>
      </c>
      <c r="B471">
        <v>2007</v>
      </c>
      <c r="C471">
        <v>-1.21680722214853</v>
      </c>
      <c r="D471">
        <v>0.90028329372833826</v>
      </c>
      <c r="E471">
        <v>0.95551144502743635</v>
      </c>
      <c r="F471">
        <v>0.87680118258767858</v>
      </c>
      <c r="G471">
        <v>0.48106720160171512</v>
      </c>
      <c r="H471">
        <v>0.64710324205853842</v>
      </c>
      <c r="I471">
        <v>0.53772068722863497</v>
      </c>
      <c r="J471">
        <v>-11.51292546497023</v>
      </c>
      <c r="K471">
        <v>0.607173681386733</v>
      </c>
      <c r="L471">
        <v>-1.093394133190827</v>
      </c>
      <c r="M471">
        <v>3.8681262479319329</v>
      </c>
      <c r="N471">
        <v>3.832254131879917</v>
      </c>
      <c r="O471">
        <v>-11.51292546497023</v>
      </c>
      <c r="P471">
        <v>3.5872116684913635E-2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</row>
    <row r="472" spans="1:23" x14ac:dyDescent="0.25">
      <c r="A472">
        <v>53</v>
      </c>
      <c r="B472">
        <v>2008</v>
      </c>
      <c r="C472">
        <v>-1.196257408663381</v>
      </c>
      <c r="D472">
        <v>0.83512405945549484</v>
      </c>
      <c r="E472">
        <v>0.90028329372833826</v>
      </c>
      <c r="F472">
        <v>0.95551144502743635</v>
      </c>
      <c r="G472">
        <v>0.50337795863083334</v>
      </c>
      <c r="H472">
        <v>0.48106720160171512</v>
      </c>
      <c r="I472">
        <v>0.64710324205853842</v>
      </c>
      <c r="J472">
        <v>-7.8466521556029942</v>
      </c>
      <c r="K472">
        <v>0.607173681386733</v>
      </c>
      <c r="L472">
        <v>-1.047699977848771</v>
      </c>
      <c r="M472">
        <v>3.9157603218814678</v>
      </c>
      <c r="N472">
        <v>3.833638596812631</v>
      </c>
      <c r="O472">
        <v>-11.51292546497023</v>
      </c>
      <c r="P472">
        <v>8.2121722400188446E-2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 x14ac:dyDescent="0.25">
      <c r="A473">
        <v>53</v>
      </c>
      <c r="B473">
        <v>2009</v>
      </c>
      <c r="C473">
        <v>-1.230396623290547</v>
      </c>
      <c r="D473">
        <v>0.84264419170585647</v>
      </c>
      <c r="E473">
        <v>0.83512405945549484</v>
      </c>
      <c r="F473">
        <v>0.90028329372833826</v>
      </c>
      <c r="G473">
        <v>0.46662292108625802</v>
      </c>
      <c r="H473">
        <v>0.50337795863083334</v>
      </c>
      <c r="I473">
        <v>0.48106720160171512</v>
      </c>
      <c r="J473">
        <v>-6.7672990122863412</v>
      </c>
      <c r="K473">
        <v>0.607173681386733</v>
      </c>
      <c r="L473">
        <v>-0.98570914692988709</v>
      </c>
      <c r="M473">
        <v>3.9456062305620181</v>
      </c>
      <c r="N473">
        <v>3.8965011765298359</v>
      </c>
      <c r="O473">
        <v>-11.51292546497023</v>
      </c>
      <c r="P473">
        <v>4.9105055630207062E-2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</row>
    <row r="474" spans="1:23" x14ac:dyDescent="0.25">
      <c r="A474">
        <v>53</v>
      </c>
      <c r="B474">
        <v>2010</v>
      </c>
      <c r="C474">
        <v>-1.0645949508203121</v>
      </c>
      <c r="D474">
        <v>0.7963804352015974</v>
      </c>
      <c r="E474">
        <v>0.84264419170585647</v>
      </c>
      <c r="F474">
        <v>0.83512405945549484</v>
      </c>
      <c r="G474">
        <v>0.49755799676508627</v>
      </c>
      <c r="H474">
        <v>0.46662292108625802</v>
      </c>
      <c r="I474">
        <v>0.50337795863083334</v>
      </c>
      <c r="J474">
        <v>-6.0747489179862413</v>
      </c>
      <c r="K474">
        <v>0.607173681386733</v>
      </c>
      <c r="L474">
        <v>-0.91128095511495621</v>
      </c>
      <c r="M474">
        <v>4.012268502708225</v>
      </c>
      <c r="N474">
        <v>3.9450091443021318</v>
      </c>
      <c r="O474">
        <v>-11.51292546497023</v>
      </c>
      <c r="P474">
        <v>6.7259356379508972E-2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>
        <v>53</v>
      </c>
      <c r="B475">
        <v>2011</v>
      </c>
      <c r="C475">
        <v>-0.95733340863872451</v>
      </c>
      <c r="D475">
        <v>0.77670677365887608</v>
      </c>
      <c r="E475">
        <v>0.7963804352015974</v>
      </c>
      <c r="F475">
        <v>0.84264419170585647</v>
      </c>
      <c r="G475">
        <v>0.52490602797399499</v>
      </c>
      <c r="H475">
        <v>0.49755799676508627</v>
      </c>
      <c r="I475">
        <v>0.46662292108625802</v>
      </c>
      <c r="J475">
        <v>-4.4998089040464491</v>
      </c>
      <c r="K475">
        <v>0.607173681386733</v>
      </c>
      <c r="L475">
        <v>-0.85041971665346983</v>
      </c>
      <c r="M475">
        <v>4.0013842193416096</v>
      </c>
      <c r="N475">
        <v>4.0116721558895927</v>
      </c>
      <c r="O475">
        <v>-11.51292546497023</v>
      </c>
      <c r="P475">
        <v>-1.028793677687645E-2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</row>
    <row r="476" spans="1:23" x14ac:dyDescent="0.25">
      <c r="A476">
        <v>53</v>
      </c>
      <c r="B476">
        <v>2012</v>
      </c>
      <c r="C476">
        <v>-0.89789855142030683</v>
      </c>
      <c r="D476">
        <v>0.7234823803560182</v>
      </c>
      <c r="E476">
        <v>0.77670677365887608</v>
      </c>
      <c r="F476">
        <v>0.7963804352015974</v>
      </c>
      <c r="G476">
        <v>0.49506202858651249</v>
      </c>
      <c r="H476">
        <v>0.52490602797399499</v>
      </c>
      <c r="I476">
        <v>0.49755799676508627</v>
      </c>
      <c r="J476">
        <v>-4.1928813491084016</v>
      </c>
      <c r="K476">
        <v>0.607173681386733</v>
      </c>
      <c r="L476">
        <v>-0.80402902169534696</v>
      </c>
      <c r="M476">
        <v>3.970137688567176</v>
      </c>
      <c r="N476">
        <v>3.9867281501521989</v>
      </c>
      <c r="O476">
        <v>-11.51292546497023</v>
      </c>
      <c r="P476">
        <v>-1.6590461134910583E-2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>
        <v>53</v>
      </c>
      <c r="B477">
        <v>2013</v>
      </c>
      <c r="C477">
        <v>-0.90989681407840772</v>
      </c>
      <c r="D477">
        <v>0.71417454775202094</v>
      </c>
      <c r="E477">
        <v>0.7234823803560182</v>
      </c>
      <c r="F477">
        <v>0.77670677365887608</v>
      </c>
      <c r="G477">
        <v>0.44647908419877852</v>
      </c>
      <c r="H477">
        <v>0.49506202858651249</v>
      </c>
      <c r="I477">
        <v>0.52490602797399499</v>
      </c>
      <c r="J477">
        <v>-3.4450748383315428</v>
      </c>
      <c r="K477">
        <v>0.607173681386733</v>
      </c>
      <c r="L477">
        <v>-0.79969165230043016</v>
      </c>
      <c r="M477">
        <v>3.9152939114917999</v>
      </c>
      <c r="N477">
        <v>3.9181872837258269</v>
      </c>
      <c r="O477">
        <v>-11.51292546497023</v>
      </c>
      <c r="P477">
        <v>-2.893372206017375E-3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</row>
    <row r="478" spans="1:23" x14ac:dyDescent="0.25">
      <c r="A478">
        <v>53</v>
      </c>
      <c r="B478">
        <v>2014</v>
      </c>
      <c r="C478">
        <v>-0.8890735366326501</v>
      </c>
      <c r="D478">
        <v>0.69798545720019456</v>
      </c>
      <c r="E478">
        <v>0.71417454775202094</v>
      </c>
      <c r="F478">
        <v>0.7234823803560182</v>
      </c>
      <c r="G478">
        <v>0.46837730750115147</v>
      </c>
      <c r="H478">
        <v>0.44647908419877852</v>
      </c>
      <c r="I478">
        <v>0.49506202858651249</v>
      </c>
      <c r="J478">
        <v>-2.7685204019701639</v>
      </c>
      <c r="K478">
        <v>0.607173681386733</v>
      </c>
      <c r="L478">
        <v>-0.77890042899833789</v>
      </c>
      <c r="M478">
        <v>3.932998864519416</v>
      </c>
      <c r="N478">
        <v>3.893098911744564</v>
      </c>
      <c r="O478">
        <v>-11.51292546497023</v>
      </c>
      <c r="P478">
        <v>3.9899952709674835E-2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</row>
    <row r="479" spans="1:23" x14ac:dyDescent="0.25">
      <c r="A479">
        <v>53</v>
      </c>
      <c r="B479">
        <v>2015</v>
      </c>
      <c r="C479">
        <v>-0.954460618699289</v>
      </c>
      <c r="D479">
        <v>0.72290013870929315</v>
      </c>
      <c r="E479">
        <v>0.69798545720019456</v>
      </c>
      <c r="F479">
        <v>0.71417454775202094</v>
      </c>
      <c r="G479">
        <v>0.47037855895080882</v>
      </c>
      <c r="H479">
        <v>0.46837730750115147</v>
      </c>
      <c r="I479">
        <v>0.44647908419877852</v>
      </c>
      <c r="J479">
        <v>-2.349945664353883</v>
      </c>
      <c r="K479">
        <v>0.607173681386733</v>
      </c>
      <c r="L479">
        <v>-0.76575915369728154</v>
      </c>
      <c r="M479">
        <v>3.9264922191542988</v>
      </c>
      <c r="N479">
        <v>3.911338294285815</v>
      </c>
      <c r="O479">
        <v>-11.51292546497023</v>
      </c>
      <c r="P479">
        <v>1.5153924934566021E-2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</row>
    <row r="480" spans="1:23" x14ac:dyDescent="0.25">
      <c r="A480">
        <v>53</v>
      </c>
      <c r="B480">
        <v>2016</v>
      </c>
      <c r="C480">
        <v>-0.90900988762450885</v>
      </c>
      <c r="D480">
        <v>0.70339449701149481</v>
      </c>
      <c r="E480">
        <v>0.72290013870929315</v>
      </c>
      <c r="F480">
        <v>0.69798545720019456</v>
      </c>
      <c r="G480">
        <v>0.54197539275820672</v>
      </c>
      <c r="H480">
        <v>0.47037855895080882</v>
      </c>
      <c r="I480">
        <v>0.46837730750115147</v>
      </c>
      <c r="J480">
        <v>-1.992390755046662</v>
      </c>
      <c r="K480">
        <v>0.607173681386733</v>
      </c>
      <c r="L480">
        <v>-0.76100094980120447</v>
      </c>
      <c r="M480">
        <v>3.9157916444440328</v>
      </c>
      <c r="N480">
        <v>3.905315082550425</v>
      </c>
      <c r="O480">
        <v>-11.51292546497023</v>
      </c>
      <c r="P480">
        <v>1.0476562194526196E-2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</row>
    <row r="481" spans="1:23" x14ac:dyDescent="0.25">
      <c r="A481">
        <v>53</v>
      </c>
      <c r="B481">
        <v>2017</v>
      </c>
      <c r="C481">
        <v>-0.87571362001221353</v>
      </c>
      <c r="D481">
        <v>0.69044352898563044</v>
      </c>
      <c r="E481">
        <v>0.70339449701149481</v>
      </c>
      <c r="F481">
        <v>0.72290013870929315</v>
      </c>
      <c r="G481">
        <v>0.54731183233640068</v>
      </c>
      <c r="H481">
        <v>0.54197539275820672</v>
      </c>
      <c r="I481">
        <v>0.47037855895080882</v>
      </c>
      <c r="J481">
        <v>-1.3940375149281869</v>
      </c>
      <c r="K481">
        <v>0.607173681386733</v>
      </c>
      <c r="L481">
        <v>-0.75467591242718013</v>
      </c>
      <c r="M481">
        <v>3.8972926783296979</v>
      </c>
      <c r="N481">
        <v>3.8951056761562839</v>
      </c>
      <c r="O481">
        <v>-11.51292546497023</v>
      </c>
      <c r="P481">
        <v>2.1870022173970938E-3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</row>
    <row r="482" spans="1:23" x14ac:dyDescent="0.25">
      <c r="A482">
        <v>53</v>
      </c>
      <c r="B482">
        <v>2018</v>
      </c>
      <c r="C482">
        <v>-1.003241420154549</v>
      </c>
      <c r="D482">
        <v>0.82478928961166054</v>
      </c>
      <c r="E482">
        <v>0.69044352898563044</v>
      </c>
      <c r="F482">
        <v>0.70339449701149481</v>
      </c>
      <c r="G482">
        <v>0.56149972649394564</v>
      </c>
      <c r="H482">
        <v>0.54731183233640068</v>
      </c>
      <c r="I482">
        <v>0.54197539275820672</v>
      </c>
      <c r="J482">
        <v>-0.9170315843726361</v>
      </c>
      <c r="K482">
        <v>0.607173681386733</v>
      </c>
      <c r="L482">
        <v>-0.70271883606492602</v>
      </c>
      <c r="M482">
        <v>3.9152906241954182</v>
      </c>
      <c r="N482">
        <v>3.918823080202424</v>
      </c>
      <c r="O482">
        <v>3.2580965380214821</v>
      </c>
      <c r="P482">
        <v>-3.5324560012668371E-3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</row>
    <row r="483" spans="1:23" x14ac:dyDescent="0.25">
      <c r="A483">
        <v>53</v>
      </c>
      <c r="B483">
        <v>2019</v>
      </c>
      <c r="C483">
        <v>-0.98758315675102371</v>
      </c>
      <c r="D483">
        <v>0.74597679420447738</v>
      </c>
      <c r="E483">
        <v>0.82478928961166054</v>
      </c>
      <c r="F483">
        <v>0.69044352898563044</v>
      </c>
      <c r="G483">
        <v>0.46524231214402512</v>
      </c>
      <c r="H483">
        <v>0.56149972649394564</v>
      </c>
      <c r="I483">
        <v>0.54731183233640068</v>
      </c>
      <c r="J483">
        <v>-0.17665588671159729</v>
      </c>
      <c r="K483">
        <v>0.607173681386733</v>
      </c>
      <c r="L483">
        <v>-0.6817684061643543</v>
      </c>
      <c r="M483">
        <v>3.9315422371031872</v>
      </c>
      <c r="N483">
        <v>3.9017461111590448</v>
      </c>
      <c r="O483">
        <v>5.393627546352362</v>
      </c>
      <c r="P483">
        <v>2.9796125367283821E-2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</row>
    <row r="484" spans="1:23" x14ac:dyDescent="0.25">
      <c r="A484">
        <v>53</v>
      </c>
      <c r="B484">
        <v>2020</v>
      </c>
      <c r="C484">
        <v>-1.1716802140604221</v>
      </c>
      <c r="D484">
        <v>0.68056839835308525</v>
      </c>
      <c r="E484">
        <v>0.74597679420447738</v>
      </c>
      <c r="F484">
        <v>0.82478928961166054</v>
      </c>
      <c r="G484">
        <v>0.42716136618992462</v>
      </c>
      <c r="H484">
        <v>0.46524231214402512</v>
      </c>
      <c r="I484">
        <v>0.56149972649394564</v>
      </c>
      <c r="J484">
        <v>0.35173698961437438</v>
      </c>
      <c r="K484">
        <v>0.607173681386733</v>
      </c>
      <c r="L484">
        <v>-0.67335289023666267</v>
      </c>
      <c r="M484">
        <v>3.8268909560079698</v>
      </c>
      <c r="N484">
        <v>3.9184025882825311</v>
      </c>
      <c r="O484">
        <v>5.9914645471079817</v>
      </c>
      <c r="P484">
        <v>-9.1511629521846771E-2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>
        <v>53</v>
      </c>
      <c r="B485">
        <v>2021</v>
      </c>
      <c r="C485">
        <v>-1.144364340318764</v>
      </c>
      <c r="D485">
        <v>0.93969470965317126</v>
      </c>
      <c r="E485">
        <v>0.68056839835308525</v>
      </c>
      <c r="F485">
        <v>0.74597679420447738</v>
      </c>
      <c r="G485">
        <v>0.74900753005656717</v>
      </c>
      <c r="H485">
        <v>0.42716136618992462</v>
      </c>
      <c r="I485">
        <v>0.46524231214402512</v>
      </c>
      <c r="J485">
        <v>0.84506663866255494</v>
      </c>
      <c r="K485">
        <v>0.607173681386733</v>
      </c>
      <c r="L485">
        <v>-0.67031623496915371</v>
      </c>
      <c r="M485">
        <v>3.7678536220038539</v>
      </c>
      <c r="N485">
        <v>3.8141495312951261</v>
      </c>
      <c r="O485">
        <v>6.6846117276679271</v>
      </c>
      <c r="P485">
        <v>-4.6295911073684692E-2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</row>
    <row r="486" spans="1:23" x14ac:dyDescent="0.25">
      <c r="A486">
        <v>53</v>
      </c>
      <c r="B486">
        <v>2022</v>
      </c>
      <c r="C486">
        <v>-1.084968088625851</v>
      </c>
      <c r="D486">
        <v>0.92271008367633833</v>
      </c>
      <c r="E486">
        <v>0.93969470965317126</v>
      </c>
      <c r="F486">
        <v>0.68056839835308525</v>
      </c>
      <c r="G486">
        <v>0.70275091670264</v>
      </c>
      <c r="H486">
        <v>0.74900753005656717</v>
      </c>
      <c r="I486">
        <v>0.42716136618992462</v>
      </c>
      <c r="J486">
        <v>1.362395225504291</v>
      </c>
      <c r="K486">
        <v>0.60717368138673311</v>
      </c>
      <c r="L486">
        <v>-0.65767170501785543</v>
      </c>
      <c r="M486">
        <v>3.8217818308483569</v>
      </c>
      <c r="N486">
        <v>3.7678536220038539</v>
      </c>
      <c r="O486">
        <v>8.0551577318196781</v>
      </c>
      <c r="P486">
        <v>5.3928207606077194E-2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</row>
    <row r="487" spans="1:23" x14ac:dyDescent="0.25">
      <c r="A487">
        <v>53</v>
      </c>
      <c r="B487">
        <v>2023</v>
      </c>
      <c r="C487">
        <v>-1.0745403104985669</v>
      </c>
      <c r="D487">
        <v>0.7437927652288373</v>
      </c>
      <c r="E487">
        <v>0.92271008367633833</v>
      </c>
      <c r="F487">
        <v>0.93969470965317126</v>
      </c>
      <c r="G487">
        <v>0.39366239598901293</v>
      </c>
      <c r="H487">
        <v>0.70275091670264</v>
      </c>
      <c r="I487">
        <v>0.74900753005656717</v>
      </c>
      <c r="J487">
        <v>1.926033881940227</v>
      </c>
      <c r="K487">
        <v>0.60717368138673311</v>
      </c>
      <c r="L487">
        <v>-0.63910198627306525</v>
      </c>
      <c r="M487">
        <v>3.877784690820953</v>
      </c>
      <c r="N487">
        <v>3.8217818308483569</v>
      </c>
      <c r="O487">
        <v>8.4658998970286863</v>
      </c>
      <c r="P487">
        <v>5.6002859026193619E-2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A055-76E6-4E0F-84A2-2019A2AAF147}">
  <dimension ref="A3:Q22"/>
  <sheetViews>
    <sheetView topLeftCell="C1" workbookViewId="0">
      <selection activeCell="L21" sqref="L21:Q21"/>
    </sheetView>
  </sheetViews>
  <sheetFormatPr defaultRowHeight="15" x14ac:dyDescent="0.25"/>
  <cols>
    <col min="1" max="1" width="13.140625" bestFit="1" customWidth="1"/>
    <col min="2" max="2" width="16" bestFit="1" customWidth="1"/>
    <col min="3" max="4" width="18.7109375" bestFit="1" customWidth="1"/>
    <col min="5" max="5" width="16.140625" bestFit="1" customWidth="1"/>
    <col min="6" max="7" width="18.85546875" bestFit="1" customWidth="1"/>
    <col min="8" max="8" width="18.5703125" bestFit="1" customWidth="1"/>
    <col min="9" max="9" width="25.5703125" bestFit="1" customWidth="1"/>
    <col min="10" max="10" width="18.28515625" bestFit="1" customWidth="1"/>
    <col min="11" max="11" width="19.42578125" bestFit="1" customWidth="1"/>
    <col min="12" max="12" width="17.5703125" bestFit="1" customWidth="1"/>
    <col min="13" max="13" width="16.140625" bestFit="1" customWidth="1"/>
    <col min="14" max="14" width="16.42578125" bestFit="1" customWidth="1"/>
    <col min="15" max="15" width="15.28515625" bestFit="1" customWidth="1"/>
    <col min="16" max="16" width="15.7109375" bestFit="1" customWidth="1"/>
    <col min="17" max="17" width="16.140625" bestFit="1" customWidth="1"/>
  </cols>
  <sheetData>
    <row r="3" spans="1:17" x14ac:dyDescent="0.25">
      <c r="A3" s="1" t="s">
        <v>22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</row>
    <row r="4" spans="1:17" x14ac:dyDescent="0.25">
      <c r="A4" s="2">
        <v>2006</v>
      </c>
      <c r="B4">
        <v>0.97495552319764167</v>
      </c>
      <c r="C4">
        <v>0.9197700105579999</v>
      </c>
      <c r="D4">
        <v>0.86369706153310521</v>
      </c>
      <c r="E4">
        <v>0.67279876753507539</v>
      </c>
      <c r="F4">
        <v>0.55427964851105516</v>
      </c>
      <c r="G4">
        <v>0.46047090713345723</v>
      </c>
      <c r="H4">
        <v>-11.512925464970236</v>
      </c>
      <c r="I4">
        <v>1.2611987985640907</v>
      </c>
      <c r="J4">
        <v>-2.0277426067553197</v>
      </c>
      <c r="K4">
        <v>5.0148655729437316E-2</v>
      </c>
      <c r="L4">
        <v>0</v>
      </c>
      <c r="M4">
        <v>0</v>
      </c>
      <c r="N4">
        <v>0.14814814814814814</v>
      </c>
      <c r="O4">
        <v>0.14814814814814814</v>
      </c>
      <c r="P4">
        <v>0.33333333333333331</v>
      </c>
      <c r="Q4">
        <v>0.25925925925925924</v>
      </c>
    </row>
    <row r="5" spans="1:17" x14ac:dyDescent="0.25">
      <c r="A5" s="2">
        <v>2007</v>
      </c>
      <c r="B5">
        <v>0.91197939101387671</v>
      </c>
      <c r="C5">
        <v>0.97495552319764167</v>
      </c>
      <c r="D5">
        <v>0.9197700105579999</v>
      </c>
      <c r="E5">
        <v>0.51114321761026571</v>
      </c>
      <c r="F5">
        <v>0.67279876753507539</v>
      </c>
      <c r="G5">
        <v>0.55427964851105516</v>
      </c>
      <c r="H5">
        <v>-11.512925464970236</v>
      </c>
      <c r="I5">
        <v>1.2611987985640907</v>
      </c>
      <c r="J5">
        <v>-1.9203887177434036</v>
      </c>
      <c r="K5">
        <v>5.6572221874914785E-2</v>
      </c>
      <c r="L5">
        <v>0</v>
      </c>
      <c r="M5">
        <v>0</v>
      </c>
      <c r="N5">
        <v>0.14814814814814814</v>
      </c>
      <c r="O5">
        <v>0.14814814814814814</v>
      </c>
      <c r="P5">
        <v>0.33333333333333331</v>
      </c>
      <c r="Q5">
        <v>0.25925925925925924</v>
      </c>
    </row>
    <row r="6" spans="1:17" x14ac:dyDescent="0.25">
      <c r="A6" s="2">
        <v>2008</v>
      </c>
      <c r="B6">
        <v>0.85537909939281342</v>
      </c>
      <c r="C6">
        <v>0.91197939101387671</v>
      </c>
      <c r="D6">
        <v>0.97495552319764167</v>
      </c>
      <c r="E6">
        <v>0.46352362013751169</v>
      </c>
      <c r="F6">
        <v>0.51114321761026571</v>
      </c>
      <c r="G6">
        <v>0.67279876753507539</v>
      </c>
      <c r="H6">
        <v>-11.3771375646233</v>
      </c>
      <c r="I6">
        <v>1.2611987985640907</v>
      </c>
      <c r="J6">
        <v>-1.8082140641746025</v>
      </c>
      <c r="K6">
        <v>6.7856868660008465E-2</v>
      </c>
      <c r="L6">
        <v>0</v>
      </c>
      <c r="M6">
        <v>0</v>
      </c>
      <c r="N6">
        <v>0.14814814814814814</v>
      </c>
      <c r="O6">
        <v>0.14814814814814814</v>
      </c>
      <c r="P6">
        <v>0.33333333333333331</v>
      </c>
      <c r="Q6">
        <v>0.25925925925925924</v>
      </c>
    </row>
    <row r="7" spans="1:17" x14ac:dyDescent="0.25">
      <c r="A7" s="2">
        <v>2009</v>
      </c>
      <c r="B7">
        <v>0.81646754353349349</v>
      </c>
      <c r="C7">
        <v>0.85537909939281342</v>
      </c>
      <c r="D7">
        <v>0.91197939101387671</v>
      </c>
      <c r="E7">
        <v>0.42334572760933303</v>
      </c>
      <c r="F7">
        <v>0.46352362013751169</v>
      </c>
      <c r="G7">
        <v>0.51114321761026571</v>
      </c>
      <c r="H7">
        <v>-9.9022013681026841</v>
      </c>
      <c r="I7">
        <v>1.2611987985640907</v>
      </c>
      <c r="J7">
        <v>-1.7049909491781245</v>
      </c>
      <c r="K7">
        <v>1.2861982794237082E-2</v>
      </c>
      <c r="L7">
        <v>0</v>
      </c>
      <c r="M7">
        <v>0</v>
      </c>
      <c r="N7">
        <v>0.14814814814814814</v>
      </c>
      <c r="O7">
        <v>0.14814814814814814</v>
      </c>
      <c r="P7">
        <v>0.33333333333333331</v>
      </c>
      <c r="Q7">
        <v>0.25925925925925924</v>
      </c>
    </row>
    <row r="8" spans="1:17" x14ac:dyDescent="0.25">
      <c r="A8" s="2">
        <v>2010</v>
      </c>
      <c r="B8">
        <v>0.777492907656261</v>
      </c>
      <c r="C8">
        <v>0.81646754353349349</v>
      </c>
      <c r="D8">
        <v>0.85537909939281342</v>
      </c>
      <c r="E8">
        <v>0.45529453708014589</v>
      </c>
      <c r="F8">
        <v>0.42334572760933303</v>
      </c>
      <c r="G8">
        <v>0.46352362013751169</v>
      </c>
      <c r="H8">
        <v>-8.197039987218032</v>
      </c>
      <c r="I8">
        <v>1.2611987985640907</v>
      </c>
      <c r="J8">
        <v>-1.6017734560057644</v>
      </c>
      <c r="K8">
        <v>7.6730738980350668E-2</v>
      </c>
      <c r="L8">
        <v>0</v>
      </c>
      <c r="M8">
        <v>0</v>
      </c>
      <c r="N8">
        <v>0.14814814814814814</v>
      </c>
      <c r="O8">
        <v>0.14814814814814814</v>
      </c>
      <c r="P8">
        <v>0.33333333333333331</v>
      </c>
      <c r="Q8">
        <v>0.25925925925925924</v>
      </c>
    </row>
    <row r="9" spans="1:17" x14ac:dyDescent="0.25">
      <c r="A9" s="2">
        <v>2011</v>
      </c>
      <c r="B9">
        <v>0.7583746713425471</v>
      </c>
      <c r="C9">
        <v>0.777492907656261</v>
      </c>
      <c r="D9">
        <v>0.81646754353349349</v>
      </c>
      <c r="E9">
        <v>0.52363684824444345</v>
      </c>
      <c r="F9">
        <v>0.45529453708014589</v>
      </c>
      <c r="G9">
        <v>0.42334572760933303</v>
      </c>
      <c r="H9">
        <v>-6.3121745763490518</v>
      </c>
      <c r="I9">
        <v>1.2611987985640907</v>
      </c>
      <c r="J9">
        <v>-1.5095698006594631</v>
      </c>
      <c r="K9">
        <v>4.7444273148559861E-2</v>
      </c>
      <c r="L9">
        <v>0</v>
      </c>
      <c r="M9">
        <v>0</v>
      </c>
      <c r="N9">
        <v>0.14814814814814814</v>
      </c>
      <c r="O9">
        <v>0.14814814814814814</v>
      </c>
      <c r="P9">
        <v>0.33333333333333331</v>
      </c>
      <c r="Q9">
        <v>0.25925925925925924</v>
      </c>
    </row>
    <row r="10" spans="1:17" x14ac:dyDescent="0.25">
      <c r="A10" s="2">
        <v>2012</v>
      </c>
      <c r="B10">
        <v>0.702430526386702</v>
      </c>
      <c r="C10">
        <v>0.7583746713425471</v>
      </c>
      <c r="D10">
        <v>0.777492907656261</v>
      </c>
      <c r="E10">
        <v>0.47609553461100196</v>
      </c>
      <c r="F10">
        <v>0.52363684824444345</v>
      </c>
      <c r="G10">
        <v>0.45529453708014589</v>
      </c>
      <c r="H10">
        <v>-5.9071195568739272</v>
      </c>
      <c r="I10">
        <v>1.2611987985640907</v>
      </c>
      <c r="J10">
        <v>-1.4290777436667099</v>
      </c>
      <c r="K10">
        <v>2.8248098467614641E-2</v>
      </c>
      <c r="L10">
        <v>0</v>
      </c>
      <c r="M10">
        <v>0</v>
      </c>
      <c r="N10">
        <v>0.14814814814814814</v>
      </c>
      <c r="O10">
        <v>0.14814814814814814</v>
      </c>
      <c r="P10">
        <v>0.33333333333333331</v>
      </c>
      <c r="Q10">
        <v>0.25925925925925924</v>
      </c>
    </row>
    <row r="11" spans="1:17" x14ac:dyDescent="0.25">
      <c r="A11" s="2">
        <v>2013</v>
      </c>
      <c r="B11">
        <v>0.69124481922495584</v>
      </c>
      <c r="C11">
        <v>0.702430526386702</v>
      </c>
      <c r="D11">
        <v>0.7583746713425471</v>
      </c>
      <c r="E11">
        <v>0.45675820275444429</v>
      </c>
      <c r="F11">
        <v>0.47609553461100196</v>
      </c>
      <c r="G11">
        <v>0.52363684824444345</v>
      </c>
      <c r="H11">
        <v>-5.0841253927482333</v>
      </c>
      <c r="I11">
        <v>1.2611987985640907</v>
      </c>
      <c r="J11">
        <v>-1.3877177562761585</v>
      </c>
      <c r="K11">
        <v>3.1288043871797899E-2</v>
      </c>
      <c r="L11">
        <v>0</v>
      </c>
      <c r="M11">
        <v>0</v>
      </c>
      <c r="N11">
        <v>0.14814814814814814</v>
      </c>
      <c r="O11">
        <v>0.14814814814814814</v>
      </c>
      <c r="P11">
        <v>0.33333333333333331</v>
      </c>
      <c r="Q11">
        <v>0.25925925925925924</v>
      </c>
    </row>
    <row r="12" spans="1:17" x14ac:dyDescent="0.25">
      <c r="A12" s="2">
        <v>2014</v>
      </c>
      <c r="B12">
        <v>0.66928832944028727</v>
      </c>
      <c r="C12">
        <v>0.69124481922495584</v>
      </c>
      <c r="D12">
        <v>0.702430526386702</v>
      </c>
      <c r="E12">
        <v>0.44864988502053216</v>
      </c>
      <c r="F12">
        <v>0.45675820275444429</v>
      </c>
      <c r="G12">
        <v>0.47609553461100196</v>
      </c>
      <c r="H12">
        <v>-4.393180944374329</v>
      </c>
      <c r="I12">
        <v>1.2611987985640907</v>
      </c>
      <c r="J12">
        <v>-1.3292652410658869</v>
      </c>
      <c r="K12">
        <v>1.7565661079802172E-2</v>
      </c>
      <c r="L12">
        <v>0</v>
      </c>
      <c r="M12">
        <v>0</v>
      </c>
      <c r="N12">
        <v>0.14814814814814814</v>
      </c>
      <c r="O12">
        <v>0.14814814814814814</v>
      </c>
      <c r="P12">
        <v>0.33333333333333331</v>
      </c>
      <c r="Q12">
        <v>0.25925925925925924</v>
      </c>
    </row>
    <row r="13" spans="1:17" x14ac:dyDescent="0.25">
      <c r="A13" s="2">
        <v>2015</v>
      </c>
      <c r="B13">
        <v>0.687340669710647</v>
      </c>
      <c r="C13">
        <v>0.66928832944028727</v>
      </c>
      <c r="D13">
        <v>0.69124481922495584</v>
      </c>
      <c r="E13">
        <v>0.41661377968583002</v>
      </c>
      <c r="F13">
        <v>0.44864988502053216</v>
      </c>
      <c r="G13">
        <v>0.45675820275444429</v>
      </c>
      <c r="H13">
        <v>-3.9997652927349754</v>
      </c>
      <c r="I13">
        <v>1.2611987985640907</v>
      </c>
      <c r="J13">
        <v>-1.2866008343956077</v>
      </c>
      <c r="K13">
        <v>-2.9838155610141932E-2</v>
      </c>
      <c r="L13">
        <v>1</v>
      </c>
      <c r="M13">
        <v>0</v>
      </c>
      <c r="N13">
        <v>0.14814814814814814</v>
      </c>
      <c r="O13">
        <v>0.14814814814814814</v>
      </c>
      <c r="P13">
        <v>0.33333333333333331</v>
      </c>
      <c r="Q13">
        <v>0.25925925925925924</v>
      </c>
    </row>
    <row r="14" spans="1:17" x14ac:dyDescent="0.25">
      <c r="A14" s="2">
        <v>2016</v>
      </c>
      <c r="B14">
        <v>0.71838808622931516</v>
      </c>
      <c r="C14">
        <v>0.687340669710647</v>
      </c>
      <c r="D14">
        <v>0.66928832944028727</v>
      </c>
      <c r="E14">
        <v>0.53432943455765569</v>
      </c>
      <c r="F14">
        <v>0.41661377968583002</v>
      </c>
      <c r="G14">
        <v>0.44864988502053216</v>
      </c>
      <c r="H14">
        <v>-3.6533841868577732</v>
      </c>
      <c r="I14">
        <v>1.2611987985640907</v>
      </c>
      <c r="J14">
        <v>-1.2589198636606529</v>
      </c>
      <c r="K14">
        <v>-2.7710864070320019E-2</v>
      </c>
      <c r="L14">
        <v>1</v>
      </c>
      <c r="M14">
        <v>0</v>
      </c>
      <c r="N14">
        <v>0.14814814814814814</v>
      </c>
      <c r="O14">
        <v>0.14814814814814814</v>
      </c>
      <c r="P14">
        <v>0.33333333333333331</v>
      </c>
      <c r="Q14">
        <v>0.25925925925925924</v>
      </c>
    </row>
    <row r="15" spans="1:17" x14ac:dyDescent="0.25">
      <c r="A15" s="2">
        <v>2017</v>
      </c>
      <c r="B15">
        <v>0.70672876595974388</v>
      </c>
      <c r="C15">
        <v>0.71838808622931516</v>
      </c>
      <c r="D15">
        <v>0.687340669710647</v>
      </c>
      <c r="E15">
        <v>0.52252684719588016</v>
      </c>
      <c r="F15">
        <v>0.53432943455765569</v>
      </c>
      <c r="G15">
        <v>0.41661377968583002</v>
      </c>
      <c r="H15">
        <v>-3.0119183474566342</v>
      </c>
      <c r="I15">
        <v>1.2611987985640907</v>
      </c>
      <c r="J15">
        <v>-1.2324247830556299</v>
      </c>
      <c r="K15">
        <v>2.3818450471110367E-2</v>
      </c>
      <c r="L15">
        <v>1</v>
      </c>
      <c r="M15">
        <v>0</v>
      </c>
      <c r="N15">
        <v>0.14814814814814814</v>
      </c>
      <c r="O15">
        <v>0.14814814814814814</v>
      </c>
      <c r="P15">
        <v>0.33333333333333331</v>
      </c>
      <c r="Q15">
        <v>0.25925925925925924</v>
      </c>
    </row>
    <row r="16" spans="1:17" x14ac:dyDescent="0.25">
      <c r="A16" s="2">
        <v>2018</v>
      </c>
      <c r="B16">
        <v>0.82065957880486107</v>
      </c>
      <c r="C16">
        <v>0.70672876595974388</v>
      </c>
      <c r="D16">
        <v>0.71838808622931516</v>
      </c>
      <c r="E16">
        <v>0.55962745723829554</v>
      </c>
      <c r="F16">
        <v>0.52252684719588016</v>
      </c>
      <c r="G16">
        <v>0.53432943455765569</v>
      </c>
      <c r="H16">
        <v>-2.5683028725567678</v>
      </c>
      <c r="I16">
        <v>1.2611987985640907</v>
      </c>
      <c r="J16">
        <v>-1.2020664261924283</v>
      </c>
      <c r="K16">
        <v>2.1375252973046845E-2</v>
      </c>
      <c r="L16">
        <v>1</v>
      </c>
      <c r="M16">
        <v>0</v>
      </c>
      <c r="N16">
        <v>0.14814814814814814</v>
      </c>
      <c r="O16">
        <v>0.14814814814814814</v>
      </c>
      <c r="P16">
        <v>0.33333333333333331</v>
      </c>
      <c r="Q16">
        <v>0.25925925925925924</v>
      </c>
    </row>
    <row r="17" spans="1:17" x14ac:dyDescent="0.25">
      <c r="A17" s="2">
        <v>2019</v>
      </c>
      <c r="B17">
        <v>0.77204799639498145</v>
      </c>
      <c r="C17">
        <v>0.82065957880486107</v>
      </c>
      <c r="D17">
        <v>0.70672876595974388</v>
      </c>
      <c r="E17">
        <v>0.52564196400223318</v>
      </c>
      <c r="F17">
        <v>0.55962745723829554</v>
      </c>
      <c r="G17">
        <v>0.52252684719588016</v>
      </c>
      <c r="H17">
        <v>-1.8411453695918325</v>
      </c>
      <c r="I17">
        <v>1.2611987985640907</v>
      </c>
      <c r="J17">
        <v>-1.1728049207269915</v>
      </c>
      <c r="K17">
        <v>1.010959763920659E-2</v>
      </c>
      <c r="L17">
        <v>1</v>
      </c>
      <c r="M17">
        <v>0</v>
      </c>
      <c r="N17">
        <v>0.14814814814814814</v>
      </c>
      <c r="O17">
        <v>0.14814814814814814</v>
      </c>
      <c r="P17">
        <v>0.33333333333333331</v>
      </c>
      <c r="Q17">
        <v>0.25925925925925924</v>
      </c>
    </row>
    <row r="18" spans="1:17" x14ac:dyDescent="0.25">
      <c r="A18" s="2">
        <v>2020</v>
      </c>
      <c r="B18">
        <v>0.70336683331438277</v>
      </c>
      <c r="C18">
        <v>0.77204799639498145</v>
      </c>
      <c r="D18">
        <v>0.82065957880486107</v>
      </c>
      <c r="E18">
        <v>0.48229045036984236</v>
      </c>
      <c r="F18">
        <v>0.52564196400223318</v>
      </c>
      <c r="G18">
        <v>0.55962745723829554</v>
      </c>
      <c r="H18">
        <v>-1.2212310909380477</v>
      </c>
      <c r="I18">
        <v>1.2611987985640907</v>
      </c>
      <c r="J18">
        <v>-1.1509528972493202</v>
      </c>
      <c r="K18">
        <v>-5.8287626425563184E-3</v>
      </c>
      <c r="L18">
        <v>1</v>
      </c>
      <c r="M18">
        <v>1</v>
      </c>
      <c r="N18">
        <v>0.14814814814814814</v>
      </c>
      <c r="O18">
        <v>0.14814814814814814</v>
      </c>
      <c r="P18">
        <v>0.33333333333333331</v>
      </c>
      <c r="Q18">
        <v>0.25925925925925924</v>
      </c>
    </row>
    <row r="19" spans="1:17" x14ac:dyDescent="0.25">
      <c r="A19" s="2">
        <v>2021</v>
      </c>
      <c r="B19">
        <v>0.90987998493049316</v>
      </c>
      <c r="C19">
        <v>0.70336683331438277</v>
      </c>
      <c r="D19">
        <v>0.77204799639498145</v>
      </c>
      <c r="E19">
        <v>0.72531290006816873</v>
      </c>
      <c r="F19">
        <v>0.48229045036984236</v>
      </c>
      <c r="G19">
        <v>0.52564196400223318</v>
      </c>
      <c r="H19">
        <v>-0.6336038234926078</v>
      </c>
      <c r="I19">
        <v>1.2611987985640907</v>
      </c>
      <c r="J19">
        <v>-1.1292698424260976</v>
      </c>
      <c r="K19">
        <v>4.1537500564353888E-2</v>
      </c>
      <c r="L19">
        <v>1</v>
      </c>
      <c r="M19">
        <v>0</v>
      </c>
      <c r="N19">
        <v>0.14814814814814814</v>
      </c>
      <c r="O19">
        <v>0.14814814814814814</v>
      </c>
      <c r="P19">
        <v>0.33333333333333331</v>
      </c>
      <c r="Q19">
        <v>0.25925925925925924</v>
      </c>
    </row>
    <row r="20" spans="1:17" x14ac:dyDescent="0.25">
      <c r="A20" s="2">
        <v>2022</v>
      </c>
      <c r="B20">
        <v>0.91104911512392761</v>
      </c>
      <c r="C20">
        <v>0.90987998493049316</v>
      </c>
      <c r="D20">
        <v>0.70336683331438277</v>
      </c>
      <c r="E20">
        <v>0.7075301731360556</v>
      </c>
      <c r="F20">
        <v>0.72531290006816873</v>
      </c>
      <c r="G20">
        <v>0.48229045036984236</v>
      </c>
      <c r="H20">
        <v>-0.15135449547508714</v>
      </c>
      <c r="I20">
        <v>1.2611987985640907</v>
      </c>
      <c r="J20">
        <v>-1.099398781390063</v>
      </c>
      <c r="K20">
        <v>1.8858119517702748E-2</v>
      </c>
      <c r="L20">
        <v>1</v>
      </c>
      <c r="M20">
        <v>0</v>
      </c>
      <c r="N20">
        <v>0.14814814814814814</v>
      </c>
      <c r="O20">
        <v>0.14814814814814814</v>
      </c>
      <c r="P20">
        <v>0.33333333333333331</v>
      </c>
      <c r="Q20">
        <v>0.25925925925925924</v>
      </c>
    </row>
    <row r="21" spans="1:17" x14ac:dyDescent="0.25">
      <c r="A21" s="2">
        <v>2023</v>
      </c>
      <c r="B21">
        <v>0.768251180147968</v>
      </c>
      <c r="C21">
        <v>0.91104911512392761</v>
      </c>
      <c r="D21">
        <v>0.90987998493049316</v>
      </c>
      <c r="E21">
        <v>0.50149360670086218</v>
      </c>
      <c r="F21">
        <v>0.7075301731360556</v>
      </c>
      <c r="G21">
        <v>0.72531290006816873</v>
      </c>
      <c r="H21">
        <v>0.40370328645605685</v>
      </c>
      <c r="I21">
        <v>1.2611987985640907</v>
      </c>
      <c r="J21">
        <v>-1.0671368745708347</v>
      </c>
      <c r="K21">
        <v>4.7341611753735274E-2</v>
      </c>
      <c r="L21">
        <v>1</v>
      </c>
      <c r="M21">
        <v>0</v>
      </c>
      <c r="N21">
        <v>0.14814814814814814</v>
      </c>
      <c r="O21">
        <v>0.14814814814814814</v>
      </c>
      <c r="P21">
        <v>0.33333333333333331</v>
      </c>
      <c r="Q21">
        <v>0.25925925925925924</v>
      </c>
    </row>
    <row r="22" spans="1:17" x14ac:dyDescent="0.25">
      <c r="A22" s="2" t="s">
        <v>23</v>
      </c>
      <c r="B22">
        <v>0.78640694565582847</v>
      </c>
      <c r="C22">
        <v>0.79482465845638539</v>
      </c>
      <c r="D22">
        <v>0.79219398881245118</v>
      </c>
      <c r="E22">
        <v>0.52258960853097669</v>
      </c>
      <c r="F22">
        <v>0.52552216640932081</v>
      </c>
      <c r="G22">
        <v>0.51179665163139842</v>
      </c>
      <c r="H22">
        <v>-5.0486573618265318</v>
      </c>
      <c r="I22">
        <v>1.2611987985640889</v>
      </c>
      <c r="J22">
        <v>-1.4065730866218367</v>
      </c>
      <c r="K22">
        <v>2.7132183066825574E-2</v>
      </c>
      <c r="L22">
        <v>0.5</v>
      </c>
      <c r="M22">
        <v>5.5555555555555552E-2</v>
      </c>
      <c r="N22">
        <v>0.14814814814814814</v>
      </c>
      <c r="O22">
        <v>0.14814814814814814</v>
      </c>
      <c r="P22">
        <v>0.33333333333333331</v>
      </c>
      <c r="Q22">
        <v>0.25925925925925924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2AE3-88D8-4FAD-936A-FAC31422E541}">
  <dimension ref="A1:BW91"/>
  <sheetViews>
    <sheetView topLeftCell="A4" zoomScaleNormal="100" workbookViewId="0">
      <pane xSplit="1" topLeftCell="AR1" activePane="topRight" state="frozen"/>
      <selection pane="topRight" activeCell="A14" sqref="A14:XFD14"/>
    </sheetView>
  </sheetViews>
  <sheetFormatPr defaultColWidth="9.140625" defaultRowHeight="15" x14ac:dyDescent="0.25"/>
  <cols>
    <col min="1" max="19" width="9.5703125" style="5" customWidth="1"/>
    <col min="20" max="20" width="3.42578125" style="12" customWidth="1"/>
    <col min="21" max="21" width="9.7109375" style="5" bestFit="1" customWidth="1"/>
    <col min="22" max="22" width="6" style="5" bestFit="1" customWidth="1"/>
    <col min="23" max="23" width="3.85546875" style="5" customWidth="1"/>
    <col min="24" max="28" width="13.5703125" style="5" customWidth="1"/>
    <col min="29" max="29" width="13.5703125" style="5" bestFit="1" customWidth="1"/>
    <col min="30" max="30" width="3.42578125" style="12" customWidth="1"/>
    <col min="31" max="31" width="11.140625" style="5" customWidth="1"/>
    <col min="32" max="32" width="5.140625" style="5" bestFit="1" customWidth="1"/>
    <col min="33" max="33" width="3.42578125" style="5" customWidth="1"/>
    <col min="34" max="38" width="14.42578125" style="5" customWidth="1"/>
    <col min="39" max="39" width="13.7109375" style="5" bestFit="1" customWidth="1"/>
    <col min="40" max="40" width="3.42578125" style="12" customWidth="1"/>
    <col min="41" max="41" width="13.28515625" style="5" customWidth="1"/>
    <col min="42" max="42" width="4.140625" style="5" customWidth="1"/>
    <col min="43" max="43" width="12.28515625" style="5" bestFit="1" customWidth="1"/>
    <col min="44" max="44" width="18.42578125" style="5" bestFit="1" customWidth="1"/>
    <col min="45" max="45" width="3.42578125" style="12" customWidth="1"/>
    <col min="46" max="46" width="12" style="5" customWidth="1"/>
    <col min="47" max="49" width="13.28515625" style="5" customWidth="1"/>
    <col min="50" max="53" width="9.140625" style="5"/>
    <col min="54" max="54" width="15.140625" style="5" customWidth="1"/>
    <col min="55" max="55" width="9.140625" style="5"/>
    <col min="56" max="56" width="15" style="5" customWidth="1"/>
    <col min="57" max="57" width="16.85546875" style="5" bestFit="1" customWidth="1"/>
    <col min="58" max="58" width="19.5703125" style="5" bestFit="1" customWidth="1"/>
    <col min="59" max="59" width="20.28515625" style="5" bestFit="1" customWidth="1"/>
    <col min="60" max="60" width="20.5703125" style="5" bestFit="1" customWidth="1"/>
    <col min="61" max="61" width="23.28515625" style="5" bestFit="1" customWidth="1"/>
    <col min="62" max="75" width="8.85546875" customWidth="1"/>
    <col min="76" max="16384" width="9.140625" style="5"/>
  </cols>
  <sheetData>
    <row r="1" spans="1:75" ht="12.75" customHeight="1" x14ac:dyDescent="0.25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s="18" customFormat="1" x14ac:dyDescent="0.25">
      <c r="A2" s="30" t="s">
        <v>28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19"/>
      <c r="U2" s="29" t="s">
        <v>32</v>
      </c>
      <c r="V2" s="29"/>
      <c r="W2" s="29"/>
      <c r="X2" s="29"/>
      <c r="Y2" s="29"/>
      <c r="Z2" s="29"/>
      <c r="AA2" s="29"/>
      <c r="AB2" s="29"/>
      <c r="AC2" s="29"/>
      <c r="AD2" s="19"/>
      <c r="AE2" s="29" t="s">
        <v>43</v>
      </c>
      <c r="AF2" s="29"/>
      <c r="AG2" s="29"/>
      <c r="AH2" s="29"/>
      <c r="AI2" s="29"/>
      <c r="AJ2" s="29"/>
      <c r="AK2" s="29"/>
      <c r="AL2" s="29"/>
      <c r="AM2" s="29"/>
      <c r="AN2" s="19"/>
      <c r="AO2" s="21" t="s">
        <v>61</v>
      </c>
      <c r="AP2" s="21"/>
      <c r="AQ2" s="21"/>
      <c r="AR2" s="21"/>
      <c r="AS2" s="19"/>
      <c r="AT2" s="22" t="s">
        <v>53</v>
      </c>
      <c r="AU2" s="22"/>
      <c r="AV2" s="22"/>
      <c r="AW2" s="22"/>
      <c r="AX2" s="22"/>
      <c r="AY2" s="22"/>
      <c r="AZ2" s="22"/>
      <c r="BA2" s="22"/>
      <c r="BB2" s="22"/>
      <c r="BC2" s="22"/>
      <c r="BD2" s="21"/>
      <c r="BE2" s="22"/>
      <c r="BF2" s="22"/>
      <c r="BG2" s="22"/>
      <c r="BH2" s="22"/>
      <c r="BI2" s="22"/>
    </row>
    <row r="3" spans="1:75" x14ac:dyDescent="0.25">
      <c r="A3" s="5" t="s">
        <v>27</v>
      </c>
      <c r="B3" s="5">
        <v>0.127</v>
      </c>
      <c r="BH3" s="5" t="s">
        <v>57</v>
      </c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x14ac:dyDescent="0.25">
      <c r="B4" s="5">
        <v>-0.99099999999999999</v>
      </c>
      <c r="C4" s="5">
        <v>-0.19800000000000001</v>
      </c>
      <c r="D4" s="5">
        <v>-0.313</v>
      </c>
      <c r="E4" s="5">
        <v>0.45600000000000002</v>
      </c>
      <c r="F4" s="5">
        <v>0.192</v>
      </c>
      <c r="G4" s="5">
        <v>0.14599999999999999</v>
      </c>
      <c r="H4" s="5">
        <v>-4.0000000000000001E-3</v>
      </c>
      <c r="I4" s="5">
        <v>-0.10299999999999999</v>
      </c>
      <c r="J4" s="5">
        <v>0.66300000000000003</v>
      </c>
      <c r="K4" s="5">
        <v>0.10199999999999999</v>
      </c>
      <c r="L4" s="5">
        <v>0</v>
      </c>
      <c r="M4" s="5">
        <v>-3.5000000000000003E-2</v>
      </c>
      <c r="N4" s="5">
        <v>-9.6000000000000002E-2</v>
      </c>
      <c r="O4" s="5">
        <v>5.6000000000000001E-2</v>
      </c>
      <c r="P4" s="5">
        <v>0</v>
      </c>
      <c r="Q4" s="5">
        <v>-0.154</v>
      </c>
      <c r="R4" s="5">
        <v>-0.21299999999999999</v>
      </c>
      <c r="S4" s="5">
        <v>7.0999999999999994E-2</v>
      </c>
      <c r="V4" s="7"/>
      <c r="W4" s="7"/>
      <c r="X4" s="7"/>
      <c r="Y4" s="7"/>
      <c r="Z4" s="7"/>
      <c r="AA4" s="7"/>
      <c r="AB4" s="7"/>
      <c r="AC4" s="7"/>
      <c r="AF4" s="7"/>
      <c r="AG4" s="7"/>
      <c r="AH4" s="7"/>
      <c r="AI4" s="7"/>
      <c r="AJ4" s="7"/>
      <c r="AK4" s="7"/>
      <c r="AL4" s="7"/>
      <c r="AM4" s="7"/>
      <c r="AU4" s="23" t="s">
        <v>70</v>
      </c>
      <c r="AV4" s="23"/>
      <c r="AW4" s="23"/>
      <c r="AX4" s="24" t="s">
        <v>71</v>
      </c>
      <c r="AY4" s="24"/>
      <c r="AZ4" s="24"/>
      <c r="BD4" s="9"/>
      <c r="BH4" s="5">
        <v>3.0533708148240004</v>
      </c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x14ac:dyDescent="0.25">
      <c r="A5" s="5" t="s">
        <v>24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25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X5" s="9" t="s">
        <v>91</v>
      </c>
      <c r="Y5" s="9" t="s">
        <v>92</v>
      </c>
      <c r="Z5" s="9" t="s">
        <v>93</v>
      </c>
      <c r="AA5" s="5" t="s">
        <v>29</v>
      </c>
      <c r="AB5" s="5" t="s">
        <v>30</v>
      </c>
      <c r="AC5" s="5" t="s">
        <v>31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9" t="s">
        <v>46</v>
      </c>
      <c r="AQ5" s="5" t="s">
        <v>62</v>
      </c>
      <c r="AR5" s="5" t="s">
        <v>63</v>
      </c>
      <c r="AT5" s="5" t="s">
        <v>65</v>
      </c>
      <c r="AU5" s="5" t="s">
        <v>67</v>
      </c>
      <c r="AV5" s="5" t="s">
        <v>66</v>
      </c>
      <c r="AW5" s="5" t="s">
        <v>68</v>
      </c>
      <c r="AX5" s="12" t="s">
        <v>67</v>
      </c>
      <c r="AY5" s="12" t="s">
        <v>66</v>
      </c>
      <c r="AZ5" s="12" t="s">
        <v>68</v>
      </c>
      <c r="BA5" s="5" t="s">
        <v>69</v>
      </c>
      <c r="BB5" s="5" t="s">
        <v>51</v>
      </c>
      <c r="BC5" s="5" t="s">
        <v>52</v>
      </c>
      <c r="BD5" s="5" t="s">
        <v>47</v>
      </c>
      <c r="BE5" s="5" t="s">
        <v>54</v>
      </c>
      <c r="BF5" s="5" t="s">
        <v>58</v>
      </c>
      <c r="BG5" s="5" t="s">
        <v>55</v>
      </c>
      <c r="BH5" s="5" t="s">
        <v>56</v>
      </c>
      <c r="BI5" s="5" t="s">
        <v>59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x14ac:dyDescent="0.25">
      <c r="A6" s="5">
        <v>2022</v>
      </c>
      <c r="AX6" s="12"/>
      <c r="AY6" s="12"/>
      <c r="AZ6" s="12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x14ac:dyDescent="0.25">
      <c r="A7" s="5">
        <v>2023</v>
      </c>
      <c r="B7" s="6">
        <v>0.768251180147968</v>
      </c>
      <c r="C7" s="6">
        <v>0.91104911512392761</v>
      </c>
      <c r="D7" s="6">
        <v>0.90987998493049316</v>
      </c>
      <c r="E7" s="6">
        <v>0.50149360670086218</v>
      </c>
      <c r="F7" s="6">
        <v>0.7075301731360556</v>
      </c>
      <c r="G7" s="6">
        <v>0.72531290006816873</v>
      </c>
      <c r="H7" s="6">
        <v>0.40370328645605685</v>
      </c>
      <c r="I7" s="6">
        <v>1.2611987985640907</v>
      </c>
      <c r="J7" s="6">
        <v>-1.0671368745708347</v>
      </c>
      <c r="K7" s="6">
        <v>4.7341611753735274E-2</v>
      </c>
      <c r="L7" s="6">
        <v>0</v>
      </c>
      <c r="M7" s="13">
        <f>IF(A7&lt;=2024,1,0)</f>
        <v>1</v>
      </c>
      <c r="N7" s="13">
        <v>0</v>
      </c>
      <c r="O7" s="6">
        <v>0.14814814814814814</v>
      </c>
      <c r="P7" s="6">
        <v>0.1111111111111111</v>
      </c>
      <c r="Q7" s="6">
        <v>0.14814814814814814</v>
      </c>
      <c r="R7" s="6">
        <v>0.33333333333333331</v>
      </c>
      <c r="S7" s="6">
        <v>0.25925925925925924</v>
      </c>
      <c r="X7" s="6">
        <f>EXP(H7)/1000</f>
        <v>1.4973595941669107E-3</v>
      </c>
      <c r="Y7" s="6">
        <f>EXP(J7)</f>
        <v>0.34399200107403871</v>
      </c>
      <c r="Z7" s="6">
        <f>X7+Y7</f>
        <v>0.34548936066820563</v>
      </c>
      <c r="AA7" s="6">
        <f>LN(X7*1000)</f>
        <v>0.40370328645605691</v>
      </c>
      <c r="AB7" s="6">
        <f>LN(Y7)</f>
        <v>-1.0671368745708347</v>
      </c>
      <c r="AC7" s="6">
        <f>AA7*$H$4 + AB7*$J$4</f>
        <v>-0.70912656098628768</v>
      </c>
      <c r="AD7" s="14"/>
      <c r="AH7" s="6">
        <f>EXP(B7)</f>
        <v>2.1559925124432264</v>
      </c>
      <c r="AI7" s="6">
        <f t="shared" ref="AI7:AI44" si="0">LN(AH7)</f>
        <v>0.76825118014796812</v>
      </c>
      <c r="AJ7" s="6">
        <v>0.77204799639498145</v>
      </c>
      <c r="AK7" s="6">
        <v>0.82065957880486107</v>
      </c>
      <c r="AL7" s="6">
        <f>ROUND((AH7-EXP(B7))/AH7, 7)</f>
        <v>0</v>
      </c>
      <c r="AM7" s="6">
        <f>SUMPRODUCT(AI7:AK7,$B$4:$D$4)</f>
        <v>-1.1710688709787642</v>
      </c>
      <c r="AQ7" s="5">
        <f t="shared" ref="AQ7:AQ44" si="1">IF(A7&lt;=AO$49,1,0)</f>
        <v>1</v>
      </c>
      <c r="AR7" s="5">
        <f t="shared" ref="AR7:AR44" si="2">AQ7*M$4</f>
        <v>-3.5000000000000003E-2</v>
      </c>
      <c r="AT7" s="6">
        <f>B$3+SUMPRODUCT(B7:S7,B$4:S$4)</f>
        <v>-1.5654068222473689</v>
      </c>
      <c r="AU7" s="28">
        <f>AC7-((H7*H$4)+(J7*J$4))</f>
        <v>0</v>
      </c>
      <c r="AV7" s="28">
        <f>AM7-SUMPRODUCT(B7:D7,B$4:D$4)</f>
        <v>5.5448208625654249E-2</v>
      </c>
      <c r="AW7" s="28">
        <f t="shared" ref="AW7:AW44" si="3">AR7-(M7*M$4)</f>
        <v>0</v>
      </c>
      <c r="AX7" s="14">
        <f>EXP($AT7+AU7)</f>
        <v>0.20900296881800667</v>
      </c>
      <c r="AY7" s="14">
        <f t="shared" ref="AY7:AY44" si="4">EXP($AT7+AV7)</f>
        <v>0.22091912081248652</v>
      </c>
      <c r="AZ7" s="14">
        <f>EXP($AT7+AW7)</f>
        <v>0.20900296881800667</v>
      </c>
      <c r="BA7" s="6">
        <f>SUM(AT7:AW7)</f>
        <v>-1.5099586136217147</v>
      </c>
      <c r="BB7" s="6">
        <f t="shared" ref="BB7:BB44" si="5">EXP(BA7)</f>
        <v>0.22091912081248652</v>
      </c>
      <c r="BC7" s="17">
        <f>BB7/BB$7</f>
        <v>1</v>
      </c>
      <c r="BD7" s="5">
        <v>210103642</v>
      </c>
      <c r="BE7" s="20">
        <f t="shared" ref="BE7:BE44" si="6">BB7*BD7</f>
        <v>46415911.870141417</v>
      </c>
      <c r="BF7" s="20">
        <f>SUM(BE$7:BE7)</f>
        <v>46415911.870141417</v>
      </c>
      <c r="BG7" s="20">
        <f t="shared" ref="BG7:BG44" si="7">1000*BB7*AL7*AH7</f>
        <v>0</v>
      </c>
      <c r="BH7" s="20">
        <f t="shared" ref="BH7:BH44" si="8">(BH$4*BG7*BD7)</f>
        <v>0</v>
      </c>
      <c r="BI7" s="20">
        <f>BH7</f>
        <v>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x14ac:dyDescent="0.25">
      <c r="A8" s="5">
        <v>2024</v>
      </c>
      <c r="B8" s="6">
        <v>0.768251180147968</v>
      </c>
      <c r="C8" s="6">
        <v>0.91104911512392761</v>
      </c>
      <c r="D8" s="6">
        <v>0.90987998493049316</v>
      </c>
      <c r="E8" s="6">
        <v>0.50149360670086218</v>
      </c>
      <c r="F8" s="6">
        <v>0.7075301731360556</v>
      </c>
      <c r="G8" s="6">
        <v>0.72531290006816873</v>
      </c>
      <c r="H8" s="6">
        <v>0.40370328645605685</v>
      </c>
      <c r="I8" s="6">
        <v>1.2611987985640907</v>
      </c>
      <c r="J8" s="6">
        <v>-1.0671368745708347</v>
      </c>
      <c r="K8" s="6">
        <v>4.7341611753735274E-2</v>
      </c>
      <c r="L8" s="6">
        <v>0</v>
      </c>
      <c r="M8" s="13">
        <f t="shared" ref="M8:M44" si="9">IF(A8&lt;=2024,1,0)</f>
        <v>1</v>
      </c>
      <c r="N8" s="13">
        <v>0</v>
      </c>
      <c r="O8" s="6">
        <v>0.14814814814814814</v>
      </c>
      <c r="P8" s="6">
        <v>0.1111111111111111</v>
      </c>
      <c r="Q8" s="6">
        <v>0.14814814814814814</v>
      </c>
      <c r="R8" s="6">
        <v>0.33333333333333331</v>
      </c>
      <c r="S8" s="6">
        <v>0.25925925925925924</v>
      </c>
      <c r="X8" s="6">
        <f>IF(X7&lt;=Y7, $V$52*X7, X7+(Y7*V$53))</f>
        <v>2.0139486541544951E-3</v>
      </c>
      <c r="Y8" s="6">
        <f>MAX(Z8-X8, 0.00001)</f>
        <v>0.35035407794193746</v>
      </c>
      <c r="Z8" s="6">
        <f t="shared" ref="Z8:Z44" si="10">Z7+$V$51</f>
        <v>0.35236802659609195</v>
      </c>
      <c r="AA8" s="6">
        <f t="shared" ref="AA8:AA44" si="11">LN(X8*1000)</f>
        <v>0.70009729950985944</v>
      </c>
      <c r="AB8" s="6">
        <f t="shared" ref="AB8:AB36" si="12">LN(Y8)</f>
        <v>-1.0488109846102787</v>
      </c>
      <c r="AC8" s="6">
        <f t="shared" ref="AC8:AC44" si="13">AA8*$H$4 + AB8*$J$4</f>
        <v>-0.6981620719946543</v>
      </c>
      <c r="AD8" s="14"/>
      <c r="AH8" s="6">
        <f>AH7*(1+AF$49+AF$50)</f>
        <v>2.1775524375676589</v>
      </c>
      <c r="AI8" s="6">
        <f t="shared" si="0"/>
        <v>0.77820151100113633</v>
      </c>
      <c r="AJ8" s="6">
        <f>AI7</f>
        <v>0.76825118014796812</v>
      </c>
      <c r="AK8" s="6">
        <f>AJ7</f>
        <v>0.77204799639498145</v>
      </c>
      <c r="AL8" s="6">
        <f t="shared" ref="AL8:AL44" si="14">ROUND((AH8-EXP(B8))/AH8, 7)</f>
        <v>9.9010000000000001E-3</v>
      </c>
      <c r="AM8" s="6">
        <f t="shared" ref="AM8:AM44" si="15">SUMPRODUCT(AI8:AK8,$B$4:$D$4)</f>
        <v>-1.164962453943053</v>
      </c>
      <c r="AQ8" s="5">
        <f t="shared" si="1"/>
        <v>1</v>
      </c>
      <c r="AR8" s="5">
        <f t="shared" si="2"/>
        <v>-3.5000000000000003E-2</v>
      </c>
      <c r="AT8" s="6">
        <f t="shared" ref="AT8:AT44" si="16">B$3+SUMPRODUCT(B8:S8,B$4:S$4)</f>
        <v>-1.5654068222473689</v>
      </c>
      <c r="AU8" s="28">
        <f t="shared" ref="AU8:AU44" si="17">AC8-((H8*H$4)+(J8*J$4))</f>
        <v>1.0964488991633381E-2</v>
      </c>
      <c r="AV8" s="28">
        <f t="shared" ref="AV8:AV44" si="18">AM8-SUMPRODUCT(B8:D8,B$4:D$4)</f>
        <v>6.1554625661365492E-2</v>
      </c>
      <c r="AW8" s="28">
        <f t="shared" si="3"/>
        <v>0</v>
      </c>
      <c r="AX8" s="14">
        <f t="shared" ref="AX8:AX44" si="19">EXP($AT8+AU8)</f>
        <v>0.21130718878164217</v>
      </c>
      <c r="AY8" s="14">
        <f t="shared" si="4"/>
        <v>0.22227227234438601</v>
      </c>
      <c r="AZ8" s="14">
        <f t="shared" ref="AZ8:AZ44" si="20">EXP($AT8+AW8)</f>
        <v>0.20900296881800667</v>
      </c>
      <c r="BA8" s="6">
        <f t="shared" ref="BA8:BA44" si="21">SUM(AT8:AW8)</f>
        <v>-1.4928877075943701</v>
      </c>
      <c r="BB8" s="6">
        <f t="shared" si="5"/>
        <v>0.22472278398158929</v>
      </c>
      <c r="BC8" s="17">
        <f t="shared" ref="BC8:BC44" si="22">BB8/BB$7</f>
        <v>1.0172174466162722</v>
      </c>
      <c r="BD8" s="5">
        <v>210862983</v>
      </c>
      <c r="BE8" s="20">
        <f t="shared" si="6"/>
        <v>47385716.578422531</v>
      </c>
      <c r="BF8" s="20">
        <f>SUM(BE$7:BE8)</f>
        <v>93801628.448563948</v>
      </c>
      <c r="BG8" s="20">
        <f t="shared" si="7"/>
        <v>4.8450112414034283</v>
      </c>
      <c r="BH8" s="20">
        <f>(BH$4*BG8*BD8)</f>
        <v>3119425982.6682515</v>
      </c>
      <c r="BI8" s="20">
        <f>BH8+BI7</f>
        <v>3119425982.6682515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x14ac:dyDescent="0.25">
      <c r="A9" s="5">
        <v>2025</v>
      </c>
      <c r="B9" s="6">
        <v>0.768251180147968</v>
      </c>
      <c r="C9" s="6">
        <v>0.91104911512392761</v>
      </c>
      <c r="D9" s="6">
        <v>0.90987998493049316</v>
      </c>
      <c r="E9" s="6">
        <v>0.50149360670086218</v>
      </c>
      <c r="F9" s="6">
        <v>0.7075301731360556</v>
      </c>
      <c r="G9" s="6">
        <v>0.72531290006816873</v>
      </c>
      <c r="H9" s="6">
        <v>0.40370328645605685</v>
      </c>
      <c r="I9" s="6">
        <v>1.2611987985640907</v>
      </c>
      <c r="J9" s="6">
        <v>-1.0671368745708347</v>
      </c>
      <c r="K9" s="6">
        <v>4.7341611753735274E-2</v>
      </c>
      <c r="L9" s="6">
        <v>0</v>
      </c>
      <c r="M9" s="13">
        <f t="shared" si="9"/>
        <v>0</v>
      </c>
      <c r="N9" s="13">
        <v>0</v>
      </c>
      <c r="O9" s="6">
        <v>0.14814814814814814</v>
      </c>
      <c r="P9" s="6">
        <v>0.1111111111111111</v>
      </c>
      <c r="Q9" s="6">
        <v>0.14814814814814814</v>
      </c>
      <c r="R9" s="6">
        <v>0.33333333333333331</v>
      </c>
      <c r="S9" s="6">
        <v>0.25925925925925924</v>
      </c>
      <c r="X9" s="6">
        <f t="shared" ref="X9:X44" si="23">IF(X8&lt;=Y8, $V$52*X8, X8+(Y8*V$53))</f>
        <v>2.7087609398377959E-3</v>
      </c>
      <c r="Y9" s="6">
        <f t="shared" ref="Y9:Y44" si="24">MAX(Z9-X9, 0.00001)</f>
        <v>0.35653793158414049</v>
      </c>
      <c r="Z9" s="6">
        <f>Z8+$V$51</f>
        <v>0.35924669252397828</v>
      </c>
      <c r="AA9" s="6">
        <f t="shared" si="11"/>
        <v>0.99649131256366186</v>
      </c>
      <c r="AB9" s="6">
        <f t="shared" si="12"/>
        <v>-1.0313146448323469</v>
      </c>
      <c r="AC9" s="6">
        <f t="shared" si="13"/>
        <v>-0.68774757477410065</v>
      </c>
      <c r="AD9" s="14"/>
      <c r="AH9" s="6">
        <f t="shared" ref="AH9:AH44" si="25">AH8*(1+AF$49)</f>
        <v>2.1993279619433355</v>
      </c>
      <c r="AI9" s="6">
        <f t="shared" si="0"/>
        <v>0.78815184185430431</v>
      </c>
      <c r="AJ9" s="6">
        <f t="shared" ref="AJ9:AK37" si="26">AI8</f>
        <v>0.77820151100113633</v>
      </c>
      <c r="AK9" s="6">
        <f>AJ8</f>
        <v>0.76825118014796812</v>
      </c>
      <c r="AL9" s="6">
        <f t="shared" si="14"/>
        <v>1.9703999999999999E-2</v>
      </c>
      <c r="AM9" s="6">
        <f t="shared" si="15"/>
        <v>-1.1756049938421544</v>
      </c>
      <c r="AQ9" s="5">
        <f t="shared" si="1"/>
        <v>0</v>
      </c>
      <c r="AR9" s="5">
        <f t="shared" si="2"/>
        <v>0</v>
      </c>
      <c r="AT9" s="6">
        <f t="shared" si="16"/>
        <v>-1.530406822247369</v>
      </c>
      <c r="AU9" s="28">
        <f t="shared" si="17"/>
        <v>2.1378986212187034E-2</v>
      </c>
      <c r="AV9" s="28">
        <f t="shared" si="18"/>
        <v>5.0912085762264025E-2</v>
      </c>
      <c r="AW9" s="28">
        <f t="shared" si="3"/>
        <v>0</v>
      </c>
      <c r="AX9" s="14">
        <f t="shared" si="19"/>
        <v>0.22112484310457228</v>
      </c>
      <c r="AY9" s="14">
        <f t="shared" si="4"/>
        <v>0.22775273446421407</v>
      </c>
      <c r="AZ9" s="14">
        <f t="shared" si="20"/>
        <v>0.2164475937055608</v>
      </c>
      <c r="BA9" s="6">
        <f t="shared" si="21"/>
        <v>-1.4581157502729181</v>
      </c>
      <c r="BB9" s="6">
        <f t="shared" si="5"/>
        <v>0.23267427839158647</v>
      </c>
      <c r="BC9" s="17">
        <f t="shared" si="22"/>
        <v>1.0532102315809848</v>
      </c>
      <c r="BD9" s="5">
        <v>211695158</v>
      </c>
      <c r="BE9" s="20">
        <f t="shared" si="6"/>
        <v>49256018.126642883</v>
      </c>
      <c r="BF9" s="20">
        <f>SUM(BE$7:BE9)</f>
        <v>143057646.57520682</v>
      </c>
      <c r="BG9" s="20">
        <f t="shared" si="7"/>
        <v>10.083069724070569</v>
      </c>
      <c r="BH9" s="20">
        <f t="shared" si="8"/>
        <v>6517533096.0958023</v>
      </c>
      <c r="BI9" s="20">
        <f t="shared" ref="BI9:BI44" si="27">BH9+BI8</f>
        <v>9636959078.7640533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x14ac:dyDescent="0.25">
      <c r="A10" s="5">
        <v>2026</v>
      </c>
      <c r="B10" s="6">
        <v>0.768251180147968</v>
      </c>
      <c r="C10" s="6">
        <v>0.91104911512392761</v>
      </c>
      <c r="D10" s="6">
        <v>0.90987998493049316</v>
      </c>
      <c r="E10" s="6">
        <v>0.50149360670086218</v>
      </c>
      <c r="F10" s="6">
        <v>0.7075301731360556</v>
      </c>
      <c r="G10" s="6">
        <v>0.72531290006816873</v>
      </c>
      <c r="H10" s="6">
        <v>0.40370328645605685</v>
      </c>
      <c r="I10" s="6">
        <v>1.2611987985640907</v>
      </c>
      <c r="J10" s="6">
        <v>-1.0671368745708347</v>
      </c>
      <c r="K10" s="6">
        <v>4.7341611753735274E-2</v>
      </c>
      <c r="L10" s="6">
        <v>0</v>
      </c>
      <c r="M10" s="13">
        <f t="shared" si="9"/>
        <v>0</v>
      </c>
      <c r="N10" s="13">
        <v>0</v>
      </c>
      <c r="O10" s="6">
        <v>0.14814814814814814</v>
      </c>
      <c r="P10" s="6">
        <v>0.1111111111111111</v>
      </c>
      <c r="Q10" s="6">
        <v>0.14814814814814814</v>
      </c>
      <c r="R10" s="6">
        <v>0.33333333333333331</v>
      </c>
      <c r="S10" s="6">
        <v>0.25925925925925924</v>
      </c>
      <c r="X10" s="6">
        <f t="shared" si="23"/>
        <v>3.6432834640818352E-3</v>
      </c>
      <c r="Y10" s="6">
        <f t="shared" si="24"/>
        <v>0.36248207498778279</v>
      </c>
      <c r="Z10" s="6">
        <f t="shared" si="10"/>
        <v>0.36612535845186461</v>
      </c>
      <c r="AA10" s="6">
        <f t="shared" si="11"/>
        <v>1.2928853256174642</v>
      </c>
      <c r="AB10" s="6">
        <f t="shared" si="12"/>
        <v>-1.0147802542195803</v>
      </c>
      <c r="AC10" s="6">
        <f t="shared" si="13"/>
        <v>-0.67797084985005163</v>
      </c>
      <c r="AD10" s="14"/>
      <c r="AH10" s="6">
        <f t="shared" si="25"/>
        <v>2.221321241562769</v>
      </c>
      <c r="AI10" s="6">
        <f t="shared" si="0"/>
        <v>0.79810217270747252</v>
      </c>
      <c r="AJ10" s="6">
        <f t="shared" si="26"/>
        <v>0.78815184185430431</v>
      </c>
      <c r="AK10" s="6">
        <f t="shared" si="26"/>
        <v>0.77820151100113633</v>
      </c>
      <c r="AL10" s="6">
        <f t="shared" si="14"/>
        <v>2.9409899999999999E-2</v>
      </c>
      <c r="AM10" s="6">
        <f t="shared" si="15"/>
        <v>-1.1905503907836132</v>
      </c>
      <c r="AQ10" s="5">
        <f t="shared" si="1"/>
        <v>0</v>
      </c>
      <c r="AR10" s="5">
        <f t="shared" si="2"/>
        <v>0</v>
      </c>
      <c r="AT10" s="6">
        <f t="shared" si="16"/>
        <v>-1.530406822247369</v>
      </c>
      <c r="AU10" s="28">
        <f t="shared" si="17"/>
        <v>3.1155711136236053E-2</v>
      </c>
      <c r="AV10" s="28">
        <f t="shared" si="18"/>
        <v>3.5966688820805226E-2</v>
      </c>
      <c r="AW10" s="28">
        <f t="shared" si="3"/>
        <v>0</v>
      </c>
      <c r="AX10" s="14">
        <f t="shared" si="19"/>
        <v>0.22329732243131176</v>
      </c>
      <c r="AY10" s="14">
        <f t="shared" si="4"/>
        <v>0.22437418918045113</v>
      </c>
      <c r="AZ10" s="14">
        <f t="shared" si="20"/>
        <v>0.2164475937055608</v>
      </c>
      <c r="BA10" s="6">
        <f t="shared" si="21"/>
        <v>-1.4632844222903276</v>
      </c>
      <c r="BB10" s="6">
        <f t="shared" si="5"/>
        <v>0.23147476397841862</v>
      </c>
      <c r="BC10" s="17">
        <f t="shared" si="22"/>
        <v>1.0477805774670432</v>
      </c>
      <c r="BD10" s="5">
        <v>212583750</v>
      </c>
      <c r="BE10" s="20">
        <f t="shared" si="6"/>
        <v>49207773.356897153</v>
      </c>
      <c r="BF10" s="20">
        <f>SUM(BE$7:BE10)</f>
        <v>192265419.93210396</v>
      </c>
      <c r="BG10" s="20">
        <f t="shared" si="7"/>
        <v>15.121976797383198</v>
      </c>
      <c r="BH10" s="20">
        <f t="shared" si="8"/>
        <v>9815630044.778862</v>
      </c>
      <c r="BI10" s="20">
        <f t="shared" si="27"/>
        <v>19452589123.542915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x14ac:dyDescent="0.25">
      <c r="A11" s="5">
        <v>2027</v>
      </c>
      <c r="B11" s="6">
        <v>0.768251180147968</v>
      </c>
      <c r="C11" s="6">
        <v>0.91104911512392761</v>
      </c>
      <c r="D11" s="6">
        <v>0.90987998493049316</v>
      </c>
      <c r="E11" s="6">
        <v>0.50149360670086218</v>
      </c>
      <c r="F11" s="6">
        <v>0.7075301731360556</v>
      </c>
      <c r="G11" s="6">
        <v>0.72531290006816873</v>
      </c>
      <c r="H11" s="6">
        <v>0.40370328645605685</v>
      </c>
      <c r="I11" s="6">
        <v>1.2611987985640907</v>
      </c>
      <c r="J11" s="6">
        <v>-1.0671368745708347</v>
      </c>
      <c r="K11" s="6">
        <v>4.7341611753735274E-2</v>
      </c>
      <c r="L11" s="6">
        <v>0</v>
      </c>
      <c r="M11" s="13">
        <f t="shared" si="9"/>
        <v>0</v>
      </c>
      <c r="N11" s="13">
        <v>0</v>
      </c>
      <c r="O11" s="6">
        <v>0.14814814814814814</v>
      </c>
      <c r="P11" s="6">
        <v>0.1111111111111111</v>
      </c>
      <c r="Q11" s="6">
        <v>0.14814814814814814</v>
      </c>
      <c r="R11" s="6">
        <v>0.33333333333333331</v>
      </c>
      <c r="S11" s="6">
        <v>0.25925925925925924</v>
      </c>
      <c r="X11" s="6">
        <f t="shared" si="23"/>
        <v>4.9002162591900685E-3</v>
      </c>
      <c r="Y11" s="6">
        <f t="shared" si="24"/>
        <v>0.36810380812056087</v>
      </c>
      <c r="Z11" s="6">
        <f t="shared" si="10"/>
        <v>0.37300402437975094</v>
      </c>
      <c r="AA11" s="6">
        <f t="shared" si="11"/>
        <v>1.5892793386712667</v>
      </c>
      <c r="AB11" s="6">
        <f t="shared" si="12"/>
        <v>-0.99939029330821061</v>
      </c>
      <c r="AC11" s="6">
        <f t="shared" si="13"/>
        <v>-0.6689528818180287</v>
      </c>
      <c r="AD11" s="14"/>
      <c r="AH11" s="6">
        <f t="shared" si="25"/>
        <v>2.2435344539783966</v>
      </c>
      <c r="AI11" s="6">
        <f t="shared" si="0"/>
        <v>0.80805250356064051</v>
      </c>
      <c r="AJ11" s="6">
        <f t="shared" si="26"/>
        <v>0.79810217270747252</v>
      </c>
      <c r="AK11" s="6">
        <f t="shared" si="26"/>
        <v>0.78815184185430431</v>
      </c>
      <c r="AL11" s="6">
        <f t="shared" si="14"/>
        <v>3.9019699999999997E-2</v>
      </c>
      <c r="AM11" s="6">
        <f t="shared" si="15"/>
        <v>-1.2054957877250716</v>
      </c>
      <c r="AQ11" s="5">
        <f t="shared" si="1"/>
        <v>0</v>
      </c>
      <c r="AR11" s="5">
        <f t="shared" si="2"/>
        <v>0</v>
      </c>
      <c r="AT11" s="6">
        <f t="shared" si="16"/>
        <v>-1.530406822247369</v>
      </c>
      <c r="AU11" s="28">
        <f t="shared" si="17"/>
        <v>4.017367916825898E-2</v>
      </c>
      <c r="AV11" s="28">
        <f t="shared" si="18"/>
        <v>2.1021291879346871E-2</v>
      </c>
      <c r="AW11" s="28">
        <f t="shared" si="3"/>
        <v>0</v>
      </c>
      <c r="AX11" s="14">
        <f t="shared" si="19"/>
        <v>0.22532011758924678</v>
      </c>
      <c r="AY11" s="14">
        <f t="shared" si="4"/>
        <v>0.22104576214559224</v>
      </c>
      <c r="AZ11" s="14">
        <f t="shared" si="20"/>
        <v>0.2164475937055608</v>
      </c>
      <c r="BA11" s="6">
        <f t="shared" si="21"/>
        <v>-1.4692118511997632</v>
      </c>
      <c r="BB11" s="6">
        <f t="shared" si="5"/>
        <v>0.23010677211317013</v>
      </c>
      <c r="BC11" s="17">
        <f t="shared" si="22"/>
        <v>1.0415883028453747</v>
      </c>
      <c r="BD11" s="5">
        <v>213421037</v>
      </c>
      <c r="BE11" s="20">
        <f t="shared" si="6"/>
        <v>49109625.925115451</v>
      </c>
      <c r="BF11" s="20">
        <f>SUM(BE$7:BE11)</f>
        <v>241375045.8572194</v>
      </c>
      <c r="BG11" s="20">
        <f t="shared" si="7"/>
        <v>20.14401655554164</v>
      </c>
      <c r="BH11" s="20">
        <f t="shared" si="8"/>
        <v>13126920214.836123</v>
      </c>
      <c r="BI11" s="20">
        <f t="shared" si="27"/>
        <v>32579509338.379036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x14ac:dyDescent="0.25">
      <c r="A12" s="5">
        <v>2028</v>
      </c>
      <c r="B12" s="6">
        <v>0.768251180147968</v>
      </c>
      <c r="C12" s="6">
        <v>0.91104911512392761</v>
      </c>
      <c r="D12" s="6">
        <v>0.90987998493049316</v>
      </c>
      <c r="E12" s="6">
        <v>0.50149360670086218</v>
      </c>
      <c r="F12" s="6">
        <v>0.7075301731360556</v>
      </c>
      <c r="G12" s="6">
        <v>0.72531290006816873</v>
      </c>
      <c r="H12" s="6">
        <v>0.40370328645605685</v>
      </c>
      <c r="I12" s="6">
        <v>1.2611987985640907</v>
      </c>
      <c r="J12" s="6">
        <v>-1.0671368745708347</v>
      </c>
      <c r="K12" s="6">
        <v>4.7341611753735274E-2</v>
      </c>
      <c r="L12" s="6">
        <v>0</v>
      </c>
      <c r="M12" s="13">
        <f t="shared" si="9"/>
        <v>0</v>
      </c>
      <c r="N12" s="13">
        <v>0</v>
      </c>
      <c r="O12" s="6">
        <v>0.14814814814814814</v>
      </c>
      <c r="P12" s="6">
        <v>0.1111111111111111</v>
      </c>
      <c r="Q12" s="6">
        <v>0.14814814814814814</v>
      </c>
      <c r="R12" s="6">
        <v>0.33333333333333331</v>
      </c>
      <c r="S12" s="6">
        <v>0.25925925925925924</v>
      </c>
      <c r="X12" s="6">
        <f t="shared" si="23"/>
        <v>6.5907908686106418E-3</v>
      </c>
      <c r="Y12" s="6">
        <f t="shared" si="24"/>
        <v>0.37329189943902663</v>
      </c>
      <c r="Z12" s="6">
        <f t="shared" si="10"/>
        <v>0.37988269030763727</v>
      </c>
      <c r="AA12" s="6">
        <f t="shared" si="11"/>
        <v>1.885673351725069</v>
      </c>
      <c r="AB12" s="6">
        <f t="shared" si="12"/>
        <v>-0.98539459316571143</v>
      </c>
      <c r="AC12" s="6">
        <f t="shared" si="13"/>
        <v>-0.66085930867576703</v>
      </c>
      <c r="AD12" s="14"/>
      <c r="AH12" s="6">
        <f t="shared" si="25"/>
        <v>2.2659697985181806</v>
      </c>
      <c r="AI12" s="6">
        <f t="shared" si="0"/>
        <v>0.81800283441380861</v>
      </c>
      <c r="AJ12" s="6">
        <f t="shared" si="26"/>
        <v>0.80805250356064051</v>
      </c>
      <c r="AK12" s="6">
        <f t="shared" si="26"/>
        <v>0.79810217270747252</v>
      </c>
      <c r="AL12" s="6">
        <f t="shared" si="14"/>
        <v>4.8534300000000002E-2</v>
      </c>
      <c r="AM12" s="6">
        <f t="shared" si="15"/>
        <v>-1.22044118466653</v>
      </c>
      <c r="AQ12" s="5">
        <f t="shared" si="1"/>
        <v>0</v>
      </c>
      <c r="AR12" s="5">
        <f t="shared" si="2"/>
        <v>0</v>
      </c>
      <c r="AT12" s="6">
        <f t="shared" si="16"/>
        <v>-1.530406822247369</v>
      </c>
      <c r="AU12" s="28">
        <f t="shared" si="17"/>
        <v>4.8267252310520647E-2</v>
      </c>
      <c r="AV12" s="28">
        <f t="shared" si="18"/>
        <v>6.0758949378885152E-3</v>
      </c>
      <c r="AW12" s="28">
        <f t="shared" si="3"/>
        <v>0</v>
      </c>
      <c r="AX12" s="14">
        <f t="shared" si="19"/>
        <v>0.22715116229315152</v>
      </c>
      <c r="AY12" s="14">
        <f t="shared" si="4"/>
        <v>0.21776670989206109</v>
      </c>
      <c r="AZ12" s="14">
        <f t="shared" si="20"/>
        <v>0.2164475937055608</v>
      </c>
      <c r="BA12" s="6">
        <f t="shared" si="21"/>
        <v>-1.47606367499896</v>
      </c>
      <c r="BB12" s="6">
        <f t="shared" si="5"/>
        <v>0.2285355102077366</v>
      </c>
      <c r="BC12" s="17">
        <f t="shared" si="22"/>
        <v>1.0344759175540752</v>
      </c>
      <c r="BD12" s="5">
        <v>214211951</v>
      </c>
      <c r="BE12" s="20">
        <f t="shared" si="6"/>
        <v>48955037.514379673</v>
      </c>
      <c r="BF12" s="20">
        <f>SUM(BE$7:BE12)</f>
        <v>290330083.37159908</v>
      </c>
      <c r="BG12" s="20">
        <f t="shared" si="7"/>
        <v>25.133708766500089</v>
      </c>
      <c r="BH12" s="20">
        <f t="shared" si="8"/>
        <v>16439167679.179211</v>
      </c>
      <c r="BI12" s="20">
        <f t="shared" si="27"/>
        <v>49018677017.558243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x14ac:dyDescent="0.25">
      <c r="A13" s="5">
        <v>2029</v>
      </c>
      <c r="B13" s="6">
        <v>0.768251180147968</v>
      </c>
      <c r="C13" s="6">
        <v>0.91104911512392761</v>
      </c>
      <c r="D13" s="6">
        <v>0.90987998493049316</v>
      </c>
      <c r="E13" s="6">
        <v>0.50149360670086218</v>
      </c>
      <c r="F13" s="6">
        <v>0.7075301731360556</v>
      </c>
      <c r="G13" s="6">
        <v>0.72531290006816873</v>
      </c>
      <c r="H13" s="6">
        <v>0.40370328645605685</v>
      </c>
      <c r="I13" s="6">
        <v>1.2611987985640907</v>
      </c>
      <c r="J13" s="6">
        <v>-1.0671368745708347</v>
      </c>
      <c r="K13" s="6">
        <v>4.7341611753735274E-2</v>
      </c>
      <c r="L13" s="6">
        <v>0</v>
      </c>
      <c r="M13" s="13">
        <f t="shared" si="9"/>
        <v>0</v>
      </c>
      <c r="N13" s="13">
        <v>0</v>
      </c>
      <c r="O13" s="6">
        <v>0.14814814814814814</v>
      </c>
      <c r="P13" s="6">
        <v>0.1111111111111111</v>
      </c>
      <c r="Q13" s="6">
        <v>0.14814814814814814</v>
      </c>
      <c r="R13" s="6">
        <v>0.33333333333333331</v>
      </c>
      <c r="S13" s="6">
        <v>0.25925925925925924</v>
      </c>
      <c r="X13" s="6">
        <f t="shared" si="23"/>
        <v>8.8646137182813133E-3</v>
      </c>
      <c r="Y13" s="6">
        <f t="shared" si="24"/>
        <v>0.37789674251724231</v>
      </c>
      <c r="Z13" s="6">
        <f t="shared" si="10"/>
        <v>0.3867613562355236</v>
      </c>
      <c r="AA13" s="6">
        <f t="shared" si="11"/>
        <v>2.1820673647788715</v>
      </c>
      <c r="AB13" s="6">
        <f t="shared" si="12"/>
        <v>-0.97313428862351159</v>
      </c>
      <c r="AC13" s="6">
        <f t="shared" si="13"/>
        <v>-0.6539163028165037</v>
      </c>
      <c r="AD13" s="14"/>
      <c r="AH13" s="6">
        <f t="shared" si="25"/>
        <v>2.2886294965033622</v>
      </c>
      <c r="AI13" s="6">
        <f t="shared" si="0"/>
        <v>0.8279531652669766</v>
      </c>
      <c r="AJ13" s="6">
        <f t="shared" si="26"/>
        <v>0.81800283441380861</v>
      </c>
      <c r="AK13" s="6">
        <f t="shared" si="26"/>
        <v>0.80805250356064051</v>
      </c>
      <c r="AL13" s="6">
        <f t="shared" si="14"/>
        <v>5.7954800000000001E-2</v>
      </c>
      <c r="AM13" s="6">
        <f t="shared" si="15"/>
        <v>-1.2353865816079885</v>
      </c>
      <c r="AQ13" s="5">
        <f t="shared" si="1"/>
        <v>0</v>
      </c>
      <c r="AR13" s="5">
        <f t="shared" si="2"/>
        <v>0</v>
      </c>
      <c r="AT13" s="6">
        <f t="shared" si="16"/>
        <v>-1.530406822247369</v>
      </c>
      <c r="AU13" s="28">
        <f t="shared" si="17"/>
        <v>5.5210258169783977E-2</v>
      </c>
      <c r="AV13" s="28">
        <f t="shared" si="18"/>
        <v>-8.8695020035700622E-3</v>
      </c>
      <c r="AW13" s="28">
        <f t="shared" si="3"/>
        <v>0</v>
      </c>
      <c r="AX13" s="14">
        <f t="shared" si="19"/>
        <v>0.22873376178519192</v>
      </c>
      <c r="AY13" s="14">
        <f t="shared" si="4"/>
        <v>0.21453629998107937</v>
      </c>
      <c r="AZ13" s="14">
        <f t="shared" si="20"/>
        <v>0.2164475937055608</v>
      </c>
      <c r="BA13" s="6">
        <f t="shared" si="21"/>
        <v>-1.4840660660811551</v>
      </c>
      <c r="BB13" s="6">
        <f t="shared" si="5"/>
        <v>0.226713977707242</v>
      </c>
      <c r="BC13" s="17">
        <f t="shared" si="22"/>
        <v>1.0262306715391742</v>
      </c>
      <c r="BD13" s="5">
        <v>214959713</v>
      </c>
      <c r="BE13" s="20">
        <f t="shared" si="6"/>
        <v>48734371.581037141</v>
      </c>
      <c r="BF13" s="20">
        <f>SUM(BE$7:BE13)</f>
        <v>339064454.95263624</v>
      </c>
      <c r="BG13" s="20">
        <f t="shared" si="7"/>
        <v>30.07067653951459</v>
      </c>
      <c r="BH13" s="20">
        <f t="shared" si="8"/>
        <v>19736940088.966915</v>
      </c>
      <c r="BI13" s="20">
        <f t="shared" si="27"/>
        <v>68755617106.525162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x14ac:dyDescent="0.25">
      <c r="A14" s="5">
        <v>2030</v>
      </c>
      <c r="B14" s="6">
        <v>0.768251180147968</v>
      </c>
      <c r="C14" s="6">
        <v>0.91104911512392761</v>
      </c>
      <c r="D14" s="6">
        <v>0.90987998493049316</v>
      </c>
      <c r="E14" s="6">
        <v>0.50149360670086218</v>
      </c>
      <c r="F14" s="6">
        <v>0.7075301731360556</v>
      </c>
      <c r="G14" s="6">
        <v>0.72531290006816873</v>
      </c>
      <c r="H14" s="6">
        <v>0.40370328645605685</v>
      </c>
      <c r="I14" s="6">
        <v>1.2611987985640907</v>
      </c>
      <c r="J14" s="6">
        <v>-1.0671368745708347</v>
      </c>
      <c r="K14" s="6">
        <v>4.7341611753735274E-2</v>
      </c>
      <c r="L14" s="6">
        <v>0</v>
      </c>
      <c r="M14" s="13">
        <f t="shared" si="9"/>
        <v>0</v>
      </c>
      <c r="N14" s="13">
        <v>0</v>
      </c>
      <c r="O14" s="6">
        <v>0.14814814814814814</v>
      </c>
      <c r="P14" s="6">
        <v>0.1111111111111111</v>
      </c>
      <c r="Q14" s="6">
        <v>0.14814814814814814</v>
      </c>
      <c r="R14" s="6">
        <v>0.33333333333333331</v>
      </c>
      <c r="S14" s="6">
        <v>0.25925925925925924</v>
      </c>
      <c r="X14" s="6">
        <f t="shared" si="23"/>
        <v>1.1922905451088366E-2</v>
      </c>
      <c r="Y14" s="6">
        <f t="shared" si="24"/>
        <v>0.38171711671232156</v>
      </c>
      <c r="Z14" s="6">
        <f t="shared" si="10"/>
        <v>0.39364002216340993</v>
      </c>
      <c r="AA14" s="6">
        <f t="shared" si="11"/>
        <v>2.4784613778326738</v>
      </c>
      <c r="AB14" s="6">
        <f t="shared" si="12"/>
        <v>-0.96307547687164585</v>
      </c>
      <c r="AC14" s="6">
        <f t="shared" si="13"/>
        <v>-0.64843288667723187</v>
      </c>
      <c r="AD14" s="14"/>
      <c r="AH14" s="6">
        <f t="shared" si="25"/>
        <v>2.3115157914683957</v>
      </c>
      <c r="AI14" s="6">
        <f t="shared" si="0"/>
        <v>0.8379034961201447</v>
      </c>
      <c r="AJ14" s="6">
        <f t="shared" si="26"/>
        <v>0.8279531652669766</v>
      </c>
      <c r="AK14" s="6">
        <f t="shared" si="26"/>
        <v>0.81800283441380861</v>
      </c>
      <c r="AL14" s="6">
        <f t="shared" si="14"/>
        <v>6.7281900000000006E-2</v>
      </c>
      <c r="AM14" s="6">
        <f t="shared" si="15"/>
        <v>-1.2503319785494469</v>
      </c>
      <c r="AQ14" s="5">
        <f t="shared" si="1"/>
        <v>0</v>
      </c>
      <c r="AR14" s="5">
        <f t="shared" si="2"/>
        <v>0</v>
      </c>
      <c r="AT14" s="6">
        <f t="shared" si="16"/>
        <v>-1.530406822247369</v>
      </c>
      <c r="AU14" s="28">
        <f t="shared" si="17"/>
        <v>6.0693674309055812E-2</v>
      </c>
      <c r="AV14" s="28">
        <f t="shared" si="18"/>
        <v>-2.3814898945028418E-2</v>
      </c>
      <c r="AW14" s="28">
        <f t="shared" si="3"/>
        <v>0</v>
      </c>
      <c r="AX14" s="14">
        <f t="shared" si="19"/>
        <v>0.22999144924669498</v>
      </c>
      <c r="AY14" s="14">
        <f t="shared" si="4"/>
        <v>0.21135381083906252</v>
      </c>
      <c r="AZ14" s="14">
        <f t="shared" si="20"/>
        <v>0.2164475937055608</v>
      </c>
      <c r="BA14" s="6">
        <f t="shared" si="21"/>
        <v>-1.4935280468833416</v>
      </c>
      <c r="BB14" s="6">
        <f t="shared" si="5"/>
        <v>0.22457893121608299</v>
      </c>
      <c r="BC14" s="17">
        <f t="shared" si="22"/>
        <v>1.0165662908223452</v>
      </c>
      <c r="BD14" s="5">
        <v>215667282</v>
      </c>
      <c r="BE14" s="20">
        <f t="shared" si="6"/>
        <v>48434327.689837575</v>
      </c>
      <c r="BF14" s="20">
        <f>SUM(BE$7:BE14)</f>
        <v>387498782.64247382</v>
      </c>
      <c r="BG14" s="20">
        <f t="shared" si="7"/>
        <v>34.927228270363386</v>
      </c>
      <c r="BH14" s="20">
        <f t="shared" si="8"/>
        <v>23000005389.334579</v>
      </c>
      <c r="BI14" s="20">
        <f t="shared" si="27"/>
        <v>91755622495.859741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x14ac:dyDescent="0.25">
      <c r="A15" s="5">
        <v>2031</v>
      </c>
      <c r="B15" s="6">
        <v>0.768251180147968</v>
      </c>
      <c r="C15" s="6">
        <v>0.91104911512392761</v>
      </c>
      <c r="D15" s="6">
        <v>0.90987998493049316</v>
      </c>
      <c r="E15" s="6">
        <v>0.50149360670086218</v>
      </c>
      <c r="F15" s="6">
        <v>0.7075301731360556</v>
      </c>
      <c r="G15" s="6">
        <v>0.72531290006816873</v>
      </c>
      <c r="H15" s="6">
        <v>0.40370328645605685</v>
      </c>
      <c r="I15" s="6">
        <v>1.2611987985640907</v>
      </c>
      <c r="J15" s="6">
        <v>-1.0671368745708347</v>
      </c>
      <c r="K15" s="6">
        <v>4.7341611753735274E-2</v>
      </c>
      <c r="L15" s="6">
        <v>0</v>
      </c>
      <c r="M15" s="13">
        <f t="shared" si="9"/>
        <v>0</v>
      </c>
      <c r="N15" s="13">
        <v>0</v>
      </c>
      <c r="O15" s="6">
        <v>0.14814814814814814</v>
      </c>
      <c r="P15" s="6">
        <v>0.1111111111111111</v>
      </c>
      <c r="Q15" s="6">
        <v>0.14814814814814814</v>
      </c>
      <c r="R15" s="6">
        <v>0.33333333333333331</v>
      </c>
      <c r="S15" s="6">
        <v>0.25925925925925924</v>
      </c>
      <c r="X15" s="6">
        <f t="shared" si="23"/>
        <v>1.603630783171385E-2</v>
      </c>
      <c r="Y15" s="6">
        <f t="shared" si="24"/>
        <v>0.38448238025958242</v>
      </c>
      <c r="Z15" s="6">
        <f t="shared" si="10"/>
        <v>0.40051868809129626</v>
      </c>
      <c r="AA15" s="6">
        <f t="shared" si="11"/>
        <v>2.7748553908864761</v>
      </c>
      <c r="AB15" s="6">
        <f t="shared" si="12"/>
        <v>-0.95585731615904657</v>
      </c>
      <c r="AC15" s="6">
        <f t="shared" si="13"/>
        <v>-0.64483282217699378</v>
      </c>
      <c r="AD15" s="14"/>
      <c r="AH15" s="6">
        <f t="shared" si="25"/>
        <v>2.3346309493830795</v>
      </c>
      <c r="AI15" s="6">
        <f t="shared" si="0"/>
        <v>0.84785382697331269</v>
      </c>
      <c r="AJ15" s="6">
        <f t="shared" si="26"/>
        <v>0.8379034961201447</v>
      </c>
      <c r="AK15" s="6">
        <f t="shared" si="26"/>
        <v>0.8279531652669766</v>
      </c>
      <c r="AL15" s="6">
        <f t="shared" si="14"/>
        <v>7.6516799999999996E-2</v>
      </c>
      <c r="AM15" s="6">
        <f t="shared" si="15"/>
        <v>-1.2652773754909052</v>
      </c>
      <c r="AQ15" s="5">
        <f t="shared" si="1"/>
        <v>0</v>
      </c>
      <c r="AR15" s="5">
        <f t="shared" si="2"/>
        <v>0</v>
      </c>
      <c r="AT15" s="6">
        <f t="shared" si="16"/>
        <v>-1.530406822247369</v>
      </c>
      <c r="AU15" s="28">
        <f t="shared" si="17"/>
        <v>6.4293738809293899E-2</v>
      </c>
      <c r="AV15" s="28">
        <f t="shared" si="18"/>
        <v>-3.8760295886486773E-2</v>
      </c>
      <c r="AW15" s="28">
        <f t="shared" si="3"/>
        <v>0</v>
      </c>
      <c r="AX15" s="14">
        <f t="shared" si="19"/>
        <v>0.2308209254866026</v>
      </c>
      <c r="AY15" s="14">
        <f t="shared" si="4"/>
        <v>0.20821853159644238</v>
      </c>
      <c r="AZ15" s="14">
        <f t="shared" si="20"/>
        <v>0.2164475937055608</v>
      </c>
      <c r="BA15" s="6">
        <f t="shared" si="21"/>
        <v>-1.5048733793245619</v>
      </c>
      <c r="BB15" s="6">
        <f t="shared" si="5"/>
        <v>0.2220454075915074</v>
      </c>
      <c r="BC15" s="17">
        <f t="shared" si="22"/>
        <v>1.0050981860460004</v>
      </c>
      <c r="BD15" s="5">
        <v>216337693</v>
      </c>
      <c r="BE15" s="20">
        <f t="shared" si="6"/>
        <v>48036791.219591394</v>
      </c>
      <c r="BF15" s="20">
        <f>SUM(BE$7:BE15)</f>
        <v>435535573.8620652</v>
      </c>
      <c r="BG15" s="20">
        <f t="shared" si="7"/>
        <v>39.66585619651709</v>
      </c>
      <c r="BH15" s="20">
        <f t="shared" si="8"/>
        <v>26201646155.27269</v>
      </c>
      <c r="BI15" s="20">
        <f t="shared" si="27"/>
        <v>117957268651.13243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x14ac:dyDescent="0.25">
      <c r="A16" s="5">
        <v>2032</v>
      </c>
      <c r="B16" s="6">
        <v>0.768251180147968</v>
      </c>
      <c r="C16" s="6">
        <v>0.91104911512392761</v>
      </c>
      <c r="D16" s="6">
        <v>0.90987998493049316</v>
      </c>
      <c r="E16" s="6">
        <v>0.50149360670086218</v>
      </c>
      <c r="F16" s="6">
        <v>0.7075301731360556</v>
      </c>
      <c r="G16" s="6">
        <v>0.72531290006816873</v>
      </c>
      <c r="H16" s="6">
        <v>0.40370328645605685</v>
      </c>
      <c r="I16" s="6">
        <v>1.2611987985640907</v>
      </c>
      <c r="J16" s="6">
        <v>-1.0671368745708347</v>
      </c>
      <c r="K16" s="6">
        <v>4.7341611753735274E-2</v>
      </c>
      <c r="L16" s="6">
        <v>0</v>
      </c>
      <c r="M16" s="13">
        <f t="shared" si="9"/>
        <v>0</v>
      </c>
      <c r="N16" s="13">
        <v>0</v>
      </c>
      <c r="O16" s="6">
        <v>0.14814814814814814</v>
      </c>
      <c r="P16" s="6">
        <v>0.1111111111111111</v>
      </c>
      <c r="Q16" s="6">
        <v>0.14814814814814814</v>
      </c>
      <c r="R16" s="6">
        <v>0.33333333333333331</v>
      </c>
      <c r="S16" s="6">
        <v>0.25925925925925924</v>
      </c>
      <c r="X16" s="6">
        <f t="shared" si="23"/>
        <v>2.1568834033655129E-2</v>
      </c>
      <c r="Y16" s="6">
        <f t="shared" si="24"/>
        <v>0.38582851998552747</v>
      </c>
      <c r="Z16" s="6">
        <f t="shared" si="10"/>
        <v>0.40739735401918259</v>
      </c>
      <c r="AA16" s="6">
        <f t="shared" si="11"/>
        <v>3.0712494039402785</v>
      </c>
      <c r="AB16" s="6">
        <f t="shared" si="12"/>
        <v>-0.95236225696717036</v>
      </c>
      <c r="AC16" s="6">
        <f t="shared" si="13"/>
        <v>-0.64370117398499505</v>
      </c>
      <c r="AD16" s="14"/>
      <c r="AH16" s="6">
        <f t="shared" si="25"/>
        <v>2.3579772588769101</v>
      </c>
      <c r="AI16" s="6">
        <f t="shared" si="0"/>
        <v>0.85780415782648067</v>
      </c>
      <c r="AJ16" s="6">
        <f t="shared" si="26"/>
        <v>0.84785382697331269</v>
      </c>
      <c r="AK16" s="6">
        <f t="shared" si="26"/>
        <v>0.8379034961201447</v>
      </c>
      <c r="AL16" s="6">
        <f t="shared" si="14"/>
        <v>8.5660200000000006E-2</v>
      </c>
      <c r="AM16" s="6">
        <f t="shared" si="15"/>
        <v>-1.2802227724323636</v>
      </c>
      <c r="AQ16" s="5">
        <f t="shared" si="1"/>
        <v>0</v>
      </c>
      <c r="AR16" s="5">
        <f t="shared" si="2"/>
        <v>0</v>
      </c>
      <c r="AT16" s="6">
        <f t="shared" si="16"/>
        <v>-1.530406822247369</v>
      </c>
      <c r="AU16" s="28">
        <f t="shared" si="17"/>
        <v>6.5425387001292634E-2</v>
      </c>
      <c r="AV16" s="28">
        <f t="shared" si="18"/>
        <v>-5.3705692827945128E-2</v>
      </c>
      <c r="AW16" s="28">
        <f t="shared" si="3"/>
        <v>0</v>
      </c>
      <c r="AX16" s="14">
        <f t="shared" si="19"/>
        <v>0.23108228142319992</v>
      </c>
      <c r="AY16" s="14">
        <f t="shared" si="4"/>
        <v>0.20512976192888119</v>
      </c>
      <c r="AZ16" s="14">
        <f t="shared" si="20"/>
        <v>0.2164475937055608</v>
      </c>
      <c r="BA16" s="6">
        <f t="shared" si="21"/>
        <v>-1.5186871280740215</v>
      </c>
      <c r="BB16" s="6">
        <f t="shared" si="5"/>
        <v>0.21899921622046617</v>
      </c>
      <c r="BC16" s="17">
        <f t="shared" si="22"/>
        <v>0.99130946843822565</v>
      </c>
      <c r="BD16" s="5">
        <v>216973093</v>
      </c>
      <c r="BE16" s="20">
        <f t="shared" si="6"/>
        <v>47516937.307930313</v>
      </c>
      <c r="BF16" s="20">
        <f>SUM(BE$7:BE16)</f>
        <v>483052511.16999549</v>
      </c>
      <c r="BG16" s="20">
        <f t="shared" si="7"/>
        <v>44.234513674840493</v>
      </c>
      <c r="BH16" s="20">
        <f t="shared" si="8"/>
        <v>29305334777.517967</v>
      </c>
      <c r="BI16" s="20">
        <f t="shared" si="27"/>
        <v>147262603428.65039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x14ac:dyDescent="0.25">
      <c r="A17" s="5">
        <v>2033</v>
      </c>
      <c r="B17" s="6">
        <v>0.768251180147968</v>
      </c>
      <c r="C17" s="6">
        <v>0.91104911512392761</v>
      </c>
      <c r="D17" s="6">
        <v>0.90987998493049316</v>
      </c>
      <c r="E17" s="6">
        <v>0.50149360670086218</v>
      </c>
      <c r="F17" s="6">
        <v>0.7075301731360556</v>
      </c>
      <c r="G17" s="6">
        <v>0.72531290006816873</v>
      </c>
      <c r="H17" s="6">
        <v>0.40370328645605685</v>
      </c>
      <c r="I17" s="6">
        <v>1.2611987985640907</v>
      </c>
      <c r="J17" s="6">
        <v>-1.0671368745708347</v>
      </c>
      <c r="K17" s="6">
        <v>4.7341611753735274E-2</v>
      </c>
      <c r="L17" s="6">
        <v>0</v>
      </c>
      <c r="M17" s="13">
        <f t="shared" si="9"/>
        <v>0</v>
      </c>
      <c r="N17" s="13">
        <v>0</v>
      </c>
      <c r="O17" s="6">
        <v>0.14814814814814814</v>
      </c>
      <c r="P17" s="6">
        <v>0.1111111111111111</v>
      </c>
      <c r="Q17" s="6">
        <v>0.14814814814814814</v>
      </c>
      <c r="R17" s="6">
        <v>0.33333333333333331</v>
      </c>
      <c r="S17" s="6">
        <v>0.25925925925925924</v>
      </c>
      <c r="X17" s="6">
        <f t="shared" si="23"/>
        <v>2.901008177526615E-2</v>
      </c>
      <c r="Y17" s="6">
        <f t="shared" si="24"/>
        <v>0.38526593817180277</v>
      </c>
      <c r="Z17" s="6">
        <f t="shared" si="10"/>
        <v>0.41427601994706892</v>
      </c>
      <c r="AA17" s="6">
        <f t="shared" si="11"/>
        <v>3.3676434169940812</v>
      </c>
      <c r="AB17" s="6">
        <f t="shared" si="12"/>
        <v>-0.95382143465310487</v>
      </c>
      <c r="AC17" s="6">
        <f t="shared" si="13"/>
        <v>-0.64585418484298485</v>
      </c>
      <c r="AD17" s="14"/>
      <c r="AH17" s="6">
        <f t="shared" si="25"/>
        <v>2.3815570314656793</v>
      </c>
      <c r="AI17" s="6">
        <f t="shared" si="0"/>
        <v>0.86775448867964877</v>
      </c>
      <c r="AJ17" s="6">
        <f t="shared" si="26"/>
        <v>0.85780415782648067</v>
      </c>
      <c r="AK17" s="6">
        <f t="shared" si="26"/>
        <v>0.84785382697331269</v>
      </c>
      <c r="AL17" s="6">
        <f t="shared" si="14"/>
        <v>9.4713000000000006E-2</v>
      </c>
      <c r="AM17" s="6">
        <f t="shared" si="15"/>
        <v>-1.295168169373822</v>
      </c>
      <c r="AQ17" s="5">
        <f t="shared" si="1"/>
        <v>0</v>
      </c>
      <c r="AR17" s="5">
        <f t="shared" si="2"/>
        <v>0</v>
      </c>
      <c r="AT17" s="6">
        <f t="shared" si="16"/>
        <v>-1.530406822247369</v>
      </c>
      <c r="AU17" s="28">
        <f t="shared" si="17"/>
        <v>6.3272376143302833E-2</v>
      </c>
      <c r="AV17" s="28">
        <f t="shared" si="18"/>
        <v>-6.8651089769403484E-2</v>
      </c>
      <c r="AW17" s="28">
        <f t="shared" si="3"/>
        <v>0</v>
      </c>
      <c r="AX17" s="14">
        <f t="shared" si="19"/>
        <v>0.23058529396388505</v>
      </c>
      <c r="AY17" s="14">
        <f t="shared" si="4"/>
        <v>0.20208681190084052</v>
      </c>
      <c r="AZ17" s="14">
        <f t="shared" si="20"/>
        <v>0.2164475937055608</v>
      </c>
      <c r="BA17" s="6">
        <f t="shared" si="21"/>
        <v>-1.5357855358734698</v>
      </c>
      <c r="BB17" s="6">
        <f t="shared" si="5"/>
        <v>0.21528650945303851</v>
      </c>
      <c r="BC17" s="17">
        <f t="shared" si="22"/>
        <v>0.97450373992648243</v>
      </c>
      <c r="BD17" s="5">
        <v>217562970</v>
      </c>
      <c r="BE17" s="20">
        <f t="shared" si="6"/>
        <v>46838372.397536136</v>
      </c>
      <c r="BF17" s="20">
        <f>SUM(BE$7:BE17)</f>
        <v>529890883.56753165</v>
      </c>
      <c r="BG17" s="20">
        <f t="shared" si="7"/>
        <v>48.560974727115209</v>
      </c>
      <c r="BH17" s="20">
        <f t="shared" si="8"/>
        <v>32259076051.758827</v>
      </c>
      <c r="BI17" s="20">
        <f t="shared" si="27"/>
        <v>179521679480.40921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x14ac:dyDescent="0.25">
      <c r="A18" s="5">
        <v>2034</v>
      </c>
      <c r="B18" s="6">
        <v>0.768251180147968</v>
      </c>
      <c r="C18" s="6">
        <v>0.91104911512392761</v>
      </c>
      <c r="D18" s="6">
        <v>0.90987998493049316</v>
      </c>
      <c r="E18" s="6">
        <v>0.50149360670086218</v>
      </c>
      <c r="F18" s="6">
        <v>0.7075301731360556</v>
      </c>
      <c r="G18" s="6">
        <v>0.72531290006816873</v>
      </c>
      <c r="H18" s="6">
        <v>0.40370328645605685</v>
      </c>
      <c r="I18" s="6">
        <v>1.2611987985640907</v>
      </c>
      <c r="J18" s="6">
        <v>-1.0671368745708347</v>
      </c>
      <c r="K18" s="6">
        <v>4.7341611753735274E-2</v>
      </c>
      <c r="L18" s="6">
        <v>0</v>
      </c>
      <c r="M18" s="13">
        <f t="shared" si="9"/>
        <v>0</v>
      </c>
      <c r="N18" s="13">
        <v>0</v>
      </c>
      <c r="O18" s="6">
        <v>0.14814814814814814</v>
      </c>
      <c r="P18" s="6">
        <v>0.1111111111111111</v>
      </c>
      <c r="Q18" s="6">
        <v>0.14814814814814814</v>
      </c>
      <c r="R18" s="6">
        <v>0.33333333333333331</v>
      </c>
      <c r="S18" s="6">
        <v>0.25925925925925924</v>
      </c>
      <c r="X18" s="6">
        <f t="shared" si="23"/>
        <v>3.9018559987732973E-2</v>
      </c>
      <c r="Y18" s="6">
        <f t="shared" si="24"/>
        <v>0.38213612588722229</v>
      </c>
      <c r="Z18" s="6">
        <f t="shared" si="10"/>
        <v>0.42115468587495525</v>
      </c>
      <c r="AA18" s="6">
        <f t="shared" si="11"/>
        <v>3.6640374300478835</v>
      </c>
      <c r="AB18" s="6">
        <f t="shared" si="12"/>
        <v>-0.96197838336320729</v>
      </c>
      <c r="AC18" s="6">
        <f t="shared" si="13"/>
        <v>-0.65244781788999806</v>
      </c>
      <c r="AD18" s="14"/>
      <c r="AH18" s="6">
        <f t="shared" si="25"/>
        <v>2.4053726017803361</v>
      </c>
      <c r="AI18" s="6">
        <f t="shared" si="0"/>
        <v>0.87770481953281687</v>
      </c>
      <c r="AJ18" s="6">
        <f t="shared" si="26"/>
        <v>0.86775448867964877</v>
      </c>
      <c r="AK18" s="6">
        <f t="shared" si="26"/>
        <v>0.85780415782648067</v>
      </c>
      <c r="AL18" s="6">
        <f t="shared" si="14"/>
        <v>0.1036763</v>
      </c>
      <c r="AM18" s="6">
        <f t="shared" si="15"/>
        <v>-1.3101135663152805</v>
      </c>
      <c r="AQ18" s="5">
        <f t="shared" si="1"/>
        <v>0</v>
      </c>
      <c r="AR18" s="5">
        <f t="shared" si="2"/>
        <v>0</v>
      </c>
      <c r="AT18" s="6">
        <f t="shared" si="16"/>
        <v>-1.530406822247369</v>
      </c>
      <c r="AU18" s="28">
        <f t="shared" si="17"/>
        <v>5.6678743096289619E-2</v>
      </c>
      <c r="AV18" s="28">
        <f t="shared" si="18"/>
        <v>-8.3596486710862061E-2</v>
      </c>
      <c r="AW18" s="28">
        <f t="shared" si="3"/>
        <v>0</v>
      </c>
      <c r="AX18" s="14">
        <f t="shared" si="19"/>
        <v>0.22906990061355226</v>
      </c>
      <c r="AY18" s="14">
        <f t="shared" si="4"/>
        <v>0.19908900181147121</v>
      </c>
      <c r="AZ18" s="14">
        <f t="shared" si="20"/>
        <v>0.2164475937055608</v>
      </c>
      <c r="BA18" s="6">
        <f t="shared" si="21"/>
        <v>-1.5573245658619415</v>
      </c>
      <c r="BB18" s="6">
        <f t="shared" si="5"/>
        <v>0.21069902916196467</v>
      </c>
      <c r="BC18" s="17">
        <f t="shared" si="22"/>
        <v>0.95373831104824769</v>
      </c>
      <c r="BD18" s="5">
        <v>218096284</v>
      </c>
      <c r="BE18" s="20">
        <f t="shared" si="6"/>
        <v>45952675.302632131</v>
      </c>
      <c r="BF18" s="20">
        <f>SUM(BE$7:BE18)</f>
        <v>575843558.8701638</v>
      </c>
      <c r="BG18" s="20">
        <f t="shared" si="7"/>
        <v>52.544151593846195</v>
      </c>
      <c r="BH18" s="20">
        <f t="shared" si="8"/>
        <v>34990665309.487671</v>
      </c>
      <c r="BI18" s="20">
        <f t="shared" si="27"/>
        <v>214512344789.89688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25">
      <c r="A19" s="5">
        <v>2035</v>
      </c>
      <c r="B19" s="6">
        <v>0.768251180147968</v>
      </c>
      <c r="C19" s="6">
        <v>0.91104911512392761</v>
      </c>
      <c r="D19" s="6">
        <v>0.90987998493049316</v>
      </c>
      <c r="E19" s="6">
        <v>0.50149360670086218</v>
      </c>
      <c r="F19" s="6">
        <v>0.7075301731360556</v>
      </c>
      <c r="G19" s="6">
        <v>0.72531290006816873</v>
      </c>
      <c r="H19" s="6">
        <v>0.40370328645605685</v>
      </c>
      <c r="I19" s="6">
        <v>1.2611987985640907</v>
      </c>
      <c r="J19" s="6">
        <v>-1.0671368745708347</v>
      </c>
      <c r="K19" s="6">
        <v>4.7341611753735274E-2</v>
      </c>
      <c r="L19" s="6">
        <v>0</v>
      </c>
      <c r="M19" s="13">
        <f t="shared" si="9"/>
        <v>0</v>
      </c>
      <c r="N19" s="13">
        <v>0</v>
      </c>
      <c r="O19" s="6">
        <v>0.14814814814814814</v>
      </c>
      <c r="P19" s="6">
        <v>0.1111111111111111</v>
      </c>
      <c r="Q19" s="6">
        <v>0.14814814814814814</v>
      </c>
      <c r="R19" s="6">
        <v>0.33333333333333331</v>
      </c>
      <c r="S19" s="6">
        <v>0.25925925925925924</v>
      </c>
      <c r="X19" s="6">
        <f t="shared" si="23"/>
        <v>5.2479963183500851E-2</v>
      </c>
      <c r="Y19" s="6">
        <f t="shared" si="24"/>
        <v>0.37555338861934073</v>
      </c>
      <c r="Z19" s="6">
        <f t="shared" si="10"/>
        <v>0.42803335180284158</v>
      </c>
      <c r="AA19" s="6">
        <f t="shared" si="11"/>
        <v>3.9604314431016858</v>
      </c>
      <c r="AB19" s="6">
        <f t="shared" si="12"/>
        <v>-0.97935463780643917</v>
      </c>
      <c r="AC19" s="6">
        <f t="shared" si="13"/>
        <v>-0.66515385063807597</v>
      </c>
      <c r="AD19" s="14"/>
      <c r="AH19" s="6">
        <f t="shared" si="25"/>
        <v>2.4294263277981396</v>
      </c>
      <c r="AI19" s="6">
        <f t="shared" si="0"/>
        <v>0.88765515038598508</v>
      </c>
      <c r="AJ19" s="6">
        <f t="shared" si="26"/>
        <v>0.87770481953281687</v>
      </c>
      <c r="AK19" s="6">
        <f t="shared" si="26"/>
        <v>0.86775448867964877</v>
      </c>
      <c r="AL19" s="6">
        <f t="shared" si="14"/>
        <v>0.11255080000000001</v>
      </c>
      <c r="AM19" s="6">
        <f t="shared" si="15"/>
        <v>-1.3250589632567391</v>
      </c>
      <c r="AQ19" s="5">
        <f t="shared" si="1"/>
        <v>0</v>
      </c>
      <c r="AR19" s="5">
        <f t="shared" si="2"/>
        <v>0</v>
      </c>
      <c r="AT19" s="6">
        <f t="shared" si="16"/>
        <v>-1.530406822247369</v>
      </c>
      <c r="AU19" s="28">
        <f t="shared" si="17"/>
        <v>4.3972710348211708E-2</v>
      </c>
      <c r="AV19" s="28">
        <f t="shared" si="18"/>
        <v>-9.8541883652320639E-2</v>
      </c>
      <c r="AW19" s="28">
        <f t="shared" si="3"/>
        <v>0</v>
      </c>
      <c r="AX19" s="14">
        <f t="shared" si="19"/>
        <v>0.22617774378428301</v>
      </c>
      <c r="AY19" s="14">
        <f t="shared" si="4"/>
        <v>0.19613566204278932</v>
      </c>
      <c r="AZ19" s="14">
        <f t="shared" si="20"/>
        <v>0.2164475937055608</v>
      </c>
      <c r="BA19" s="6">
        <f t="shared" si="21"/>
        <v>-1.5849759955514779</v>
      </c>
      <c r="BB19" s="6">
        <f t="shared" si="5"/>
        <v>0.20495271283459421</v>
      </c>
      <c r="BC19" s="17">
        <f t="shared" si="22"/>
        <v>0.92772736049658466</v>
      </c>
      <c r="BD19" s="5">
        <v>218574144</v>
      </c>
      <c r="BE19" s="20">
        <f t="shared" si="6"/>
        <v>44797363.768299244</v>
      </c>
      <c r="BF19" s="20">
        <f>SUM(BE$7:BE19)</f>
        <v>620640922.63846302</v>
      </c>
      <c r="BG19" s="20">
        <f t="shared" si="7"/>
        <v>56.041014817665577</v>
      </c>
      <c r="BH19" s="20">
        <f t="shared" si="8"/>
        <v>37401095874.754997</v>
      </c>
      <c r="BI19" s="20">
        <f t="shared" si="27"/>
        <v>251913440664.65189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25">
      <c r="A20" s="5">
        <v>2036</v>
      </c>
      <c r="B20" s="6">
        <v>0.768251180147968</v>
      </c>
      <c r="C20" s="6">
        <v>0.91104911512392761</v>
      </c>
      <c r="D20" s="6">
        <v>0.90987998493049316</v>
      </c>
      <c r="E20" s="6">
        <v>0.50149360670086218</v>
      </c>
      <c r="F20" s="6">
        <v>0.7075301731360556</v>
      </c>
      <c r="G20" s="6">
        <v>0.72531290006816873</v>
      </c>
      <c r="H20" s="6">
        <v>0.40370328645605685</v>
      </c>
      <c r="I20" s="6">
        <v>1.2611987985640907</v>
      </c>
      <c r="J20" s="6">
        <v>-1.0671368745708347</v>
      </c>
      <c r="K20" s="6">
        <v>4.7341611753735274E-2</v>
      </c>
      <c r="L20" s="6">
        <v>0</v>
      </c>
      <c r="M20" s="13">
        <f t="shared" si="9"/>
        <v>0</v>
      </c>
      <c r="N20" s="13">
        <v>0</v>
      </c>
      <c r="O20" s="6">
        <v>0.14814814814814814</v>
      </c>
      <c r="P20" s="6">
        <v>0.1111111111111111</v>
      </c>
      <c r="Q20" s="6">
        <v>0.14814814814814814</v>
      </c>
      <c r="R20" s="6">
        <v>0.33333333333333331</v>
      </c>
      <c r="S20" s="6">
        <v>0.25925925925925924</v>
      </c>
      <c r="X20" s="6">
        <f t="shared" si="23"/>
        <v>7.0585550481808645E-2</v>
      </c>
      <c r="Y20" s="6">
        <f t="shared" si="24"/>
        <v>0.36432646724891926</v>
      </c>
      <c r="Z20" s="6">
        <f t="shared" si="10"/>
        <v>0.43491201773072791</v>
      </c>
      <c r="AA20" s="6">
        <f t="shared" si="11"/>
        <v>4.2568254561554886</v>
      </c>
      <c r="AB20" s="6">
        <f t="shared" si="12"/>
        <v>-1.0097049252626724</v>
      </c>
      <c r="AC20" s="6">
        <f t="shared" si="13"/>
        <v>-0.68646166727377378</v>
      </c>
      <c r="AD20" s="14"/>
      <c r="AH20" s="6">
        <f t="shared" si="25"/>
        <v>2.4537205910761211</v>
      </c>
      <c r="AI20" s="6">
        <f t="shared" si="0"/>
        <v>0.89760548123915318</v>
      </c>
      <c r="AJ20" s="6">
        <f t="shared" si="26"/>
        <v>0.88765515038598508</v>
      </c>
      <c r="AK20" s="6">
        <f t="shared" si="26"/>
        <v>0.87770481953281687</v>
      </c>
      <c r="AL20" s="6">
        <f t="shared" si="14"/>
        <v>0.1213374</v>
      </c>
      <c r="AM20" s="6">
        <f t="shared" si="15"/>
        <v>-1.3400043601981975</v>
      </c>
      <c r="AQ20" s="5">
        <f t="shared" si="1"/>
        <v>0</v>
      </c>
      <c r="AR20" s="5">
        <f t="shared" si="2"/>
        <v>0</v>
      </c>
      <c r="AT20" s="6">
        <f t="shared" si="16"/>
        <v>-1.530406822247369</v>
      </c>
      <c r="AU20" s="28">
        <f t="shared" si="17"/>
        <v>2.2664893712513901E-2</v>
      </c>
      <c r="AV20" s="28">
        <f t="shared" si="18"/>
        <v>-0.11348728059377899</v>
      </c>
      <c r="AW20" s="28">
        <f t="shared" si="3"/>
        <v>0</v>
      </c>
      <c r="AX20" s="14">
        <f t="shared" si="19"/>
        <v>0.22140937209860573</v>
      </c>
      <c r="AY20" s="14">
        <f t="shared" si="4"/>
        <v>0.19322613291010401</v>
      </c>
      <c r="AZ20" s="14">
        <f t="shared" si="20"/>
        <v>0.2164475937055608</v>
      </c>
      <c r="BA20" s="6">
        <f t="shared" si="21"/>
        <v>-1.621229209128634</v>
      </c>
      <c r="BB20" s="6">
        <f t="shared" si="5"/>
        <v>0.19765558964293881</v>
      </c>
      <c r="BC20" s="17">
        <f t="shared" si="22"/>
        <v>0.89469661528621813</v>
      </c>
      <c r="BD20" s="5">
        <v>218997707</v>
      </c>
      <c r="BE20" s="20">
        <f t="shared" si="6"/>
        <v>43286120.907536544</v>
      </c>
      <c r="BF20" s="20">
        <f>SUM(BE$7:BE20)</f>
        <v>663927043.54599953</v>
      </c>
      <c r="BG20" s="20">
        <f t="shared" si="7"/>
        <v>58.847618582578427</v>
      </c>
      <c r="BH20" s="20">
        <f t="shared" si="8"/>
        <v>39350296626.827415</v>
      </c>
      <c r="BI20" s="20">
        <f t="shared" si="27"/>
        <v>291263737291.47931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25">
      <c r="A21" s="5">
        <v>2037</v>
      </c>
      <c r="B21" s="6">
        <v>0.768251180147968</v>
      </c>
      <c r="C21" s="6">
        <v>0.91104911512392761</v>
      </c>
      <c r="D21" s="6">
        <v>0.90987998493049316</v>
      </c>
      <c r="E21" s="6">
        <v>0.50149360670086218</v>
      </c>
      <c r="F21" s="6">
        <v>0.7075301731360556</v>
      </c>
      <c r="G21" s="6">
        <v>0.72531290006816873</v>
      </c>
      <c r="H21" s="6">
        <v>0.40370328645605685</v>
      </c>
      <c r="I21" s="6">
        <v>1.2611987985640907</v>
      </c>
      <c r="J21" s="6">
        <v>-1.0671368745708347</v>
      </c>
      <c r="K21" s="6">
        <v>4.7341611753735274E-2</v>
      </c>
      <c r="L21" s="6">
        <v>0</v>
      </c>
      <c r="M21" s="13">
        <f t="shared" si="9"/>
        <v>0</v>
      </c>
      <c r="N21" s="13">
        <v>0</v>
      </c>
      <c r="O21" s="6">
        <v>0.14814814814814814</v>
      </c>
      <c r="P21" s="6">
        <v>0.1111111111111111</v>
      </c>
      <c r="Q21" s="6">
        <v>0.14814814814814814</v>
      </c>
      <c r="R21" s="6">
        <v>0.33333333333333331</v>
      </c>
      <c r="S21" s="6">
        <v>0.25925925925925924</v>
      </c>
      <c r="X21" s="6">
        <f t="shared" si="23"/>
        <v>9.4937565398032622E-2</v>
      </c>
      <c r="Y21" s="6">
        <f t="shared" si="24"/>
        <v>0.34685311826058163</v>
      </c>
      <c r="Z21" s="6">
        <f t="shared" si="10"/>
        <v>0.44179068365861424</v>
      </c>
      <c r="AA21" s="6">
        <f t="shared" si="11"/>
        <v>4.5532194692092904</v>
      </c>
      <c r="AB21" s="6">
        <f t="shared" si="12"/>
        <v>-1.0588538789632391</v>
      </c>
      <c r="AC21" s="6">
        <f t="shared" si="13"/>
        <v>-0.72023299962946474</v>
      </c>
      <c r="AD21" s="14"/>
      <c r="AH21" s="6">
        <f t="shared" si="25"/>
        <v>2.4782577969868824</v>
      </c>
      <c r="AI21" s="6">
        <f t="shared" si="0"/>
        <v>0.90755581209232128</v>
      </c>
      <c r="AJ21" s="6">
        <f t="shared" si="26"/>
        <v>0.89760548123915318</v>
      </c>
      <c r="AK21" s="6">
        <f t="shared" si="26"/>
        <v>0.88765515038598508</v>
      </c>
      <c r="AL21" s="6">
        <f t="shared" si="14"/>
        <v>0.13003700000000001</v>
      </c>
      <c r="AM21" s="6">
        <f t="shared" si="15"/>
        <v>-1.354949757139656</v>
      </c>
      <c r="AQ21" s="5">
        <f t="shared" si="1"/>
        <v>0</v>
      </c>
      <c r="AR21" s="5">
        <f t="shared" si="2"/>
        <v>0</v>
      </c>
      <c r="AT21" s="6">
        <f t="shared" si="16"/>
        <v>-1.530406822247369</v>
      </c>
      <c r="AU21" s="28">
        <f t="shared" si="17"/>
        <v>-1.1106438643177063E-2</v>
      </c>
      <c r="AV21" s="28">
        <f t="shared" si="18"/>
        <v>-0.12843267753523757</v>
      </c>
      <c r="AW21" s="28">
        <f t="shared" si="3"/>
        <v>0</v>
      </c>
      <c r="AX21" s="14">
        <f t="shared" si="19"/>
        <v>0.21405693222866232</v>
      </c>
      <c r="AY21" s="14">
        <f t="shared" si="4"/>
        <v>0.19035976451466438</v>
      </c>
      <c r="AZ21" s="14">
        <f t="shared" si="20"/>
        <v>0.2164475937055608</v>
      </c>
      <c r="BA21" s="6">
        <f t="shared" si="21"/>
        <v>-1.6699459384257838</v>
      </c>
      <c r="BB21" s="6">
        <f t="shared" si="5"/>
        <v>0.18825724284655224</v>
      </c>
      <c r="BC21" s="17">
        <f t="shared" si="22"/>
        <v>0.85215459012415096</v>
      </c>
      <c r="BD21" s="5">
        <v>219367247</v>
      </c>
      <c r="BE21" s="20">
        <f t="shared" si="6"/>
        <v>41297473.091058604</v>
      </c>
      <c r="BF21" s="20">
        <f>SUM(BE$7:BE21)</f>
        <v>705224516.63705814</v>
      </c>
      <c r="BG21" s="20">
        <f t="shared" si="7"/>
        <v>60.668759739340921</v>
      </c>
      <c r="BH21" s="20">
        <f t="shared" si="8"/>
        <v>40636514642.962799</v>
      </c>
      <c r="BI21" s="20">
        <f t="shared" si="27"/>
        <v>331900251934.44214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x14ac:dyDescent="0.25">
      <c r="A22" s="5">
        <v>2038</v>
      </c>
      <c r="B22" s="6">
        <v>0.768251180147968</v>
      </c>
      <c r="C22" s="6">
        <v>0.91104911512392761</v>
      </c>
      <c r="D22" s="6">
        <v>0.90987998493049316</v>
      </c>
      <c r="E22" s="6">
        <v>0.50149360670086218</v>
      </c>
      <c r="F22" s="6">
        <v>0.7075301731360556</v>
      </c>
      <c r="G22" s="6">
        <v>0.72531290006816873</v>
      </c>
      <c r="H22" s="6">
        <v>0.40370328645605685</v>
      </c>
      <c r="I22" s="6">
        <v>1.2611987985640907</v>
      </c>
      <c r="J22" s="6">
        <v>-1.0671368745708347</v>
      </c>
      <c r="K22" s="6">
        <v>4.7341611753735274E-2</v>
      </c>
      <c r="L22" s="6">
        <v>0</v>
      </c>
      <c r="M22" s="13">
        <f t="shared" si="9"/>
        <v>0</v>
      </c>
      <c r="N22" s="13">
        <v>0</v>
      </c>
      <c r="O22" s="6">
        <v>0.14814814814814814</v>
      </c>
      <c r="P22" s="6">
        <v>0.1111111111111111</v>
      </c>
      <c r="Q22" s="6">
        <v>0.14814814814814814</v>
      </c>
      <c r="R22" s="6">
        <v>0.33333333333333331</v>
      </c>
      <c r="S22" s="6">
        <v>0.25925925925925924</v>
      </c>
      <c r="X22" s="6">
        <f t="shared" si="23"/>
        <v>0.12769102546035388</v>
      </c>
      <c r="Y22" s="6">
        <f t="shared" si="24"/>
        <v>0.32097832412614669</v>
      </c>
      <c r="Z22" s="6">
        <f t="shared" si="10"/>
        <v>0.44866934958650057</v>
      </c>
      <c r="AA22" s="6">
        <f t="shared" si="11"/>
        <v>4.8496134822630932</v>
      </c>
      <c r="AB22" s="6">
        <f t="shared" si="12"/>
        <v>-1.1363816842188805</v>
      </c>
      <c r="AC22" s="6">
        <f t="shared" si="13"/>
        <v>-0.77281951056617015</v>
      </c>
      <c r="AD22" s="14"/>
      <c r="AH22" s="6">
        <f t="shared" si="25"/>
        <v>2.5030403749567514</v>
      </c>
      <c r="AI22" s="6">
        <f t="shared" si="0"/>
        <v>0.91750614294548938</v>
      </c>
      <c r="AJ22" s="6">
        <f t="shared" si="26"/>
        <v>0.90755581209232128</v>
      </c>
      <c r="AK22" s="6">
        <f t="shared" si="26"/>
        <v>0.89760548123915318</v>
      </c>
      <c r="AL22" s="6">
        <f t="shared" si="14"/>
        <v>0.13865050000000001</v>
      </c>
      <c r="AM22" s="6">
        <f t="shared" si="15"/>
        <v>-1.3698951540811144</v>
      </c>
      <c r="AQ22" s="5">
        <f t="shared" si="1"/>
        <v>0</v>
      </c>
      <c r="AR22" s="5">
        <f t="shared" si="2"/>
        <v>0</v>
      </c>
      <c r="AT22" s="6">
        <f t="shared" si="16"/>
        <v>-1.530406822247369</v>
      </c>
      <c r="AU22" s="28">
        <f t="shared" si="17"/>
        <v>-6.3692949579882474E-2</v>
      </c>
      <c r="AV22" s="28">
        <f t="shared" si="18"/>
        <v>-0.14337807447669593</v>
      </c>
      <c r="AW22" s="28">
        <f t="shared" si="3"/>
        <v>0</v>
      </c>
      <c r="AX22" s="14">
        <f t="shared" si="19"/>
        <v>0.20309127472069841</v>
      </c>
      <c r="AY22" s="14">
        <f t="shared" si="4"/>
        <v>0.18753591659849245</v>
      </c>
      <c r="AZ22" s="14">
        <f t="shared" si="20"/>
        <v>0.2164475937055608</v>
      </c>
      <c r="BA22" s="6">
        <f t="shared" si="21"/>
        <v>-1.7374778463039473</v>
      </c>
      <c r="BB22" s="6">
        <f t="shared" si="5"/>
        <v>0.17596364877917292</v>
      </c>
      <c r="BC22" s="17">
        <f t="shared" si="22"/>
        <v>0.79650710238218236</v>
      </c>
      <c r="BD22" s="5">
        <v>219681891</v>
      </c>
      <c r="BE22" s="20">
        <f t="shared" si="6"/>
        <v>38656027.111068547</v>
      </c>
      <c r="BF22" s="20">
        <f>SUM(BE$7:BE22)</f>
        <v>743880543.74812675</v>
      </c>
      <c r="BG22" s="20">
        <f t="shared" si="7"/>
        <v>61.067797102200167</v>
      </c>
      <c r="BH22" s="20">
        <f t="shared" si="8"/>
        <v>40962463026.864372</v>
      </c>
      <c r="BI22" s="20">
        <f t="shared" si="27"/>
        <v>372862714961.30652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x14ac:dyDescent="0.25">
      <c r="A23" s="5">
        <v>2039</v>
      </c>
      <c r="B23" s="6">
        <v>0.768251180147968</v>
      </c>
      <c r="C23" s="6">
        <v>0.91104911512392761</v>
      </c>
      <c r="D23" s="6">
        <v>0.90987998493049316</v>
      </c>
      <c r="E23" s="6">
        <v>0.50149360670086218</v>
      </c>
      <c r="F23" s="6">
        <v>0.7075301731360556</v>
      </c>
      <c r="G23" s="6">
        <v>0.72531290006816873</v>
      </c>
      <c r="H23" s="6">
        <v>0.40370328645605685</v>
      </c>
      <c r="I23" s="6">
        <v>1.2611987985640907</v>
      </c>
      <c r="J23" s="6">
        <v>-1.0671368745708347</v>
      </c>
      <c r="K23" s="6">
        <v>4.7341611753735274E-2</v>
      </c>
      <c r="L23" s="6">
        <v>0</v>
      </c>
      <c r="M23" s="13">
        <f t="shared" si="9"/>
        <v>0</v>
      </c>
      <c r="N23" s="13">
        <v>0</v>
      </c>
      <c r="O23" s="6">
        <v>0.14814814814814814</v>
      </c>
      <c r="P23" s="6">
        <v>0.1111111111111111</v>
      </c>
      <c r="Q23" s="6">
        <v>0.14814814814814814</v>
      </c>
      <c r="R23" s="6">
        <v>0.33333333333333331</v>
      </c>
      <c r="S23" s="6">
        <v>0.25925925925925924</v>
      </c>
      <c r="X23" s="6">
        <f t="shared" si="23"/>
        <v>0.17174442924417596</v>
      </c>
      <c r="Y23" s="6">
        <f t="shared" si="24"/>
        <v>0.28380358627021096</v>
      </c>
      <c r="Z23" s="6">
        <f t="shared" si="10"/>
        <v>0.45554801551438689</v>
      </c>
      <c r="AA23" s="6">
        <f t="shared" si="11"/>
        <v>5.1460074953168959</v>
      </c>
      <c r="AB23" s="6">
        <f t="shared" si="12"/>
        <v>-1.2594728777250037</v>
      </c>
      <c r="AC23" s="6">
        <f t="shared" si="13"/>
        <v>-0.85561454791294511</v>
      </c>
      <c r="AD23" s="14"/>
      <c r="AH23" s="6">
        <f t="shared" si="25"/>
        <v>2.528070778706319</v>
      </c>
      <c r="AI23" s="6">
        <f t="shared" si="0"/>
        <v>0.92745647379865759</v>
      </c>
      <c r="AJ23" s="6">
        <f t="shared" si="26"/>
        <v>0.91750614294548938</v>
      </c>
      <c r="AK23" s="6">
        <f t="shared" si="26"/>
        <v>0.90755581209232128</v>
      </c>
      <c r="AL23" s="6">
        <f t="shared" si="14"/>
        <v>0.1471787</v>
      </c>
      <c r="AM23" s="6">
        <f t="shared" si="15"/>
        <v>-1.384840551022573</v>
      </c>
      <c r="AQ23" s="5">
        <f t="shared" si="1"/>
        <v>0</v>
      </c>
      <c r="AR23" s="5">
        <f t="shared" si="2"/>
        <v>0</v>
      </c>
      <c r="AT23" s="6">
        <f t="shared" si="16"/>
        <v>-1.530406822247369</v>
      </c>
      <c r="AU23" s="28">
        <f t="shared" si="17"/>
        <v>-0.14648798692665743</v>
      </c>
      <c r="AV23" s="28">
        <f t="shared" si="18"/>
        <v>-0.1583234714181545</v>
      </c>
      <c r="AW23" s="28">
        <f t="shared" si="3"/>
        <v>0</v>
      </c>
      <c r="AX23" s="14">
        <f t="shared" si="19"/>
        <v>0.18695360225927826</v>
      </c>
      <c r="AY23" s="14">
        <f t="shared" si="4"/>
        <v>0.18475395840136905</v>
      </c>
      <c r="AZ23" s="14">
        <f t="shared" si="20"/>
        <v>0.2164475937055608</v>
      </c>
      <c r="BA23" s="6">
        <f t="shared" si="21"/>
        <v>-1.8352182805921808</v>
      </c>
      <c r="BB23" s="6">
        <f t="shared" si="5"/>
        <v>0.15957866504066109</v>
      </c>
      <c r="BC23" s="17">
        <f t="shared" si="22"/>
        <v>0.72233976150986734</v>
      </c>
      <c r="BD23" s="5">
        <v>219940741</v>
      </c>
      <c r="BE23" s="20">
        <f t="shared" si="6"/>
        <v>35097849.836833797</v>
      </c>
      <c r="BF23" s="20">
        <f>SUM(BE$7:BE23)</f>
        <v>778978393.58496058</v>
      </c>
      <c r="BG23" s="20">
        <f t="shared" si="7"/>
        <v>59.37573777394703</v>
      </c>
      <c r="BH23" s="20">
        <f t="shared" si="8"/>
        <v>39874408433.828484</v>
      </c>
      <c r="BI23" s="20">
        <f t="shared" si="27"/>
        <v>412737123395.13501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x14ac:dyDescent="0.25">
      <c r="A24" s="5">
        <v>2040</v>
      </c>
      <c r="B24" s="6">
        <v>0.768251180147968</v>
      </c>
      <c r="C24" s="6">
        <v>0.91104911512392761</v>
      </c>
      <c r="D24" s="6">
        <v>0.90987998493049316</v>
      </c>
      <c r="E24" s="6">
        <v>0.50149360670086218</v>
      </c>
      <c r="F24" s="6">
        <v>0.7075301731360556</v>
      </c>
      <c r="G24" s="6">
        <v>0.72531290006816873</v>
      </c>
      <c r="H24" s="6">
        <v>0.40370328645605685</v>
      </c>
      <c r="I24" s="6">
        <v>1.2611987985640907</v>
      </c>
      <c r="J24" s="6">
        <v>-1.0671368745708347</v>
      </c>
      <c r="K24" s="6">
        <v>4.7341611753735274E-2</v>
      </c>
      <c r="L24" s="6">
        <v>0</v>
      </c>
      <c r="M24" s="13">
        <f t="shared" si="9"/>
        <v>0</v>
      </c>
      <c r="N24" s="13">
        <v>0</v>
      </c>
      <c r="O24" s="6">
        <v>0.14814814814814814</v>
      </c>
      <c r="P24" s="6">
        <v>0.1111111111111111</v>
      </c>
      <c r="Q24" s="6">
        <v>0.14814814814814814</v>
      </c>
      <c r="R24" s="6">
        <v>0.33333333333333331</v>
      </c>
      <c r="S24" s="6">
        <v>0.25925925925925924</v>
      </c>
      <c r="X24" s="6">
        <f t="shared" si="23"/>
        <v>0.23099625733341667</v>
      </c>
      <c r="Y24" s="6">
        <f t="shared" si="24"/>
        <v>0.23143042410885656</v>
      </c>
      <c r="Z24" s="6">
        <f t="shared" si="10"/>
        <v>0.46242668144227322</v>
      </c>
      <c r="AA24" s="6">
        <f t="shared" si="11"/>
        <v>5.4424015083706978</v>
      </c>
      <c r="AB24" s="6">
        <f t="shared" si="12"/>
        <v>-1.4634759944344242</v>
      </c>
      <c r="AC24" s="6">
        <f t="shared" si="13"/>
        <v>-0.99205419034350606</v>
      </c>
      <c r="AD24" s="14"/>
      <c r="AH24" s="6">
        <f t="shared" si="25"/>
        <v>2.5533514864933822</v>
      </c>
      <c r="AI24" s="6">
        <f t="shared" si="0"/>
        <v>0.93740680465182558</v>
      </c>
      <c r="AJ24" s="6">
        <f t="shared" si="26"/>
        <v>0.92745647379865759</v>
      </c>
      <c r="AK24" s="6">
        <f t="shared" si="26"/>
        <v>0.91750614294548938</v>
      </c>
      <c r="AL24" s="6">
        <f t="shared" si="14"/>
        <v>0.1556225</v>
      </c>
      <c r="AM24" s="6">
        <f t="shared" si="15"/>
        <v>-1.3997859479640316</v>
      </c>
      <c r="AQ24" s="5">
        <f t="shared" si="1"/>
        <v>0</v>
      </c>
      <c r="AR24" s="5">
        <f t="shared" si="2"/>
        <v>0</v>
      </c>
      <c r="AT24" s="6">
        <f t="shared" si="16"/>
        <v>-1.530406822247369</v>
      </c>
      <c r="AU24" s="28">
        <f t="shared" si="17"/>
        <v>-0.28292762935721838</v>
      </c>
      <c r="AV24" s="28">
        <f t="shared" si="18"/>
        <v>-0.17326886835961308</v>
      </c>
      <c r="AW24" s="28">
        <f t="shared" si="3"/>
        <v>0</v>
      </c>
      <c r="AX24" s="14">
        <f t="shared" si="19"/>
        <v>0.1631093487930432</v>
      </c>
      <c r="AY24" s="14">
        <f t="shared" si="4"/>
        <v>0.18201326851994173</v>
      </c>
      <c r="AZ24" s="14">
        <f t="shared" si="20"/>
        <v>0.2164475937055608</v>
      </c>
      <c r="BA24" s="6">
        <f t="shared" si="21"/>
        <v>-1.9866033199642004</v>
      </c>
      <c r="BB24" s="6">
        <f t="shared" si="5"/>
        <v>0.1371605255190152</v>
      </c>
      <c r="BC24" s="17">
        <f t="shared" si="22"/>
        <v>0.62086307882528369</v>
      </c>
      <c r="BD24" s="5">
        <v>220144140</v>
      </c>
      <c r="BE24" s="20">
        <f t="shared" si="6"/>
        <v>30195085.932331655</v>
      </c>
      <c r="BF24" s="20">
        <f>SUM(BE$7:BE24)</f>
        <v>809173479.51729226</v>
      </c>
      <c r="BG24" s="20">
        <f t="shared" si="7"/>
        <v>54.501961264186662</v>
      </c>
      <c r="BH24" s="20">
        <f t="shared" si="8"/>
        <v>36635220546.99353</v>
      </c>
      <c r="BI24" s="20">
        <f t="shared" si="27"/>
        <v>449372343942.12854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x14ac:dyDescent="0.25">
      <c r="A25" s="5">
        <v>2041</v>
      </c>
      <c r="B25" s="6">
        <v>0.768251180147968</v>
      </c>
      <c r="C25" s="6">
        <v>0.91104911512392761</v>
      </c>
      <c r="D25" s="6">
        <v>0.90987998493049316</v>
      </c>
      <c r="E25" s="6">
        <v>0.50149360670086218</v>
      </c>
      <c r="F25" s="6">
        <v>0.7075301731360556</v>
      </c>
      <c r="G25" s="6">
        <v>0.72531290006816873</v>
      </c>
      <c r="H25" s="6">
        <v>0.40370328645605685</v>
      </c>
      <c r="I25" s="6">
        <v>1.2611987985640907</v>
      </c>
      <c r="J25" s="6">
        <v>-1.0671368745708347</v>
      </c>
      <c r="K25" s="6">
        <v>4.7341611753735274E-2</v>
      </c>
      <c r="L25" s="6">
        <v>0</v>
      </c>
      <c r="M25" s="13">
        <f t="shared" si="9"/>
        <v>0</v>
      </c>
      <c r="N25" s="13">
        <v>0</v>
      </c>
      <c r="O25" s="6">
        <v>0.14814814814814814</v>
      </c>
      <c r="P25" s="6">
        <v>0.1111111111111111</v>
      </c>
      <c r="Q25" s="6">
        <v>0.14814814814814814</v>
      </c>
      <c r="R25" s="6">
        <v>0.33333333333333331</v>
      </c>
      <c r="S25" s="6">
        <v>0.25925925925925924</v>
      </c>
      <c r="X25" s="6">
        <f t="shared" si="23"/>
        <v>0.3106899661134454</v>
      </c>
      <c r="Y25" s="6">
        <f t="shared" si="24"/>
        <v>0.15861538125671415</v>
      </c>
      <c r="Z25" s="6">
        <f t="shared" si="10"/>
        <v>0.46930534737015955</v>
      </c>
      <c r="AA25" s="6">
        <f t="shared" si="11"/>
        <v>5.7387955214245006</v>
      </c>
      <c r="AB25" s="6">
        <f t="shared" si="12"/>
        <v>-1.8412729930417038</v>
      </c>
      <c r="AC25" s="6">
        <f t="shared" si="13"/>
        <v>-1.2437191764723476</v>
      </c>
      <c r="AD25" s="14"/>
      <c r="AH25" s="6">
        <f t="shared" si="25"/>
        <v>2.5788850013583162</v>
      </c>
      <c r="AI25" s="6">
        <f t="shared" si="0"/>
        <v>0.94735713550499379</v>
      </c>
      <c r="AJ25" s="6">
        <f t="shared" si="26"/>
        <v>0.93740680465182558</v>
      </c>
      <c r="AK25" s="6">
        <f t="shared" si="26"/>
        <v>0.92745647379865759</v>
      </c>
      <c r="AL25" s="6">
        <f t="shared" si="14"/>
        <v>0.16398270000000001</v>
      </c>
      <c r="AM25" s="6">
        <f t="shared" si="15"/>
        <v>-1.4147313449054901</v>
      </c>
      <c r="AQ25" s="5">
        <f t="shared" si="1"/>
        <v>0</v>
      </c>
      <c r="AR25" s="5">
        <f t="shared" si="2"/>
        <v>0</v>
      </c>
      <c r="AT25" s="6">
        <f t="shared" si="16"/>
        <v>-1.530406822247369</v>
      </c>
      <c r="AU25" s="28">
        <f t="shared" si="17"/>
        <v>-0.53459261548605996</v>
      </c>
      <c r="AV25" s="28">
        <f t="shared" si="18"/>
        <v>-0.18821426530107166</v>
      </c>
      <c r="AW25" s="28">
        <f t="shared" si="3"/>
        <v>0</v>
      </c>
      <c r="AX25" s="14">
        <f t="shared" si="19"/>
        <v>0.12681836187370052</v>
      </c>
      <c r="AY25" s="14">
        <f t="shared" si="4"/>
        <v>0.17931323476892241</v>
      </c>
      <c r="AZ25" s="14">
        <f t="shared" si="20"/>
        <v>0.2164475937055608</v>
      </c>
      <c r="BA25" s="6">
        <f t="shared" si="21"/>
        <v>-2.2532137030345005</v>
      </c>
      <c r="BB25" s="6">
        <f t="shared" si="5"/>
        <v>0.10506104644712803</v>
      </c>
      <c r="BC25" s="17">
        <f t="shared" si="22"/>
        <v>0.47556339198136943</v>
      </c>
      <c r="BD25" s="5">
        <v>220292836</v>
      </c>
      <c r="BE25" s="20">
        <f t="shared" si="6"/>
        <v>23144195.87496556</v>
      </c>
      <c r="BF25" s="20">
        <f>SUM(BE$7:BE25)</f>
        <v>832317675.39225781</v>
      </c>
      <c r="BG25" s="20">
        <f t="shared" si="7"/>
        <v>44.42953126498476</v>
      </c>
      <c r="BH25" s="20">
        <f t="shared" si="8"/>
        <v>29884889580.952175</v>
      </c>
      <c r="BI25" s="20">
        <f t="shared" si="27"/>
        <v>479257233523.08069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x14ac:dyDescent="0.25">
      <c r="A26" s="5">
        <v>2042</v>
      </c>
      <c r="B26" s="6">
        <v>0.768251180147968</v>
      </c>
      <c r="C26" s="6">
        <v>0.91104911512392761</v>
      </c>
      <c r="D26" s="6">
        <v>0.90987998493049316</v>
      </c>
      <c r="E26" s="6">
        <v>0.50149360670086218</v>
      </c>
      <c r="F26" s="6">
        <v>0.7075301731360556</v>
      </c>
      <c r="G26" s="6">
        <v>0.72531290006816873</v>
      </c>
      <c r="H26" s="6">
        <v>0.40370328645605685</v>
      </c>
      <c r="I26" s="6">
        <v>1.2611987985640907</v>
      </c>
      <c r="J26" s="6">
        <v>-1.0671368745708347</v>
      </c>
      <c r="K26" s="6">
        <v>4.7341611753735274E-2</v>
      </c>
      <c r="L26" s="6">
        <v>0</v>
      </c>
      <c r="M26" s="13">
        <f t="shared" si="9"/>
        <v>0</v>
      </c>
      <c r="N26" s="13">
        <v>0</v>
      </c>
      <c r="O26" s="6">
        <v>0.14814814814814814</v>
      </c>
      <c r="P26" s="6">
        <v>0.1111111111111111</v>
      </c>
      <c r="Q26" s="6">
        <v>0.14814814814814814</v>
      </c>
      <c r="R26" s="6">
        <v>0.33333333333333331</v>
      </c>
      <c r="S26" s="6">
        <v>0.25925925925925924</v>
      </c>
      <c r="X26" s="6">
        <f t="shared" si="23"/>
        <v>0.36461919574072821</v>
      </c>
      <c r="Y26" s="6">
        <f t="shared" si="24"/>
        <v>0.11156481755731767</v>
      </c>
      <c r="Z26" s="6">
        <f t="shared" si="10"/>
        <v>0.47618401329804588</v>
      </c>
      <c r="AA26" s="6">
        <f t="shared" si="11"/>
        <v>5.8988535096264334</v>
      </c>
      <c r="AB26" s="6">
        <f t="shared" si="12"/>
        <v>-2.1931495336009319</v>
      </c>
      <c r="AC26" s="6">
        <f t="shared" si="13"/>
        <v>-1.4776535548159238</v>
      </c>
      <c r="AD26" s="14"/>
      <c r="AH26" s="6">
        <f t="shared" si="25"/>
        <v>2.6046738513718992</v>
      </c>
      <c r="AI26" s="6">
        <f t="shared" si="0"/>
        <v>0.95730746635816177</v>
      </c>
      <c r="AJ26" s="6">
        <f t="shared" si="26"/>
        <v>0.94735713550499379</v>
      </c>
      <c r="AK26" s="6">
        <f t="shared" si="26"/>
        <v>0.93740680465182558</v>
      </c>
      <c r="AL26" s="6">
        <f t="shared" si="14"/>
        <v>0.1722601</v>
      </c>
      <c r="AM26" s="6">
        <f t="shared" si="15"/>
        <v>-1.4296767418469485</v>
      </c>
      <c r="AQ26" s="5">
        <f t="shared" si="1"/>
        <v>0</v>
      </c>
      <c r="AR26" s="5">
        <f t="shared" si="2"/>
        <v>0</v>
      </c>
      <c r="AT26" s="6">
        <f t="shared" si="16"/>
        <v>-1.530406822247369</v>
      </c>
      <c r="AU26" s="28">
        <f t="shared" si="17"/>
        <v>-0.76852699382963607</v>
      </c>
      <c r="AV26" s="28">
        <f t="shared" si="18"/>
        <v>-0.20315966224253001</v>
      </c>
      <c r="AW26" s="28">
        <f t="shared" si="3"/>
        <v>0</v>
      </c>
      <c r="AX26" s="14">
        <f t="shared" si="19"/>
        <v>0.1003657950949044</v>
      </c>
      <c r="AY26" s="14">
        <f t="shared" si="4"/>
        <v>0.17665325404434412</v>
      </c>
      <c r="AZ26" s="14">
        <f t="shared" si="20"/>
        <v>0.2164475937055608</v>
      </c>
      <c r="BA26" s="6">
        <f t="shared" si="21"/>
        <v>-2.502093478319535</v>
      </c>
      <c r="BB26" s="6">
        <f t="shared" si="5"/>
        <v>8.191333520843494E-2</v>
      </c>
      <c r="BC26" s="17">
        <f t="shared" si="22"/>
        <v>0.37078427121734742</v>
      </c>
      <c r="BD26" s="5">
        <v>220386440</v>
      </c>
      <c r="BE26" s="20">
        <f t="shared" si="6"/>
        <v>18052588.335113633</v>
      </c>
      <c r="BF26" s="20">
        <f>SUM(BE$7:BE26)</f>
        <v>850370263.72737145</v>
      </c>
      <c r="BG26" s="20">
        <f t="shared" si="7"/>
        <v>36.752988126473532</v>
      </c>
      <c r="BH26" s="20">
        <f t="shared" si="8"/>
        <v>24731876777.171917</v>
      </c>
      <c r="BI26" s="20">
        <f t="shared" si="27"/>
        <v>503989110300.25262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x14ac:dyDescent="0.25">
      <c r="A27" s="5">
        <v>2043</v>
      </c>
      <c r="B27" s="6">
        <v>0.768251180147968</v>
      </c>
      <c r="C27" s="6">
        <v>0.91104911512392761</v>
      </c>
      <c r="D27" s="6">
        <v>0.90987998493049316</v>
      </c>
      <c r="E27" s="6">
        <v>0.50149360670086218</v>
      </c>
      <c r="F27" s="6">
        <v>0.7075301731360556</v>
      </c>
      <c r="G27" s="6">
        <v>0.72531290006816873</v>
      </c>
      <c r="H27" s="6">
        <v>0.40370328645605685</v>
      </c>
      <c r="I27" s="6">
        <v>1.2611987985640907</v>
      </c>
      <c r="J27" s="6">
        <v>-1.0671368745708347</v>
      </c>
      <c r="K27" s="6">
        <v>4.7341611753735274E-2</v>
      </c>
      <c r="L27" s="6">
        <v>0</v>
      </c>
      <c r="M27" s="13">
        <f t="shared" si="9"/>
        <v>0</v>
      </c>
      <c r="N27" s="13">
        <v>0</v>
      </c>
      <c r="O27" s="6">
        <v>0.14814814814814814</v>
      </c>
      <c r="P27" s="6">
        <v>0.1111111111111111</v>
      </c>
      <c r="Q27" s="6">
        <v>0.14814814814814814</v>
      </c>
      <c r="R27" s="6">
        <v>0.33333333333333331</v>
      </c>
      <c r="S27" s="6">
        <v>0.25925925925925924</v>
      </c>
      <c r="X27" s="6">
        <f t="shared" si="23"/>
        <v>0.40255123371021623</v>
      </c>
      <c r="Y27" s="6">
        <f t="shared" si="24"/>
        <v>8.0511445515715985E-2</v>
      </c>
      <c r="Z27" s="6">
        <f t="shared" si="10"/>
        <v>0.48306267922593221</v>
      </c>
      <c r="AA27" s="6">
        <f t="shared" si="11"/>
        <v>5.9978223774791299</v>
      </c>
      <c r="AB27" s="6">
        <f t="shared" si="12"/>
        <v>-2.5193559243448296</v>
      </c>
      <c r="AC27" s="6">
        <f t="shared" si="13"/>
        <v>-1.6943242673505388</v>
      </c>
      <c r="AD27" s="14"/>
      <c r="AH27" s="6">
        <f t="shared" si="25"/>
        <v>2.6307205898856183</v>
      </c>
      <c r="AI27" s="6">
        <f t="shared" si="0"/>
        <v>0.96725779721132998</v>
      </c>
      <c r="AJ27" s="6">
        <f t="shared" si="26"/>
        <v>0.95730746635816177</v>
      </c>
      <c r="AK27" s="6">
        <f t="shared" si="26"/>
        <v>0.94735713550499379</v>
      </c>
      <c r="AL27" s="6">
        <f t="shared" si="14"/>
        <v>0.18045549999999999</v>
      </c>
      <c r="AM27" s="6">
        <f t="shared" si="15"/>
        <v>-1.4446221387884071</v>
      </c>
      <c r="AQ27" s="5">
        <f t="shared" si="1"/>
        <v>0</v>
      </c>
      <c r="AR27" s="5">
        <f t="shared" si="2"/>
        <v>0</v>
      </c>
      <c r="AT27" s="6">
        <f t="shared" si="16"/>
        <v>-1.530406822247369</v>
      </c>
      <c r="AU27" s="28">
        <f t="shared" si="17"/>
        <v>-0.98519770636425108</v>
      </c>
      <c r="AV27" s="28">
        <f t="shared" si="18"/>
        <v>-0.21810505918398859</v>
      </c>
      <c r="AW27" s="28">
        <f t="shared" si="3"/>
        <v>0</v>
      </c>
      <c r="AX27" s="14">
        <f t="shared" si="19"/>
        <v>8.081404303555019E-2</v>
      </c>
      <c r="AY27" s="14">
        <f t="shared" si="4"/>
        <v>0.17403273218884618</v>
      </c>
      <c r="AZ27" s="14">
        <f t="shared" si="20"/>
        <v>0.2164475937055608</v>
      </c>
      <c r="BA27" s="6">
        <f t="shared" si="21"/>
        <v>-2.7337095877956088</v>
      </c>
      <c r="BB27" s="6">
        <f t="shared" si="5"/>
        <v>6.4977801175446687E-2</v>
      </c>
      <c r="BC27" s="17">
        <f t="shared" si="22"/>
        <v>0.29412484051391397</v>
      </c>
      <c r="BD27" s="5">
        <v>220425299</v>
      </c>
      <c r="BE27" s="20">
        <f t="shared" si="6"/>
        <v>14322751.252460387</v>
      </c>
      <c r="BF27" s="20">
        <f>SUM(BE$7:BE27)</f>
        <v>864693014.97983181</v>
      </c>
      <c r="BG27" s="20">
        <f t="shared" si="7"/>
        <v>30.846781557957367</v>
      </c>
      <c r="BH27" s="20">
        <f t="shared" si="8"/>
        <v>20761123252.261745</v>
      </c>
      <c r="BI27" s="20">
        <f t="shared" si="27"/>
        <v>524750233552.51434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x14ac:dyDescent="0.25">
      <c r="A28" s="5">
        <v>2044</v>
      </c>
      <c r="B28" s="6">
        <v>0.768251180147968</v>
      </c>
      <c r="C28" s="6">
        <v>0.91104911512392761</v>
      </c>
      <c r="D28" s="6">
        <v>0.90987998493049316</v>
      </c>
      <c r="E28" s="6">
        <v>0.50149360670086218</v>
      </c>
      <c r="F28" s="6">
        <v>0.7075301731360556</v>
      </c>
      <c r="G28" s="6">
        <v>0.72531290006816873</v>
      </c>
      <c r="H28" s="6">
        <v>0.40370328645605685</v>
      </c>
      <c r="I28" s="6">
        <v>1.2611987985640907</v>
      </c>
      <c r="J28" s="6">
        <v>-1.0671368745708347</v>
      </c>
      <c r="K28" s="6">
        <v>4.7341611753735274E-2</v>
      </c>
      <c r="L28" s="6">
        <v>0</v>
      </c>
      <c r="M28" s="13">
        <f t="shared" si="9"/>
        <v>0</v>
      </c>
      <c r="N28" s="13">
        <v>0</v>
      </c>
      <c r="O28" s="6">
        <v>0.14814814814814814</v>
      </c>
      <c r="P28" s="6">
        <v>0.1111111111111111</v>
      </c>
      <c r="Q28" s="6">
        <v>0.14814814814814814</v>
      </c>
      <c r="R28" s="6">
        <v>0.33333333333333331</v>
      </c>
      <c r="S28" s="6">
        <v>0.25925925925925924</v>
      </c>
      <c r="X28" s="6">
        <f t="shared" si="23"/>
        <v>0.42992512518555964</v>
      </c>
      <c r="Y28" s="6">
        <f t="shared" si="24"/>
        <v>6.0016219968258899E-2</v>
      </c>
      <c r="Z28" s="6">
        <f t="shared" si="10"/>
        <v>0.48994134515381854</v>
      </c>
      <c r="AA28" s="6">
        <f t="shared" si="11"/>
        <v>6.0636110660502167</v>
      </c>
      <c r="AB28" s="6">
        <f t="shared" si="12"/>
        <v>-2.81314042048905</v>
      </c>
      <c r="AC28" s="6">
        <f t="shared" si="13"/>
        <v>-1.889366543048441</v>
      </c>
      <c r="AD28" s="14"/>
      <c r="AH28" s="6">
        <f t="shared" si="25"/>
        <v>2.6570277957844746</v>
      </c>
      <c r="AI28" s="6">
        <f t="shared" si="0"/>
        <v>0.97720812806449808</v>
      </c>
      <c r="AJ28" s="6">
        <f t="shared" si="26"/>
        <v>0.96725779721132998</v>
      </c>
      <c r="AK28" s="6">
        <f t="shared" si="26"/>
        <v>0.95730746635816177</v>
      </c>
      <c r="AL28" s="6">
        <f t="shared" si="14"/>
        <v>0.18856980000000001</v>
      </c>
      <c r="AM28" s="6">
        <f t="shared" si="15"/>
        <v>-1.4595675357298654</v>
      </c>
      <c r="AQ28" s="5">
        <f t="shared" si="1"/>
        <v>0</v>
      </c>
      <c r="AR28" s="5">
        <f t="shared" si="2"/>
        <v>0</v>
      </c>
      <c r="AT28" s="6">
        <f t="shared" si="16"/>
        <v>-1.530406822247369</v>
      </c>
      <c r="AU28" s="28">
        <f t="shared" si="17"/>
        <v>-1.1802399820621532</v>
      </c>
      <c r="AV28" s="28">
        <f t="shared" si="18"/>
        <v>-0.23305045612544695</v>
      </c>
      <c r="AW28" s="28">
        <f t="shared" si="3"/>
        <v>0</v>
      </c>
      <c r="AX28" s="14">
        <f t="shared" si="19"/>
        <v>6.649378433672147E-2</v>
      </c>
      <c r="AY28" s="14">
        <f t="shared" si="4"/>
        <v>0.17145108385895808</v>
      </c>
      <c r="AZ28" s="14">
        <f t="shared" si="20"/>
        <v>0.2164475937055608</v>
      </c>
      <c r="BA28" s="6">
        <f t="shared" si="21"/>
        <v>-2.9436972604349689</v>
      </c>
      <c r="BB28" s="6">
        <f t="shared" si="5"/>
        <v>5.2670631256464817E-2</v>
      </c>
      <c r="BC28" s="17">
        <f t="shared" si="22"/>
        <v>0.23841590108975227</v>
      </c>
      <c r="BD28" s="5">
        <v>220410205</v>
      </c>
      <c r="BE28" s="20">
        <f t="shared" si="6"/>
        <v>11609144.632716818</v>
      </c>
      <c r="BF28" s="20">
        <f>SUM(BE$7:BE28)</f>
        <v>876302159.61254859</v>
      </c>
      <c r="BG28" s="20">
        <f t="shared" si="7"/>
        <v>26.389840268106628</v>
      </c>
      <c r="BH28" s="20">
        <f t="shared" si="8"/>
        <v>17760206463.548153</v>
      </c>
      <c r="BI28" s="20">
        <f t="shared" si="27"/>
        <v>542510440016.0625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x14ac:dyDescent="0.25">
      <c r="A29" s="5">
        <v>2045</v>
      </c>
      <c r="B29" s="6">
        <v>0.768251180147968</v>
      </c>
      <c r="C29" s="6">
        <v>0.91104911512392761</v>
      </c>
      <c r="D29" s="6">
        <v>0.90987998493049316</v>
      </c>
      <c r="E29" s="6">
        <v>0.50149360670086218</v>
      </c>
      <c r="F29" s="6">
        <v>0.7075301731360556</v>
      </c>
      <c r="G29" s="6">
        <v>0.72531290006816873</v>
      </c>
      <c r="H29" s="6">
        <v>0.40370328645605685</v>
      </c>
      <c r="I29" s="6">
        <v>1.2611987985640907</v>
      </c>
      <c r="J29" s="6">
        <v>-1.0671368745708347</v>
      </c>
      <c r="K29" s="6">
        <v>4.7341611753735274E-2</v>
      </c>
      <c r="L29" s="6">
        <v>0</v>
      </c>
      <c r="M29" s="13">
        <f t="shared" si="9"/>
        <v>0</v>
      </c>
      <c r="N29" s="13">
        <v>0</v>
      </c>
      <c r="O29" s="6">
        <v>0.14814814814814814</v>
      </c>
      <c r="P29" s="6">
        <v>0.1111111111111111</v>
      </c>
      <c r="Q29" s="6">
        <v>0.14814814814814814</v>
      </c>
      <c r="R29" s="6">
        <v>0.33333333333333331</v>
      </c>
      <c r="S29" s="6">
        <v>0.25925925925925924</v>
      </c>
      <c r="X29" s="6">
        <f t="shared" si="23"/>
        <v>0.45033063997476769</v>
      </c>
      <c r="Y29" s="6">
        <f t="shared" si="24"/>
        <v>4.6489371106937183E-2</v>
      </c>
      <c r="Z29" s="6">
        <f t="shared" si="10"/>
        <v>0.49682001108170487</v>
      </c>
      <c r="AA29" s="6">
        <f t="shared" si="11"/>
        <v>6.1099820684631778</v>
      </c>
      <c r="AB29" s="6">
        <f t="shared" si="12"/>
        <v>-3.0685315708622749</v>
      </c>
      <c r="AC29" s="6">
        <f t="shared" si="13"/>
        <v>-2.0588763597555411</v>
      </c>
      <c r="AD29" s="14"/>
      <c r="AH29" s="6">
        <f t="shared" si="25"/>
        <v>2.6835980737423193</v>
      </c>
      <c r="AI29" s="6">
        <f t="shared" si="0"/>
        <v>0.98715845891766607</v>
      </c>
      <c r="AJ29" s="6">
        <f t="shared" si="26"/>
        <v>0.97720812806449808</v>
      </c>
      <c r="AK29" s="6">
        <f t="shared" si="26"/>
        <v>0.96725779721132998</v>
      </c>
      <c r="AL29" s="6">
        <f t="shared" si="14"/>
        <v>0.1966038</v>
      </c>
      <c r="AM29" s="6">
        <f t="shared" si="15"/>
        <v>-1.474512932671324</v>
      </c>
      <c r="AQ29" s="5">
        <f t="shared" si="1"/>
        <v>0</v>
      </c>
      <c r="AR29" s="5">
        <f t="shared" si="2"/>
        <v>0</v>
      </c>
      <c r="AT29" s="6">
        <f t="shared" si="16"/>
        <v>-1.530406822247369</v>
      </c>
      <c r="AU29" s="28">
        <f t="shared" si="17"/>
        <v>-1.3497497987692535</v>
      </c>
      <c r="AV29" s="28">
        <f t="shared" si="18"/>
        <v>-0.24799585306690552</v>
      </c>
      <c r="AW29" s="28">
        <f t="shared" si="3"/>
        <v>0</v>
      </c>
      <c r="AX29" s="14">
        <f t="shared" si="19"/>
        <v>5.6125971638971706E-2</v>
      </c>
      <c r="AY29" s="14">
        <f t="shared" si="4"/>
        <v>0.16890773239435145</v>
      </c>
      <c r="AZ29" s="14">
        <f t="shared" si="20"/>
        <v>0.2164475937055608</v>
      </c>
      <c r="BA29" s="6">
        <f t="shared" si="21"/>
        <v>-3.128152474083528</v>
      </c>
      <c r="BB29" s="6">
        <f t="shared" si="5"/>
        <v>4.3798641674272575E-2</v>
      </c>
      <c r="BC29" s="17">
        <f t="shared" si="22"/>
        <v>0.19825645472963987</v>
      </c>
      <c r="BD29" s="5">
        <v>220341694</v>
      </c>
      <c r="BE29" s="20">
        <f t="shared" si="6"/>
        <v>9650666.901408216</v>
      </c>
      <c r="BF29" s="20">
        <f>SUM(BE$7:BE29)</f>
        <v>885952826.51395679</v>
      </c>
      <c r="BG29" s="20">
        <f t="shared" si="7"/>
        <v>23.108407698672554</v>
      </c>
      <c r="BH29" s="20">
        <f t="shared" si="8"/>
        <v>15546987710.681614</v>
      </c>
      <c r="BI29" s="20">
        <f t="shared" si="27"/>
        <v>558057427726.74414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x14ac:dyDescent="0.25">
      <c r="A30" s="5">
        <v>2046</v>
      </c>
      <c r="B30" s="6">
        <v>0.768251180147968</v>
      </c>
      <c r="C30" s="6">
        <v>0.91104911512392761</v>
      </c>
      <c r="D30" s="6">
        <v>0.90987998493049316</v>
      </c>
      <c r="E30" s="6">
        <v>0.50149360670086218</v>
      </c>
      <c r="F30" s="6">
        <v>0.7075301731360556</v>
      </c>
      <c r="G30" s="6">
        <v>0.72531290006816873</v>
      </c>
      <c r="H30" s="6">
        <v>0.40370328645605685</v>
      </c>
      <c r="I30" s="6">
        <v>1.2611987985640907</v>
      </c>
      <c r="J30" s="6">
        <v>-1.0671368745708347</v>
      </c>
      <c r="K30" s="6">
        <v>4.7341611753735274E-2</v>
      </c>
      <c r="L30" s="6">
        <v>0</v>
      </c>
      <c r="M30" s="13">
        <f t="shared" si="9"/>
        <v>0</v>
      </c>
      <c r="N30" s="13">
        <v>0</v>
      </c>
      <c r="O30" s="6">
        <v>0.14814814814814814</v>
      </c>
      <c r="P30" s="6">
        <v>0.1111111111111111</v>
      </c>
      <c r="Q30" s="6">
        <v>0.14814814814814814</v>
      </c>
      <c r="R30" s="6">
        <v>0.33333333333333331</v>
      </c>
      <c r="S30" s="6">
        <v>0.25925925925925924</v>
      </c>
      <c r="X30" s="6">
        <f t="shared" si="23"/>
        <v>0.46613702615112634</v>
      </c>
      <c r="Y30" s="6">
        <f t="shared" si="24"/>
        <v>3.7561650858464912E-2</v>
      </c>
      <c r="Z30" s="6">
        <f t="shared" si="10"/>
        <v>0.50369867700959126</v>
      </c>
      <c r="AA30" s="6">
        <f t="shared" si="11"/>
        <v>6.1444796384367484</v>
      </c>
      <c r="AB30" s="6">
        <f t="shared" si="12"/>
        <v>-3.2817716730396724</v>
      </c>
      <c r="AC30" s="6">
        <f t="shared" si="13"/>
        <v>-2.2003925377790501</v>
      </c>
      <c r="AD30" s="14"/>
      <c r="AH30" s="6">
        <f t="shared" si="25"/>
        <v>2.7104340544797427</v>
      </c>
      <c r="AI30" s="6">
        <f t="shared" si="0"/>
        <v>0.99710878977083428</v>
      </c>
      <c r="AJ30" s="6">
        <f t="shared" si="26"/>
        <v>0.98715845891766607</v>
      </c>
      <c r="AK30" s="6">
        <f t="shared" si="26"/>
        <v>0.97720812806449808</v>
      </c>
      <c r="AL30" s="6">
        <f t="shared" si="14"/>
        <v>0.2045582</v>
      </c>
      <c r="AM30" s="6">
        <f t="shared" si="15"/>
        <v>-1.4894583296127826</v>
      </c>
      <c r="AQ30" s="5">
        <f t="shared" si="1"/>
        <v>0</v>
      </c>
      <c r="AR30" s="5">
        <f t="shared" si="2"/>
        <v>0</v>
      </c>
      <c r="AT30" s="6">
        <f t="shared" si="16"/>
        <v>-1.530406822247369</v>
      </c>
      <c r="AU30" s="28">
        <f t="shared" si="17"/>
        <v>-1.4912659767927625</v>
      </c>
      <c r="AV30" s="28">
        <f t="shared" si="18"/>
        <v>-0.2629412500083641</v>
      </c>
      <c r="AW30" s="28">
        <f t="shared" si="3"/>
        <v>0</v>
      </c>
      <c r="AX30" s="14">
        <f t="shared" si="19"/>
        <v>4.8719651971889592E-2</v>
      </c>
      <c r="AY30" s="14">
        <f t="shared" si="4"/>
        <v>0.16640210968903246</v>
      </c>
      <c r="AZ30" s="14">
        <f t="shared" si="20"/>
        <v>0.2164475937055608</v>
      </c>
      <c r="BA30" s="6">
        <f t="shared" si="21"/>
        <v>-3.2846140490484954</v>
      </c>
      <c r="BB30" s="6">
        <f t="shared" si="5"/>
        <v>3.7455038111747697E-2</v>
      </c>
      <c r="BC30" s="17">
        <f t="shared" si="22"/>
        <v>0.16954185755400991</v>
      </c>
      <c r="BD30" s="5">
        <v>220220282</v>
      </c>
      <c r="BE30" s="20">
        <f t="shared" si="6"/>
        <v>8248359.0552898254</v>
      </c>
      <c r="BF30" s="20">
        <f>SUM(BE$7:BE30)</f>
        <v>894201185.56924665</v>
      </c>
      <c r="BG30" s="20">
        <f t="shared" si="7"/>
        <v>20.766627940337287</v>
      </c>
      <c r="BH30" s="20">
        <f t="shared" si="8"/>
        <v>13963775137.138988</v>
      </c>
      <c r="BI30" s="20">
        <f t="shared" si="27"/>
        <v>572021202863.88318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x14ac:dyDescent="0.25">
      <c r="A31" s="5">
        <v>2047</v>
      </c>
      <c r="B31" s="6">
        <v>0.768251180147968</v>
      </c>
      <c r="C31" s="6">
        <v>0.91104911512392761</v>
      </c>
      <c r="D31" s="6">
        <v>0.90987998493049316</v>
      </c>
      <c r="E31" s="6">
        <v>0.50149360670086218</v>
      </c>
      <c r="F31" s="6">
        <v>0.7075301731360556</v>
      </c>
      <c r="G31" s="6">
        <v>0.72531290006816873</v>
      </c>
      <c r="H31" s="6">
        <v>0.40370328645605685</v>
      </c>
      <c r="I31" s="6">
        <v>1.2611987985640907</v>
      </c>
      <c r="J31" s="6">
        <v>-1.0671368745708347</v>
      </c>
      <c r="K31" s="6">
        <v>4.7341611753735274E-2</v>
      </c>
      <c r="L31" s="6">
        <v>0</v>
      </c>
      <c r="M31" s="13">
        <f t="shared" si="9"/>
        <v>0</v>
      </c>
      <c r="N31" s="13">
        <v>0</v>
      </c>
      <c r="O31" s="6">
        <v>0.14814814814814814</v>
      </c>
      <c r="P31" s="6">
        <v>0.1111111111111111</v>
      </c>
      <c r="Q31" s="6">
        <v>0.14814814814814814</v>
      </c>
      <c r="R31" s="6">
        <v>0.33333333333333331</v>
      </c>
      <c r="S31" s="6">
        <v>0.25925925925925924</v>
      </c>
      <c r="X31" s="6">
        <f t="shared" si="23"/>
        <v>0.47890798744300439</v>
      </c>
      <c r="Y31" s="6">
        <f t="shared" si="24"/>
        <v>3.1669355494473195E-2</v>
      </c>
      <c r="Z31" s="6">
        <f t="shared" si="10"/>
        <v>0.51057734293747759</v>
      </c>
      <c r="AA31" s="6">
        <f t="shared" si="11"/>
        <v>6.17150848593782</v>
      </c>
      <c r="AB31" s="6">
        <f t="shared" si="12"/>
        <v>-3.4524057693026009</v>
      </c>
      <c r="AC31" s="6">
        <f t="shared" si="13"/>
        <v>-2.3136310589913758</v>
      </c>
      <c r="AD31" s="14"/>
      <c r="AH31" s="6">
        <f t="shared" si="25"/>
        <v>2.73753839502454</v>
      </c>
      <c r="AI31" s="6">
        <f t="shared" si="0"/>
        <v>1.0070591206240023</v>
      </c>
      <c r="AJ31" s="6">
        <f t="shared" si="26"/>
        <v>0.99710878977083428</v>
      </c>
      <c r="AK31" s="6">
        <f t="shared" si="26"/>
        <v>0.98715845891766607</v>
      </c>
      <c r="AL31" s="6">
        <f t="shared" si="14"/>
        <v>0.21243390000000001</v>
      </c>
      <c r="AM31" s="6">
        <f t="shared" si="15"/>
        <v>-1.5044037265542409</v>
      </c>
      <c r="AQ31" s="5">
        <f t="shared" si="1"/>
        <v>0</v>
      </c>
      <c r="AR31" s="5">
        <f t="shared" si="2"/>
        <v>0</v>
      </c>
      <c r="AT31" s="6">
        <f t="shared" si="16"/>
        <v>-1.530406822247369</v>
      </c>
      <c r="AU31" s="28">
        <f t="shared" si="17"/>
        <v>-1.6045044980050882</v>
      </c>
      <c r="AV31" s="28">
        <f t="shared" si="18"/>
        <v>-0.27788664694982246</v>
      </c>
      <c r="AW31" s="28">
        <f t="shared" si="3"/>
        <v>0</v>
      </c>
      <c r="AX31" s="14">
        <f t="shared" si="19"/>
        <v>4.3503611547538713E-2</v>
      </c>
      <c r="AY31" s="14">
        <f t="shared" si="4"/>
        <v>0.16393365606444421</v>
      </c>
      <c r="AZ31" s="14">
        <f t="shared" si="20"/>
        <v>0.2164475937055608</v>
      </c>
      <c r="BA31" s="6">
        <f t="shared" si="21"/>
        <v>-3.4127979672022795</v>
      </c>
      <c r="BB31" s="6">
        <f t="shared" si="5"/>
        <v>3.2948881393880677E-2</v>
      </c>
      <c r="BC31" s="17">
        <f t="shared" si="22"/>
        <v>0.14914454336366514</v>
      </c>
      <c r="BD31" s="5">
        <v>220045691</v>
      </c>
      <c r="BE31" s="20">
        <f t="shared" si="6"/>
        <v>7250259.3739935169</v>
      </c>
      <c r="BF31" s="20">
        <f>SUM(BE$7:BE31)</f>
        <v>901451444.94324017</v>
      </c>
      <c r="BG31" s="20">
        <f t="shared" si="7"/>
        <v>19.161288783858879</v>
      </c>
      <c r="BH31" s="20">
        <f t="shared" si="8"/>
        <v>12874107609.753717</v>
      </c>
      <c r="BI31" s="20">
        <f t="shared" si="27"/>
        <v>584895310473.63684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x14ac:dyDescent="0.25">
      <c r="A32" s="5">
        <v>2048</v>
      </c>
      <c r="B32" s="6">
        <v>0.768251180147968</v>
      </c>
      <c r="C32" s="6">
        <v>0.91104911512392761</v>
      </c>
      <c r="D32" s="6">
        <v>0.90987998493049316</v>
      </c>
      <c r="E32" s="6">
        <v>0.50149360670086218</v>
      </c>
      <c r="F32" s="6">
        <v>0.7075301731360556</v>
      </c>
      <c r="G32" s="6">
        <v>0.72531290006816873</v>
      </c>
      <c r="H32" s="6">
        <v>0.40370328645605685</v>
      </c>
      <c r="I32" s="6">
        <v>1.2611987985640907</v>
      </c>
      <c r="J32" s="6">
        <v>-1.0671368745708347</v>
      </c>
      <c r="K32" s="6">
        <v>4.7341611753735274E-2</v>
      </c>
      <c r="L32" s="6">
        <v>0</v>
      </c>
      <c r="M32" s="13">
        <f t="shared" si="9"/>
        <v>0</v>
      </c>
      <c r="N32" s="13">
        <v>0</v>
      </c>
      <c r="O32" s="6">
        <v>0.14814814814814814</v>
      </c>
      <c r="P32" s="6">
        <v>0.1111111111111111</v>
      </c>
      <c r="Q32" s="6">
        <v>0.14814814814814814</v>
      </c>
      <c r="R32" s="6">
        <v>0.33333333333333331</v>
      </c>
      <c r="S32" s="6">
        <v>0.25925925925925924</v>
      </c>
      <c r="X32" s="6">
        <f t="shared" si="23"/>
        <v>0.4896755683111253</v>
      </c>
      <c r="Y32" s="6">
        <f t="shared" si="24"/>
        <v>2.7780440554238617E-2</v>
      </c>
      <c r="Z32" s="6">
        <f t="shared" si="10"/>
        <v>0.51745600886536391</v>
      </c>
      <c r="AA32" s="6">
        <f t="shared" si="11"/>
        <v>6.1937430663285342</v>
      </c>
      <c r="AB32" s="6">
        <f t="shared" si="12"/>
        <v>-3.5834230830977916</v>
      </c>
      <c r="AC32" s="6">
        <f t="shared" si="13"/>
        <v>-2.4005844763591502</v>
      </c>
      <c r="AD32" s="14"/>
      <c r="AH32" s="6">
        <f t="shared" si="25"/>
        <v>2.7649137789747855</v>
      </c>
      <c r="AI32" s="6">
        <f t="shared" si="0"/>
        <v>1.0170094514771704</v>
      </c>
      <c r="AJ32" s="6">
        <f t="shared" si="26"/>
        <v>1.0070591206240023</v>
      </c>
      <c r="AK32" s="6">
        <f t="shared" si="26"/>
        <v>0.99710878977083428</v>
      </c>
      <c r="AL32" s="6">
        <f t="shared" si="14"/>
        <v>0.2202316</v>
      </c>
      <c r="AM32" s="6">
        <f t="shared" si="15"/>
        <v>-1.5193491234956995</v>
      </c>
      <c r="AQ32" s="5">
        <f t="shared" si="1"/>
        <v>0</v>
      </c>
      <c r="AR32" s="5">
        <f t="shared" si="2"/>
        <v>0</v>
      </c>
      <c r="AT32" s="6">
        <f t="shared" si="16"/>
        <v>-1.530406822247369</v>
      </c>
      <c r="AU32" s="28">
        <f t="shared" si="17"/>
        <v>-1.6914579153728626</v>
      </c>
      <c r="AV32" s="28">
        <f t="shared" si="18"/>
        <v>-0.29283204389128104</v>
      </c>
      <c r="AW32" s="28">
        <f t="shared" si="3"/>
        <v>0</v>
      </c>
      <c r="AX32" s="14">
        <f t="shared" si="19"/>
        <v>3.9880621984028822E-2</v>
      </c>
      <c r="AY32" s="14">
        <f t="shared" si="4"/>
        <v>0.16150182014445194</v>
      </c>
      <c r="AZ32" s="14">
        <f t="shared" si="20"/>
        <v>0.2164475937055608</v>
      </c>
      <c r="BA32" s="6">
        <f t="shared" si="21"/>
        <v>-3.5146967815115127</v>
      </c>
      <c r="BB32" s="6">
        <f t="shared" si="5"/>
        <v>2.9756824405611434E-2</v>
      </c>
      <c r="BC32" s="17">
        <f t="shared" si="22"/>
        <v>0.13469555870118036</v>
      </c>
      <c r="BD32" s="5">
        <v>219817347</v>
      </c>
      <c r="BE32" s="20">
        <f t="shared" si="6"/>
        <v>6541066.1959863575</v>
      </c>
      <c r="BF32" s="20">
        <f>SUM(BE$7:BE32)</f>
        <v>907992511.13922656</v>
      </c>
      <c r="BG32" s="20">
        <f t="shared" si="7"/>
        <v>18.11956674233797</v>
      </c>
      <c r="BH32" s="20">
        <f t="shared" si="8"/>
        <v>12161560963.6686</v>
      </c>
      <c r="BI32" s="20">
        <f t="shared" si="27"/>
        <v>597056871437.30542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x14ac:dyDescent="0.25">
      <c r="A33" s="5">
        <v>2049</v>
      </c>
      <c r="B33" s="6">
        <v>0.768251180147968</v>
      </c>
      <c r="C33" s="6">
        <v>0.91104911512392761</v>
      </c>
      <c r="D33" s="6">
        <v>0.90987998493049316</v>
      </c>
      <c r="E33" s="6">
        <v>0.50149360670086218</v>
      </c>
      <c r="F33" s="6">
        <v>0.7075301731360556</v>
      </c>
      <c r="G33" s="6">
        <v>0.72531290006816873</v>
      </c>
      <c r="H33" s="6">
        <v>0.40370328645605685</v>
      </c>
      <c r="I33" s="6">
        <v>1.2611987985640907</v>
      </c>
      <c r="J33" s="6">
        <v>-1.0671368745708347</v>
      </c>
      <c r="K33" s="6">
        <v>4.7341611753735274E-2</v>
      </c>
      <c r="L33" s="6">
        <v>0</v>
      </c>
      <c r="M33" s="13">
        <f t="shared" si="9"/>
        <v>0</v>
      </c>
      <c r="N33" s="13">
        <v>0</v>
      </c>
      <c r="O33" s="6">
        <v>0.14814814814814814</v>
      </c>
      <c r="P33" s="6">
        <v>0.1111111111111111</v>
      </c>
      <c r="Q33" s="6">
        <v>0.14814814814814814</v>
      </c>
      <c r="R33" s="6">
        <v>0.33333333333333331</v>
      </c>
      <c r="S33" s="6">
        <v>0.25925925925925924</v>
      </c>
      <c r="X33" s="6">
        <f t="shared" si="23"/>
        <v>0.49912091809956644</v>
      </c>
      <c r="Y33" s="6">
        <f t="shared" si="24"/>
        <v>2.5213756693683809E-2</v>
      </c>
      <c r="Z33" s="6">
        <f t="shared" si="10"/>
        <v>0.52433467479325024</v>
      </c>
      <c r="AA33" s="6">
        <f t="shared" si="11"/>
        <v>6.2128483872373801</v>
      </c>
      <c r="AB33" s="6">
        <f t="shared" si="12"/>
        <v>-3.6803655328712472</v>
      </c>
      <c r="AC33" s="6">
        <f t="shared" si="13"/>
        <v>-2.4649337418425863</v>
      </c>
      <c r="AD33" s="14"/>
      <c r="AH33" s="6">
        <f t="shared" si="25"/>
        <v>2.7925629167645334</v>
      </c>
      <c r="AI33" s="6">
        <f t="shared" si="0"/>
        <v>1.0269597823303385</v>
      </c>
      <c r="AJ33" s="6">
        <f t="shared" si="26"/>
        <v>1.0170094514771704</v>
      </c>
      <c r="AK33" s="6">
        <f t="shared" si="26"/>
        <v>1.0070591206240023</v>
      </c>
      <c r="AL33" s="6">
        <f t="shared" si="14"/>
        <v>0.22795199999999999</v>
      </c>
      <c r="AM33" s="6">
        <f t="shared" si="15"/>
        <v>-1.5342945204371579</v>
      </c>
      <c r="AQ33" s="5">
        <f t="shared" si="1"/>
        <v>0</v>
      </c>
      <c r="AR33" s="5">
        <f t="shared" si="2"/>
        <v>0</v>
      </c>
      <c r="AT33" s="6">
        <f t="shared" si="16"/>
        <v>-1.530406822247369</v>
      </c>
      <c r="AU33" s="28">
        <f t="shared" si="17"/>
        <v>-1.7558071808562987</v>
      </c>
      <c r="AV33" s="28">
        <f t="shared" si="18"/>
        <v>-0.30777744083273939</v>
      </c>
      <c r="AW33" s="28">
        <f t="shared" si="3"/>
        <v>0</v>
      </c>
      <c r="AX33" s="14">
        <f t="shared" si="19"/>
        <v>3.7395159685772728E-2</v>
      </c>
      <c r="AY33" s="14">
        <f t="shared" si="4"/>
        <v>0.15910605873218275</v>
      </c>
      <c r="AZ33" s="14">
        <f t="shared" si="20"/>
        <v>0.2164475937055608</v>
      </c>
      <c r="BA33" s="6">
        <f t="shared" si="21"/>
        <v>-3.5939914439364071</v>
      </c>
      <c r="BB33" s="6">
        <f t="shared" si="5"/>
        <v>2.7488392785542212E-2</v>
      </c>
      <c r="BC33" s="17">
        <f t="shared" si="22"/>
        <v>0.12442740440232888</v>
      </c>
      <c r="BD33" s="5">
        <v>219535230</v>
      </c>
      <c r="BE33" s="20">
        <f t="shared" si="6"/>
        <v>6034670.6325043505</v>
      </c>
      <c r="BF33" s="20">
        <f>SUM(BE$7:BE33)</f>
        <v>914027181.7717309</v>
      </c>
      <c r="BG33" s="20">
        <f t="shared" si="7"/>
        <v>17.498294497050694</v>
      </c>
      <c r="BH33" s="20">
        <f t="shared" si="8"/>
        <v>11729499884.94478</v>
      </c>
      <c r="BI33" s="20">
        <f t="shared" si="27"/>
        <v>608786371322.25024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x14ac:dyDescent="0.25">
      <c r="A34" s="5">
        <v>2050</v>
      </c>
      <c r="B34" s="6">
        <v>0.768251180147968</v>
      </c>
      <c r="C34" s="6">
        <v>0.91104911512392761</v>
      </c>
      <c r="D34" s="6">
        <v>0.90987998493049316</v>
      </c>
      <c r="E34" s="6">
        <v>0.50149360670086218</v>
      </c>
      <c r="F34" s="6">
        <v>0.7075301731360556</v>
      </c>
      <c r="G34" s="6">
        <v>0.72531290006816873</v>
      </c>
      <c r="H34" s="6">
        <v>0.40370328645605685</v>
      </c>
      <c r="I34" s="6">
        <v>1.2611987985640907</v>
      </c>
      <c r="J34" s="6">
        <v>-1.0671368745708347</v>
      </c>
      <c r="K34" s="6">
        <v>4.7341611753735274E-2</v>
      </c>
      <c r="L34" s="6">
        <v>0</v>
      </c>
      <c r="M34" s="13">
        <f t="shared" si="9"/>
        <v>0</v>
      </c>
      <c r="N34" s="13">
        <v>0</v>
      </c>
      <c r="O34" s="6">
        <v>0.14814814814814814</v>
      </c>
      <c r="P34" s="6">
        <v>0.1111111111111111</v>
      </c>
      <c r="Q34" s="6">
        <v>0.14814814814814814</v>
      </c>
      <c r="R34" s="6">
        <v>0.33333333333333331</v>
      </c>
      <c r="S34" s="6">
        <v>0.25925925925925924</v>
      </c>
      <c r="X34" s="6">
        <f t="shared" si="23"/>
        <v>0.50769359537541892</v>
      </c>
      <c r="Y34" s="6">
        <f t="shared" si="24"/>
        <v>2.3519745345717658E-2</v>
      </c>
      <c r="Z34" s="6">
        <f t="shared" si="10"/>
        <v>0.53121334072113657</v>
      </c>
      <c r="AA34" s="6">
        <f t="shared" si="11"/>
        <v>6.2298781068952858</v>
      </c>
      <c r="AB34" s="6">
        <f t="shared" si="12"/>
        <v>-3.7499149831481793</v>
      </c>
      <c r="AC34" s="6">
        <f t="shared" si="13"/>
        <v>-2.5111131462548237</v>
      </c>
      <c r="AD34" s="14"/>
      <c r="AH34" s="6">
        <f t="shared" si="25"/>
        <v>2.8204885459321787</v>
      </c>
      <c r="AI34" s="6">
        <f t="shared" si="0"/>
        <v>1.0369101131835066</v>
      </c>
      <c r="AJ34" s="6">
        <f t="shared" si="26"/>
        <v>1.0269597823303385</v>
      </c>
      <c r="AK34" s="6">
        <f t="shared" si="26"/>
        <v>1.0170094514771704</v>
      </c>
      <c r="AL34" s="6">
        <f t="shared" si="14"/>
        <v>0.2355961</v>
      </c>
      <c r="AM34" s="6">
        <f t="shared" si="15"/>
        <v>-1.5492399173786164</v>
      </c>
      <c r="AQ34" s="5">
        <f t="shared" si="1"/>
        <v>0</v>
      </c>
      <c r="AR34" s="5">
        <f t="shared" si="2"/>
        <v>0</v>
      </c>
      <c r="AT34" s="6">
        <f t="shared" si="16"/>
        <v>-1.530406822247369</v>
      </c>
      <c r="AU34" s="28">
        <f t="shared" si="17"/>
        <v>-1.8019865852685362</v>
      </c>
      <c r="AV34" s="28">
        <f t="shared" si="18"/>
        <v>-0.32272283777419797</v>
      </c>
      <c r="AW34" s="28">
        <f t="shared" si="3"/>
        <v>0</v>
      </c>
      <c r="AX34" s="14">
        <f t="shared" si="19"/>
        <v>3.5707540017831357E-2</v>
      </c>
      <c r="AY34" s="14">
        <f t="shared" si="4"/>
        <v>0.15674583668869208</v>
      </c>
      <c r="AZ34" s="14">
        <f t="shared" si="20"/>
        <v>0.2164475937055608</v>
      </c>
      <c r="BA34" s="6">
        <f t="shared" si="21"/>
        <v>-3.6551162452901034</v>
      </c>
      <c r="BB34" s="6">
        <f t="shared" si="5"/>
        <v>2.5858491380614208E-2</v>
      </c>
      <c r="BC34" s="17">
        <f t="shared" si="22"/>
        <v>0.11704958486849394</v>
      </c>
      <c r="BD34" s="5">
        <v>219199916</v>
      </c>
      <c r="BE34" s="20">
        <f t="shared" si="6"/>
        <v>5668179.1385173583</v>
      </c>
      <c r="BF34" s="20">
        <f>SUM(BE$7:BE34)</f>
        <v>919695360.91024828</v>
      </c>
      <c r="BG34" s="20">
        <f t="shared" si="7"/>
        <v>17.182866713510784</v>
      </c>
      <c r="BH34" s="20">
        <f t="shared" si="8"/>
        <v>11500469084.263626</v>
      </c>
      <c r="BI34" s="20">
        <f t="shared" si="27"/>
        <v>620286840406.51392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x14ac:dyDescent="0.25">
      <c r="A35" s="5">
        <v>2051</v>
      </c>
      <c r="B35" s="6">
        <v>0.768251180147968</v>
      </c>
      <c r="C35" s="6">
        <v>0.91104911512392761</v>
      </c>
      <c r="D35" s="6">
        <v>0.90987998493049316</v>
      </c>
      <c r="E35" s="6">
        <v>0.50149360670086218</v>
      </c>
      <c r="F35" s="6">
        <v>0.7075301731360556</v>
      </c>
      <c r="G35" s="6">
        <v>0.72531290006816873</v>
      </c>
      <c r="H35" s="6">
        <v>0.40370328645605685</v>
      </c>
      <c r="I35" s="6">
        <v>1.2611987985640907</v>
      </c>
      <c r="J35" s="6">
        <v>-1.0671368745708347</v>
      </c>
      <c r="K35" s="6">
        <v>4.7341611753735274E-2</v>
      </c>
      <c r="L35" s="6">
        <v>0</v>
      </c>
      <c r="M35" s="13">
        <f t="shared" si="9"/>
        <v>0</v>
      </c>
      <c r="N35" s="13">
        <v>0</v>
      </c>
      <c r="O35" s="6">
        <v>0.14814814814814814</v>
      </c>
      <c r="P35" s="6">
        <v>0.1111111111111111</v>
      </c>
      <c r="Q35" s="6">
        <v>0.14814814814814814</v>
      </c>
      <c r="R35" s="6">
        <v>0.33333333333333331</v>
      </c>
      <c r="S35" s="6">
        <v>0.25925925925925924</v>
      </c>
      <c r="X35" s="6">
        <f t="shared" si="23"/>
        <v>0.51569030879296296</v>
      </c>
      <c r="Y35" s="6">
        <f t="shared" si="24"/>
        <v>2.2401697856059943E-2</v>
      </c>
      <c r="Z35" s="6">
        <f t="shared" si="10"/>
        <v>0.5380920066490229</v>
      </c>
      <c r="AA35" s="6">
        <f t="shared" si="11"/>
        <v>6.2455064085455723</v>
      </c>
      <c r="AB35" s="6">
        <f t="shared" si="12"/>
        <v>-3.798618525848068</v>
      </c>
      <c r="AC35" s="6">
        <f t="shared" si="13"/>
        <v>-2.5434661082714518</v>
      </c>
      <c r="AD35" s="14"/>
      <c r="AH35" s="6">
        <f t="shared" si="25"/>
        <v>2.8486934313915007</v>
      </c>
      <c r="AI35" s="6">
        <f t="shared" si="0"/>
        <v>1.0468604440366747</v>
      </c>
      <c r="AJ35" s="6">
        <f t="shared" si="26"/>
        <v>1.0369101131835066</v>
      </c>
      <c r="AK35" s="6">
        <f t="shared" si="26"/>
        <v>1.0269597823303385</v>
      </c>
      <c r="AL35" s="6">
        <f t="shared" si="14"/>
        <v>0.2431644</v>
      </c>
      <c r="AM35" s="6">
        <f t="shared" si="15"/>
        <v>-1.564185314320075</v>
      </c>
      <c r="AQ35" s="5">
        <f t="shared" si="1"/>
        <v>0</v>
      </c>
      <c r="AR35" s="5">
        <f t="shared" si="2"/>
        <v>0</v>
      </c>
      <c r="AT35" s="6">
        <f t="shared" si="16"/>
        <v>-1.530406822247369</v>
      </c>
      <c r="AU35" s="28">
        <f t="shared" si="17"/>
        <v>-1.8343395472851642</v>
      </c>
      <c r="AV35" s="28">
        <f t="shared" si="18"/>
        <v>-0.33766823471565655</v>
      </c>
      <c r="AW35" s="28">
        <f t="shared" si="3"/>
        <v>0</v>
      </c>
      <c r="AX35" s="14">
        <f t="shared" si="19"/>
        <v>3.4570783210062545E-2</v>
      </c>
      <c r="AY35" s="14">
        <f t="shared" si="4"/>
        <v>0.15442062681343033</v>
      </c>
      <c r="AZ35" s="14">
        <f t="shared" si="20"/>
        <v>0.2164475937055608</v>
      </c>
      <c r="BA35" s="6">
        <f t="shared" si="21"/>
        <v>-3.7024146042481898</v>
      </c>
      <c r="BB35" s="6">
        <f t="shared" si="5"/>
        <v>2.4663900953276897E-2</v>
      </c>
      <c r="BC35" s="17">
        <f t="shared" si="22"/>
        <v>0.11164221939037734</v>
      </c>
      <c r="BD35" s="5">
        <v>218811421</v>
      </c>
      <c r="BE35" s="20">
        <f t="shared" si="6"/>
        <v>5396743.2149897721</v>
      </c>
      <c r="BF35" s="20">
        <f>SUM(BE$7:BE35)</f>
        <v>925092104.12523806</v>
      </c>
      <c r="BG35" s="20">
        <f t="shared" si="7"/>
        <v>17.084704637405686</v>
      </c>
      <c r="BH35" s="20">
        <f t="shared" si="8"/>
        <v>11414503135.303555</v>
      </c>
      <c r="BI35" s="20">
        <f t="shared" si="27"/>
        <v>631701343541.8175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x14ac:dyDescent="0.25">
      <c r="A36" s="5">
        <v>2052</v>
      </c>
      <c r="B36" s="6">
        <v>0.768251180147968</v>
      </c>
      <c r="C36" s="6">
        <v>0.91104911512392761</v>
      </c>
      <c r="D36" s="6">
        <v>0.90987998493049316</v>
      </c>
      <c r="E36" s="6">
        <v>0.50149360670086218</v>
      </c>
      <c r="F36" s="6">
        <v>0.7075301731360556</v>
      </c>
      <c r="G36" s="6">
        <v>0.72531290006816873</v>
      </c>
      <c r="H36" s="6">
        <v>0.40370328645605685</v>
      </c>
      <c r="I36" s="6">
        <v>1.2611987985640907</v>
      </c>
      <c r="J36" s="6">
        <v>-1.0671368745708347</v>
      </c>
      <c r="K36" s="6">
        <v>4.7341611753735274E-2</v>
      </c>
      <c r="L36" s="6">
        <v>0</v>
      </c>
      <c r="M36" s="13">
        <f t="shared" si="9"/>
        <v>0</v>
      </c>
      <c r="N36" s="13">
        <v>0</v>
      </c>
      <c r="O36" s="6">
        <v>0.14814814814814814</v>
      </c>
      <c r="P36" s="6">
        <v>0.1111111111111111</v>
      </c>
      <c r="Q36" s="6">
        <v>0.14814814814814814</v>
      </c>
      <c r="R36" s="6">
        <v>0.33333333333333331</v>
      </c>
      <c r="S36" s="6">
        <v>0.25925925925925924</v>
      </c>
      <c r="X36" s="6">
        <f t="shared" si="23"/>
        <v>0.52330688606402331</v>
      </c>
      <c r="Y36" s="6">
        <f t="shared" si="24"/>
        <v>2.1663786512885919E-2</v>
      </c>
      <c r="Z36" s="6">
        <f t="shared" si="10"/>
        <v>0.54497067257690923</v>
      </c>
      <c r="AA36" s="6">
        <f t="shared" si="11"/>
        <v>6.2601680722138529</v>
      </c>
      <c r="AB36" s="6">
        <f t="shared" si="12"/>
        <v>-3.8321132367651045</v>
      </c>
      <c r="AC36" s="6">
        <f t="shared" si="13"/>
        <v>-2.56573174826412</v>
      </c>
      <c r="AD36" s="14"/>
      <c r="AH36" s="6">
        <f t="shared" si="25"/>
        <v>2.8771803657054158</v>
      </c>
      <c r="AI36" s="6">
        <f t="shared" si="0"/>
        <v>1.056810774889843</v>
      </c>
      <c r="AJ36" s="6">
        <f t="shared" si="26"/>
        <v>1.0468604440366747</v>
      </c>
      <c r="AK36" s="6">
        <f t="shared" si="26"/>
        <v>1.0369101131835066</v>
      </c>
      <c r="AL36" s="6">
        <f t="shared" si="14"/>
        <v>0.25065789999999999</v>
      </c>
      <c r="AM36" s="6">
        <f t="shared" si="15"/>
        <v>-1.5791307112615336</v>
      </c>
      <c r="AQ36" s="5">
        <f t="shared" si="1"/>
        <v>0</v>
      </c>
      <c r="AR36" s="5">
        <f t="shared" si="2"/>
        <v>0</v>
      </c>
      <c r="AT36" s="6">
        <f t="shared" si="16"/>
        <v>-1.530406822247369</v>
      </c>
      <c r="AU36" s="28">
        <f t="shared" si="17"/>
        <v>-1.8566051872778324</v>
      </c>
      <c r="AV36" s="28">
        <f t="shared" si="18"/>
        <v>-0.35261363165711512</v>
      </c>
      <c r="AW36" s="28">
        <f t="shared" si="3"/>
        <v>0</v>
      </c>
      <c r="AX36" s="14">
        <f t="shared" si="19"/>
        <v>3.3809548732054343E-2</v>
      </c>
      <c r="AY36" s="14">
        <f t="shared" si="4"/>
        <v>0.15212990972648269</v>
      </c>
      <c r="AZ36" s="14">
        <f t="shared" si="20"/>
        <v>0.2164475937055608</v>
      </c>
      <c r="BA36" s="6">
        <f t="shared" si="21"/>
        <v>-3.7396256411823163</v>
      </c>
      <c r="BB36" s="6">
        <f t="shared" si="5"/>
        <v>2.3762997353979843E-2</v>
      </c>
      <c r="BC36" s="17">
        <f t="shared" si="22"/>
        <v>0.10756424010101683</v>
      </c>
      <c r="BD36" s="5">
        <v>218369418</v>
      </c>
      <c r="BE36" s="20">
        <f t="shared" si="6"/>
        <v>5189111.9021241181</v>
      </c>
      <c r="BF36" s="20">
        <f>SUM(BE$7:BE36)</f>
        <v>930281216.02736223</v>
      </c>
      <c r="BG36" s="20">
        <f t="shared" si="7"/>
        <v>17.137588259808698</v>
      </c>
      <c r="BH36" s="20">
        <f t="shared" si="8"/>
        <v>11426706466.538561</v>
      </c>
      <c r="BI36" s="20">
        <f t="shared" si="27"/>
        <v>643128050008.35608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x14ac:dyDescent="0.25">
      <c r="A37" s="5">
        <v>2053</v>
      </c>
      <c r="B37" s="6">
        <v>0.768251180147968</v>
      </c>
      <c r="C37" s="6">
        <v>0.91104911512392761</v>
      </c>
      <c r="D37" s="6">
        <v>0.90987998493049316</v>
      </c>
      <c r="E37" s="6">
        <v>0.50149360670086218</v>
      </c>
      <c r="F37" s="6">
        <v>0.7075301731360556</v>
      </c>
      <c r="G37" s="6">
        <v>0.72531290006816873</v>
      </c>
      <c r="H37" s="6">
        <v>0.40370328645605685</v>
      </c>
      <c r="I37" s="6">
        <v>1.2611987985640907</v>
      </c>
      <c r="J37" s="6">
        <v>-1.0671368745708347</v>
      </c>
      <c r="K37" s="6">
        <v>4.7341611753735274E-2</v>
      </c>
      <c r="L37" s="6">
        <v>0</v>
      </c>
      <c r="M37" s="13">
        <f t="shared" si="9"/>
        <v>0</v>
      </c>
      <c r="N37" s="13">
        <v>0</v>
      </c>
      <c r="O37" s="6">
        <v>0.14814814814814814</v>
      </c>
      <c r="P37" s="6">
        <v>0.1111111111111111</v>
      </c>
      <c r="Q37" s="6">
        <v>0.14814814814814814</v>
      </c>
      <c r="R37" s="6">
        <v>0.33333333333333331</v>
      </c>
      <c r="S37" s="6">
        <v>0.25925925925925924</v>
      </c>
      <c r="X37" s="6">
        <f t="shared" si="23"/>
        <v>0.53067257347840457</v>
      </c>
      <c r="Y37" s="6">
        <f t="shared" si="24"/>
        <v>2.1176765026390987E-2</v>
      </c>
      <c r="Z37" s="6">
        <f t="shared" si="10"/>
        <v>0.55184933850479556</v>
      </c>
      <c r="AA37" s="6">
        <f t="shared" si="11"/>
        <v>6.2741452086009124</v>
      </c>
      <c r="AB37" s="6">
        <f t="shared" ref="AB37:AB44" si="28">LN(Y37)</f>
        <v>-3.8548506876608388</v>
      </c>
      <c r="AC37" s="6">
        <f t="shared" si="13"/>
        <v>-2.5808625867535397</v>
      </c>
      <c r="AD37" s="14"/>
      <c r="AH37" s="6">
        <f t="shared" si="25"/>
        <v>2.9059521693624699</v>
      </c>
      <c r="AI37" s="6">
        <f t="shared" si="0"/>
        <v>1.0667611057430109</v>
      </c>
      <c r="AJ37" s="6">
        <f t="shared" si="26"/>
        <v>1.056810774889843</v>
      </c>
      <c r="AK37" s="6">
        <f t="shared" si="26"/>
        <v>1.0468604440366747</v>
      </c>
      <c r="AL37" s="6">
        <f t="shared" si="14"/>
        <v>0.2580771</v>
      </c>
      <c r="AM37" s="6">
        <f t="shared" si="15"/>
        <v>-1.5940761082029917</v>
      </c>
      <c r="AQ37" s="5">
        <f t="shared" si="1"/>
        <v>0</v>
      </c>
      <c r="AR37" s="5">
        <f t="shared" si="2"/>
        <v>0</v>
      </c>
      <c r="AT37" s="6">
        <f t="shared" si="16"/>
        <v>-1.530406822247369</v>
      </c>
      <c r="AU37" s="28">
        <f t="shared" si="17"/>
        <v>-1.8717360257672522</v>
      </c>
      <c r="AV37" s="28">
        <f t="shared" si="18"/>
        <v>-0.36755902859857326</v>
      </c>
      <c r="AW37" s="28">
        <f t="shared" si="3"/>
        <v>0</v>
      </c>
      <c r="AX37" s="14">
        <f t="shared" si="19"/>
        <v>3.3301832682000654E-2</v>
      </c>
      <c r="AY37" s="14">
        <f t="shared" si="4"/>
        <v>0.14987317375255554</v>
      </c>
      <c r="AZ37" s="14">
        <f t="shared" si="20"/>
        <v>0.2164475937055608</v>
      </c>
      <c r="BA37" s="6">
        <f t="shared" si="21"/>
        <v>-3.7697018766131944</v>
      </c>
      <c r="BB37" s="6">
        <f t="shared" si="5"/>
        <v>2.3058936670912918E-2</v>
      </c>
      <c r="BC37" s="17">
        <f t="shared" si="22"/>
        <v>0.10437727882542618</v>
      </c>
      <c r="BD37" s="5">
        <v>217873978</v>
      </c>
      <c r="BE37" s="20">
        <f t="shared" si="6"/>
        <v>5023942.2609418742</v>
      </c>
      <c r="BF37" s="20">
        <f>SUM(BE$7:BE37)</f>
        <v>935305158.28830409</v>
      </c>
      <c r="BG37" s="20">
        <f t="shared" si="7"/>
        <v>17.29327342652299</v>
      </c>
      <c r="BH37" s="20">
        <f t="shared" si="8"/>
        <v>11504350937.898932</v>
      </c>
      <c r="BI37" s="20">
        <f t="shared" si="27"/>
        <v>654632400946.255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x14ac:dyDescent="0.25">
      <c r="A38" s="5">
        <v>2054</v>
      </c>
      <c r="B38" s="6">
        <v>0.768251180147968</v>
      </c>
      <c r="C38" s="6">
        <v>0.91104911512392761</v>
      </c>
      <c r="D38" s="6">
        <v>0.90987998493049316</v>
      </c>
      <c r="E38" s="6">
        <v>0.50149360670086218</v>
      </c>
      <c r="F38" s="6">
        <v>0.7075301731360556</v>
      </c>
      <c r="G38" s="6">
        <v>0.72531290006816873</v>
      </c>
      <c r="H38" s="6">
        <v>0.40370328645605685</v>
      </c>
      <c r="I38" s="6">
        <v>1.2611987985640907</v>
      </c>
      <c r="J38" s="6">
        <v>-1.0671368745708347</v>
      </c>
      <c r="K38" s="6">
        <v>4.7341611753735274E-2</v>
      </c>
      <c r="L38" s="6">
        <v>0</v>
      </c>
      <c r="M38" s="13">
        <f t="shared" si="9"/>
        <v>0</v>
      </c>
      <c r="N38" s="13">
        <v>0</v>
      </c>
      <c r="O38" s="6">
        <v>0.14814814814814814</v>
      </c>
      <c r="P38" s="6">
        <v>0.1111111111111111</v>
      </c>
      <c r="Q38" s="6">
        <v>0.14814814814814814</v>
      </c>
      <c r="R38" s="6">
        <v>0.33333333333333331</v>
      </c>
      <c r="S38" s="6">
        <v>0.25925925925925924</v>
      </c>
      <c r="X38" s="6">
        <f t="shared" si="23"/>
        <v>0.53787267358737756</v>
      </c>
      <c r="Y38" s="6">
        <f t="shared" si="24"/>
        <v>2.0855330845304332E-2</v>
      </c>
      <c r="Z38" s="6">
        <f t="shared" si="10"/>
        <v>0.55872800443268189</v>
      </c>
      <c r="AA38" s="6">
        <f t="shared" si="11"/>
        <v>6.2876218659574556</v>
      </c>
      <c r="AB38" s="6">
        <f t="shared" si="28"/>
        <v>-3.8701456873830926</v>
      </c>
      <c r="AC38" s="6">
        <f t="shared" si="13"/>
        <v>-2.5910570781988205</v>
      </c>
      <c r="AD38" s="14"/>
      <c r="AH38" s="6">
        <f t="shared" si="25"/>
        <v>2.9350116910560948</v>
      </c>
      <c r="AI38" s="6">
        <f t="shared" si="0"/>
        <v>1.0767114365961792</v>
      </c>
      <c r="AJ38" s="6">
        <f t="shared" ref="AJ38:AK44" si="29">AI37</f>
        <v>1.0667611057430109</v>
      </c>
      <c r="AK38" s="6">
        <f t="shared" si="29"/>
        <v>1.056810774889843</v>
      </c>
      <c r="AL38" s="6">
        <f t="shared" si="14"/>
        <v>0.26542290000000002</v>
      </c>
      <c r="AM38" s="6">
        <f t="shared" si="15"/>
        <v>-1.6090215051444505</v>
      </c>
      <c r="AQ38" s="5">
        <f t="shared" si="1"/>
        <v>0</v>
      </c>
      <c r="AR38" s="5">
        <f t="shared" si="2"/>
        <v>0</v>
      </c>
      <c r="AT38" s="6">
        <f t="shared" si="16"/>
        <v>-1.530406822247369</v>
      </c>
      <c r="AU38" s="28">
        <f t="shared" si="17"/>
        <v>-1.8819305172125329</v>
      </c>
      <c r="AV38" s="28">
        <f t="shared" si="18"/>
        <v>-0.38250442554003206</v>
      </c>
      <c r="AW38" s="28">
        <f t="shared" si="3"/>
        <v>0</v>
      </c>
      <c r="AX38" s="14">
        <f t="shared" si="19"/>
        <v>3.2964062058780288E-2</v>
      </c>
      <c r="AY38" s="14">
        <f t="shared" si="4"/>
        <v>0.14764991480668394</v>
      </c>
      <c r="AZ38" s="14">
        <f t="shared" si="20"/>
        <v>0.2164475937055608</v>
      </c>
      <c r="BA38" s="6">
        <f t="shared" si="21"/>
        <v>-3.794841764999934</v>
      </c>
      <c r="BB38" s="6">
        <f t="shared" si="5"/>
        <v>2.2486463680820811E-2</v>
      </c>
      <c r="BC38" s="17">
        <f t="shared" si="22"/>
        <v>0.10178595495999213</v>
      </c>
      <c r="BD38" s="5">
        <v>217325473</v>
      </c>
      <c r="BE38" s="20">
        <f t="shared" si="6"/>
        <v>4886881.3555317037</v>
      </c>
      <c r="BF38" s="20">
        <f>SUM(BE$7:BE38)</f>
        <v>940192039.64383578</v>
      </c>
      <c r="BG38" s="20">
        <f t="shared" si="7"/>
        <v>17.517389523826463</v>
      </c>
      <c r="BH38" s="20">
        <f t="shared" si="8"/>
        <v>11624106247.815252</v>
      </c>
      <c r="BI38" s="20">
        <f t="shared" si="27"/>
        <v>666256507194.07031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x14ac:dyDescent="0.25">
      <c r="A39" s="5">
        <v>2055</v>
      </c>
      <c r="B39" s="6">
        <v>0.768251180147968</v>
      </c>
      <c r="C39" s="6">
        <v>0.91104911512392761</v>
      </c>
      <c r="D39" s="6">
        <v>0.90987998493049316</v>
      </c>
      <c r="E39" s="6">
        <v>0.50149360670086218</v>
      </c>
      <c r="F39" s="6">
        <v>0.7075301731360556</v>
      </c>
      <c r="G39" s="6">
        <v>0.72531290006816873</v>
      </c>
      <c r="H39" s="6">
        <v>0.40370328645605685</v>
      </c>
      <c r="I39" s="6">
        <v>1.2611987985640907</v>
      </c>
      <c r="J39" s="6">
        <v>-1.0671368745708347</v>
      </c>
      <c r="K39" s="6">
        <v>4.7341611753735274E-2</v>
      </c>
      <c r="L39" s="6">
        <v>0</v>
      </c>
      <c r="M39" s="13">
        <f t="shared" si="9"/>
        <v>0</v>
      </c>
      <c r="N39" s="13">
        <v>0</v>
      </c>
      <c r="O39" s="6">
        <v>0.14814814814814814</v>
      </c>
      <c r="P39" s="6">
        <v>0.1111111111111111</v>
      </c>
      <c r="Q39" s="6">
        <v>0.14814814814814814</v>
      </c>
      <c r="R39" s="6">
        <v>0.33333333333333331</v>
      </c>
      <c r="S39" s="6">
        <v>0.25925925925925924</v>
      </c>
      <c r="X39" s="6">
        <f t="shared" si="23"/>
        <v>0.54496348607478107</v>
      </c>
      <c r="Y39" s="6">
        <f t="shared" si="24"/>
        <v>2.0643184285787153E-2</v>
      </c>
      <c r="Z39" s="6">
        <f t="shared" si="10"/>
        <v>0.56560667036056822</v>
      </c>
      <c r="AA39" s="6">
        <f t="shared" si="11"/>
        <v>6.3007187943908516</v>
      </c>
      <c r="AB39" s="6">
        <f t="shared" si="28"/>
        <v>-3.880370072856143</v>
      </c>
      <c r="AC39" s="6">
        <f t="shared" si="13"/>
        <v>-2.5978882334811866</v>
      </c>
      <c r="AD39" s="14"/>
      <c r="AH39" s="6">
        <f t="shared" si="25"/>
        <v>2.9643618079666556</v>
      </c>
      <c r="AI39" s="6">
        <f t="shared" si="0"/>
        <v>1.0866617674493471</v>
      </c>
      <c r="AJ39" s="6">
        <f t="shared" si="29"/>
        <v>1.0767114365961792</v>
      </c>
      <c r="AK39" s="6">
        <f t="shared" si="29"/>
        <v>1.0667611057430109</v>
      </c>
      <c r="AL39" s="6">
        <f t="shared" si="14"/>
        <v>0.27269589999999999</v>
      </c>
      <c r="AM39" s="6">
        <f t="shared" si="15"/>
        <v>-1.6239669020859089</v>
      </c>
      <c r="AQ39" s="5">
        <f t="shared" si="1"/>
        <v>0</v>
      </c>
      <c r="AR39" s="5">
        <f t="shared" si="2"/>
        <v>0</v>
      </c>
      <c r="AT39" s="6">
        <f t="shared" si="16"/>
        <v>-1.530406822247369</v>
      </c>
      <c r="AU39" s="28">
        <f t="shared" si="17"/>
        <v>-1.888761672494899</v>
      </c>
      <c r="AV39" s="28">
        <f t="shared" si="18"/>
        <v>-0.39744982248149041</v>
      </c>
      <c r="AW39" s="28">
        <f t="shared" si="3"/>
        <v>0</v>
      </c>
      <c r="AX39" s="14">
        <f t="shared" si="19"/>
        <v>3.2739646812504901E-2</v>
      </c>
      <c r="AY39" s="14">
        <f t="shared" si="4"/>
        <v>0.14545963628163514</v>
      </c>
      <c r="AZ39" s="14">
        <f t="shared" si="20"/>
        <v>0.2164475937055608</v>
      </c>
      <c r="BA39" s="6">
        <f t="shared" si="21"/>
        <v>-3.8166183172237584</v>
      </c>
      <c r="BB39" s="6">
        <f t="shared" si="5"/>
        <v>2.2002079283054692E-2</v>
      </c>
      <c r="BC39" s="17">
        <f t="shared" si="22"/>
        <v>9.9593367935452676E-2</v>
      </c>
      <c r="BD39" s="5">
        <v>216724289</v>
      </c>
      <c r="BE39" s="20">
        <f t="shared" si="6"/>
        <v>4768384.9891416579</v>
      </c>
      <c r="BF39" s="20">
        <f>SUM(BE$7:BE39)</f>
        <v>944960424.63297749</v>
      </c>
      <c r="BG39" s="20">
        <f t="shared" si="7"/>
        <v>17.785805673890678</v>
      </c>
      <c r="BH39" s="20">
        <f t="shared" si="8"/>
        <v>11769572268.400194</v>
      </c>
      <c r="BI39" s="20">
        <f t="shared" si="27"/>
        <v>678026079462.47046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x14ac:dyDescent="0.25">
      <c r="A40" s="5">
        <v>2056</v>
      </c>
      <c r="B40" s="6">
        <v>0.768251180147968</v>
      </c>
      <c r="C40" s="6">
        <v>0.91104911512392761</v>
      </c>
      <c r="D40" s="6">
        <v>0.90987998493049316</v>
      </c>
      <c r="E40" s="6">
        <v>0.50149360670086218</v>
      </c>
      <c r="F40" s="6">
        <v>0.7075301731360556</v>
      </c>
      <c r="G40" s="6">
        <v>0.72531290006816873</v>
      </c>
      <c r="H40" s="6">
        <v>0.40370328645605685</v>
      </c>
      <c r="I40" s="6">
        <v>1.2611987985640907</v>
      </c>
      <c r="J40" s="6">
        <v>-1.0671368745708347</v>
      </c>
      <c r="K40" s="6">
        <v>4.7341611753735274E-2</v>
      </c>
      <c r="L40" s="6">
        <v>0</v>
      </c>
      <c r="M40" s="13">
        <f t="shared" si="9"/>
        <v>0</v>
      </c>
      <c r="N40" s="13">
        <v>0</v>
      </c>
      <c r="O40" s="6">
        <v>0.14814814814814814</v>
      </c>
      <c r="P40" s="6">
        <v>0.1111111111111111</v>
      </c>
      <c r="Q40" s="6">
        <v>0.14814814814814814</v>
      </c>
      <c r="R40" s="6">
        <v>0.33333333333333331</v>
      </c>
      <c r="S40" s="6">
        <v>0.25925925925925924</v>
      </c>
      <c r="X40" s="6">
        <f t="shared" si="23"/>
        <v>0.55198216873194872</v>
      </c>
      <c r="Y40" s="6">
        <f t="shared" si="24"/>
        <v>2.050316755650583E-2</v>
      </c>
      <c r="Z40" s="6">
        <f t="shared" si="10"/>
        <v>0.57248533628845455</v>
      </c>
      <c r="AA40" s="6">
        <f t="shared" si="11"/>
        <v>6.3135157427335091</v>
      </c>
      <c r="AB40" s="6">
        <f t="shared" si="28"/>
        <v>-3.8871758898224762</v>
      </c>
      <c r="AC40" s="6">
        <f t="shared" si="13"/>
        <v>-2.6024516779232361</v>
      </c>
      <c r="AD40" s="14"/>
      <c r="AH40" s="6">
        <f t="shared" si="25"/>
        <v>2.9940054260463222</v>
      </c>
      <c r="AI40" s="6">
        <f t="shared" si="0"/>
        <v>1.0966120983025152</v>
      </c>
      <c r="AJ40" s="6">
        <f t="shared" si="29"/>
        <v>1.0866617674493471</v>
      </c>
      <c r="AK40" s="6">
        <f t="shared" si="29"/>
        <v>1.0767114365961792</v>
      </c>
      <c r="AL40" s="6">
        <f t="shared" si="14"/>
        <v>0.2798969</v>
      </c>
      <c r="AM40" s="6">
        <f t="shared" si="15"/>
        <v>-1.6389122990273672</v>
      </c>
      <c r="AQ40" s="5">
        <f t="shared" si="1"/>
        <v>0</v>
      </c>
      <c r="AR40" s="5">
        <f t="shared" si="2"/>
        <v>0</v>
      </c>
      <c r="AT40" s="6">
        <f t="shared" si="16"/>
        <v>-1.530406822247369</v>
      </c>
      <c r="AU40" s="28">
        <f t="shared" si="17"/>
        <v>-1.8933251169369485</v>
      </c>
      <c r="AV40" s="28">
        <f t="shared" si="18"/>
        <v>-0.41239521942294877</v>
      </c>
      <c r="AW40" s="28">
        <f t="shared" si="3"/>
        <v>0</v>
      </c>
      <c r="AX40" s="14">
        <f t="shared" si="19"/>
        <v>3.2590581637236916E-2</v>
      </c>
      <c r="AY40" s="14">
        <f t="shared" si="4"/>
        <v>0.14330184893698134</v>
      </c>
      <c r="AZ40" s="14">
        <f t="shared" si="20"/>
        <v>0.2164475937055608</v>
      </c>
      <c r="BA40" s="6">
        <f t="shared" si="21"/>
        <v>-3.8361271586072663</v>
      </c>
      <c r="BB40" s="6">
        <f t="shared" si="5"/>
        <v>2.1577004052541225E-2</v>
      </c>
      <c r="BC40" s="17">
        <f t="shared" si="22"/>
        <v>9.7669246433655349E-2</v>
      </c>
      <c r="BD40" s="5">
        <v>216070026</v>
      </c>
      <c r="BE40" s="20">
        <f t="shared" si="6"/>
        <v>4662143.8266346883</v>
      </c>
      <c r="BF40" s="20">
        <f>SUM(BE$7:BE40)</f>
        <v>949622568.45961213</v>
      </c>
      <c r="BG40" s="20">
        <f t="shared" si="7"/>
        <v>18.081806387227466</v>
      </c>
      <c r="BH40" s="20">
        <f t="shared" si="8"/>
        <v>11929325506.509747</v>
      </c>
      <c r="BI40" s="20">
        <f t="shared" si="27"/>
        <v>689955404968.98022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x14ac:dyDescent="0.25">
      <c r="A41" s="5">
        <v>2057</v>
      </c>
      <c r="B41" s="6">
        <v>0.768251180147968</v>
      </c>
      <c r="C41" s="6">
        <v>0.91104911512392761</v>
      </c>
      <c r="D41" s="6">
        <v>0.90987998493049316</v>
      </c>
      <c r="E41" s="6">
        <v>0.50149360670086218</v>
      </c>
      <c r="F41" s="6">
        <v>0.7075301731360556</v>
      </c>
      <c r="G41" s="6">
        <v>0.72531290006816873</v>
      </c>
      <c r="H41" s="6">
        <v>0.40370328645605685</v>
      </c>
      <c r="I41" s="6">
        <v>1.2611987985640907</v>
      </c>
      <c r="J41" s="6">
        <v>-1.0671368745708347</v>
      </c>
      <c r="K41" s="6">
        <v>4.7341611753735274E-2</v>
      </c>
      <c r="L41" s="6">
        <v>0</v>
      </c>
      <c r="M41" s="13">
        <f t="shared" si="9"/>
        <v>0</v>
      </c>
      <c r="N41" s="13">
        <v>0</v>
      </c>
      <c r="O41" s="6">
        <v>0.14814814814814814</v>
      </c>
      <c r="P41" s="6">
        <v>0.1111111111111111</v>
      </c>
      <c r="Q41" s="6">
        <v>0.14814814814814814</v>
      </c>
      <c r="R41" s="6">
        <v>0.33333333333333331</v>
      </c>
      <c r="S41" s="6">
        <v>0.25925925925925924</v>
      </c>
      <c r="X41" s="6">
        <f t="shared" si="23"/>
        <v>0.55895324570116067</v>
      </c>
      <c r="Y41" s="6">
        <f t="shared" si="24"/>
        <v>2.0410756515180206E-2</v>
      </c>
      <c r="Z41" s="6">
        <f t="shared" si="10"/>
        <v>0.57936400221634088</v>
      </c>
      <c r="AA41" s="6">
        <f t="shared" si="11"/>
        <v>6.3260658304821229</v>
      </c>
      <c r="AB41" s="6">
        <f t="shared" si="28"/>
        <v>-3.8916932369394091</v>
      </c>
      <c r="AC41" s="6">
        <f t="shared" si="13"/>
        <v>-2.6054968794127569</v>
      </c>
      <c r="AD41" s="14"/>
      <c r="AH41" s="6">
        <f t="shared" si="25"/>
        <v>3.0239454803067853</v>
      </c>
      <c r="AI41" s="6">
        <f t="shared" si="0"/>
        <v>1.1065624291556833</v>
      </c>
      <c r="AJ41" s="6">
        <f t="shared" si="29"/>
        <v>1.0966120983025152</v>
      </c>
      <c r="AK41" s="6">
        <f t="shared" si="29"/>
        <v>1.0866617674493471</v>
      </c>
      <c r="AL41" s="6">
        <f t="shared" si="14"/>
        <v>0.28702670000000002</v>
      </c>
      <c r="AM41" s="6">
        <f t="shared" si="15"/>
        <v>-1.6538576959688256</v>
      </c>
      <c r="AQ41" s="5">
        <f t="shared" si="1"/>
        <v>0</v>
      </c>
      <c r="AR41" s="5">
        <f t="shared" si="2"/>
        <v>0</v>
      </c>
      <c r="AT41" s="6">
        <f t="shared" si="16"/>
        <v>-1.530406822247369</v>
      </c>
      <c r="AU41" s="28">
        <f t="shared" si="17"/>
        <v>-1.8963703184264693</v>
      </c>
      <c r="AV41" s="28">
        <f t="shared" si="18"/>
        <v>-0.42734061636440712</v>
      </c>
      <c r="AW41" s="28">
        <f t="shared" si="3"/>
        <v>0</v>
      </c>
      <c r="AX41" s="14">
        <f t="shared" si="19"/>
        <v>3.2491487706560407E-2</v>
      </c>
      <c r="AY41" s="14">
        <f t="shared" si="4"/>
        <v>0.14117607078981881</v>
      </c>
      <c r="AZ41" s="14">
        <f t="shared" si="20"/>
        <v>0.2164475937055608</v>
      </c>
      <c r="BA41" s="6">
        <f t="shared" si="21"/>
        <v>-3.8541177570382454</v>
      </c>
      <c r="BB41" s="6">
        <f t="shared" si="5"/>
        <v>2.1192291815300756E-2</v>
      </c>
      <c r="BC41" s="17">
        <f t="shared" si="22"/>
        <v>9.5927829774809389E-2</v>
      </c>
      <c r="BD41" s="5">
        <v>215362623</v>
      </c>
      <c r="BE41" s="20">
        <f t="shared" si="6"/>
        <v>4564027.5527246026</v>
      </c>
      <c r="BF41" s="20">
        <f>SUM(BE$7:BE41)</f>
        <v>954186596.01233673</v>
      </c>
      <c r="BG41" s="20">
        <f t="shared" si="7"/>
        <v>18.393915211733379</v>
      </c>
      <c r="BH41" s="20">
        <f t="shared" si="8"/>
        <v>12095506590.247911</v>
      </c>
      <c r="BI41" s="20">
        <f t="shared" si="27"/>
        <v>702050911559.22815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x14ac:dyDescent="0.25">
      <c r="A42" s="5">
        <v>2058</v>
      </c>
      <c r="B42" s="6">
        <v>0.768251180147968</v>
      </c>
      <c r="C42" s="6">
        <v>0.91104911512392761</v>
      </c>
      <c r="D42" s="6">
        <v>0.90987998493049316</v>
      </c>
      <c r="E42" s="6">
        <v>0.50149360670086218</v>
      </c>
      <c r="F42" s="6">
        <v>0.7075301731360556</v>
      </c>
      <c r="G42" s="6">
        <v>0.72531290006816873</v>
      </c>
      <c r="H42" s="6">
        <v>0.40370328645605685</v>
      </c>
      <c r="I42" s="6">
        <v>1.2611987985640907</v>
      </c>
      <c r="J42" s="6">
        <v>-1.0671368745708347</v>
      </c>
      <c r="K42" s="6">
        <v>4.7341611753735274E-2</v>
      </c>
      <c r="L42" s="6">
        <v>0</v>
      </c>
      <c r="M42" s="13">
        <f t="shared" si="9"/>
        <v>0</v>
      </c>
      <c r="N42" s="13">
        <v>0</v>
      </c>
      <c r="O42" s="6">
        <v>0.14814814814814814</v>
      </c>
      <c r="P42" s="6">
        <v>0.1111111111111111</v>
      </c>
      <c r="Q42" s="6">
        <v>0.14814814814814814</v>
      </c>
      <c r="R42" s="6">
        <v>0.33333333333333331</v>
      </c>
      <c r="S42" s="6">
        <v>0.25925925925925924</v>
      </c>
      <c r="X42" s="6">
        <f t="shared" si="23"/>
        <v>0.56589290291632199</v>
      </c>
      <c r="Y42" s="6">
        <f t="shared" si="24"/>
        <v>2.0349765227905214E-2</v>
      </c>
      <c r="Z42" s="6">
        <f t="shared" si="10"/>
        <v>0.58624266814422721</v>
      </c>
      <c r="AA42" s="6">
        <f t="shared" si="11"/>
        <v>6.3384048428369715</v>
      </c>
      <c r="AB42" s="6">
        <f t="shared" si="28"/>
        <v>-3.894685903872356</v>
      </c>
      <c r="AC42" s="6">
        <f t="shared" si="13"/>
        <v>-2.6075303736387201</v>
      </c>
      <c r="AD42" s="14"/>
      <c r="AH42" s="6">
        <f t="shared" si="25"/>
        <v>3.0541849351098533</v>
      </c>
      <c r="AI42" s="6">
        <f t="shared" si="0"/>
        <v>1.1165127600088514</v>
      </c>
      <c r="AJ42" s="6">
        <f t="shared" si="29"/>
        <v>1.1065624291556833</v>
      </c>
      <c r="AK42" s="6">
        <f t="shared" si="29"/>
        <v>1.0966120983025152</v>
      </c>
      <c r="AL42" s="6">
        <f t="shared" si="14"/>
        <v>0.29408580000000001</v>
      </c>
      <c r="AM42" s="6">
        <f t="shared" si="15"/>
        <v>-1.6688030929102844</v>
      </c>
      <c r="AQ42" s="5">
        <f t="shared" si="1"/>
        <v>0</v>
      </c>
      <c r="AR42" s="5">
        <f t="shared" si="2"/>
        <v>0</v>
      </c>
      <c r="AT42" s="6">
        <f t="shared" si="16"/>
        <v>-1.530406822247369</v>
      </c>
      <c r="AU42" s="28">
        <f t="shared" si="17"/>
        <v>-1.8984038126524325</v>
      </c>
      <c r="AV42" s="28">
        <f t="shared" si="18"/>
        <v>-0.44228601330586592</v>
      </c>
      <c r="AW42" s="28">
        <f t="shared" si="3"/>
        <v>0</v>
      </c>
      <c r="AX42" s="14">
        <f t="shared" si="19"/>
        <v>3.2425483586159487E-2</v>
      </c>
      <c r="AY42" s="14">
        <f t="shared" si="4"/>
        <v>0.13908182700710772</v>
      </c>
      <c r="AZ42" s="14">
        <f t="shared" si="20"/>
        <v>0.2164475937055608</v>
      </c>
      <c r="BA42" s="6">
        <f t="shared" si="21"/>
        <v>-3.8710966482056675</v>
      </c>
      <c r="BB42" s="6">
        <f t="shared" si="5"/>
        <v>2.0835507669754161E-2</v>
      </c>
      <c r="BC42" s="17">
        <f t="shared" si="22"/>
        <v>9.4312830836580638E-2</v>
      </c>
      <c r="BD42" s="5">
        <v>214603069</v>
      </c>
      <c r="BE42" s="20">
        <f t="shared" si="6"/>
        <v>4471363.8901022812</v>
      </c>
      <c r="BF42" s="20">
        <f>SUM(BE$7:BE42)</f>
        <v>958657959.902439</v>
      </c>
      <c r="BG42" s="20">
        <f t="shared" si="7"/>
        <v>18.714295055611057</v>
      </c>
      <c r="BH42" s="20">
        <f t="shared" si="8"/>
        <v>12262780398.589685</v>
      </c>
      <c r="BI42" s="20">
        <f t="shared" si="27"/>
        <v>714313691957.81787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x14ac:dyDescent="0.25">
      <c r="A43" s="5">
        <v>2059</v>
      </c>
      <c r="B43" s="6">
        <v>0.768251180147968</v>
      </c>
      <c r="C43" s="6">
        <v>0.91104911512392761</v>
      </c>
      <c r="D43" s="6">
        <v>0.90987998493049316</v>
      </c>
      <c r="E43" s="6">
        <v>0.50149360670086218</v>
      </c>
      <c r="F43" s="6">
        <v>0.7075301731360556</v>
      </c>
      <c r="G43" s="6">
        <v>0.72531290006816873</v>
      </c>
      <c r="H43" s="6">
        <v>0.40370328645605685</v>
      </c>
      <c r="I43" s="6">
        <v>1.2611987985640907</v>
      </c>
      <c r="J43" s="6">
        <v>-1.0671368745708347</v>
      </c>
      <c r="K43" s="6">
        <v>4.7341611753735274E-2</v>
      </c>
      <c r="L43" s="6">
        <v>0</v>
      </c>
      <c r="M43" s="13">
        <f t="shared" si="9"/>
        <v>0</v>
      </c>
      <c r="N43" s="13">
        <v>0</v>
      </c>
      <c r="O43" s="6">
        <v>0.14814814814814814</v>
      </c>
      <c r="P43" s="6">
        <v>0.1111111111111111</v>
      </c>
      <c r="Q43" s="6">
        <v>0.14814814814814814</v>
      </c>
      <c r="R43" s="6">
        <v>0.33333333333333331</v>
      </c>
      <c r="S43" s="6">
        <v>0.25925925925925924</v>
      </c>
      <c r="X43" s="6">
        <f t="shared" si="23"/>
        <v>0.57281182309380974</v>
      </c>
      <c r="Y43" s="6">
        <f t="shared" si="24"/>
        <v>2.0309510978303802E-2</v>
      </c>
      <c r="Z43" s="6">
        <f t="shared" si="10"/>
        <v>0.59312133407211354</v>
      </c>
      <c r="AA43" s="6">
        <f t="shared" si="11"/>
        <v>6.3505572563094805</v>
      </c>
      <c r="AB43" s="6">
        <f t="shared" si="28"/>
        <v>-3.8966659815574261</v>
      </c>
      <c r="AC43" s="6">
        <f t="shared" si="13"/>
        <v>-2.6088917747978115</v>
      </c>
      <c r="AD43" s="14"/>
      <c r="AH43" s="6">
        <f t="shared" si="25"/>
        <v>3.0847267844609521</v>
      </c>
      <c r="AI43" s="6">
        <f t="shared" si="0"/>
        <v>1.1264630908620195</v>
      </c>
      <c r="AJ43" s="6">
        <f t="shared" si="29"/>
        <v>1.1165127600088514</v>
      </c>
      <c r="AK43" s="6">
        <f t="shared" si="29"/>
        <v>1.1065624291556833</v>
      </c>
      <c r="AL43" s="6">
        <f t="shared" si="14"/>
        <v>0.30107509999999998</v>
      </c>
      <c r="AM43" s="6">
        <f t="shared" si="15"/>
        <v>-1.6837484898517427</v>
      </c>
      <c r="AQ43" s="5">
        <f t="shared" si="1"/>
        <v>0</v>
      </c>
      <c r="AR43" s="5">
        <f t="shared" si="2"/>
        <v>0</v>
      </c>
      <c r="AT43" s="6">
        <f t="shared" si="16"/>
        <v>-1.530406822247369</v>
      </c>
      <c r="AU43" s="28">
        <f t="shared" si="17"/>
        <v>-1.899765213811524</v>
      </c>
      <c r="AV43" s="28">
        <f t="shared" si="18"/>
        <v>-0.45723141024732428</v>
      </c>
      <c r="AW43" s="28">
        <f t="shared" si="3"/>
        <v>0</v>
      </c>
      <c r="AX43" s="14">
        <f t="shared" si="19"/>
        <v>3.2381369530497903E-2</v>
      </c>
      <c r="AY43" s="14">
        <f t="shared" si="4"/>
        <v>0.1370186497996094</v>
      </c>
      <c r="AZ43" s="14">
        <f t="shared" si="20"/>
        <v>0.2164475937055608</v>
      </c>
      <c r="BA43" s="6">
        <f t="shared" si="21"/>
        <v>-3.8874034463062173</v>
      </c>
      <c r="BB43" s="6">
        <f t="shared" si="5"/>
        <v>2.0498502458597887E-2</v>
      </c>
      <c r="BC43" s="17">
        <f t="shared" si="22"/>
        <v>9.2787362104327628E-2</v>
      </c>
      <c r="BD43" s="5">
        <v>213793298</v>
      </c>
      <c r="BE43" s="20">
        <f t="shared" si="6"/>
        <v>4382442.4446847504</v>
      </c>
      <c r="BF43" s="20">
        <f>SUM(BE$7:BE43)</f>
        <v>963040402.34712374</v>
      </c>
      <c r="BG43" s="20">
        <f t="shared" si="7"/>
        <v>19.037664896384157</v>
      </c>
      <c r="BH43" s="20">
        <f t="shared" si="8"/>
        <v>12427601389.710985</v>
      </c>
      <c r="BI43" s="20">
        <f t="shared" si="27"/>
        <v>726741293347.52881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x14ac:dyDescent="0.25">
      <c r="A44" s="5">
        <v>2060</v>
      </c>
      <c r="B44" s="6">
        <v>0.768251180147968</v>
      </c>
      <c r="C44" s="6">
        <v>0.91104911512392761</v>
      </c>
      <c r="D44" s="6">
        <v>0.90987998493049316</v>
      </c>
      <c r="E44" s="6">
        <v>0.50149360670086218</v>
      </c>
      <c r="F44" s="6">
        <v>0.7075301731360556</v>
      </c>
      <c r="G44" s="6">
        <v>0.72531290006816873</v>
      </c>
      <c r="H44" s="6">
        <v>0.40370328645605685</v>
      </c>
      <c r="I44" s="6">
        <v>1.2611987985640907</v>
      </c>
      <c r="J44" s="6">
        <v>-1.0671368745708347</v>
      </c>
      <c r="K44" s="6">
        <v>4.7341611753735274E-2</v>
      </c>
      <c r="L44" s="6">
        <v>0</v>
      </c>
      <c r="M44" s="13">
        <f t="shared" si="9"/>
        <v>0</v>
      </c>
      <c r="N44" s="13">
        <v>0</v>
      </c>
      <c r="O44" s="6">
        <v>0.14814814814814814</v>
      </c>
      <c r="P44" s="6">
        <v>0.1111111111111111</v>
      </c>
      <c r="Q44" s="6">
        <v>0.14814814814814814</v>
      </c>
      <c r="R44" s="6">
        <v>0.33333333333333331</v>
      </c>
      <c r="S44" s="6">
        <v>0.25925925925925924</v>
      </c>
      <c r="X44" s="6">
        <f t="shared" si="23"/>
        <v>0.57971705682643304</v>
      </c>
      <c r="Y44" s="6">
        <f t="shared" si="24"/>
        <v>2.0282943173566825E-2</v>
      </c>
      <c r="Z44" s="6">
        <f t="shared" si="10"/>
        <v>0.59999999999999987</v>
      </c>
      <c r="AA44" s="6">
        <f t="shared" si="11"/>
        <v>6.3625401514533326</v>
      </c>
      <c r="AB44" s="6">
        <f t="shared" si="28"/>
        <v>-3.8979749838873277</v>
      </c>
      <c r="AC44" s="6">
        <f t="shared" si="13"/>
        <v>-2.6098075749231118</v>
      </c>
      <c r="AD44" s="14"/>
      <c r="AH44" s="6">
        <f t="shared" si="25"/>
        <v>3.1155740523055617</v>
      </c>
      <c r="AI44" s="6">
        <f t="shared" si="0"/>
        <v>1.1364134217151878</v>
      </c>
      <c r="AJ44" s="6">
        <f t="shared" si="29"/>
        <v>1.1264630908620195</v>
      </c>
      <c r="AK44" s="6">
        <f t="shared" si="29"/>
        <v>1.1165127600088514</v>
      </c>
      <c r="AL44" s="6">
        <f t="shared" si="14"/>
        <v>0.30799510000000002</v>
      </c>
      <c r="AM44" s="6">
        <f t="shared" si="15"/>
        <v>-1.6986938867932015</v>
      </c>
      <c r="AQ44" s="5">
        <f t="shared" si="1"/>
        <v>0</v>
      </c>
      <c r="AR44" s="5">
        <f t="shared" si="2"/>
        <v>0</v>
      </c>
      <c r="AT44" s="6">
        <f t="shared" si="16"/>
        <v>-1.530406822247369</v>
      </c>
      <c r="AU44" s="28">
        <f t="shared" si="17"/>
        <v>-1.9006810139368242</v>
      </c>
      <c r="AV44" s="28">
        <f t="shared" si="18"/>
        <v>-0.47217680718878308</v>
      </c>
      <c r="AW44" s="28">
        <f t="shared" si="3"/>
        <v>0</v>
      </c>
      <c r="AX44" s="14">
        <f t="shared" si="19"/>
        <v>3.2351728243043519E-2</v>
      </c>
      <c r="AY44" s="14">
        <f t="shared" si="4"/>
        <v>0.13498607831739617</v>
      </c>
      <c r="AZ44" s="14">
        <f t="shared" si="20"/>
        <v>0.2164475937055608</v>
      </c>
      <c r="BA44" s="6">
        <f t="shared" si="21"/>
        <v>-3.9032646433729763</v>
      </c>
      <c r="BB44" s="6">
        <f t="shared" si="5"/>
        <v>2.0175936574555672E-2</v>
      </c>
      <c r="BC44" s="17">
        <f t="shared" si="22"/>
        <v>9.1327253613691331E-2</v>
      </c>
      <c r="BD44" s="5">
        <v>212934075</v>
      </c>
      <c r="BE44" s="20">
        <f t="shared" si="6"/>
        <v>4296144.3917616811</v>
      </c>
      <c r="BF44" s="20">
        <f>SUM(BE$7:BE44)</f>
        <v>967336546.7388854</v>
      </c>
      <c r="BG44" s="20">
        <f t="shared" si="7"/>
        <v>19.360456325415793</v>
      </c>
      <c r="BH44" s="20">
        <f t="shared" si="8"/>
        <v>12587523807.660696</v>
      </c>
      <c r="BI44" s="20">
        <f t="shared" si="27"/>
        <v>739328817155.18945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13"/>
      <c r="N45" s="13"/>
      <c r="O45" s="6"/>
      <c r="P45" s="6"/>
      <c r="Q45" s="6"/>
      <c r="R45" s="6"/>
      <c r="S45" s="6"/>
      <c r="X45" s="6"/>
      <c r="Y45" s="6"/>
      <c r="Z45" s="6"/>
      <c r="AA45" s="6"/>
      <c r="AB45" s="6"/>
      <c r="AC45" s="6"/>
      <c r="AD45" s="14"/>
      <c r="AH45" s="6"/>
      <c r="AI45" s="6"/>
      <c r="AJ45" s="6"/>
      <c r="AK45" s="6"/>
      <c r="AL45" s="6"/>
      <c r="AM45" s="6"/>
      <c r="AT45" s="6"/>
      <c r="AU45" s="6"/>
      <c r="AV45" s="6"/>
      <c r="AW45" s="6"/>
      <c r="AX45" s="14"/>
      <c r="AY45" s="14"/>
      <c r="AZ45" s="14"/>
      <c r="BA45" s="6"/>
      <c r="BB45" s="6"/>
      <c r="BC45" s="17"/>
      <c r="BE45" s="20"/>
      <c r="BF45" s="20"/>
      <c r="BG45" s="20"/>
      <c r="BH45" s="20"/>
      <c r="BI45" s="20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13"/>
      <c r="N46" s="13"/>
      <c r="O46" s="6"/>
      <c r="P46" s="6"/>
      <c r="Q46" s="6"/>
      <c r="R46" s="6"/>
      <c r="S46" s="6"/>
      <c r="X46" s="6"/>
      <c r="Y46" s="6"/>
      <c r="Z46" s="6"/>
      <c r="AA46" s="6"/>
      <c r="AB46" s="6"/>
      <c r="AC46" s="6"/>
      <c r="AD46" s="14"/>
      <c r="AH46" s="6"/>
      <c r="AI46" s="6"/>
      <c r="AJ46" s="6"/>
      <c r="AK46" s="6"/>
      <c r="AL46" s="6"/>
      <c r="AM46" s="6"/>
      <c r="AT46" s="6"/>
      <c r="AU46" s="6"/>
      <c r="AV46" s="6"/>
      <c r="AW46" s="6"/>
      <c r="AX46" s="14"/>
      <c r="AY46" s="14"/>
      <c r="AZ46" s="14"/>
      <c r="BA46" s="6"/>
      <c r="BB46" s="6"/>
      <c r="BC46" s="17"/>
      <c r="BE46" s="20"/>
      <c r="BF46" s="20"/>
      <c r="BG46" s="20"/>
      <c r="BH46" s="20"/>
      <c r="BI46" s="20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s="12" customFormat="1" x14ac:dyDescent="0.25"/>
    <row r="48" spans="1:75" x14ac:dyDescent="0.25">
      <c r="U48" s="7" t="s">
        <v>33</v>
      </c>
      <c r="V48" s="7"/>
      <c r="AE48" s="9" t="s">
        <v>33</v>
      </c>
      <c r="AF48" s="9"/>
      <c r="AO48" s="5" t="s">
        <v>64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21:75" x14ac:dyDescent="0.25">
      <c r="U49" s="7" t="s">
        <v>34</v>
      </c>
      <c r="V49" s="5">
        <v>0.6</v>
      </c>
      <c r="AE49" s="11" t="s">
        <v>44</v>
      </c>
      <c r="AF49" s="5">
        <v>0.01</v>
      </c>
      <c r="AO49" s="5">
        <v>2024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21:75" x14ac:dyDescent="0.25">
      <c r="U50" s="7" t="s">
        <v>35</v>
      </c>
      <c r="V50" s="5">
        <v>2060</v>
      </c>
      <c r="AE50" s="15" t="s">
        <v>45</v>
      </c>
      <c r="AF50" s="5">
        <v>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21:75" x14ac:dyDescent="0.25">
      <c r="U51" s="7" t="s">
        <v>36</v>
      </c>
      <c r="V51" s="6">
        <f>(V49-Z7)/(V50-A7)</f>
        <v>6.8786659278863337E-3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21:75" x14ac:dyDescent="0.25">
      <c r="U52" s="16" t="s">
        <v>26</v>
      </c>
      <c r="V52" s="5">
        <v>1.345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21:75" x14ac:dyDescent="0.25">
      <c r="U53" s="7" t="s">
        <v>37</v>
      </c>
      <c r="V53" s="6">
        <v>0.34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21:75" x14ac:dyDescent="0.25"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21:75" x14ac:dyDescent="0.25">
      <c r="U55" s="5" t="s">
        <v>48</v>
      </c>
      <c r="AE55" s="5" t="s">
        <v>48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21:75" x14ac:dyDescent="0.25">
      <c r="U56" s="5">
        <v>2040</v>
      </c>
      <c r="V56" s="5">
        <v>1.345</v>
      </c>
      <c r="AE56" s="5" t="s">
        <v>49</v>
      </c>
      <c r="AF56" s="5">
        <v>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21:75" x14ac:dyDescent="0.25">
      <c r="U57" s="5">
        <v>2050</v>
      </c>
      <c r="V57" s="5">
        <v>1.2114</v>
      </c>
      <c r="AF57" s="5">
        <v>0.05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21:75" x14ac:dyDescent="0.25">
      <c r="U58" s="5">
        <v>2060</v>
      </c>
      <c r="V58" s="5">
        <v>1.1539999999999999</v>
      </c>
      <c r="AE58" s="5" t="s">
        <v>50</v>
      </c>
      <c r="AF58" s="5">
        <v>0.01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21:75" x14ac:dyDescent="0.25">
      <c r="AF59" s="5">
        <v>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21:75" x14ac:dyDescent="0.25"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21:75" x14ac:dyDescent="0.25"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21:75" x14ac:dyDescent="0.25"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21:75" x14ac:dyDescent="0.25"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21:75" x14ac:dyDescent="0.25"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3:75" x14ac:dyDescent="0.25"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3:75" x14ac:dyDescent="0.25"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3:75" x14ac:dyDescent="0.25"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3:75" x14ac:dyDescent="0.25"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3:75" x14ac:dyDescent="0.25"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3:75" x14ac:dyDescent="0.25"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3:75" x14ac:dyDescent="0.25"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3:75" x14ac:dyDescent="0.25"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3:75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3:75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3:75" x14ac:dyDescent="0.25">
      <c r="C75" s="7"/>
      <c r="D75" s="8"/>
      <c r="E75" s="8"/>
      <c r="F75" s="7"/>
      <c r="G75" s="7"/>
      <c r="H75" s="7"/>
      <c r="I75" s="7"/>
      <c r="J75" s="7"/>
      <c r="K75" s="7"/>
      <c r="L75" s="7"/>
      <c r="M75" s="7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3:75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3:75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3:75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3:75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3:75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3:75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3:75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3:75" x14ac:dyDescent="0.25">
      <c r="C83" s="7"/>
      <c r="D83" s="7"/>
      <c r="E83" s="7"/>
      <c r="F83" s="8"/>
      <c r="G83" s="8"/>
      <c r="H83" s="8"/>
      <c r="I83" s="8"/>
      <c r="J83" s="7"/>
      <c r="K83" s="7"/>
      <c r="L83" s="7"/>
      <c r="M83" s="7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3:75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3:75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3:75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3:75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3:75" x14ac:dyDescent="0.25">
      <c r="C88" s="7"/>
      <c r="D88" s="7"/>
      <c r="E88" s="7"/>
      <c r="F88" s="8"/>
      <c r="G88" s="8"/>
      <c r="H88" s="8"/>
      <c r="I88" s="8"/>
      <c r="J88" s="8"/>
      <c r="K88" s="8"/>
      <c r="L88" s="8"/>
      <c r="M88" s="7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3:75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3:75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3:75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</sheetData>
  <mergeCells count="4">
    <mergeCell ref="U2:AC2"/>
    <mergeCell ref="A2:S2"/>
    <mergeCell ref="A1:S1"/>
    <mergeCell ref="AE2:AM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1982-2061-4D04-B08A-8272CC0836EC}">
  <sheetPr filterMode="1"/>
  <dimension ref="A1:AC71"/>
  <sheetViews>
    <sheetView workbookViewId="0">
      <selection activeCell="U55" sqref="U55:AC59"/>
    </sheetView>
  </sheetViews>
  <sheetFormatPr defaultRowHeight="15" x14ac:dyDescent="0.25"/>
  <cols>
    <col min="1" max="1" width="9.140625" bestFit="1" customWidth="1"/>
    <col min="2" max="2" width="22" bestFit="1" customWidth="1"/>
    <col min="3" max="3" width="14.85546875" bestFit="1" customWidth="1"/>
    <col min="4" max="7" width="5.5703125" bestFit="1" customWidth="1"/>
    <col min="8" max="8" width="6.5703125" bestFit="1" customWidth="1"/>
    <col min="9" max="9" width="7.28515625" bestFit="1" customWidth="1"/>
    <col min="10" max="10" width="8.28515625" bestFit="1" customWidth="1"/>
    <col min="11" max="11" width="6.5703125" bestFit="1" customWidth="1"/>
    <col min="12" max="12" width="7.28515625" bestFit="1" customWidth="1"/>
    <col min="13" max="13" width="8.28515625" bestFit="1" customWidth="1"/>
    <col min="14" max="14" width="6.5703125" bestFit="1" customWidth="1"/>
    <col min="15" max="15" width="7.28515625" bestFit="1" customWidth="1"/>
    <col min="16" max="16" width="8.28515625" bestFit="1" customWidth="1"/>
    <col min="17" max="19" width="5.5703125" bestFit="1" customWidth="1"/>
  </cols>
  <sheetData>
    <row r="1" spans="1:29" x14ac:dyDescent="0.25">
      <c r="A1">
        <v>10</v>
      </c>
      <c r="C1" s="9" t="s">
        <v>51</v>
      </c>
      <c r="D1" s="5"/>
      <c r="E1" s="5"/>
      <c r="F1" s="5"/>
      <c r="G1" s="5"/>
      <c r="H1" s="5"/>
      <c r="I1" s="5"/>
      <c r="J1" s="5"/>
      <c r="N1" s="10"/>
      <c r="V1" s="10"/>
    </row>
    <row r="2" spans="1:29" x14ac:dyDescent="0.25">
      <c r="A2" s="10" t="s">
        <v>82</v>
      </c>
      <c r="B2" s="10" t="s">
        <v>24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81</v>
      </c>
      <c r="L2" t="s">
        <v>74</v>
      </c>
      <c r="M2" t="s">
        <v>75</v>
      </c>
      <c r="N2" s="10" t="s">
        <v>76</v>
      </c>
      <c r="O2" s="10" t="s">
        <v>77</v>
      </c>
      <c r="P2" s="10" t="s">
        <v>78</v>
      </c>
      <c r="Q2" s="10" t="s">
        <v>79</v>
      </c>
      <c r="R2" s="10" t="s">
        <v>80</v>
      </c>
      <c r="S2" s="10" t="s">
        <v>81</v>
      </c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idden="1" x14ac:dyDescent="0.25">
      <c r="A3">
        <f>IF(AND(MOD(B3,A$1)=0,B3&lt;&gt;2031),1,0)</f>
        <v>0</v>
      </c>
      <c r="B3">
        <v>2023</v>
      </c>
      <c r="C3" s="4">
        <v>0.22091912081248652</v>
      </c>
      <c r="D3" s="4">
        <v>0.22091912081248652</v>
      </c>
      <c r="E3" s="4">
        <v>0.20900296881800667</v>
      </c>
      <c r="F3" s="4">
        <v>0.20900296881800667</v>
      </c>
      <c r="G3" s="4">
        <v>0.20900296881800667</v>
      </c>
      <c r="H3" s="6">
        <v>0.22091912081248652</v>
      </c>
      <c r="I3" s="4">
        <v>0.22091912081248652</v>
      </c>
      <c r="J3" s="4">
        <v>0.22091912081248652</v>
      </c>
      <c r="L3" s="25">
        <f>C3/C$3</f>
        <v>1</v>
      </c>
      <c r="M3" s="25">
        <f>D3/D$3</f>
        <v>1</v>
      </c>
      <c r="N3" s="25">
        <f>E3/E$3</f>
        <v>1</v>
      </c>
      <c r="O3" s="25">
        <f>F3/F$3</f>
        <v>1</v>
      </c>
      <c r="P3" s="25">
        <f>G3/G$3</f>
        <v>1</v>
      </c>
      <c r="Q3" s="25">
        <f t="shared" ref="Q3:Q40" si="0">H3/H$3</f>
        <v>1</v>
      </c>
      <c r="R3" s="25">
        <f t="shared" ref="R3:R40" si="1">I3/I$3</f>
        <v>1</v>
      </c>
      <c r="S3" s="25">
        <f t="shared" ref="S3:S40" si="2">J3/J$3</f>
        <v>1</v>
      </c>
    </row>
    <row r="4" spans="1:29" hidden="1" x14ac:dyDescent="0.25">
      <c r="A4">
        <f t="shared" ref="A4:A40" si="3">IF(AND(MOD(B4,A$1)=0,B4&lt;&gt;2031),1,0)</f>
        <v>0</v>
      </c>
      <c r="B4">
        <v>2024</v>
      </c>
      <c r="C4" s="4">
        <v>0.21387950754169269</v>
      </c>
      <c r="D4" s="4">
        <v>0.22227227234438601</v>
      </c>
      <c r="E4" s="4">
        <v>0.21130718878164217</v>
      </c>
      <c r="F4" s="4">
        <v>0.21147565184055431</v>
      </c>
      <c r="G4" s="4">
        <v>0.2115510994671477</v>
      </c>
      <c r="H4" s="6">
        <v>0.22472278398158929</v>
      </c>
      <c r="I4" s="4">
        <v>0.22490194252236148</v>
      </c>
      <c r="J4" s="4">
        <v>0.22498218021228877</v>
      </c>
      <c r="L4" s="25">
        <f t="shared" ref="L4:L40" si="4">C4/C$3</f>
        <v>0.96813488463604302</v>
      </c>
      <c r="M4" s="25">
        <f t="shared" ref="M4:M40" si="5">D4/D$3</f>
        <v>1.0061250992079043</v>
      </c>
      <c r="N4" s="25">
        <f t="shared" ref="N4:N40" si="6">E4/E$3</f>
        <v>1.011024819296428</v>
      </c>
      <c r="O4" s="25">
        <f t="shared" ref="O4:O40" si="7">F4/F$3</f>
        <v>1.0118308511909262</v>
      </c>
      <c r="P4" s="25">
        <f t="shared" ref="P4:P40" si="8">G4/G$3</f>
        <v>1.0121918394918106</v>
      </c>
      <c r="Q4" s="25">
        <f t="shared" si="0"/>
        <v>1.0172174466162722</v>
      </c>
      <c r="R4" s="25">
        <f t="shared" si="1"/>
        <v>1.018028415536089</v>
      </c>
      <c r="S4" s="25">
        <f t="shared" si="2"/>
        <v>1.0183916149261292</v>
      </c>
    </row>
    <row r="5" spans="1:29" hidden="1" x14ac:dyDescent="0.25">
      <c r="A5">
        <f t="shared" si="3"/>
        <v>0</v>
      </c>
      <c r="B5">
        <v>2025</v>
      </c>
      <c r="C5" s="4">
        <v>0.21962921948750166</v>
      </c>
      <c r="D5" s="4">
        <v>0.22775273446421407</v>
      </c>
      <c r="E5" s="4">
        <v>0.22112484310457228</v>
      </c>
      <c r="F5" s="4">
        <v>0.22152039790350522</v>
      </c>
      <c r="G5" s="4">
        <v>0.2216900904389881</v>
      </c>
      <c r="H5" s="6">
        <v>0.23267427839158647</v>
      </c>
      <c r="I5" s="4">
        <v>0.23309049316923824</v>
      </c>
      <c r="J5" s="4">
        <v>0.23326904881087296</v>
      </c>
      <c r="L5" s="25">
        <f t="shared" si="4"/>
        <v>0.99416120560211851</v>
      </c>
      <c r="M5" s="25">
        <f t="shared" si="5"/>
        <v>1.0309326491369113</v>
      </c>
      <c r="N5" s="25">
        <f t="shared" si="6"/>
        <v>1.057998574638052</v>
      </c>
      <c r="O5" s="25">
        <f t="shared" si="7"/>
        <v>1.0598911544476592</v>
      </c>
      <c r="P5" s="25">
        <f t="shared" si="8"/>
        <v>1.0607030689216141</v>
      </c>
      <c r="Q5" s="25">
        <f t="shared" si="0"/>
        <v>1.0532102315809848</v>
      </c>
      <c r="R5" s="25">
        <f t="shared" si="1"/>
        <v>1.0550942458578887</v>
      </c>
      <c r="S5" s="25">
        <f t="shared" si="2"/>
        <v>1.0559024857285617</v>
      </c>
    </row>
    <row r="6" spans="1:29" hidden="1" x14ac:dyDescent="0.25">
      <c r="A6">
        <f t="shared" si="3"/>
        <v>0</v>
      </c>
      <c r="B6">
        <v>2026</v>
      </c>
      <c r="C6" s="4">
        <v>0.21630067144284143</v>
      </c>
      <c r="D6" s="4">
        <v>0.22437418918045113</v>
      </c>
      <c r="E6" s="4">
        <v>0.22329732243131176</v>
      </c>
      <c r="F6" s="4">
        <v>0.22397897544442461</v>
      </c>
      <c r="G6" s="4">
        <v>0.22425692993798865</v>
      </c>
      <c r="H6" s="6">
        <v>0.23147476397841862</v>
      </c>
      <c r="I6" s="4">
        <v>0.23218138002113456</v>
      </c>
      <c r="J6" s="4">
        <v>0.23246951357371787</v>
      </c>
      <c r="L6" s="25">
        <f t="shared" si="4"/>
        <v>0.97909438824190698</v>
      </c>
      <c r="M6" s="25">
        <f t="shared" si="5"/>
        <v>1.0156395171013615</v>
      </c>
      <c r="N6" s="25">
        <f t="shared" si="6"/>
        <v>1.0683930649126432</v>
      </c>
      <c r="O6" s="25">
        <f t="shared" si="7"/>
        <v>1.0716545162545446</v>
      </c>
      <c r="P6" s="25">
        <f t="shared" si="8"/>
        <v>1.072984423169915</v>
      </c>
      <c r="Q6" s="25">
        <f t="shared" si="0"/>
        <v>1.0477805774670432</v>
      </c>
      <c r="R6" s="25">
        <f t="shared" si="1"/>
        <v>1.0509791056891238</v>
      </c>
      <c r="S6" s="25">
        <f t="shared" si="2"/>
        <v>1.0522833547352164</v>
      </c>
    </row>
    <row r="7" spans="1:29" hidden="1" x14ac:dyDescent="0.25">
      <c r="A7">
        <f t="shared" si="3"/>
        <v>0</v>
      </c>
      <c r="B7">
        <v>2027</v>
      </c>
      <c r="C7" s="4">
        <v>0.21630067144284143</v>
      </c>
      <c r="D7" s="4">
        <v>0.22104576214559224</v>
      </c>
      <c r="E7" s="4">
        <v>0.22532011758924678</v>
      </c>
      <c r="F7" s="4">
        <v>0.22637822156940027</v>
      </c>
      <c r="G7" s="4">
        <v>0.22678521756654729</v>
      </c>
      <c r="H7" s="6">
        <v>0.23010677211317013</v>
      </c>
      <c r="I7" s="4">
        <v>0.2311873542380076</v>
      </c>
      <c r="J7" s="4">
        <v>0.23160299637493037</v>
      </c>
      <c r="L7" s="25">
        <f t="shared" si="4"/>
        <v>0.97909438824190698</v>
      </c>
      <c r="M7" s="25">
        <f t="shared" si="5"/>
        <v>1.0005732474972739</v>
      </c>
      <c r="N7" s="25">
        <f t="shared" si="6"/>
        <v>1.0780713731652711</v>
      </c>
      <c r="O7" s="25">
        <f t="shared" si="7"/>
        <v>1.0831339997209486</v>
      </c>
      <c r="P7" s="25">
        <f t="shared" si="8"/>
        <v>1.0850813213281427</v>
      </c>
      <c r="Q7" s="25">
        <f t="shared" si="0"/>
        <v>1.0415883028453747</v>
      </c>
      <c r="R7" s="25">
        <f t="shared" si="1"/>
        <v>1.0464796047882003</v>
      </c>
      <c r="S7" s="25">
        <f t="shared" si="2"/>
        <v>1.0483610269819614</v>
      </c>
    </row>
    <row r="8" spans="1:29" hidden="1" x14ac:dyDescent="0.25">
      <c r="A8">
        <f t="shared" si="3"/>
        <v>0</v>
      </c>
      <c r="B8">
        <v>2028</v>
      </c>
      <c r="C8" s="4">
        <v>0.21630067144284143</v>
      </c>
      <c r="D8" s="4">
        <v>0.21776670989206109</v>
      </c>
      <c r="E8" s="4">
        <v>0.22715116229315152</v>
      </c>
      <c r="F8" s="4">
        <v>0.22871093557031499</v>
      </c>
      <c r="G8" s="4">
        <v>0.22927280314191403</v>
      </c>
      <c r="H8" s="6">
        <v>0.2285355102077366</v>
      </c>
      <c r="I8" s="4">
        <v>0.230104789352542</v>
      </c>
      <c r="J8" s="4">
        <v>0.2306700811646035</v>
      </c>
      <c r="L8" s="25">
        <f t="shared" si="4"/>
        <v>0.97909438824190698</v>
      </c>
      <c r="M8" s="25">
        <f t="shared" si="5"/>
        <v>0.98573047498635868</v>
      </c>
      <c r="N8" s="25">
        <f t="shared" si="6"/>
        <v>1.0868322281629776</v>
      </c>
      <c r="O8" s="25">
        <f t="shared" si="7"/>
        <v>1.0942951521873807</v>
      </c>
      <c r="P8" s="25">
        <f t="shared" si="8"/>
        <v>1.0969834755866923</v>
      </c>
      <c r="Q8" s="25">
        <f t="shared" si="0"/>
        <v>1.0344759175540752</v>
      </c>
      <c r="R8" s="25">
        <f t="shared" si="1"/>
        <v>1.0415793277932341</v>
      </c>
      <c r="S8" s="25">
        <f t="shared" si="2"/>
        <v>1.0441381457442676</v>
      </c>
    </row>
    <row r="9" spans="1:29" hidden="1" x14ac:dyDescent="0.25">
      <c r="A9">
        <f t="shared" si="3"/>
        <v>0</v>
      </c>
      <c r="B9">
        <v>2029</v>
      </c>
      <c r="C9" s="4">
        <v>0.21630067144284143</v>
      </c>
      <c r="D9" s="4">
        <v>0.21453629998107937</v>
      </c>
      <c r="E9" s="4">
        <v>0.22873376178519192</v>
      </c>
      <c r="F9" s="4">
        <v>0.23096830592947079</v>
      </c>
      <c r="G9" s="4">
        <v>0.2317171250369352</v>
      </c>
      <c r="H9" s="6">
        <v>0.226713977707242</v>
      </c>
      <c r="I9" s="4">
        <v>0.2289287901921066</v>
      </c>
      <c r="J9" s="4">
        <v>0.2296709970141842</v>
      </c>
      <c r="L9" s="25">
        <f t="shared" si="4"/>
        <v>0.97909438824190698</v>
      </c>
      <c r="M9" s="25">
        <f t="shared" si="5"/>
        <v>0.9711078841526587</v>
      </c>
      <c r="N9" s="25">
        <f t="shared" si="6"/>
        <v>1.0944043669751229</v>
      </c>
      <c r="O9" s="25">
        <f t="shared" si="7"/>
        <v>1.1050958138809543</v>
      </c>
      <c r="P9" s="25">
        <f t="shared" si="8"/>
        <v>1.1086786295304125</v>
      </c>
      <c r="Q9" s="25">
        <f t="shared" si="0"/>
        <v>1.0262306715391742</v>
      </c>
      <c r="R9" s="25">
        <f t="shared" si="1"/>
        <v>1.0362561164925992</v>
      </c>
      <c r="S9" s="25">
        <f t="shared" si="2"/>
        <v>1.0396157479239934</v>
      </c>
    </row>
    <row r="10" spans="1:29" x14ac:dyDescent="0.25">
      <c r="A10">
        <f t="shared" si="3"/>
        <v>1</v>
      </c>
      <c r="B10">
        <v>2030</v>
      </c>
      <c r="C10" s="4">
        <v>0.21630067144284143</v>
      </c>
      <c r="D10" s="4">
        <v>0.21135381083906252</v>
      </c>
      <c r="E10" s="4">
        <v>0.22999144924669498</v>
      </c>
      <c r="F10" s="4">
        <v>0.23313957704073182</v>
      </c>
      <c r="G10" s="4">
        <v>0.23411515194641896</v>
      </c>
      <c r="H10" s="6">
        <v>0.22457893121608299</v>
      </c>
      <c r="I10" s="4">
        <v>0.22765297234949092</v>
      </c>
      <c r="J10" s="4">
        <v>0.22860558850264817</v>
      </c>
      <c r="L10" s="25">
        <f t="shared" si="4"/>
        <v>0.97909438824190698</v>
      </c>
      <c r="M10" s="25">
        <f t="shared" si="5"/>
        <v>0.95670220876198886</v>
      </c>
      <c r="N10" s="25">
        <f t="shared" si="6"/>
        <v>1.1004219248529643</v>
      </c>
      <c r="O10" s="25">
        <f t="shared" si="7"/>
        <v>1.1154845233023583</v>
      </c>
      <c r="P10" s="25">
        <f t="shared" si="8"/>
        <v>1.1201522795127337</v>
      </c>
      <c r="Q10" s="25">
        <f t="shared" si="0"/>
        <v>1.0165662908223452</v>
      </c>
      <c r="R10" s="25">
        <f t="shared" si="1"/>
        <v>1.030481071589634</v>
      </c>
      <c r="S10" s="25">
        <f t="shared" si="2"/>
        <v>1.0347931300011186</v>
      </c>
    </row>
    <row r="11" spans="1:29" hidden="1" x14ac:dyDescent="0.25">
      <c r="A11">
        <f t="shared" si="3"/>
        <v>0</v>
      </c>
      <c r="B11">
        <v>2031</v>
      </c>
      <c r="C11" s="4">
        <v>0.21630067144284143</v>
      </c>
      <c r="D11" s="4">
        <v>0.20821853159644238</v>
      </c>
      <c r="E11" s="4">
        <v>0.2308209254866026</v>
      </c>
      <c r="F11" s="4">
        <v>0.2352116435222483</v>
      </c>
      <c r="G11" s="4">
        <v>0.23646331538570955</v>
      </c>
      <c r="H11" s="6">
        <v>0.2220454075915074</v>
      </c>
      <c r="I11" s="4">
        <v>0.22626919611409921</v>
      </c>
      <c r="J11" s="4">
        <v>0.2274732810059138</v>
      </c>
      <c r="L11" s="25">
        <f t="shared" si="4"/>
        <v>0.97909438824190698</v>
      </c>
      <c r="M11" s="25">
        <f t="shared" si="5"/>
        <v>0.94251023103235931</v>
      </c>
      <c r="N11" s="25">
        <f t="shared" si="6"/>
        <v>1.1043906543145534</v>
      </c>
      <c r="O11" s="25">
        <f t="shared" si="7"/>
        <v>1.1253985761659842</v>
      </c>
      <c r="P11" s="25">
        <f t="shared" si="8"/>
        <v>1.1313873516869251</v>
      </c>
      <c r="Q11" s="25">
        <f t="shared" si="0"/>
        <v>1.0050981860460004</v>
      </c>
      <c r="R11" s="25">
        <f t="shared" si="1"/>
        <v>1.0242173483306307</v>
      </c>
      <c r="S11" s="25">
        <f t="shared" si="2"/>
        <v>1.0296676909147686</v>
      </c>
    </row>
    <row r="12" spans="1:29" hidden="1" x14ac:dyDescent="0.25">
      <c r="A12">
        <f t="shared" si="3"/>
        <v>0</v>
      </c>
      <c r="B12">
        <v>2032</v>
      </c>
      <c r="C12" s="4">
        <v>0.21630067144284143</v>
      </c>
      <c r="D12" s="4">
        <v>0.20512976192888119</v>
      </c>
      <c r="E12" s="4">
        <v>0.23108228142319992</v>
      </c>
      <c r="F12" s="4">
        <v>0.23716855560251193</v>
      </c>
      <c r="G12" s="4">
        <v>0.23875743145393732</v>
      </c>
      <c r="H12" s="6">
        <v>0.21899921622046617</v>
      </c>
      <c r="I12" s="4">
        <v>0.22476724510941054</v>
      </c>
      <c r="J12" s="4">
        <v>0.22627304020538561</v>
      </c>
      <c r="L12" s="25">
        <f t="shared" si="4"/>
        <v>0.97909438824190698</v>
      </c>
      <c r="M12" s="25">
        <f t="shared" si="5"/>
        <v>0.92852878091522395</v>
      </c>
      <c r="N12" s="25">
        <f t="shared" si="6"/>
        <v>1.1056411434251885</v>
      </c>
      <c r="O12" s="25">
        <f t="shared" si="7"/>
        <v>1.1347616588596452</v>
      </c>
      <c r="P12" s="25">
        <f t="shared" si="8"/>
        <v>1.1423638276728973</v>
      </c>
      <c r="Q12" s="25">
        <f t="shared" si="0"/>
        <v>0.99130946843822565</v>
      </c>
      <c r="R12" s="25">
        <f t="shared" si="1"/>
        <v>1.0174187018433332</v>
      </c>
      <c r="S12" s="25">
        <f t="shared" si="2"/>
        <v>1.0242347487768768</v>
      </c>
    </row>
    <row r="13" spans="1:29" hidden="1" x14ac:dyDescent="0.25">
      <c r="A13">
        <f t="shared" si="3"/>
        <v>0</v>
      </c>
      <c r="B13">
        <v>2033</v>
      </c>
      <c r="C13" s="4">
        <v>0.21630067144284143</v>
      </c>
      <c r="D13" s="4">
        <v>0.20208681190084052</v>
      </c>
      <c r="E13" s="4">
        <v>0.23058529396388505</v>
      </c>
      <c r="F13" s="4">
        <v>0.23899091488164079</v>
      </c>
      <c r="G13" s="4">
        <v>0.24099261013931994</v>
      </c>
      <c r="H13" s="6">
        <v>0.21528650945303851</v>
      </c>
      <c r="I13" s="4">
        <v>0.22313443746293365</v>
      </c>
      <c r="J13" s="4">
        <v>0.2250033250125531</v>
      </c>
      <c r="L13" s="25">
        <f t="shared" si="4"/>
        <v>0.97909438824190698</v>
      </c>
      <c r="M13" s="25">
        <f t="shared" si="5"/>
        <v>0.91475473538738805</v>
      </c>
      <c r="N13" s="25">
        <f t="shared" si="6"/>
        <v>1.1032632467755594</v>
      </c>
      <c r="O13" s="25">
        <f t="shared" si="7"/>
        <v>1.1434809573913118</v>
      </c>
      <c r="P13" s="25">
        <f t="shared" si="8"/>
        <v>1.1530583106174384</v>
      </c>
      <c r="Q13" s="25">
        <f t="shared" si="0"/>
        <v>0.97450373992648243</v>
      </c>
      <c r="R13" s="25">
        <f t="shared" si="1"/>
        <v>1.0100277270808418</v>
      </c>
      <c r="S13" s="25">
        <f t="shared" si="2"/>
        <v>1.0184873277833348</v>
      </c>
    </row>
    <row r="14" spans="1:29" hidden="1" x14ac:dyDescent="0.25">
      <c r="A14">
        <f t="shared" si="3"/>
        <v>0</v>
      </c>
      <c r="B14">
        <v>2034</v>
      </c>
      <c r="C14" s="4">
        <v>0.21630067144284143</v>
      </c>
      <c r="D14" s="4">
        <v>0.19908900181147121</v>
      </c>
      <c r="E14" s="4">
        <v>0.22906990061355226</v>
      </c>
      <c r="F14" s="4">
        <v>0.24065513434763444</v>
      </c>
      <c r="G14" s="4">
        <v>0.24316315013965492</v>
      </c>
      <c r="H14" s="6">
        <v>0.21069902916196467</v>
      </c>
      <c r="I14" s="4">
        <v>0.22135515418689142</v>
      </c>
      <c r="J14" s="4">
        <v>0.22366203296531759</v>
      </c>
      <c r="L14" s="25">
        <f t="shared" si="4"/>
        <v>0.97909438824190698</v>
      </c>
      <c r="M14" s="25">
        <f t="shared" si="5"/>
        <v>0.90118501775342275</v>
      </c>
      <c r="N14" s="25">
        <f t="shared" si="6"/>
        <v>1.0960126638823933</v>
      </c>
      <c r="O14" s="25">
        <f t="shared" si="7"/>
        <v>1.1514436168473257</v>
      </c>
      <c r="P14" s="25">
        <f t="shared" si="8"/>
        <v>1.1634435219501302</v>
      </c>
      <c r="Q14" s="25">
        <f t="shared" si="0"/>
        <v>0.95373831104824769</v>
      </c>
      <c r="R14" s="25">
        <f t="shared" si="1"/>
        <v>1.0019737240162883</v>
      </c>
      <c r="S14" s="25">
        <f t="shared" si="2"/>
        <v>1.0124159110480944</v>
      </c>
    </row>
    <row r="15" spans="1:29" hidden="1" x14ac:dyDescent="0.25">
      <c r="A15">
        <f t="shared" si="3"/>
        <v>0</v>
      </c>
      <c r="B15">
        <v>2035</v>
      </c>
      <c r="C15" s="4">
        <v>0.21630067144284143</v>
      </c>
      <c r="D15" s="4">
        <v>0.19613566204278932</v>
      </c>
      <c r="E15" s="4">
        <v>0.22617774378428301</v>
      </c>
      <c r="F15" s="4">
        <v>0.24213252940763802</v>
      </c>
      <c r="G15" s="4">
        <v>0.24526241680649263</v>
      </c>
      <c r="H15" s="6">
        <v>0.20495271283459421</v>
      </c>
      <c r="I15" s="4">
        <v>0.21941026529528077</v>
      </c>
      <c r="J15" s="4">
        <v>0.22224643698277391</v>
      </c>
      <c r="L15" s="25">
        <f t="shared" si="4"/>
        <v>0.97909438824190698</v>
      </c>
      <c r="M15" s="25">
        <f t="shared" si="5"/>
        <v>0.88781659695842663</v>
      </c>
      <c r="N15" s="25">
        <f t="shared" si="6"/>
        <v>1.0821747894941702</v>
      </c>
      <c r="O15" s="25">
        <f t="shared" si="7"/>
        <v>1.1585123923214677</v>
      </c>
      <c r="P15" s="25">
        <f t="shared" si="8"/>
        <v>1.1734877173924718</v>
      </c>
      <c r="Q15" s="25">
        <f t="shared" si="0"/>
        <v>0.92772736049658466</v>
      </c>
      <c r="R15" s="25">
        <f t="shared" si="1"/>
        <v>0.99317009993677074</v>
      </c>
      <c r="S15" s="25">
        <f t="shared" si="2"/>
        <v>1.006008154320938</v>
      </c>
    </row>
    <row r="16" spans="1:29" hidden="1" x14ac:dyDescent="0.25">
      <c r="A16">
        <f t="shared" si="3"/>
        <v>0</v>
      </c>
      <c r="B16">
        <v>2036</v>
      </c>
      <c r="C16" s="4">
        <v>0.21630067144284143</v>
      </c>
      <c r="D16" s="4">
        <v>0.19322613291010401</v>
      </c>
      <c r="E16" s="4">
        <v>0.22140937209860573</v>
      </c>
      <c r="F16" s="4">
        <v>0.24338819721492783</v>
      </c>
      <c r="G16" s="4">
        <v>0.24728270038205008</v>
      </c>
      <c r="H16" s="6">
        <v>0.19765558964293881</v>
      </c>
      <c r="I16" s="4">
        <v>0.21727642862030128</v>
      </c>
      <c r="J16" s="4">
        <v>0.22075311216159699</v>
      </c>
      <c r="L16" s="25">
        <f t="shared" si="4"/>
        <v>0.97909438824190698</v>
      </c>
      <c r="M16" s="25">
        <f t="shared" si="5"/>
        <v>0.87464648691098146</v>
      </c>
      <c r="N16" s="25">
        <f t="shared" si="6"/>
        <v>1.0593599380466321</v>
      </c>
      <c r="O16" s="25">
        <f t="shared" si="7"/>
        <v>1.1645202869192866</v>
      </c>
      <c r="P16" s="25">
        <f t="shared" si="8"/>
        <v>1.1831540086752366</v>
      </c>
      <c r="Q16" s="25">
        <f t="shared" si="0"/>
        <v>0.89469661528621813</v>
      </c>
      <c r="R16" s="25">
        <f t="shared" si="1"/>
        <v>0.98351119550544874</v>
      </c>
      <c r="S16" s="25">
        <f t="shared" si="2"/>
        <v>0.99924855462814177</v>
      </c>
    </row>
    <row r="17" spans="1:19" hidden="1" x14ac:dyDescent="0.25">
      <c r="A17">
        <f t="shared" si="3"/>
        <v>0</v>
      </c>
      <c r="B17">
        <v>2037</v>
      </c>
      <c r="C17" s="4">
        <v>0.21630067144284143</v>
      </c>
      <c r="D17" s="4">
        <v>0.19035976451466438</v>
      </c>
      <c r="E17" s="4">
        <v>0.21405693222866232</v>
      </c>
      <c r="F17" s="4">
        <v>0.24437962875065944</v>
      </c>
      <c r="G17" s="4">
        <v>0.24921505116521128</v>
      </c>
      <c r="H17" s="6">
        <v>0.18825724284655224</v>
      </c>
      <c r="I17" s="4">
        <v>0.21492522871120043</v>
      </c>
      <c r="J17" s="4">
        <v>0.21917785104995996</v>
      </c>
      <c r="L17" s="25">
        <f t="shared" si="4"/>
        <v>0.97909438824190698</v>
      </c>
      <c r="M17" s="25">
        <f t="shared" si="5"/>
        <v>0.86167174581615069</v>
      </c>
      <c r="N17" s="25">
        <f t="shared" si="6"/>
        <v>1.0241812996209469</v>
      </c>
      <c r="O17" s="25">
        <f t="shared" si="7"/>
        <v>1.1692639110952423</v>
      </c>
      <c r="P17" s="25">
        <f t="shared" si="8"/>
        <v>1.1923995748702501</v>
      </c>
      <c r="Q17" s="25">
        <f t="shared" si="0"/>
        <v>0.85215459012415096</v>
      </c>
      <c r="R17" s="25">
        <f t="shared" si="1"/>
        <v>0.97286838694974875</v>
      </c>
      <c r="S17" s="25">
        <f t="shared" si="2"/>
        <v>0.99211806675618397</v>
      </c>
    </row>
    <row r="18" spans="1:19" hidden="1" x14ac:dyDescent="0.25">
      <c r="A18">
        <f t="shared" si="3"/>
        <v>0</v>
      </c>
      <c r="B18">
        <v>2038</v>
      </c>
      <c r="C18" s="4">
        <v>0.21630067144284143</v>
      </c>
      <c r="D18" s="4">
        <v>0.18753591659849245</v>
      </c>
      <c r="E18" s="4">
        <v>0.20309127472069841</v>
      </c>
      <c r="F18" s="4">
        <v>0.24505498046396038</v>
      </c>
      <c r="G18" s="4">
        <v>0.25104908759292005</v>
      </c>
      <c r="H18" s="6">
        <v>0.17596364877917292</v>
      </c>
      <c r="I18" s="4">
        <v>0.21232211267199591</v>
      </c>
      <c r="J18" s="4">
        <v>0.21751556553222112</v>
      </c>
      <c r="L18" s="25">
        <f t="shared" si="4"/>
        <v>0.97909438824190698</v>
      </c>
      <c r="M18" s="25">
        <f t="shared" si="5"/>
        <v>0.84888947551837612</v>
      </c>
      <c r="N18" s="25">
        <f t="shared" si="6"/>
        <v>0.97171478409736856</v>
      </c>
      <c r="O18" s="25">
        <f t="shared" si="7"/>
        <v>1.1724952131055453</v>
      </c>
      <c r="P18" s="25">
        <f t="shared" si="8"/>
        <v>1.2011747441325862</v>
      </c>
      <c r="Q18" s="25">
        <f t="shared" si="0"/>
        <v>0.79650710238218236</v>
      </c>
      <c r="R18" s="25">
        <f t="shared" si="1"/>
        <v>0.96108526908457304</v>
      </c>
      <c r="S18" s="25">
        <f t="shared" si="2"/>
        <v>0.98459365912851748</v>
      </c>
    </row>
    <row r="19" spans="1:19" hidden="1" x14ac:dyDescent="0.25">
      <c r="A19">
        <f t="shared" si="3"/>
        <v>0</v>
      </c>
      <c r="B19">
        <v>2039</v>
      </c>
      <c r="C19" s="4">
        <v>0.21630067144284143</v>
      </c>
      <c r="D19" s="4">
        <v>0.18475395840136905</v>
      </c>
      <c r="E19" s="4">
        <v>0.18695360225927826</v>
      </c>
      <c r="F19" s="4">
        <v>0.24535090746570165</v>
      </c>
      <c r="G19" s="4">
        <v>0.25277277242432833</v>
      </c>
      <c r="H19" s="6">
        <v>0.15957866504066109</v>
      </c>
      <c r="I19" s="4">
        <v>0.20942506486498225</v>
      </c>
      <c r="J19" s="4">
        <v>0.21576017308379661</v>
      </c>
      <c r="L19" s="25">
        <f t="shared" si="4"/>
        <v>0.97909438824190698</v>
      </c>
      <c r="M19" s="25">
        <f t="shared" si="5"/>
        <v>0.83629682085411694</v>
      </c>
      <c r="N19" s="25">
        <f t="shared" si="6"/>
        <v>0.89450213705850123</v>
      </c>
      <c r="O19" s="25">
        <f t="shared" si="7"/>
        <v>1.1739111116615077</v>
      </c>
      <c r="P19" s="25">
        <f t="shared" si="8"/>
        <v>1.2094219228265368</v>
      </c>
      <c r="Q19" s="25">
        <f t="shared" si="0"/>
        <v>0.72233976150986734</v>
      </c>
      <c r="R19" s="25">
        <f t="shared" si="1"/>
        <v>0.94797165630013402</v>
      </c>
      <c r="S19" s="25">
        <f t="shared" si="2"/>
        <v>0.97664779893330844</v>
      </c>
    </row>
    <row r="20" spans="1:19" x14ac:dyDescent="0.25">
      <c r="A20">
        <f t="shared" si="3"/>
        <v>1</v>
      </c>
      <c r="B20">
        <v>2040</v>
      </c>
      <c r="C20" s="4">
        <v>0.21630067144284143</v>
      </c>
      <c r="D20" s="4">
        <v>0.18201326851994173</v>
      </c>
      <c r="E20" s="4">
        <v>0.1631093487930432</v>
      </c>
      <c r="F20" s="4">
        <v>0.24518982460714414</v>
      </c>
      <c r="G20" s="4">
        <v>0.25437215122531026</v>
      </c>
      <c r="H20" s="6">
        <v>0.1371605255190152</v>
      </c>
      <c r="I20" s="4">
        <v>0.20618294073199947</v>
      </c>
      <c r="J20" s="4">
        <v>0.21390446468972757</v>
      </c>
      <c r="L20" s="25">
        <f t="shared" si="4"/>
        <v>0.97909438824190698</v>
      </c>
      <c r="M20" s="25">
        <f t="shared" si="5"/>
        <v>0.82389096901409631</v>
      </c>
      <c r="N20" s="25">
        <f t="shared" si="6"/>
        <v>0.78041642047235116</v>
      </c>
      <c r="O20" s="25">
        <f t="shared" si="7"/>
        <v>1.1731403912288341</v>
      </c>
      <c r="P20" s="25">
        <f t="shared" si="8"/>
        <v>1.2170743442731173</v>
      </c>
      <c r="Q20" s="25">
        <f t="shared" si="0"/>
        <v>0.62086307882528369</v>
      </c>
      <c r="R20" s="25">
        <f t="shared" si="1"/>
        <v>0.93329604053152582</v>
      </c>
      <c r="S20" s="25">
        <f t="shared" si="2"/>
        <v>0.96824785425109083</v>
      </c>
    </row>
    <row r="21" spans="1:19" hidden="1" x14ac:dyDescent="0.25">
      <c r="A21">
        <f t="shared" si="3"/>
        <v>0</v>
      </c>
      <c r="B21">
        <v>2041</v>
      </c>
      <c r="C21" s="4">
        <v>0.21630067144284143</v>
      </c>
      <c r="D21" s="4">
        <v>0.17931323476892241</v>
      </c>
      <c r="E21" s="4">
        <v>0.12681836187370052</v>
      </c>
      <c r="F21" s="4">
        <v>0.24447640916426114</v>
      </c>
      <c r="G21" s="4">
        <v>0.25583104611411694</v>
      </c>
      <c r="H21" s="6">
        <v>0.10506104644712803</v>
      </c>
      <c r="I21" s="4">
        <v>0.20253334768677564</v>
      </c>
      <c r="J21" s="4">
        <v>0.21193995113405187</v>
      </c>
      <c r="L21" s="25">
        <f t="shared" si="4"/>
        <v>0.97909438824190698</v>
      </c>
      <c r="M21" s="25">
        <f t="shared" si="5"/>
        <v>0.81166914891500641</v>
      </c>
      <c r="N21" s="25">
        <f t="shared" si="6"/>
        <v>0.60677780124802927</v>
      </c>
      <c r="O21" s="25">
        <f t="shared" si="7"/>
        <v>1.1697269686974812</v>
      </c>
      <c r="P21" s="25">
        <f t="shared" si="8"/>
        <v>1.2240546034390867</v>
      </c>
      <c r="Q21" s="25">
        <f t="shared" si="0"/>
        <v>0.47556339198136943</v>
      </c>
      <c r="R21" s="25">
        <f t="shared" si="1"/>
        <v>0.91677599902583129</v>
      </c>
      <c r="S21" s="25">
        <f t="shared" si="2"/>
        <v>0.95935539827692839</v>
      </c>
    </row>
    <row r="22" spans="1:19" hidden="1" x14ac:dyDescent="0.25">
      <c r="A22">
        <f t="shared" si="3"/>
        <v>0</v>
      </c>
      <c r="B22">
        <v>2042</v>
      </c>
      <c r="C22" s="4">
        <v>0.21630067144284143</v>
      </c>
      <c r="D22" s="4">
        <v>0.17665325404434412</v>
      </c>
      <c r="E22" s="4">
        <v>0.1003657950949044</v>
      </c>
      <c r="F22" s="4">
        <v>0.24309307893978294</v>
      </c>
      <c r="G22" s="4">
        <v>0.25713069616855438</v>
      </c>
      <c r="H22" s="6">
        <v>8.191333520843494E-2</v>
      </c>
      <c r="I22" s="4">
        <v>0.19839991147597597</v>
      </c>
      <c r="J22" s="4">
        <v>0.20985668362131452</v>
      </c>
      <c r="L22" s="25">
        <f>C22/C$3</f>
        <v>0.97909438824190698</v>
      </c>
      <c r="M22" s="25">
        <f t="shared" si="5"/>
        <v>0.79962863058053391</v>
      </c>
      <c r="N22" s="25">
        <f t="shared" si="6"/>
        <v>0.48021229393301024</v>
      </c>
      <c r="O22" s="25">
        <f t="shared" si="7"/>
        <v>1.1631082578136049</v>
      </c>
      <c r="P22" s="25">
        <f t="shared" si="8"/>
        <v>1.2302729364215674</v>
      </c>
      <c r="Q22" s="25">
        <f t="shared" si="0"/>
        <v>0.37078427121734742</v>
      </c>
      <c r="R22" s="25">
        <f t="shared" si="1"/>
        <v>0.89806582040662475</v>
      </c>
      <c r="S22" s="25">
        <f t="shared" si="2"/>
        <v>0.94992539735588721</v>
      </c>
    </row>
    <row r="23" spans="1:19" hidden="1" x14ac:dyDescent="0.25">
      <c r="A23">
        <f t="shared" si="3"/>
        <v>0</v>
      </c>
      <c r="B23">
        <v>2043</v>
      </c>
      <c r="C23" s="4">
        <v>0.21630067144284143</v>
      </c>
      <c r="D23" s="4">
        <v>0.17403273218884618</v>
      </c>
      <c r="E23" s="4">
        <v>8.081404303555019E-2</v>
      </c>
      <c r="F23" s="4">
        <v>0.24089405412605538</v>
      </c>
      <c r="G23" s="4">
        <v>0.25824933390584476</v>
      </c>
      <c r="H23" s="6">
        <v>6.4977801175446687E-2</v>
      </c>
      <c r="I23" s="4">
        <v>0.19368868782452145</v>
      </c>
      <c r="J23" s="4">
        <v>0.2076430437324337</v>
      </c>
      <c r="L23" s="25">
        <f t="shared" si="4"/>
        <v>0.97909438824190698</v>
      </c>
      <c r="M23" s="25">
        <f t="shared" si="5"/>
        <v>0.78776672453156771</v>
      </c>
      <c r="N23" s="25">
        <f t="shared" si="6"/>
        <v>0.38666456985077835</v>
      </c>
      <c r="O23" s="25">
        <f t="shared" si="7"/>
        <v>1.1525867574437112</v>
      </c>
      <c r="P23" s="25">
        <f t="shared" si="8"/>
        <v>1.2356251940646847</v>
      </c>
      <c r="Q23" s="25">
        <f t="shared" si="0"/>
        <v>0.29412484051391397</v>
      </c>
      <c r="R23" s="25">
        <f t="shared" si="1"/>
        <v>0.87674026183058218</v>
      </c>
      <c r="S23" s="25">
        <f t="shared" si="2"/>
        <v>0.93990526020913601</v>
      </c>
    </row>
    <row r="24" spans="1:19" hidden="1" x14ac:dyDescent="0.25">
      <c r="A24">
        <f t="shared" si="3"/>
        <v>0</v>
      </c>
      <c r="B24">
        <v>2044</v>
      </c>
      <c r="C24" s="4">
        <v>0.21630067144284143</v>
      </c>
      <c r="D24" s="4">
        <v>0.17145108385895808</v>
      </c>
      <c r="E24" s="4">
        <v>6.649378433672147E-2</v>
      </c>
      <c r="F24" s="4">
        <v>0.23769740663544692</v>
      </c>
      <c r="G24" s="4">
        <v>0.25916168468131379</v>
      </c>
      <c r="H24" s="6">
        <v>5.2670631256464817E-2</v>
      </c>
      <c r="I24" s="4">
        <v>0.18828334979574254</v>
      </c>
      <c r="J24" s="4">
        <v>0.2052854964688075</v>
      </c>
      <c r="L24" s="25">
        <f t="shared" si="4"/>
        <v>0.97909438824190698</v>
      </c>
      <c r="M24" s="25">
        <f t="shared" si="5"/>
        <v>0.77608078118545332</v>
      </c>
      <c r="N24" s="25">
        <f t="shared" si="6"/>
        <v>0.31814755892114721</v>
      </c>
      <c r="O24" s="25">
        <f t="shared" si="7"/>
        <v>1.1372920106337172</v>
      </c>
      <c r="P24" s="25">
        <f t="shared" si="8"/>
        <v>1.2399904467719967</v>
      </c>
      <c r="Q24" s="25">
        <f t="shared" si="0"/>
        <v>0.23841590108975227</v>
      </c>
      <c r="R24" s="25">
        <f t="shared" si="1"/>
        <v>0.85227276436409127</v>
      </c>
      <c r="S24" s="25">
        <f t="shared" si="2"/>
        <v>0.92923372007736427</v>
      </c>
    </row>
    <row r="25" spans="1:19" hidden="1" x14ac:dyDescent="0.25">
      <c r="A25">
        <f t="shared" si="3"/>
        <v>0</v>
      </c>
      <c r="B25">
        <v>2045</v>
      </c>
      <c r="C25" s="4">
        <v>0.21630067144284143</v>
      </c>
      <c r="D25" s="4">
        <v>0.16890773239435145</v>
      </c>
      <c r="E25" s="4">
        <v>5.6125971638971706E-2</v>
      </c>
      <c r="F25" s="4">
        <v>0.23327415186360326</v>
      </c>
      <c r="G25" s="4">
        <v>0.25983837250304825</v>
      </c>
      <c r="H25" s="6">
        <v>4.3798641674272575E-2</v>
      </c>
      <c r="I25" s="4">
        <v>0.18203855881667177</v>
      </c>
      <c r="J25" s="4">
        <v>0.20276829849275951</v>
      </c>
      <c r="L25" s="25">
        <f t="shared" si="4"/>
        <v>0.97909438824190698</v>
      </c>
      <c r="M25" s="25">
        <f t="shared" si="5"/>
        <v>0.7645681902641569</v>
      </c>
      <c r="N25" s="25">
        <f t="shared" si="6"/>
        <v>0.26854150424937012</v>
      </c>
      <c r="O25" s="25">
        <f t="shared" si="7"/>
        <v>1.1161284128300166</v>
      </c>
      <c r="P25" s="25">
        <f t="shared" si="8"/>
        <v>1.2432281415548097</v>
      </c>
      <c r="Q25" s="25">
        <f t="shared" si="0"/>
        <v>0.19825645472963987</v>
      </c>
      <c r="R25" s="25">
        <f t="shared" si="1"/>
        <v>0.82400544664118913</v>
      </c>
      <c r="S25" s="25">
        <f t="shared" si="2"/>
        <v>0.91783951405848119</v>
      </c>
    </row>
    <row r="26" spans="1:19" hidden="1" x14ac:dyDescent="0.25">
      <c r="A26">
        <f t="shared" si="3"/>
        <v>0</v>
      </c>
      <c r="B26">
        <v>2046</v>
      </c>
      <c r="C26" s="4">
        <v>0.21630067144284143</v>
      </c>
      <c r="D26" s="4">
        <v>0.16640210968903246</v>
      </c>
      <c r="E26" s="4">
        <v>4.8719651971889592E-2</v>
      </c>
      <c r="F26" s="4">
        <v>0.22733281217040324</v>
      </c>
      <c r="G26" s="4">
        <v>0.26024521132700956</v>
      </c>
      <c r="H26" s="6">
        <v>3.7455038111747697E-2</v>
      </c>
      <c r="I26" s="4">
        <v>0.17477052481421876</v>
      </c>
      <c r="J26" s="4">
        <v>0.20007315147236912</v>
      </c>
      <c r="L26" s="25">
        <f t="shared" si="4"/>
        <v>0.97909438824190698</v>
      </c>
      <c r="M26" s="25">
        <f t="shared" si="5"/>
        <v>0.75322638021121113</v>
      </c>
      <c r="N26" s="25">
        <f t="shared" si="6"/>
        <v>0.23310507141318723</v>
      </c>
      <c r="O26" s="25">
        <f t="shared" si="7"/>
        <v>1.087701353985826</v>
      </c>
      <c r="P26" s="25">
        <f t="shared" si="8"/>
        <v>1.2451747111478739</v>
      </c>
      <c r="Q26" s="25">
        <f t="shared" si="0"/>
        <v>0.16954185755400991</v>
      </c>
      <c r="R26" s="25">
        <f t="shared" si="1"/>
        <v>0.79110637490976554</v>
      </c>
      <c r="S26" s="25">
        <f t="shared" si="2"/>
        <v>0.90563981395792714</v>
      </c>
    </row>
    <row r="27" spans="1:19" hidden="1" x14ac:dyDescent="0.25">
      <c r="A27">
        <f t="shared" si="3"/>
        <v>0</v>
      </c>
      <c r="B27">
        <v>2047</v>
      </c>
      <c r="C27" s="4">
        <v>0.21630067144284143</v>
      </c>
      <c r="D27" s="4">
        <v>0.16393365606444421</v>
      </c>
      <c r="E27" s="4">
        <v>4.3503611547538713E-2</v>
      </c>
      <c r="F27" s="4">
        <v>0.21949668798740402</v>
      </c>
      <c r="G27" s="4">
        <v>0.26034235494185604</v>
      </c>
      <c r="H27" s="6">
        <v>3.2948881393880677E-2</v>
      </c>
      <c r="I27" s="4">
        <v>0.16624298722747718</v>
      </c>
      <c r="J27" s="4">
        <v>0.1971787874532939</v>
      </c>
      <c r="L27" s="25">
        <f t="shared" si="4"/>
        <v>0.97909438824190698</v>
      </c>
      <c r="M27" s="25">
        <f t="shared" si="5"/>
        <v>0.74205281761730857</v>
      </c>
      <c r="N27" s="25">
        <f t="shared" si="6"/>
        <v>0.20814829470398727</v>
      </c>
      <c r="O27" s="25">
        <f t="shared" si="7"/>
        <v>1.0502084694238718</v>
      </c>
      <c r="P27" s="25">
        <f t="shared" si="8"/>
        <v>1.2456395065304269</v>
      </c>
      <c r="Q27" s="25">
        <f t="shared" si="0"/>
        <v>0.14914454336366514</v>
      </c>
      <c r="R27" s="25">
        <f t="shared" si="1"/>
        <v>0.75250610547460139</v>
      </c>
      <c r="S27" s="25">
        <f t="shared" si="2"/>
        <v>0.89253834945621058</v>
      </c>
    </row>
    <row r="28" spans="1:19" hidden="1" x14ac:dyDescent="0.25">
      <c r="A28">
        <f t="shared" si="3"/>
        <v>0</v>
      </c>
      <c r="B28">
        <v>2048</v>
      </c>
      <c r="C28" s="4">
        <v>0.21630067144284143</v>
      </c>
      <c r="D28" s="4">
        <v>0.16150182014445194</v>
      </c>
      <c r="E28" s="4">
        <v>3.9880621984028822E-2</v>
      </c>
      <c r="F28" s="4">
        <v>0.20926862047232167</v>
      </c>
      <c r="G28" s="4">
        <v>0.26008327041999785</v>
      </c>
      <c r="H28" s="6">
        <v>2.9756824405611434E-2</v>
      </c>
      <c r="I28" s="4">
        <v>0.15614524757144563</v>
      </c>
      <c r="J28" s="4">
        <v>0.19406046906250368</v>
      </c>
      <c r="L28" s="25">
        <f t="shared" si="4"/>
        <v>0.97909438824190698</v>
      </c>
      <c r="M28" s="25">
        <f t="shared" si="5"/>
        <v>0.73104500665441596</v>
      </c>
      <c r="N28" s="25">
        <f t="shared" si="6"/>
        <v>0.19081366264589109</v>
      </c>
      <c r="O28" s="25">
        <f t="shared" si="7"/>
        <v>1.0012710424919673</v>
      </c>
      <c r="P28" s="25">
        <f t="shared" si="8"/>
        <v>1.2443998852785212</v>
      </c>
      <c r="Q28" s="25">
        <f t="shared" si="0"/>
        <v>0.13469555870118036</v>
      </c>
      <c r="R28" s="25">
        <f t="shared" si="1"/>
        <v>0.70679824814249481</v>
      </c>
      <c r="S28" s="25">
        <f t="shared" si="2"/>
        <v>0.87842314575939251</v>
      </c>
    </row>
    <row r="29" spans="1:19" hidden="1" x14ac:dyDescent="0.25">
      <c r="A29">
        <f t="shared" si="3"/>
        <v>0</v>
      </c>
      <c r="B29">
        <v>2049</v>
      </c>
      <c r="C29" s="4">
        <v>0.21630067144284143</v>
      </c>
      <c r="D29" s="4">
        <v>0.15910605873218275</v>
      </c>
      <c r="E29" s="4">
        <v>3.7395159685772728E-2</v>
      </c>
      <c r="F29" s="4">
        <v>0.19597250030124425</v>
      </c>
      <c r="G29" s="4">
        <v>0.25941348880360143</v>
      </c>
      <c r="H29" s="6">
        <v>2.7488392785542212E-2</v>
      </c>
      <c r="I29" s="4">
        <v>0.14405524962886851</v>
      </c>
      <c r="J29" s="4">
        <v>0.19068938156758938</v>
      </c>
      <c r="L29" s="25">
        <f t="shared" si="4"/>
        <v>0.97909438824190698</v>
      </c>
      <c r="M29" s="25">
        <f t="shared" si="5"/>
        <v>0.72020048851828478</v>
      </c>
      <c r="N29" s="25">
        <f t="shared" si="6"/>
        <v>0.17892166746365826</v>
      </c>
      <c r="O29" s="25">
        <f t="shared" si="7"/>
        <v>0.93765414630014676</v>
      </c>
      <c r="P29" s="25">
        <f t="shared" si="8"/>
        <v>1.2411952340710082</v>
      </c>
      <c r="Q29" s="25">
        <f t="shared" si="0"/>
        <v>0.12442740440232888</v>
      </c>
      <c r="R29" s="25">
        <f t="shared" si="1"/>
        <v>0.6520723471063461</v>
      </c>
      <c r="S29" s="25">
        <f t="shared" si="2"/>
        <v>0.86316377172913084</v>
      </c>
    </row>
    <row r="30" spans="1:19" x14ac:dyDescent="0.25">
      <c r="A30">
        <f t="shared" si="3"/>
        <v>1</v>
      </c>
      <c r="B30">
        <v>2050</v>
      </c>
      <c r="C30" s="4">
        <v>0.21630067144284143</v>
      </c>
      <c r="D30" s="4">
        <v>0.15674583668869208</v>
      </c>
      <c r="E30" s="4">
        <v>3.5707540017831357E-2</v>
      </c>
      <c r="F30" s="4">
        <v>0.17864670644352068</v>
      </c>
      <c r="G30" s="4">
        <v>0.25826907065744359</v>
      </c>
      <c r="H30" s="6">
        <v>2.5858491380614208E-2</v>
      </c>
      <c r="I30" s="4">
        <v>0.12937139652964133</v>
      </c>
      <c r="J30" s="4">
        <v>0.18703188553845254</v>
      </c>
      <c r="L30" s="25">
        <f t="shared" si="4"/>
        <v>0.97909438824190698</v>
      </c>
      <c r="M30" s="25">
        <f t="shared" si="5"/>
        <v>0.70951684087922862</v>
      </c>
      <c r="N30" s="25">
        <f t="shared" si="6"/>
        <v>0.17084704690929237</v>
      </c>
      <c r="O30" s="25">
        <f t="shared" si="7"/>
        <v>0.85475678864198679</v>
      </c>
      <c r="P30" s="25">
        <f t="shared" si="8"/>
        <v>1.2357196269414541</v>
      </c>
      <c r="Q30" s="25">
        <f t="shared" si="0"/>
        <v>0.11704958486849394</v>
      </c>
      <c r="R30" s="25">
        <f t="shared" si="1"/>
        <v>0.58560524799231939</v>
      </c>
      <c r="S30" s="25">
        <f t="shared" si="2"/>
        <v>0.84660795702334402</v>
      </c>
    </row>
    <row r="31" spans="1:19" hidden="1" x14ac:dyDescent="0.25">
      <c r="A31">
        <f t="shared" si="3"/>
        <v>0</v>
      </c>
      <c r="B31">
        <v>2051</v>
      </c>
      <c r="C31" s="4">
        <v>0.21630067144284143</v>
      </c>
      <c r="D31" s="4">
        <v>0.15442062681343033</v>
      </c>
      <c r="E31" s="4">
        <v>3.4570783210062545E-2</v>
      </c>
      <c r="F31" s="4">
        <v>0.15582239483941115</v>
      </c>
      <c r="G31" s="4">
        <v>0.25657470087319395</v>
      </c>
      <c r="H31" s="6">
        <v>2.4663900953276897E-2</v>
      </c>
      <c r="I31" s="4">
        <v>0.11116867353768838</v>
      </c>
      <c r="J31" s="4">
        <v>0.18304858675030447</v>
      </c>
      <c r="L31" s="25">
        <f t="shared" si="4"/>
        <v>0.97909438824190698</v>
      </c>
      <c r="M31" s="25">
        <f t="shared" si="5"/>
        <v>0.69899167734105139</v>
      </c>
      <c r="N31" s="25">
        <f t="shared" si="6"/>
        <v>0.16540809638051465</v>
      </c>
      <c r="O31" s="25">
        <f t="shared" si="7"/>
        <v>0.74555110733903729</v>
      </c>
      <c r="P31" s="25">
        <f t="shared" si="8"/>
        <v>1.2276127096386429</v>
      </c>
      <c r="Q31" s="25">
        <f t="shared" si="0"/>
        <v>0.11164221939037734</v>
      </c>
      <c r="R31" s="25">
        <f t="shared" si="1"/>
        <v>0.50320983140271958</v>
      </c>
      <c r="S31" s="25">
        <f t="shared" si="2"/>
        <v>0.82857738197172126</v>
      </c>
    </row>
    <row r="32" spans="1:19" hidden="1" x14ac:dyDescent="0.25">
      <c r="A32">
        <f t="shared" si="3"/>
        <v>0</v>
      </c>
      <c r="B32">
        <v>2052</v>
      </c>
      <c r="C32" s="4">
        <v>0.21630067144284143</v>
      </c>
      <c r="D32" s="4">
        <v>0.15212990972648269</v>
      </c>
      <c r="E32" s="4">
        <v>3.3809548732054343E-2</v>
      </c>
      <c r="F32" s="4">
        <v>0.12194689795703804</v>
      </c>
      <c r="G32" s="4">
        <v>0.25424129257840589</v>
      </c>
      <c r="H32" s="6">
        <v>2.3762997353979843E-2</v>
      </c>
      <c r="I32" s="4">
        <v>8.571021862624742E-2</v>
      </c>
      <c r="J32" s="4">
        <v>0.17869316182517342</v>
      </c>
      <c r="L32" s="25">
        <f t="shared" si="4"/>
        <v>0.97909438824190698</v>
      </c>
      <c r="M32" s="25">
        <f t="shared" si="5"/>
        <v>0.6886226469079999</v>
      </c>
      <c r="N32" s="25">
        <f t="shared" si="6"/>
        <v>0.16176587788805361</v>
      </c>
      <c r="O32" s="25">
        <f t="shared" si="7"/>
        <v>0.58346969254405967</v>
      </c>
      <c r="P32" s="25">
        <f t="shared" si="8"/>
        <v>1.2164482352391432</v>
      </c>
      <c r="Q32" s="25">
        <f t="shared" si="0"/>
        <v>0.10756424010101683</v>
      </c>
      <c r="R32" s="25">
        <f t="shared" si="1"/>
        <v>0.38797102899480224</v>
      </c>
      <c r="S32" s="25">
        <f t="shared" si="2"/>
        <v>0.80886236179097426</v>
      </c>
    </row>
    <row r="33" spans="1:19" hidden="1" x14ac:dyDescent="0.25">
      <c r="A33">
        <f t="shared" si="3"/>
        <v>0</v>
      </c>
      <c r="B33">
        <v>2053</v>
      </c>
      <c r="C33" s="4">
        <v>0.21630067144284143</v>
      </c>
      <c r="D33" s="4">
        <v>0.14987317375255554</v>
      </c>
      <c r="E33" s="4">
        <v>3.3301832682000654E-2</v>
      </c>
      <c r="F33" s="4">
        <v>9.6759391515213053E-2</v>
      </c>
      <c r="G33" s="4">
        <v>0.25116292729180473</v>
      </c>
      <c r="H33" s="6">
        <v>2.3058936670912918E-2</v>
      </c>
      <c r="I33" s="4">
        <v>6.6998375211682976E-2</v>
      </c>
      <c r="J33" s="4">
        <v>0.17391085018672603</v>
      </c>
      <c r="L33" s="25">
        <f t="shared" si="4"/>
        <v>0.97909438824190698</v>
      </c>
      <c r="M33" s="25">
        <f t="shared" si="5"/>
        <v>0.67840743345962384</v>
      </c>
      <c r="N33" s="25">
        <f t="shared" si="6"/>
        <v>0.15933664899755018</v>
      </c>
      <c r="O33" s="25">
        <f t="shared" si="7"/>
        <v>0.46295701952190038</v>
      </c>
      <c r="P33" s="25">
        <f t="shared" si="8"/>
        <v>1.2017194239499518</v>
      </c>
      <c r="Q33" s="25">
        <f t="shared" si="0"/>
        <v>0.10437727882542618</v>
      </c>
      <c r="R33" s="25">
        <f t="shared" si="1"/>
        <v>0.30327105668934101</v>
      </c>
      <c r="S33" s="25">
        <f t="shared" si="2"/>
        <v>0.78721502035280799</v>
      </c>
    </row>
    <row r="34" spans="1:19" hidden="1" x14ac:dyDescent="0.25">
      <c r="A34">
        <f t="shared" si="3"/>
        <v>0</v>
      </c>
      <c r="B34">
        <v>2054</v>
      </c>
      <c r="C34" s="4">
        <v>0.21630067144284143</v>
      </c>
      <c r="D34" s="4">
        <v>0.14764991480668394</v>
      </c>
      <c r="E34" s="4">
        <v>3.2964062058780288E-2</v>
      </c>
      <c r="F34" s="4">
        <v>7.8161468621018693E-2</v>
      </c>
      <c r="G34" s="4">
        <v>0.24721287548506407</v>
      </c>
      <c r="H34" s="6">
        <v>2.2486463680820811E-2</v>
      </c>
      <c r="I34" s="4">
        <v>5.3317913983176889E-2</v>
      </c>
      <c r="J34" s="4">
        <v>0.1686364786024753</v>
      </c>
      <c r="L34" s="25">
        <f t="shared" si="4"/>
        <v>0.97909438824190698</v>
      </c>
      <c r="M34" s="25">
        <f t="shared" si="5"/>
        <v>0.66834375523342504</v>
      </c>
      <c r="N34" s="25">
        <f t="shared" si="6"/>
        <v>0.15772054457027535</v>
      </c>
      <c r="O34" s="25">
        <f t="shared" si="7"/>
        <v>0.37397300652259768</v>
      </c>
      <c r="P34" s="25">
        <f t="shared" si="8"/>
        <v>1.1828199230046794</v>
      </c>
      <c r="Q34" s="25">
        <f t="shared" si="0"/>
        <v>0.10178595495999213</v>
      </c>
      <c r="R34" s="25">
        <f t="shared" si="1"/>
        <v>0.2413458544787189</v>
      </c>
      <c r="S34" s="25">
        <f t="shared" si="2"/>
        <v>0.76334034818838481</v>
      </c>
    </row>
    <row r="35" spans="1:19" hidden="1" x14ac:dyDescent="0.25">
      <c r="A35">
        <f t="shared" si="3"/>
        <v>0</v>
      </c>
      <c r="B35">
        <v>2055</v>
      </c>
      <c r="C35" s="4">
        <v>0.21630067144284143</v>
      </c>
      <c r="D35" s="4">
        <v>0.14545963628163514</v>
      </c>
      <c r="E35" s="4">
        <v>3.2739646812504901E-2</v>
      </c>
      <c r="F35" s="4">
        <v>6.4561107790026218E-2</v>
      </c>
      <c r="G35" s="4">
        <v>0.24223830641085023</v>
      </c>
      <c r="H35" s="6">
        <v>2.2002079283054692E-2</v>
      </c>
      <c r="I35" s="4">
        <v>4.3387108612773582E-2</v>
      </c>
      <c r="J35" s="4">
        <v>0.16279181182274471</v>
      </c>
      <c r="L35" s="25">
        <f t="shared" si="4"/>
        <v>0.97909438824190698</v>
      </c>
      <c r="M35" s="25">
        <f t="shared" si="5"/>
        <v>0.65842936431518539</v>
      </c>
      <c r="N35" s="25">
        <f t="shared" si="6"/>
        <v>0.15664680266342806</v>
      </c>
      <c r="O35" s="25">
        <f t="shared" si="7"/>
        <v>0.30890043407107787</v>
      </c>
      <c r="P35" s="25">
        <f t="shared" si="8"/>
        <v>1.159018495195558</v>
      </c>
      <c r="Q35" s="25">
        <f t="shared" si="0"/>
        <v>9.9593367935452676E-2</v>
      </c>
      <c r="R35" s="25">
        <f t="shared" si="1"/>
        <v>0.19639363244433711</v>
      </c>
      <c r="S35" s="25">
        <f t="shared" si="2"/>
        <v>0.736884210040472</v>
      </c>
    </row>
    <row r="36" spans="1:19" hidden="1" x14ac:dyDescent="0.25">
      <c r="A36">
        <f t="shared" si="3"/>
        <v>0</v>
      </c>
      <c r="B36">
        <v>2056</v>
      </c>
      <c r="C36" s="4">
        <v>0.21630067144284143</v>
      </c>
      <c r="D36" s="4">
        <v>0.14330184893698134</v>
      </c>
      <c r="E36" s="4">
        <v>3.2590581637236916E-2</v>
      </c>
      <c r="F36" s="4">
        <v>5.4733839912945018E-2</v>
      </c>
      <c r="G36" s="4">
        <v>0.23605306634576576</v>
      </c>
      <c r="H36" s="6">
        <v>2.1577004052541225E-2</v>
      </c>
      <c r="I36" s="4">
        <v>3.6237226409712026E-2</v>
      </c>
      <c r="J36" s="4">
        <v>0.15628189842852988</v>
      </c>
      <c r="L36" s="25">
        <f t="shared" si="4"/>
        <v>0.97909438824190698</v>
      </c>
      <c r="M36" s="25">
        <f t="shared" si="5"/>
        <v>0.64866204613684941</v>
      </c>
      <c r="N36" s="25">
        <f t="shared" si="6"/>
        <v>0.15593358229095677</v>
      </c>
      <c r="O36" s="25">
        <f t="shared" si="7"/>
        <v>0.26188068151608673</v>
      </c>
      <c r="P36" s="25">
        <f t="shared" si="8"/>
        <v>1.129424465502753</v>
      </c>
      <c r="Q36" s="25">
        <f t="shared" si="0"/>
        <v>9.7669246433655349E-2</v>
      </c>
      <c r="R36" s="25">
        <f t="shared" si="1"/>
        <v>0.16402937996693254</v>
      </c>
      <c r="S36" s="25">
        <f t="shared" si="2"/>
        <v>0.70741680418500341</v>
      </c>
    </row>
    <row r="37" spans="1:19" hidden="1" x14ac:dyDescent="0.25">
      <c r="A37">
        <f t="shared" si="3"/>
        <v>0</v>
      </c>
      <c r="B37">
        <v>2057</v>
      </c>
      <c r="C37" s="4">
        <v>0.21630067144284143</v>
      </c>
      <c r="D37" s="4">
        <v>0.14117607078981881</v>
      </c>
      <c r="E37" s="4">
        <v>3.2491487706560407E-2</v>
      </c>
      <c r="F37" s="4">
        <v>4.7729123076319303E-2</v>
      </c>
      <c r="G37" s="4">
        <v>0.22842749553696567</v>
      </c>
      <c r="H37" s="6">
        <v>2.1192291815300756E-2</v>
      </c>
      <c r="I37" s="4">
        <v>3.1130907684400445E-2</v>
      </c>
      <c r="J37" s="4">
        <v>0.14898985813691298</v>
      </c>
      <c r="L37" s="25">
        <f t="shared" si="4"/>
        <v>0.97909438824190698</v>
      </c>
      <c r="M37" s="25">
        <f t="shared" si="5"/>
        <v>0.63903961898185968</v>
      </c>
      <c r="N37" s="25">
        <f t="shared" si="6"/>
        <v>0.15545945538626771</v>
      </c>
      <c r="O37" s="25">
        <f t="shared" si="7"/>
        <v>0.2283657660283302</v>
      </c>
      <c r="P37" s="25">
        <f t="shared" si="8"/>
        <v>1.092938999042991</v>
      </c>
      <c r="Q37" s="25">
        <f t="shared" si="0"/>
        <v>9.5927829774809389E-2</v>
      </c>
      <c r="R37" s="25">
        <f t="shared" si="1"/>
        <v>0.14091540637093147</v>
      </c>
      <c r="S37" s="25">
        <f t="shared" si="2"/>
        <v>0.67440906694252956</v>
      </c>
    </row>
    <row r="38" spans="1:19" hidden="1" x14ac:dyDescent="0.25">
      <c r="A38">
        <f t="shared" si="3"/>
        <v>0</v>
      </c>
      <c r="B38">
        <v>2058</v>
      </c>
      <c r="C38" s="4">
        <v>0.21630067144284143</v>
      </c>
      <c r="D38" s="4">
        <v>0.13908182700710772</v>
      </c>
      <c r="E38" s="4">
        <v>3.2425483586159487E-2</v>
      </c>
      <c r="F38" s="4">
        <v>4.2806986526761723E-2</v>
      </c>
      <c r="G38" s="4">
        <v>0.21907348447166677</v>
      </c>
      <c r="H38" s="6">
        <v>2.0835507669754161E-2</v>
      </c>
      <c r="I38" s="4">
        <v>2.7506306690152443E-2</v>
      </c>
      <c r="J38" s="4">
        <v>0.14076913467830282</v>
      </c>
      <c r="L38" s="25">
        <f t="shared" si="4"/>
        <v>0.97909438824190698</v>
      </c>
      <c r="M38" s="25">
        <f t="shared" si="5"/>
        <v>0.62955993349782835</v>
      </c>
      <c r="N38" s="25">
        <f t="shared" si="6"/>
        <v>0.15514365068371155</v>
      </c>
      <c r="O38" s="25">
        <f t="shared" si="7"/>
        <v>0.20481520797935041</v>
      </c>
      <c r="P38" s="25">
        <f t="shared" si="8"/>
        <v>1.0481836009823822</v>
      </c>
      <c r="Q38" s="25">
        <f t="shared" si="0"/>
        <v>9.4312830836580638E-2</v>
      </c>
      <c r="R38" s="25">
        <f t="shared" si="1"/>
        <v>0.12450849246996354</v>
      </c>
      <c r="S38" s="25">
        <f t="shared" si="2"/>
        <v>0.63719760499040712</v>
      </c>
    </row>
    <row r="39" spans="1:19" hidden="1" x14ac:dyDescent="0.25">
      <c r="A39">
        <f t="shared" si="3"/>
        <v>0</v>
      </c>
      <c r="B39">
        <v>2059</v>
      </c>
      <c r="C39" s="4">
        <v>0.21630067144284143</v>
      </c>
      <c r="D39" s="4">
        <v>0.1370186497996094</v>
      </c>
      <c r="E39" s="4">
        <v>3.2381369530497903E-2</v>
      </c>
      <c r="F39" s="4">
        <v>3.9395293406951699E-2</v>
      </c>
      <c r="G39" s="4">
        <v>0.2076214195126469</v>
      </c>
      <c r="H39" s="6">
        <v>2.0498502458597887E-2</v>
      </c>
      <c r="I39" s="4">
        <v>2.4938553571645906E-2</v>
      </c>
      <c r="J39" s="4">
        <v>0.13143138292310935</v>
      </c>
      <c r="L39" s="25">
        <f t="shared" si="4"/>
        <v>0.97909438824190698</v>
      </c>
      <c r="M39" s="25">
        <f t="shared" si="5"/>
        <v>0.62022087221643962</v>
      </c>
      <c r="N39" s="25">
        <f t="shared" si="6"/>
        <v>0.15493258164526169</v>
      </c>
      <c r="O39" s="25">
        <f t="shared" si="7"/>
        <v>0.18849154932940643</v>
      </c>
      <c r="P39" s="25">
        <f t="shared" si="8"/>
        <v>0.99338981013919092</v>
      </c>
      <c r="Q39" s="25">
        <f t="shared" si="0"/>
        <v>9.2787362104327628E-2</v>
      </c>
      <c r="R39" s="25">
        <f t="shared" si="1"/>
        <v>0.11288544640195924</v>
      </c>
      <c r="S39" s="25">
        <f t="shared" si="2"/>
        <v>0.5949298659153488</v>
      </c>
    </row>
    <row r="40" spans="1:19" x14ac:dyDescent="0.25">
      <c r="A40">
        <f t="shared" si="3"/>
        <v>1</v>
      </c>
      <c r="B40">
        <v>2060</v>
      </c>
      <c r="C40" s="4">
        <v>0.21630067144284143</v>
      </c>
      <c r="D40" s="4">
        <v>0.13498607831739617</v>
      </c>
      <c r="E40" s="4">
        <v>3.2351728243043519E-2</v>
      </c>
      <c r="F40" s="4">
        <v>3.7059009816260959E-2</v>
      </c>
      <c r="G40" s="4">
        <v>0.19358226974848505</v>
      </c>
      <c r="H40" s="6">
        <v>2.0175936574555672E-2</v>
      </c>
      <c r="I40" s="4">
        <v>2.3111600899698229E-2</v>
      </c>
      <c r="J40" s="4">
        <v>0.12072627363404585</v>
      </c>
      <c r="L40" s="25">
        <f t="shared" si="4"/>
        <v>0.97909438824190698</v>
      </c>
      <c r="M40" s="25">
        <f t="shared" si="5"/>
        <v>0.61102034908047065</v>
      </c>
      <c r="N40" s="25">
        <f t="shared" si="6"/>
        <v>0.15479075931794253</v>
      </c>
      <c r="O40" s="25">
        <f t="shared" si="7"/>
        <v>0.17731331772866249</v>
      </c>
      <c r="P40" s="25">
        <f t="shared" si="8"/>
        <v>0.92621779893016976</v>
      </c>
      <c r="Q40" s="25">
        <f t="shared" si="0"/>
        <v>9.1327253613691331E-2</v>
      </c>
      <c r="R40" s="25">
        <f t="shared" si="1"/>
        <v>0.10461566574545204</v>
      </c>
      <c r="S40" s="25">
        <f t="shared" si="2"/>
        <v>0.54647272354717025</v>
      </c>
    </row>
    <row r="41" spans="1:19" x14ac:dyDescent="0.25">
      <c r="C41" s="4"/>
      <c r="D41" s="4"/>
      <c r="E41" s="4"/>
      <c r="F41" s="4"/>
      <c r="G41" s="4"/>
      <c r="H41" s="6"/>
      <c r="I41" s="4"/>
      <c r="J41" s="4"/>
      <c r="L41" s="25"/>
      <c r="M41" s="25"/>
      <c r="N41" s="25"/>
      <c r="O41" s="25"/>
      <c r="P41" s="25"/>
      <c r="Q41" s="25"/>
      <c r="R41" s="25"/>
      <c r="S41" s="25"/>
    </row>
    <row r="42" spans="1:19" x14ac:dyDescent="0.25">
      <c r="C42" s="4"/>
      <c r="D42" s="4"/>
      <c r="E42" s="4"/>
      <c r="F42" s="4"/>
      <c r="G42" s="4"/>
      <c r="H42" s="6"/>
      <c r="I42" s="4"/>
      <c r="J42" s="4"/>
      <c r="L42" s="25"/>
      <c r="M42" s="25"/>
      <c r="N42" s="25"/>
      <c r="O42" s="25"/>
      <c r="P42" s="25"/>
      <c r="Q42" s="25"/>
      <c r="R42" s="25"/>
      <c r="S42" s="25"/>
    </row>
    <row r="44" spans="1:19" x14ac:dyDescent="0.25">
      <c r="A44" s="10" t="s">
        <v>72</v>
      </c>
      <c r="B44" s="10" t="s">
        <v>73</v>
      </c>
    </row>
    <row r="45" spans="1:19" x14ac:dyDescent="0.25">
      <c r="A45">
        <v>1</v>
      </c>
      <c r="B45" s="10" t="s">
        <v>83</v>
      </c>
    </row>
    <row r="46" spans="1:19" x14ac:dyDescent="0.25">
      <c r="A46">
        <v>2</v>
      </c>
      <c r="B46" s="10" t="s">
        <v>84</v>
      </c>
    </row>
    <row r="47" spans="1:19" x14ac:dyDescent="0.25">
      <c r="A47">
        <v>3</v>
      </c>
      <c r="B47" s="10" t="s">
        <v>85</v>
      </c>
    </row>
    <row r="48" spans="1:19" x14ac:dyDescent="0.25">
      <c r="A48">
        <v>4</v>
      </c>
      <c r="B48" s="10" t="s">
        <v>86</v>
      </c>
    </row>
    <row r="49" spans="1:29" x14ac:dyDescent="0.25">
      <c r="A49">
        <v>5</v>
      </c>
      <c r="B49" s="10" t="s">
        <v>87</v>
      </c>
    </row>
    <row r="50" spans="1:29" x14ac:dyDescent="0.25">
      <c r="A50">
        <v>6</v>
      </c>
      <c r="B50" s="10" t="s">
        <v>88</v>
      </c>
    </row>
    <row r="51" spans="1:29" x14ac:dyDescent="0.25">
      <c r="A51">
        <v>7</v>
      </c>
      <c r="B51" s="10" t="s">
        <v>89</v>
      </c>
      <c r="G51">
        <v>2021</v>
      </c>
      <c r="H51" s="4">
        <f>C3</f>
        <v>0.22091912081248652</v>
      </c>
    </row>
    <row r="52" spans="1:29" x14ac:dyDescent="0.25">
      <c r="A52">
        <v>8</v>
      </c>
      <c r="B52" s="10" t="s">
        <v>90</v>
      </c>
    </row>
    <row r="53" spans="1:29" x14ac:dyDescent="0.25">
      <c r="H53" s="33" t="s">
        <v>79</v>
      </c>
      <c r="I53" s="33"/>
      <c r="J53" s="33"/>
      <c r="K53" s="33" t="s">
        <v>80</v>
      </c>
      <c r="L53" s="33"/>
      <c r="M53" s="33"/>
      <c r="N53" s="33" t="s">
        <v>81</v>
      </c>
      <c r="O53" s="33"/>
      <c r="P53" s="33"/>
    </row>
    <row r="54" spans="1:29" x14ac:dyDescent="0.25">
      <c r="G54" t="s">
        <v>24</v>
      </c>
      <c r="H54" t="s">
        <v>94</v>
      </c>
      <c r="I54" t="s">
        <v>95</v>
      </c>
      <c r="J54" t="s">
        <v>96</v>
      </c>
      <c r="K54" t="s">
        <v>94</v>
      </c>
      <c r="L54" t="s">
        <v>95</v>
      </c>
      <c r="M54" t="s">
        <v>96</v>
      </c>
      <c r="N54" t="s">
        <v>94</v>
      </c>
      <c r="O54" t="s">
        <v>95</v>
      </c>
      <c r="P54" t="s">
        <v>96</v>
      </c>
    </row>
    <row r="55" spans="1:29" x14ac:dyDescent="0.25">
      <c r="G55">
        <v>2040</v>
      </c>
      <c r="H55" s="3">
        <v>0.13734510782483411</v>
      </c>
      <c r="I55" s="3">
        <v>0.13019117519720841</v>
      </c>
      <c r="J55" s="3">
        <v>0.1449383508689388</v>
      </c>
      <c r="K55" s="3">
        <v>0.2064077942200418</v>
      </c>
      <c r="L55" s="3">
        <v>0.19795482678037549</v>
      </c>
      <c r="M55" s="3">
        <v>0.2156634370173163</v>
      </c>
      <c r="N55" s="3">
        <v>0.2139461939106011</v>
      </c>
      <c r="O55" s="3">
        <v>0.20572533901753931</v>
      </c>
      <c r="P55" s="3">
        <v>0.22269132309827411</v>
      </c>
      <c r="U55" s="10" t="s">
        <v>24</v>
      </c>
      <c r="V55" t="s">
        <v>74</v>
      </c>
      <c r="W55" t="s">
        <v>75</v>
      </c>
      <c r="X55" s="10" t="s">
        <v>76</v>
      </c>
      <c r="Y55" s="10" t="s">
        <v>77</v>
      </c>
      <c r="Z55" s="10" t="s">
        <v>78</v>
      </c>
      <c r="AA55" s="10" t="s">
        <v>79</v>
      </c>
      <c r="AB55" s="10" t="s">
        <v>80</v>
      </c>
      <c r="AC55" s="10" t="s">
        <v>81</v>
      </c>
    </row>
    <row r="56" spans="1:29" x14ac:dyDescent="0.25">
      <c r="G56">
        <v>2050</v>
      </c>
      <c r="H56" s="3">
        <v>2.5961524512978972E-2</v>
      </c>
      <c r="I56" s="3">
        <v>2.2696903851728761E-2</v>
      </c>
      <c r="J56" s="3">
        <v>2.963629083254082E-2</v>
      </c>
      <c r="K56" s="3">
        <v>0.12958098361353981</v>
      </c>
      <c r="L56" s="3">
        <v>0.1222055847980041</v>
      </c>
      <c r="M56" s="3">
        <v>0.13747661749623569</v>
      </c>
      <c r="N56" s="3">
        <v>0.18715482368162209</v>
      </c>
      <c r="O56" s="3">
        <v>0.1779173277290198</v>
      </c>
      <c r="P56" s="3">
        <v>0.19672349814028539</v>
      </c>
      <c r="U56">
        <v>2030</v>
      </c>
      <c r="V56" s="25">
        <v>0.97909438824190698</v>
      </c>
      <c r="W56" s="25">
        <v>0.95670220876198886</v>
      </c>
      <c r="X56" s="25">
        <v>1.1004219248529643</v>
      </c>
      <c r="Y56" s="25">
        <v>1.1154845233023583</v>
      </c>
      <c r="Z56" s="25">
        <v>1.1201522795127337</v>
      </c>
      <c r="AA56" s="25">
        <v>1.0165662908223452</v>
      </c>
      <c r="AB56" s="25">
        <v>1.030481071589634</v>
      </c>
      <c r="AC56" s="25">
        <v>1.0347931300011186</v>
      </c>
    </row>
    <row r="57" spans="1:29" x14ac:dyDescent="0.25">
      <c r="G57">
        <v>2060</v>
      </c>
      <c r="H57" s="3">
        <v>2.0260888201377579E-2</v>
      </c>
      <c r="I57" s="3">
        <v>1.7545160883052191E-2</v>
      </c>
      <c r="J57" s="3">
        <v>2.3367625097083389E-2</v>
      </c>
      <c r="K57" s="3">
        <v>2.3135266158053801E-2</v>
      </c>
      <c r="L57" s="3">
        <v>2.0310848358297131E-2</v>
      </c>
      <c r="M57" s="3">
        <v>2.6420497608068059E-2</v>
      </c>
      <c r="N57" s="3">
        <v>0.12085982685692701</v>
      </c>
      <c r="O57" s="3">
        <v>0.1130631711452951</v>
      </c>
      <c r="P57" s="3">
        <v>0.12898119532064811</v>
      </c>
      <c r="U57">
        <v>2040</v>
      </c>
      <c r="V57" s="25">
        <v>0.97909438824190698</v>
      </c>
      <c r="W57" s="25">
        <v>0.82389096901409631</v>
      </c>
      <c r="X57" s="25">
        <v>0.78041642047235116</v>
      </c>
      <c r="Y57" s="25">
        <v>1.1731403912288341</v>
      </c>
      <c r="Z57" s="25">
        <v>1.2170743442731173</v>
      </c>
      <c r="AA57" s="25">
        <v>0.62086307882528369</v>
      </c>
      <c r="AB57" s="25">
        <v>0.93329604053152582</v>
      </c>
      <c r="AC57" s="25">
        <v>0.96824785425109083</v>
      </c>
    </row>
    <row r="58" spans="1:29" x14ac:dyDescent="0.25">
      <c r="U58">
        <v>2050</v>
      </c>
      <c r="V58" s="25">
        <v>0.97909438824190698</v>
      </c>
      <c r="W58" s="25">
        <v>0.70951684087922862</v>
      </c>
      <c r="X58" s="25">
        <v>0.17084704690929237</v>
      </c>
      <c r="Y58" s="25">
        <v>0.85475678864198679</v>
      </c>
      <c r="Z58" s="25">
        <v>1.2357196269414541</v>
      </c>
      <c r="AA58" s="25">
        <v>0.11704958486849394</v>
      </c>
      <c r="AB58" s="25">
        <v>0.58560524799231939</v>
      </c>
      <c r="AC58" s="25">
        <v>0.84660795702334402</v>
      </c>
    </row>
    <row r="59" spans="1:29" x14ac:dyDescent="0.25">
      <c r="E59" s="25"/>
      <c r="F59" s="25"/>
      <c r="H59" s="33" t="s">
        <v>79</v>
      </c>
      <c r="I59" s="33"/>
      <c r="J59" s="33"/>
      <c r="K59" s="33" t="s">
        <v>80</v>
      </c>
      <c r="L59" s="33"/>
      <c r="M59" s="33"/>
      <c r="N59" s="33" t="s">
        <v>81</v>
      </c>
      <c r="O59" s="33"/>
      <c r="P59" s="33"/>
      <c r="U59">
        <v>2060</v>
      </c>
      <c r="V59" s="25">
        <v>0.97909438824190698</v>
      </c>
      <c r="W59" s="25">
        <v>0.61102034908047065</v>
      </c>
      <c r="X59" s="25">
        <v>0.15479075931794253</v>
      </c>
      <c r="Y59" s="25">
        <v>0.17731331772866249</v>
      </c>
      <c r="Z59" s="25">
        <v>0.92621779893016976</v>
      </c>
      <c r="AA59" s="25">
        <v>9.1327253613691331E-2</v>
      </c>
      <c r="AB59" s="25">
        <v>0.10461566574545204</v>
      </c>
      <c r="AC59" s="25">
        <v>0.54647272354717025</v>
      </c>
    </row>
    <row r="60" spans="1:29" x14ac:dyDescent="0.25">
      <c r="E60" s="25"/>
      <c r="F60" s="25"/>
      <c r="G60" t="s">
        <v>24</v>
      </c>
      <c r="H60" t="s">
        <v>94</v>
      </c>
      <c r="I60" t="s">
        <v>95</v>
      </c>
      <c r="J60" t="s">
        <v>96</v>
      </c>
      <c r="K60" t="s">
        <v>94</v>
      </c>
      <c r="L60" t="s">
        <v>95</v>
      </c>
      <c r="M60" t="s">
        <v>96</v>
      </c>
      <c r="N60" t="s">
        <v>94</v>
      </c>
      <c r="O60" t="s">
        <v>95</v>
      </c>
      <c r="P60" t="s">
        <v>96</v>
      </c>
    </row>
    <row r="61" spans="1:29" x14ac:dyDescent="0.25">
      <c r="E61" s="25"/>
      <c r="F61" s="25"/>
      <c r="G61">
        <v>2040</v>
      </c>
      <c r="H61" s="25">
        <f>H55/$H$51</f>
        <v>0.62169859865326449</v>
      </c>
      <c r="I61" s="25">
        <f t="shared" ref="I61:P61" si="9">I55/$H$51</f>
        <v>0.58931601175306647</v>
      </c>
      <c r="J61" s="25">
        <f t="shared" si="9"/>
        <v>0.65606974324309719</v>
      </c>
      <c r="K61" s="25">
        <f t="shared" si="9"/>
        <v>0.93431384961575259</v>
      </c>
      <c r="L61" s="25">
        <f t="shared" si="9"/>
        <v>0.89605112519163588</v>
      </c>
      <c r="M61" s="25">
        <f t="shared" si="9"/>
        <v>0.97620991892489384</v>
      </c>
      <c r="N61" s="25">
        <f t="shared" si="9"/>
        <v>0.96843674338264296</v>
      </c>
      <c r="O61" s="25">
        <f t="shared" si="9"/>
        <v>0.93122468648676404</v>
      </c>
      <c r="P61" s="25">
        <f t="shared" si="9"/>
        <v>1.0080219506544741</v>
      </c>
    </row>
    <row r="62" spans="1:29" x14ac:dyDescent="0.25">
      <c r="A62" s="26"/>
      <c r="E62" s="25"/>
      <c r="F62" s="25"/>
      <c r="G62">
        <v>2050</v>
      </c>
      <c r="H62" s="25">
        <f t="shared" ref="H62:P62" si="10">H56/$H$51</f>
        <v>0.11751596881926214</v>
      </c>
      <c r="I62" s="25">
        <f t="shared" si="10"/>
        <v>0.10273852153790536</v>
      </c>
      <c r="J62" s="25">
        <f t="shared" si="10"/>
        <v>0.13414995824510703</v>
      </c>
      <c r="K62" s="25">
        <f t="shared" si="10"/>
        <v>0.58655395303481483</v>
      </c>
      <c r="L62" s="25">
        <f t="shared" si="10"/>
        <v>0.55316888981162804</v>
      </c>
      <c r="M62" s="25">
        <f t="shared" si="10"/>
        <v>0.62229388289537957</v>
      </c>
      <c r="N62" s="25">
        <f t="shared" si="10"/>
        <v>0.84716444187045647</v>
      </c>
      <c r="O62" s="25">
        <f t="shared" si="10"/>
        <v>0.8053505150422624</v>
      </c>
      <c r="P62" s="25">
        <f t="shared" si="10"/>
        <v>0.89047746259710092</v>
      </c>
    </row>
    <row r="63" spans="1:29" x14ac:dyDescent="0.25">
      <c r="A63" s="26"/>
      <c r="E63" s="25"/>
      <c r="F63" s="25"/>
      <c r="G63">
        <v>2060</v>
      </c>
      <c r="H63" s="25">
        <f t="shared" ref="H63:P63" si="11">H57/$H$51</f>
        <v>9.1711790843920546E-2</v>
      </c>
      <c r="I63" s="25">
        <f t="shared" si="11"/>
        <v>7.9418933130484037E-2</v>
      </c>
      <c r="J63" s="25">
        <f t="shared" si="11"/>
        <v>0.1057745703999861</v>
      </c>
      <c r="K63" s="25">
        <f t="shared" si="11"/>
        <v>0.1047227875657297</v>
      </c>
      <c r="L63" s="25">
        <f t="shared" si="11"/>
        <v>9.1937937665145492E-2</v>
      </c>
      <c r="M63" s="25">
        <f t="shared" si="11"/>
        <v>0.11959353047803163</v>
      </c>
      <c r="N63" s="25">
        <f t="shared" si="11"/>
        <v>0.54707725801385643</v>
      </c>
      <c r="O63" s="25">
        <f t="shared" si="11"/>
        <v>0.51178535714553086</v>
      </c>
      <c r="P63" s="25">
        <f t="shared" si="11"/>
        <v>0.58383898526432121</v>
      </c>
    </row>
    <row r="64" spans="1:29" x14ac:dyDescent="0.25">
      <c r="A64" s="26"/>
      <c r="E64" s="25"/>
      <c r="F64" s="25"/>
    </row>
    <row r="65" spans="1:6" x14ac:dyDescent="0.25">
      <c r="E65" s="25"/>
      <c r="F65" s="25"/>
    </row>
    <row r="66" spans="1:6" x14ac:dyDescent="0.25">
      <c r="E66" s="25"/>
      <c r="F66" s="25"/>
    </row>
    <row r="67" spans="1:6" x14ac:dyDescent="0.25">
      <c r="E67" s="25"/>
      <c r="F67" s="25"/>
    </row>
    <row r="68" spans="1:6" x14ac:dyDescent="0.25">
      <c r="E68" s="25"/>
      <c r="F68" s="25"/>
    </row>
    <row r="69" spans="1:6" x14ac:dyDescent="0.25">
      <c r="A69" s="26"/>
      <c r="E69" s="25"/>
      <c r="F69" s="25"/>
    </row>
    <row r="70" spans="1:6" x14ac:dyDescent="0.25">
      <c r="A70" s="26"/>
      <c r="E70" s="25"/>
      <c r="F70" s="25"/>
    </row>
    <row r="71" spans="1:6" x14ac:dyDescent="0.25">
      <c r="A71" s="26"/>
      <c r="E71" s="25"/>
      <c r="F71" s="25"/>
    </row>
  </sheetData>
  <autoFilter ref="A2:J40" xr:uid="{24161982-2061-4D04-B08A-8272CC0836EC}">
    <filterColumn colId="0">
      <filters>
        <filter val="1"/>
      </filters>
    </filterColumn>
  </autoFilter>
  <mergeCells count="6">
    <mergeCell ref="H53:J53"/>
    <mergeCell ref="K53:M53"/>
    <mergeCell ref="N53:P53"/>
    <mergeCell ref="H59:J59"/>
    <mergeCell ref="K59:M59"/>
    <mergeCell ref="N59:P59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A98D-C846-4FE2-B872-4F6EB61929CD}">
  <dimension ref="A1:N40"/>
  <sheetViews>
    <sheetView workbookViewId="0">
      <selection activeCell="K19" sqref="K19"/>
    </sheetView>
  </sheetViews>
  <sheetFormatPr defaultRowHeight="15" x14ac:dyDescent="0.25"/>
  <cols>
    <col min="4" max="9" width="12" bestFit="1" customWidth="1"/>
  </cols>
  <sheetData>
    <row r="1" spans="1:14" x14ac:dyDescent="0.25">
      <c r="B1" s="34" t="s">
        <v>115</v>
      </c>
      <c r="C1" s="34"/>
      <c r="D1" s="34"/>
      <c r="E1" s="34" t="s">
        <v>116</v>
      </c>
      <c r="F1" s="34"/>
      <c r="G1" s="34"/>
    </row>
    <row r="2" spans="1:14" x14ac:dyDescent="0.25">
      <c r="A2" s="9" t="s">
        <v>24</v>
      </c>
      <c r="B2" s="10" t="s">
        <v>79</v>
      </c>
      <c r="C2" s="10" t="s">
        <v>80</v>
      </c>
      <c r="D2" s="10" t="s">
        <v>81</v>
      </c>
      <c r="E2" s="10" t="s">
        <v>79</v>
      </c>
      <c r="F2" s="10" t="s">
        <v>80</v>
      </c>
      <c r="G2" s="10" t="s">
        <v>81</v>
      </c>
    </row>
    <row r="3" spans="1:14" x14ac:dyDescent="0.25">
      <c r="A3" s="5">
        <v>2023</v>
      </c>
      <c r="B3">
        <v>0</v>
      </c>
      <c r="C3">
        <v>0</v>
      </c>
      <c r="D3">
        <v>0</v>
      </c>
      <c r="E3">
        <f>SUM(B$3:B3)</f>
        <v>0</v>
      </c>
      <c r="F3">
        <f>SUM(C$3:C3)</f>
        <v>0</v>
      </c>
      <c r="G3">
        <f>SUM(D$3:D3)</f>
        <v>0</v>
      </c>
      <c r="N3" s="20"/>
    </row>
    <row r="4" spans="1:14" x14ac:dyDescent="0.25">
      <c r="A4" s="5">
        <v>2024</v>
      </c>
      <c r="B4">
        <v>3119425982.6682515</v>
      </c>
      <c r="C4">
        <v>3121912921.4521146</v>
      </c>
      <c r="D4">
        <v>3123026718.3280425</v>
      </c>
      <c r="E4">
        <f>SUM(B$3:B4)</f>
        <v>3119425982.6682515</v>
      </c>
      <c r="F4">
        <f>SUM(C$3:C4)</f>
        <v>3121912921.4521146</v>
      </c>
      <c r="G4">
        <f>SUM(D$3:D4)</f>
        <v>3123026718.3280425</v>
      </c>
      <c r="N4" s="20"/>
    </row>
    <row r="5" spans="1:14" x14ac:dyDescent="0.25">
      <c r="A5" s="5">
        <v>2025</v>
      </c>
      <c r="B5">
        <v>6517533096.0958023</v>
      </c>
      <c r="C5">
        <v>6529191856.1752634</v>
      </c>
      <c r="D5">
        <v>6534193450.300293</v>
      </c>
      <c r="E5">
        <f>SUM(B$3:B5)</f>
        <v>9636959078.7640533</v>
      </c>
      <c r="F5">
        <f>SUM(C$3:C5)</f>
        <v>9651104777.6273785</v>
      </c>
      <c r="G5">
        <f>SUM(D$3:D5)</f>
        <v>9657220168.628336</v>
      </c>
      <c r="N5" s="20"/>
    </row>
    <row r="6" spans="1:14" x14ac:dyDescent="0.25">
      <c r="A6" s="5">
        <v>2026</v>
      </c>
      <c r="B6">
        <v>9815630044.778862</v>
      </c>
      <c r="C6">
        <v>9845593923.0859261</v>
      </c>
      <c r="D6">
        <v>9857812155.0306778</v>
      </c>
      <c r="E6">
        <f>SUM(B$3:B6)</f>
        <v>19452589123.542915</v>
      </c>
      <c r="F6">
        <f>SUM(C$3:C6)</f>
        <v>19496698700.713303</v>
      </c>
      <c r="G6">
        <f>SUM(D$3:D6)</f>
        <v>19515032323.659012</v>
      </c>
      <c r="N6" s="20"/>
    </row>
    <row r="7" spans="1:14" x14ac:dyDescent="0.25">
      <c r="A7" s="5">
        <v>2027</v>
      </c>
      <c r="B7">
        <v>13126920214.836123</v>
      </c>
      <c r="C7">
        <v>13188564273.409693</v>
      </c>
      <c r="D7">
        <v>13212275445.050598</v>
      </c>
      <c r="E7">
        <f>SUM(B$3:B7)</f>
        <v>32579509338.379036</v>
      </c>
      <c r="F7">
        <f>SUM(C$3:C7)</f>
        <v>32685262974.122993</v>
      </c>
      <c r="G7">
        <f>SUM(D$3:D7)</f>
        <v>32727307768.70961</v>
      </c>
      <c r="N7" s="20"/>
    </row>
    <row r="8" spans="1:14" x14ac:dyDescent="0.25">
      <c r="A8" s="5">
        <v>2028</v>
      </c>
      <c r="B8">
        <v>16439167679.179211</v>
      </c>
      <c r="C8">
        <v>16552050105.955889</v>
      </c>
      <c r="D8">
        <v>16592713050.973486</v>
      </c>
      <c r="E8">
        <f>SUM(B$3:B8)</f>
        <v>49018677017.558243</v>
      </c>
      <c r="F8">
        <f>SUM(C$3:C8)</f>
        <v>49237313080.07888</v>
      </c>
      <c r="G8">
        <f>SUM(D$3:D8)</f>
        <v>49320020819.683098</v>
      </c>
      <c r="N8" s="20"/>
    </row>
    <row r="9" spans="1:14" x14ac:dyDescent="0.25">
      <c r="A9" s="5">
        <v>2029</v>
      </c>
      <c r="B9">
        <v>19736940088.966915</v>
      </c>
      <c r="C9">
        <v>19929754055.552227</v>
      </c>
      <c r="D9">
        <v>19994368031.845673</v>
      </c>
      <c r="E9">
        <f>SUM(B$3:B9)</f>
        <v>68755617106.525162</v>
      </c>
      <c r="F9">
        <f>SUM(C$3:C9)</f>
        <v>69167067135.631104</v>
      </c>
      <c r="G9">
        <f>SUM(D$3:D9)</f>
        <v>69314388851.528778</v>
      </c>
      <c r="N9" s="20"/>
    </row>
    <row r="10" spans="1:14" x14ac:dyDescent="0.25">
      <c r="A10" s="5">
        <v>2030</v>
      </c>
      <c r="B10">
        <v>23000005389.334579</v>
      </c>
      <c r="C10">
        <v>23314829946.796692</v>
      </c>
      <c r="D10">
        <v>23412391087.273861</v>
      </c>
      <c r="E10">
        <f>SUM(B$3:B10)</f>
        <v>91755622495.859741</v>
      </c>
      <c r="F10">
        <f>SUM(C$3:C10)</f>
        <v>92481897082.427795</v>
      </c>
      <c r="G10">
        <f>SUM(D$3:D10)</f>
        <v>92726779938.802643</v>
      </c>
      <c r="N10" s="20"/>
    </row>
    <row r="11" spans="1:14" x14ac:dyDescent="0.25">
      <c r="A11" s="5">
        <v>2031</v>
      </c>
      <c r="B11">
        <v>26201646155.27269</v>
      </c>
      <c r="C11">
        <v>26700058680.458755</v>
      </c>
      <c r="D11">
        <v>26842142259.752037</v>
      </c>
      <c r="E11">
        <f>SUM(B$3:B11)</f>
        <v>117957268651.13243</v>
      </c>
      <c r="F11">
        <f>SUM(C$3:C11)</f>
        <v>119181955762.88655</v>
      </c>
      <c r="G11">
        <f>SUM(D$3:D11)</f>
        <v>119568922198.55469</v>
      </c>
      <c r="N11" s="20"/>
    </row>
    <row r="12" spans="1:14" x14ac:dyDescent="0.25">
      <c r="A12" s="5">
        <v>2032</v>
      </c>
      <c r="B12">
        <v>29305334777.517967</v>
      </c>
      <c r="C12">
        <v>30077182369.094479</v>
      </c>
      <c r="D12">
        <v>30278680028.10651</v>
      </c>
      <c r="E12">
        <f>SUM(B$3:B12)</f>
        <v>147262603428.65039</v>
      </c>
      <c r="F12">
        <f>SUM(C$3:C12)</f>
        <v>149259138131.98102</v>
      </c>
      <c r="G12">
        <f>SUM(D$3:D12)</f>
        <v>149847602226.66119</v>
      </c>
      <c r="N12" s="20"/>
    </row>
    <row r="13" spans="1:14" x14ac:dyDescent="0.25">
      <c r="A13" s="5">
        <v>2033</v>
      </c>
      <c r="B13">
        <v>32259076051.758827</v>
      </c>
      <c r="C13">
        <v>33435029469.198391</v>
      </c>
      <c r="D13">
        <v>33715068314.867489</v>
      </c>
      <c r="E13">
        <f>SUM(B$3:B13)</f>
        <v>179521679480.40921</v>
      </c>
      <c r="F13">
        <f>SUM(C$3:C13)</f>
        <v>182694167601.17941</v>
      </c>
      <c r="G13">
        <f>SUM(D$3:D13)</f>
        <v>183562670541.52869</v>
      </c>
      <c r="N13" s="20"/>
    </row>
    <row r="14" spans="1:14" x14ac:dyDescent="0.25">
      <c r="A14" s="5">
        <v>2034</v>
      </c>
      <c r="B14">
        <v>34990665309.487671</v>
      </c>
      <c r="C14">
        <v>36760321798.776222</v>
      </c>
      <c r="D14">
        <v>37143423816.694969</v>
      </c>
      <c r="E14">
        <f>SUM(B$3:B14)</f>
        <v>214512344789.89688</v>
      </c>
      <c r="F14">
        <f>SUM(C$3:C14)</f>
        <v>219454489399.95563</v>
      </c>
      <c r="G14">
        <f>SUM(D$3:D14)</f>
        <v>220706094358.22366</v>
      </c>
      <c r="N14" s="20"/>
    </row>
    <row r="15" spans="1:14" x14ac:dyDescent="0.25">
      <c r="A15" s="5">
        <v>2035</v>
      </c>
      <c r="B15">
        <v>37401095874.754997</v>
      </c>
      <c r="C15">
        <v>40039403502.977661</v>
      </c>
      <c r="D15">
        <v>40556966445.834656</v>
      </c>
      <c r="E15">
        <f>SUM(B$3:B15)</f>
        <v>251913440664.65189</v>
      </c>
      <c r="F15">
        <f>SUM(C$3:C15)</f>
        <v>259493892902.93329</v>
      </c>
      <c r="G15">
        <f>SUM(D$3:D15)</f>
        <v>261263060804.05832</v>
      </c>
      <c r="N15" s="20"/>
    </row>
    <row r="16" spans="1:14" x14ac:dyDescent="0.25">
      <c r="A16" s="5">
        <v>2036</v>
      </c>
      <c r="B16">
        <v>39350296626.827415</v>
      </c>
      <c r="C16">
        <v>43256514686.337852</v>
      </c>
      <c r="D16">
        <v>43948670819.512413</v>
      </c>
      <c r="E16">
        <f>SUM(B$3:B16)</f>
        <v>291263737291.47931</v>
      </c>
      <c r="F16">
        <f>SUM(C$3:C16)</f>
        <v>302750407589.27112</v>
      </c>
      <c r="G16">
        <f>SUM(D$3:D16)</f>
        <v>305211731623.57074</v>
      </c>
      <c r="N16" s="20"/>
    </row>
    <row r="17" spans="1:14" x14ac:dyDescent="0.25">
      <c r="A17" s="5">
        <v>2037</v>
      </c>
      <c r="B17">
        <v>40636514642.962799</v>
      </c>
      <c r="C17">
        <v>46392967790.268333</v>
      </c>
      <c r="D17">
        <v>47310923175.819443</v>
      </c>
      <c r="E17">
        <f>SUM(B$3:B17)</f>
        <v>331900251934.44214</v>
      </c>
      <c r="F17">
        <f>SUM(C$3:C17)</f>
        <v>349143375379.53943</v>
      </c>
      <c r="G17">
        <f>SUM(D$3:D17)</f>
        <v>352522654799.3902</v>
      </c>
      <c r="N17" s="20"/>
    </row>
    <row r="18" spans="1:14" x14ac:dyDescent="0.25">
      <c r="A18" s="5">
        <v>2038</v>
      </c>
      <c r="B18">
        <v>40962463026.864372</v>
      </c>
      <c r="C18">
        <v>49426326121.635696</v>
      </c>
      <c r="D18">
        <v>50635306625.533478</v>
      </c>
      <c r="E18">
        <f>SUM(B$3:B18)</f>
        <v>372862714961.30652</v>
      </c>
      <c r="F18">
        <f>SUM(C$3:C18)</f>
        <v>398569701501.17511</v>
      </c>
      <c r="G18">
        <f>SUM(D$3:D18)</f>
        <v>403157961424.92371</v>
      </c>
      <c r="N18" s="20"/>
    </row>
    <row r="19" spans="1:14" x14ac:dyDescent="0.25">
      <c r="A19" s="5">
        <v>2039</v>
      </c>
      <c r="B19">
        <v>39874408433.828484</v>
      </c>
      <c r="C19">
        <v>52329680603.478813</v>
      </c>
      <c r="D19">
        <v>53912653443.39537</v>
      </c>
      <c r="E19">
        <f>SUM(B$3:B19)</f>
        <v>412737123395.13501</v>
      </c>
      <c r="F19">
        <f>SUM(C$3:C19)</f>
        <v>450899382104.65393</v>
      </c>
      <c r="G19">
        <f>SUM(D$3:D19)</f>
        <v>457070614868.31909</v>
      </c>
      <c r="N19" s="20"/>
    </row>
    <row r="20" spans="1:14" x14ac:dyDescent="0.25">
      <c r="A20" s="5">
        <v>2040</v>
      </c>
      <c r="B20">
        <v>36635220546.99353</v>
      </c>
      <c r="C20">
        <v>55070928593.790718</v>
      </c>
      <c r="D20">
        <v>57133327611.874428</v>
      </c>
      <c r="E20">
        <f>SUM(B$3:B20)</f>
        <v>449372343942.12854</v>
      </c>
      <c r="F20">
        <f>SUM(C$3:C20)</f>
        <v>505970310698.44464</v>
      </c>
      <c r="G20">
        <f>SUM(D$3:D20)</f>
        <v>514203942480.19354</v>
      </c>
      <c r="N20" s="20"/>
    </row>
    <row r="21" spans="1:14" x14ac:dyDescent="0.25">
      <c r="A21" s="5">
        <v>2041</v>
      </c>
      <c r="B21">
        <v>29884889580.952175</v>
      </c>
      <c r="C21">
        <v>57611140729.746109</v>
      </c>
      <c r="D21">
        <v>60286873695.104744</v>
      </c>
      <c r="E21">
        <f>SUM(B$3:B21)</f>
        <v>479257233523.08069</v>
      </c>
      <c r="F21">
        <f>SUM(C$3:C21)</f>
        <v>563581451428.1908</v>
      </c>
      <c r="G21">
        <f>SUM(D$3:D21)</f>
        <v>574490816175.29834</v>
      </c>
      <c r="N21" s="20"/>
    </row>
    <row r="22" spans="1:14" x14ac:dyDescent="0.25">
      <c r="A22" s="5">
        <v>2042</v>
      </c>
      <c r="B22">
        <v>24731876777.171917</v>
      </c>
      <c r="C22">
        <v>59902360839.537384</v>
      </c>
      <c r="D22">
        <v>63361473769.582901</v>
      </c>
      <c r="E22">
        <f>SUM(B$3:B22)</f>
        <v>503989110300.25262</v>
      </c>
      <c r="F22">
        <f>SUM(C$3:C22)</f>
        <v>623483812267.72815</v>
      </c>
      <c r="G22">
        <f>SUM(D$3:D22)</f>
        <v>637852289944.88123</v>
      </c>
      <c r="N22" s="20"/>
    </row>
    <row r="23" spans="1:14" x14ac:dyDescent="0.25">
      <c r="A23" s="5">
        <v>2043</v>
      </c>
      <c r="B23">
        <v>20761123252.261745</v>
      </c>
      <c r="C23">
        <v>61885669378.625214</v>
      </c>
      <c r="D23">
        <v>66344239808.360924</v>
      </c>
      <c r="E23">
        <f>SUM(B$3:B23)</f>
        <v>524750233552.51434</v>
      </c>
      <c r="F23">
        <f>SUM(C$3:C23)</f>
        <v>685369481646.35339</v>
      </c>
      <c r="G23">
        <f>SUM(D$3:D23)</f>
        <v>704196529753.24219</v>
      </c>
      <c r="N23" s="20"/>
    </row>
    <row r="24" spans="1:14" x14ac:dyDescent="0.25">
      <c r="A24" s="5">
        <v>2044</v>
      </c>
      <c r="B24">
        <v>17760206463.548153</v>
      </c>
      <c r="C24">
        <v>63487964473.757957</v>
      </c>
      <c r="D24">
        <v>69220981679.624451</v>
      </c>
      <c r="E24">
        <f>SUM(B$3:B24)</f>
        <v>542510440016.0625</v>
      </c>
      <c r="F24">
        <f>SUM(C$3:C24)</f>
        <v>748857446120.11133</v>
      </c>
      <c r="G24">
        <f>SUM(D$3:D24)</f>
        <v>773417511432.8667</v>
      </c>
      <c r="N24" s="20"/>
    </row>
    <row r="25" spans="1:14" x14ac:dyDescent="0.25">
      <c r="A25" s="5">
        <v>2045</v>
      </c>
      <c r="B25">
        <v>15546987710.681614</v>
      </c>
      <c r="C25">
        <v>64617328953.729324</v>
      </c>
      <c r="D25">
        <v>71975662355.631958</v>
      </c>
      <c r="E25">
        <f>SUM(B$3:B25)</f>
        <v>558057427726.74414</v>
      </c>
      <c r="F25">
        <f>SUM(C$3:C25)</f>
        <v>813474775073.8407</v>
      </c>
      <c r="G25">
        <f>SUM(D$3:D25)</f>
        <v>845393173788.49866</v>
      </c>
      <c r="N25" s="20"/>
    </row>
    <row r="26" spans="1:14" x14ac:dyDescent="0.25">
      <c r="A26" s="5">
        <v>2046</v>
      </c>
      <c r="B26">
        <v>13963775137.138988</v>
      </c>
      <c r="C26">
        <v>65156957038.045998</v>
      </c>
      <c r="D26">
        <v>74590138976.861649</v>
      </c>
      <c r="E26">
        <f>SUM(B$3:B26)</f>
        <v>572021202863.88318</v>
      </c>
      <c r="F26">
        <f>SUM(C$3:C26)</f>
        <v>878631732111.88672</v>
      </c>
      <c r="G26">
        <f>SUM(D$3:D26)</f>
        <v>919983312765.36035</v>
      </c>
      <c r="N26" s="20"/>
    </row>
    <row r="27" spans="1:14" x14ac:dyDescent="0.25">
      <c r="A27" s="5">
        <v>2047</v>
      </c>
      <c r="B27">
        <v>12874107609.753717</v>
      </c>
      <c r="C27">
        <v>64956077911.978554</v>
      </c>
      <c r="D27">
        <v>77043614855.644745</v>
      </c>
      <c r="E27">
        <f>SUM(B$3:B27)</f>
        <v>584895310473.63684</v>
      </c>
      <c r="F27">
        <f>SUM(C$3:C27)</f>
        <v>943587810023.86523</v>
      </c>
      <c r="G27">
        <f>SUM(D$3:D27)</f>
        <v>997026927621.00513</v>
      </c>
      <c r="N27" s="20"/>
    </row>
    <row r="28" spans="1:14" x14ac:dyDescent="0.25">
      <c r="A28" s="5">
        <v>2048</v>
      </c>
      <c r="B28">
        <v>12161560963.6686</v>
      </c>
      <c r="C28">
        <v>63816283674.717712</v>
      </c>
      <c r="D28">
        <v>79312166949.397598</v>
      </c>
      <c r="E28">
        <f>SUM(B$3:B28)</f>
        <v>597056871437.30542</v>
      </c>
      <c r="F28">
        <f>SUM(C$3:C28)</f>
        <v>1007404093698.583</v>
      </c>
      <c r="G28">
        <f>SUM(D$3:D28)</f>
        <v>1076339094570.4027</v>
      </c>
      <c r="N28" s="20"/>
    </row>
    <row r="29" spans="1:14" x14ac:dyDescent="0.25">
      <c r="A29" s="5">
        <v>2049</v>
      </c>
      <c r="B29">
        <v>11729499884.94478</v>
      </c>
      <c r="C29">
        <v>61469437195.914078</v>
      </c>
      <c r="D29">
        <v>81368565147.018707</v>
      </c>
      <c r="E29">
        <f>SUM(B$3:B29)</f>
        <v>608786371322.25024</v>
      </c>
      <c r="F29">
        <f>SUM(C$3:C29)</f>
        <v>1068873530894.4971</v>
      </c>
      <c r="G29">
        <f>SUM(D$3:D29)</f>
        <v>1157707659717.4214</v>
      </c>
      <c r="N29" s="20"/>
    </row>
    <row r="30" spans="1:14" x14ac:dyDescent="0.25">
      <c r="A30" s="5">
        <v>2050</v>
      </c>
      <c r="B30">
        <v>11500469084.263626</v>
      </c>
      <c r="C30">
        <v>57537453530.35405</v>
      </c>
      <c r="D30">
        <v>83181744276.816193</v>
      </c>
      <c r="E30">
        <f>SUM(B$3:B30)</f>
        <v>620286840406.51392</v>
      </c>
      <c r="F30">
        <f>SUM(C$3:C30)</f>
        <v>1126410984424.8511</v>
      </c>
      <c r="G30">
        <f>SUM(D$3:D30)</f>
        <v>1240889403994.2375</v>
      </c>
      <c r="N30" s="20"/>
    </row>
    <row r="31" spans="1:14" x14ac:dyDescent="0.25">
      <c r="A31" s="5">
        <v>2051</v>
      </c>
      <c r="B31">
        <v>11414503135.303555</v>
      </c>
      <c r="C31">
        <v>51449086462.329796</v>
      </c>
      <c r="D31">
        <v>84715255357.714691</v>
      </c>
      <c r="E31">
        <f>SUM(B$3:B31)</f>
        <v>631701343541.8175</v>
      </c>
      <c r="F31">
        <f>SUM(C$3:C31)</f>
        <v>1177860070887.1809</v>
      </c>
      <c r="G31">
        <f>SUM(D$3:D31)</f>
        <v>1325604659351.9521</v>
      </c>
      <c r="N31" s="20"/>
    </row>
    <row r="32" spans="1:14" x14ac:dyDescent="0.25">
      <c r="A32" s="5">
        <v>2052</v>
      </c>
      <c r="B32">
        <v>11426706466.538561</v>
      </c>
      <c r="C32">
        <v>41214729557.714958</v>
      </c>
      <c r="D32">
        <v>85926631112.129318</v>
      </c>
      <c r="E32">
        <f>SUM(B$3:B32)</f>
        <v>643128050008.35608</v>
      </c>
      <c r="F32">
        <f>SUM(C$3:C32)</f>
        <v>1219074800444.8958</v>
      </c>
      <c r="G32">
        <f>SUM(D$3:D32)</f>
        <v>1411531290464.0815</v>
      </c>
      <c r="N32" s="20"/>
    </row>
    <row r="33" spans="1:14" x14ac:dyDescent="0.25">
      <c r="A33" s="5">
        <v>2053</v>
      </c>
      <c r="B33">
        <v>11504350937.898932</v>
      </c>
      <c r="C33">
        <v>33426208315.863079</v>
      </c>
      <c r="D33">
        <v>86765989299.941635</v>
      </c>
      <c r="E33">
        <f>SUM(B$3:B33)</f>
        <v>654632400946.255</v>
      </c>
      <c r="F33">
        <f>SUM(C$3:C33)</f>
        <v>1252501008760.7588</v>
      </c>
      <c r="G33">
        <f>SUM(D$3:D33)</f>
        <v>1498297279764.0232</v>
      </c>
      <c r="N33" s="20"/>
    </row>
    <row r="34" spans="1:14" x14ac:dyDescent="0.25">
      <c r="A34" s="5">
        <v>2054</v>
      </c>
      <c r="B34">
        <v>11624106247.815252</v>
      </c>
      <c r="C34">
        <v>27562052701.99691</v>
      </c>
      <c r="D34">
        <v>87174594118.351028</v>
      </c>
      <c r="E34">
        <f>SUM(B$3:B34)</f>
        <v>666256507194.07031</v>
      </c>
      <c r="F34">
        <f>SUM(C$3:C34)</f>
        <v>1280063061462.7556</v>
      </c>
      <c r="G34">
        <f>SUM(D$3:D34)</f>
        <v>1585471873882.3743</v>
      </c>
      <c r="N34" s="20"/>
    </row>
    <row r="35" spans="1:14" x14ac:dyDescent="0.25">
      <c r="A35" s="5">
        <v>2055</v>
      </c>
      <c r="B35">
        <v>11769572268.400194</v>
      </c>
      <c r="C35">
        <v>23209066005.332142</v>
      </c>
      <c r="D35">
        <v>87082223879.960007</v>
      </c>
      <c r="E35">
        <f>SUM(B$3:B35)</f>
        <v>678026079462.47046</v>
      </c>
      <c r="F35">
        <f>SUM(C$3:C35)</f>
        <v>1303272127468.0876</v>
      </c>
      <c r="G35">
        <f>SUM(D$3:D35)</f>
        <v>1672554097762.3342</v>
      </c>
      <c r="N35" s="20"/>
    </row>
    <row r="36" spans="1:14" x14ac:dyDescent="0.25">
      <c r="A36" s="5">
        <v>2056</v>
      </c>
      <c r="B36">
        <v>11929325506.509747</v>
      </c>
      <c r="C36">
        <v>20034554762.185993</v>
      </c>
      <c r="D36">
        <v>86403915603.364548</v>
      </c>
      <c r="E36">
        <f>SUM(B$3:B36)</f>
        <v>689955404968.98022</v>
      </c>
      <c r="F36">
        <f>SUM(C$3:C36)</f>
        <v>1323306682230.2737</v>
      </c>
      <c r="G36">
        <f>SUM(D$3:D36)</f>
        <v>1758958013365.6987</v>
      </c>
      <c r="N36" s="20"/>
    </row>
    <row r="37" spans="1:14" x14ac:dyDescent="0.25">
      <c r="A37" s="5">
        <v>2057</v>
      </c>
      <c r="B37">
        <v>12095506590.247911</v>
      </c>
      <c r="C37">
        <v>17767974428.57037</v>
      </c>
      <c r="D37">
        <v>85036003971.690186</v>
      </c>
      <c r="E37">
        <f>SUM(B$3:B37)</f>
        <v>702050911559.22815</v>
      </c>
      <c r="F37">
        <f>SUM(C$3:C37)</f>
        <v>1341074656658.844</v>
      </c>
      <c r="G37">
        <f>SUM(D$3:D37)</f>
        <v>1843994017337.3889</v>
      </c>
      <c r="N37" s="20"/>
    </row>
    <row r="38" spans="1:14" x14ac:dyDescent="0.25">
      <c r="A38" s="5">
        <v>2058</v>
      </c>
      <c r="B38">
        <v>12262780398.589685</v>
      </c>
      <c r="C38">
        <v>16188892724.08967</v>
      </c>
      <c r="D38">
        <v>82849960405.111206</v>
      </c>
      <c r="E38">
        <f>SUM(B$3:B38)</f>
        <v>714313691957.81787</v>
      </c>
      <c r="F38">
        <f>SUM(C$3:C38)</f>
        <v>1357263549382.9336</v>
      </c>
      <c r="G38">
        <f>SUM(D$3:D38)</f>
        <v>1926843977742.5</v>
      </c>
      <c r="N38" s="20"/>
    </row>
    <row r="39" spans="1:14" x14ac:dyDescent="0.25">
      <c r="A39" s="5">
        <v>2059</v>
      </c>
      <c r="B39">
        <v>12427601389.710985</v>
      </c>
      <c r="C39">
        <v>15119465612.200031</v>
      </c>
      <c r="D39">
        <v>79682739769.205307</v>
      </c>
      <c r="E39">
        <f>SUM(B$3:B39)</f>
        <v>726741293347.52881</v>
      </c>
      <c r="F39">
        <f>SUM(C$3:C39)</f>
        <v>1372383014995.1335</v>
      </c>
      <c r="G39">
        <f>SUM(D$3:D39)</f>
        <v>2006526717511.7053</v>
      </c>
      <c r="N39" s="20"/>
    </row>
    <row r="40" spans="1:14" x14ac:dyDescent="0.25">
      <c r="A40" s="5">
        <v>2060</v>
      </c>
      <c r="B40">
        <v>12587523807.660696</v>
      </c>
      <c r="C40">
        <v>14419049419.742273</v>
      </c>
      <c r="D40">
        <v>75319667960.057449</v>
      </c>
      <c r="E40">
        <f>SUM(B$3:B40)</f>
        <v>739328817155.18945</v>
      </c>
      <c r="F40">
        <f>SUM(C$3:C40)</f>
        <v>1386802064414.8757</v>
      </c>
      <c r="G40">
        <f>SUM(D$3:D40)</f>
        <v>2081846385471.7627</v>
      </c>
      <c r="N40" s="20"/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3</vt:i4>
      </vt:variant>
    </vt:vector>
  </HeadingPairs>
  <TitlesOfParts>
    <vt:vector size="10" baseType="lpstr">
      <vt:lpstr>IBGE</vt:lpstr>
      <vt:lpstr>Scenario table</vt:lpstr>
      <vt:lpstr>dataset</vt:lpstr>
      <vt:lpstr>average</vt:lpstr>
      <vt:lpstr>forecast</vt:lpstr>
      <vt:lpstr>sales by scenario</vt:lpstr>
      <vt:lpstr>revenue by scenario</vt:lpstr>
      <vt:lpstr>Visual aid</vt:lpstr>
      <vt:lpstr>bar - sales by scenario</vt:lpstr>
      <vt:lpstr>line - annual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Prolo</cp:lastModifiedBy>
  <cp:lastPrinted>2026-04-27T17:27:08Z</cp:lastPrinted>
  <dcterms:created xsi:type="dcterms:W3CDTF">2026-03-17T16:32:37Z</dcterms:created>
  <dcterms:modified xsi:type="dcterms:W3CDTF">2026-04-27T17:27:39Z</dcterms:modified>
</cp:coreProperties>
</file>