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panel_collect\data\input\frota\"/>
    </mc:Choice>
  </mc:AlternateContent>
  <xr:revisionPtr revIDLastSave="0" documentId="13_ncr:1_{FABA64A5-2A30-4272-88B4-EA0D231C677A}" xr6:coauthVersionLast="47" xr6:coauthVersionMax="47" xr10:uidLastSave="{00000000-0000-0000-0000-000000000000}"/>
  <bookViews>
    <workbookView xWindow="-108" yWindow="-108" windowWidth="23256" windowHeight="12456" tabRatio="527" xr2:uid="{00000000-000D-0000-FFFF-FFFF00000000}"/>
  </bookViews>
  <sheets>
    <sheet name="DEZ_2010" sheetId="1" r:id="rId1"/>
  </sheets>
  <definedNames>
    <definedName name="_xlnm.Print_Area" localSheetId="0">DEZ_2010!#REF!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36" i="1"/>
  <c r="B35" i="1"/>
  <c r="B34" i="1"/>
  <c r="B33" i="1"/>
  <c r="B31" i="1"/>
  <c r="B30" i="1"/>
  <c r="B29" i="1"/>
  <c r="B27" i="1"/>
  <c r="B26" i="1"/>
  <c r="B25" i="1"/>
  <c r="B24" i="1"/>
  <c r="B22" i="1"/>
  <c r="B21" i="1"/>
  <c r="B20" i="1"/>
  <c r="B19" i="1"/>
  <c r="B18" i="1"/>
  <c r="B17" i="1"/>
  <c r="B16" i="1"/>
  <c r="B15" i="1"/>
  <c r="B14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<sst xmlns="http://schemas.openxmlformats.org/spreadsheetml/2006/main" count="77" uniqueCount="55">
  <si>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</si>
  <si>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</si>
  <si>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</si>
  <si>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</si>
  <si>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</si>
  <si>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</si>
  <si>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</si>
  <si>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</si>
  <si>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</si>
  <si>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</si>
  <si>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</si>
  <si>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</si>
  <si>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</si>
  <si>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</si>
  <si>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</si>
  <si>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</si>
  <si>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</si>
  <si>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</si>
  <si>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</si>
  <si>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</si>
  <si>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</si>
  <si>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</si>
  <si>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</si>
  <si>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</si>
  <si>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</si>
  <si>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</si>
  <si>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</si>
  <si>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</si>
  <si>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</si>
  <si>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</si>
  <si>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</si>
  <si>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</si>
  <si>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</si>
  <si>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</si>
  <si>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</si>
  <si>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</si>
  <si>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</si>
  <si>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</si>
  <si>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</si>
  <si>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</si>
  <si>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</si>
  <si>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</si>
  <si>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</si>
  <si>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</si>
  <si>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</si>
  <si>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</si>
  <si>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</si>
  <si>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</si>
  <si>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</si>
  <si>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Fonte: Ministério das Cidades, DENATRAN - Departamento Nacional de Trânsito, RENAVAM-Registro Nacional de Veículos Automotores</t>
  </si>
  <si>
    <t>Brasil %</t>
  </si>
  <si>
    <t>100%</t>
  </si>
  <si>
    <t>Frota de veículos, por tipo e com placa, segundo as Grandes Regiões e Unidades da Federação - DEZEMBRO/2010</t>
  </si>
  <si>
    <t>Tabela 2 - Percentagem de veículos, por tipo segundo o Brasil - DEZ/2010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</si>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</sst>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000"/>
    <numFmt numFmtId="167" formatCode="#\ ###\ ###\ ###"/>
  </numFmts>
  <fonts count="6" x14ac:knownFonts="1">
    <font>
      <sz val="10"/>
      <name val="Arial"/>
    </font>
    <font>
      <sz val="10"/>
      <name val="Arial"/>
    </font>
    <font>
      <sz val="10"/>
      <color indexed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3" fontId="3" fillId="0" borderId="0" xfId="0" applyNumberFormat="1" applyFont="1"/>
    <xf numFmtId="167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/>
    <xf numFmtId="165" fontId="2" fillId="0" borderId="1" xfId="2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166" fontId="0" fillId="0" borderId="1" xfId="1" applyNumberFormat="1" applyFont="1" applyBorder="1" applyAlignment="1">
      <alignment horizontal="right"/>
    </xf>
    <xf numFmtId="0" fontId="5" fillId="0" borderId="0" xfId="0" applyFont="1"/>
    <xf numFmtId="2" fontId="0" fillId="0" borderId="1" xfId="1" applyNumberFormat="1" applyFont="1" applyBorder="1" applyAlignment="1">
      <alignment horizontal="right"/>
    </xf>
    <xf numFmtId="165" fontId="3" fillId="0" borderId="1" xfId="2" applyNumberFormat="1" applyFont="1" applyBorder="1" applyAlignment="1">
      <alignment horizontal="center"/>
    </xf>
    <xf numFmtId="49" fontId="5" fillId="0" borderId="1" xfId="2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6"/>
  <sheetViews>
    <sheetView showGridLines="0" showRowColHeaders="0" tabSelected="1" zoomScale="75" workbookViewId="0">
      <selection activeCell="A3" sqref="A3"/>
    </sheetView>
  </sheetViews>
  <sheetFormatPr defaultRowHeight="13.2" x14ac:dyDescent="0.25"/>
  <cols>
    <col min="1" max="1" width="18.109375" customWidth="1"/>
    <col min="2" max="2" width="13.88671875" customWidth="1"/>
    <col min="3" max="3" width="13" customWidth="1"/>
    <col min="4" max="4" width="12.44140625" customWidth="1"/>
    <col min="5" max="5" width="11" customWidth="1"/>
    <col min="6" max="6" width="11.109375" customWidth="1"/>
    <col min="7" max="7" width="10.88671875" customWidth="1"/>
    <col min="8" max="8" width="10.33203125" customWidth="1"/>
    <col min="9" max="9" width="10.109375" bestFit="1" customWidth="1"/>
    <col min="10" max="10" width="8.5546875" customWidth="1"/>
    <col min="11" max="11" width="12" bestFit="1" customWidth="1"/>
    <col min="12" max="12" width="12" customWidth="1"/>
    <col min="13" max="13" width="9.88671875" customWidth="1"/>
    <col min="14" max="14" width="10" customWidth="1"/>
    <col min="15" max="15" width="8.5546875" customWidth="1"/>
    <col min="16" max="16" width="10.6640625" customWidth="1"/>
    <col min="17" max="17" width="10.44140625" customWidth="1"/>
    <col min="18" max="18" width="7.44140625" customWidth="1"/>
    <col min="19" max="19" width="8" customWidth="1"/>
    <col min="20" max="20" width="8.44140625" bestFit="1" customWidth="1"/>
    <col min="21" max="21" width="8.33203125" bestFit="1" customWidth="1"/>
    <col min="22" max="22" width="5.44140625" customWidth="1"/>
    <col min="23" max="23" width="10.33203125" customWidth="1"/>
  </cols>
  <sheetData>
    <row r="1" spans="1:23" x14ac:dyDescent="0.25">
      <c r="A1" s="1" t="s">
        <v>52</v>
      </c>
    </row>
    <row r="3" spans="1:23" ht="30.6" x14ac:dyDescent="0.25">
      <c r="A3" s="8" t="s">
        <v>54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</row>
    <row r="4" spans="1:23" x14ac:dyDescent="0.25">
      <c r="A4" s="1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t="s">
        <v>22</v>
      </c>
      <c r="B6" s="15">
        <f t="shared" ref="B6:B36" si="0">SUM(C6:W6)</f>
        <v>151320</v>
      </c>
      <c r="C6">
        <v>50881</v>
      </c>
      <c r="D6">
        <v>0</v>
      </c>
      <c r="E6">
        <v>5148</v>
      </c>
      <c r="F6">
        <v>433</v>
      </c>
      <c r="G6">
        <v>14618</v>
      </c>
      <c r="H6">
        <v>2612</v>
      </c>
      <c r="I6">
        <v>12</v>
      </c>
      <c r="J6">
        <v>10</v>
      </c>
      <c r="K6">
        <v>175</v>
      </c>
      <c r="L6">
        <v>62008</v>
      </c>
      <c r="M6">
        <v>12341</v>
      </c>
      <c r="N6">
        <v>583</v>
      </c>
      <c r="O6">
        <v>0</v>
      </c>
      <c r="P6">
        <v>1171</v>
      </c>
      <c r="Q6">
        <v>672</v>
      </c>
      <c r="R6">
        <v>60</v>
      </c>
      <c r="S6">
        <v>4</v>
      </c>
      <c r="T6">
        <v>0</v>
      </c>
      <c r="U6">
        <v>1</v>
      </c>
      <c r="V6">
        <v>57</v>
      </c>
      <c r="W6">
        <v>534</v>
      </c>
    </row>
    <row r="7" spans="1:23" x14ac:dyDescent="0.25">
      <c r="A7" t="s">
        <v>23</v>
      </c>
      <c r="B7" s="15">
        <f t="shared" si="0"/>
        <v>115323</v>
      </c>
      <c r="C7">
        <v>51847</v>
      </c>
      <c r="D7">
        <v>0</v>
      </c>
      <c r="E7">
        <v>3102</v>
      </c>
      <c r="F7">
        <v>203</v>
      </c>
      <c r="G7">
        <v>11994</v>
      </c>
      <c r="H7">
        <v>2908</v>
      </c>
      <c r="I7">
        <v>14</v>
      </c>
      <c r="J7">
        <v>56</v>
      </c>
      <c r="K7">
        <v>312</v>
      </c>
      <c r="L7">
        <v>35652</v>
      </c>
      <c r="M7">
        <v>6913</v>
      </c>
      <c r="N7">
        <v>639</v>
      </c>
      <c r="O7">
        <v>0</v>
      </c>
      <c r="P7">
        <v>665</v>
      </c>
      <c r="Q7">
        <v>445</v>
      </c>
      <c r="R7">
        <v>48</v>
      </c>
      <c r="S7">
        <v>2</v>
      </c>
      <c r="T7">
        <v>0</v>
      </c>
      <c r="U7">
        <v>5</v>
      </c>
      <c r="V7">
        <v>60</v>
      </c>
      <c r="W7">
        <v>458</v>
      </c>
    </row>
    <row r="8" spans="1:23" x14ac:dyDescent="0.25">
      <c r="A8" t="s">
        <v>24</v>
      </c>
      <c r="B8" s="15">
        <f t="shared" si="0"/>
        <v>530814</v>
      </c>
      <c r="C8">
        <v>262257</v>
      </c>
      <c r="D8">
        <v>0</v>
      </c>
      <c r="E8">
        <v>16440</v>
      </c>
      <c r="F8">
        <v>2159</v>
      </c>
      <c r="G8">
        <v>53907</v>
      </c>
      <c r="H8">
        <v>20005</v>
      </c>
      <c r="I8">
        <v>46</v>
      </c>
      <c r="J8">
        <v>345</v>
      </c>
      <c r="K8">
        <v>2540</v>
      </c>
      <c r="L8">
        <v>123708</v>
      </c>
      <c r="M8">
        <v>28647</v>
      </c>
      <c r="N8">
        <v>6300</v>
      </c>
      <c r="O8">
        <v>0</v>
      </c>
      <c r="P8">
        <v>1741</v>
      </c>
      <c r="Q8">
        <v>10021</v>
      </c>
      <c r="R8">
        <v>7</v>
      </c>
      <c r="S8">
        <v>69</v>
      </c>
      <c r="T8">
        <v>0</v>
      </c>
      <c r="U8">
        <v>50</v>
      </c>
      <c r="V8">
        <v>107</v>
      </c>
      <c r="W8">
        <v>2465</v>
      </c>
    </row>
    <row r="9" spans="1:23" x14ac:dyDescent="0.25">
      <c r="A9" t="s">
        <v>25</v>
      </c>
      <c r="B9" s="15">
        <f t="shared" si="0"/>
        <v>969667</v>
      </c>
      <c r="C9">
        <v>345789</v>
      </c>
      <c r="D9">
        <v>0</v>
      </c>
      <c r="E9">
        <v>40288</v>
      </c>
      <c r="F9">
        <v>4107</v>
      </c>
      <c r="G9">
        <v>69275</v>
      </c>
      <c r="H9">
        <v>23263</v>
      </c>
      <c r="I9">
        <v>126</v>
      </c>
      <c r="J9">
        <v>937</v>
      </c>
      <c r="K9">
        <v>4816</v>
      </c>
      <c r="L9">
        <v>364912</v>
      </c>
      <c r="M9">
        <v>82174</v>
      </c>
      <c r="N9">
        <v>10306</v>
      </c>
      <c r="O9">
        <v>1</v>
      </c>
      <c r="P9">
        <v>9431</v>
      </c>
      <c r="Q9">
        <v>8314</v>
      </c>
      <c r="R9">
        <v>153</v>
      </c>
      <c r="S9">
        <v>23</v>
      </c>
      <c r="T9">
        <v>0</v>
      </c>
      <c r="U9">
        <v>30</v>
      </c>
      <c r="V9">
        <v>279</v>
      </c>
      <c r="W9">
        <v>5443</v>
      </c>
    </row>
    <row r="10" spans="1:23" x14ac:dyDescent="0.25">
      <c r="A10" t="s">
        <v>26</v>
      </c>
      <c r="B10" s="15">
        <f t="shared" si="0"/>
        <v>561811</v>
      </c>
      <c r="C10">
        <v>152911</v>
      </c>
      <c r="D10">
        <v>0</v>
      </c>
      <c r="E10">
        <v>22421</v>
      </c>
      <c r="F10">
        <v>4119</v>
      </c>
      <c r="G10">
        <v>47023</v>
      </c>
      <c r="H10">
        <v>7125</v>
      </c>
      <c r="I10">
        <v>16</v>
      </c>
      <c r="J10">
        <v>459</v>
      </c>
      <c r="K10">
        <v>743</v>
      </c>
      <c r="L10">
        <v>241370</v>
      </c>
      <c r="M10">
        <v>67231</v>
      </c>
      <c r="N10">
        <v>3609</v>
      </c>
      <c r="O10">
        <v>0</v>
      </c>
      <c r="P10">
        <v>6169</v>
      </c>
      <c r="Q10">
        <v>7157</v>
      </c>
      <c r="R10">
        <v>40</v>
      </c>
      <c r="S10">
        <v>6</v>
      </c>
      <c r="T10">
        <v>1</v>
      </c>
      <c r="U10">
        <v>18</v>
      </c>
      <c r="V10">
        <v>105</v>
      </c>
      <c r="W10">
        <v>1288</v>
      </c>
    </row>
    <row r="11" spans="1:23" x14ac:dyDescent="0.25">
      <c r="A11" t="s">
        <v>27</v>
      </c>
      <c r="B11" s="15">
        <f t="shared" si="0"/>
        <v>125451</v>
      </c>
      <c r="C11">
        <v>41218</v>
      </c>
      <c r="D11">
        <v>0</v>
      </c>
      <c r="E11">
        <v>3179</v>
      </c>
      <c r="F11">
        <v>319</v>
      </c>
      <c r="G11">
        <v>13472</v>
      </c>
      <c r="H11">
        <v>2874</v>
      </c>
      <c r="I11">
        <v>0</v>
      </c>
      <c r="J11">
        <v>191</v>
      </c>
      <c r="K11">
        <v>422</v>
      </c>
      <c r="L11">
        <v>49420</v>
      </c>
      <c r="M11">
        <v>11981</v>
      </c>
      <c r="N11">
        <v>662</v>
      </c>
      <c r="O11">
        <v>0</v>
      </c>
      <c r="P11">
        <v>583</v>
      </c>
      <c r="Q11">
        <v>651</v>
      </c>
      <c r="R11">
        <v>4</v>
      </c>
      <c r="S11">
        <v>2</v>
      </c>
      <c r="T11">
        <v>0</v>
      </c>
      <c r="U11">
        <v>2</v>
      </c>
      <c r="V11">
        <v>7</v>
      </c>
      <c r="W11">
        <v>464</v>
      </c>
    </row>
    <row r="12" spans="1:23" x14ac:dyDescent="0.25">
      <c r="A12" t="s">
        <v>28</v>
      </c>
      <c r="B12" s="15">
        <f t="shared" si="0"/>
        <v>394628</v>
      </c>
      <c r="C12">
        <v>116897</v>
      </c>
      <c r="D12">
        <v>0</v>
      </c>
      <c r="E12">
        <v>18728</v>
      </c>
      <c r="F12">
        <v>2831</v>
      </c>
      <c r="G12">
        <v>35963</v>
      </c>
      <c r="H12">
        <v>6229</v>
      </c>
      <c r="I12">
        <v>8</v>
      </c>
      <c r="J12">
        <v>1204</v>
      </c>
      <c r="K12">
        <v>1253</v>
      </c>
      <c r="L12">
        <v>138925</v>
      </c>
      <c r="M12">
        <v>55529</v>
      </c>
      <c r="N12">
        <v>3178</v>
      </c>
      <c r="O12">
        <v>0</v>
      </c>
      <c r="P12">
        <v>8703</v>
      </c>
      <c r="Q12">
        <v>3876</v>
      </c>
      <c r="R12">
        <v>108</v>
      </c>
      <c r="S12">
        <v>10</v>
      </c>
      <c r="T12">
        <v>0</v>
      </c>
      <c r="U12">
        <v>29</v>
      </c>
      <c r="V12">
        <v>42</v>
      </c>
      <c r="W12">
        <v>1115</v>
      </c>
    </row>
    <row r="13" spans="1:23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t="s">
        <v>29</v>
      </c>
      <c r="B14" s="15">
        <f t="shared" si="0"/>
        <v>438788</v>
      </c>
      <c r="C14">
        <v>210119</v>
      </c>
      <c r="D14">
        <v>0</v>
      </c>
      <c r="E14">
        <v>15373</v>
      </c>
      <c r="F14">
        <v>1503</v>
      </c>
      <c r="G14">
        <v>30678</v>
      </c>
      <c r="H14">
        <v>11249</v>
      </c>
      <c r="I14">
        <v>67</v>
      </c>
      <c r="J14">
        <v>26</v>
      </c>
      <c r="K14">
        <v>4408</v>
      </c>
      <c r="L14">
        <v>127498</v>
      </c>
      <c r="M14">
        <v>19376</v>
      </c>
      <c r="N14">
        <v>4562</v>
      </c>
      <c r="O14">
        <v>1</v>
      </c>
      <c r="P14">
        <v>8016</v>
      </c>
      <c r="Q14">
        <v>3553</v>
      </c>
      <c r="R14">
        <v>49</v>
      </c>
      <c r="S14">
        <v>19</v>
      </c>
      <c r="T14">
        <v>0</v>
      </c>
      <c r="U14">
        <v>7</v>
      </c>
      <c r="V14">
        <v>91</v>
      </c>
      <c r="W14">
        <v>2193</v>
      </c>
    </row>
    <row r="15" spans="1:23" x14ac:dyDescent="0.25">
      <c r="A15" t="s">
        <v>30</v>
      </c>
      <c r="B15" s="15">
        <f t="shared" si="0"/>
        <v>2308978</v>
      </c>
      <c r="C15">
        <v>1079158</v>
      </c>
      <c r="D15">
        <v>7</v>
      </c>
      <c r="E15">
        <v>85830</v>
      </c>
      <c r="F15">
        <v>12271</v>
      </c>
      <c r="G15">
        <v>184661</v>
      </c>
      <c r="H15">
        <v>61129</v>
      </c>
      <c r="I15">
        <v>308</v>
      </c>
      <c r="J15">
        <v>492</v>
      </c>
      <c r="K15">
        <v>16515</v>
      </c>
      <c r="L15">
        <v>699071</v>
      </c>
      <c r="M15">
        <v>90661</v>
      </c>
      <c r="N15">
        <v>27051</v>
      </c>
      <c r="O15">
        <v>0</v>
      </c>
      <c r="P15">
        <v>21305</v>
      </c>
      <c r="Q15">
        <v>19163</v>
      </c>
      <c r="R15">
        <v>649</v>
      </c>
      <c r="S15">
        <v>122</v>
      </c>
      <c r="T15">
        <v>0</v>
      </c>
      <c r="U15">
        <v>128</v>
      </c>
      <c r="V15">
        <v>650</v>
      </c>
      <c r="W15">
        <v>9807</v>
      </c>
    </row>
    <row r="16" spans="1:23" x14ac:dyDescent="0.25">
      <c r="A16" t="s">
        <v>31</v>
      </c>
      <c r="B16" s="15">
        <f t="shared" si="0"/>
        <v>1711998</v>
      </c>
      <c r="C16">
        <v>674303</v>
      </c>
      <c r="D16">
        <v>0</v>
      </c>
      <c r="E16">
        <v>49946</v>
      </c>
      <c r="F16">
        <v>4970</v>
      </c>
      <c r="G16">
        <v>108142</v>
      </c>
      <c r="H16">
        <v>35706</v>
      </c>
      <c r="I16">
        <v>152</v>
      </c>
      <c r="J16">
        <v>679</v>
      </c>
      <c r="K16">
        <v>7118</v>
      </c>
      <c r="L16">
        <v>706301</v>
      </c>
      <c r="M16">
        <v>76638</v>
      </c>
      <c r="N16">
        <v>10512</v>
      </c>
      <c r="O16">
        <v>0</v>
      </c>
      <c r="P16">
        <v>17026</v>
      </c>
      <c r="Q16">
        <v>6739</v>
      </c>
      <c r="R16">
        <v>333</v>
      </c>
      <c r="S16">
        <v>88</v>
      </c>
      <c r="T16">
        <v>0</v>
      </c>
      <c r="U16">
        <v>131</v>
      </c>
      <c r="V16">
        <v>401</v>
      </c>
      <c r="W16">
        <v>12813</v>
      </c>
    </row>
    <row r="17" spans="1:23" x14ac:dyDescent="0.25">
      <c r="A17" t="s">
        <v>32</v>
      </c>
      <c r="B17" s="15">
        <f t="shared" si="0"/>
        <v>796083</v>
      </c>
      <c r="C17">
        <v>248685</v>
      </c>
      <c r="D17">
        <v>0</v>
      </c>
      <c r="E17">
        <v>24881</v>
      </c>
      <c r="F17">
        <v>1497</v>
      </c>
      <c r="G17">
        <v>56159</v>
      </c>
      <c r="H17">
        <v>12423</v>
      </c>
      <c r="I17">
        <v>97</v>
      </c>
      <c r="J17">
        <v>2724</v>
      </c>
      <c r="K17">
        <v>3319</v>
      </c>
      <c r="L17">
        <v>367351</v>
      </c>
      <c r="M17">
        <v>64540</v>
      </c>
      <c r="N17">
        <v>4813</v>
      </c>
      <c r="O17">
        <v>0</v>
      </c>
      <c r="P17">
        <v>4130</v>
      </c>
      <c r="Q17">
        <v>2072</v>
      </c>
      <c r="R17">
        <v>36</v>
      </c>
      <c r="S17">
        <v>30</v>
      </c>
      <c r="T17">
        <v>0</v>
      </c>
      <c r="U17">
        <v>26</v>
      </c>
      <c r="V17">
        <v>135</v>
      </c>
      <c r="W17">
        <v>3165</v>
      </c>
    </row>
    <row r="18" spans="1:23" x14ac:dyDescent="0.25">
      <c r="A18" t="s">
        <v>33</v>
      </c>
      <c r="B18" s="15">
        <f t="shared" si="0"/>
        <v>698556</v>
      </c>
      <c r="C18">
        <v>315236</v>
      </c>
      <c r="D18">
        <v>0</v>
      </c>
      <c r="E18">
        <v>21049</v>
      </c>
      <c r="F18">
        <v>1649</v>
      </c>
      <c r="G18">
        <v>44913</v>
      </c>
      <c r="H18">
        <v>14918</v>
      </c>
      <c r="I18">
        <v>28</v>
      </c>
      <c r="J18">
        <v>137</v>
      </c>
      <c r="K18">
        <v>2904</v>
      </c>
      <c r="L18">
        <v>250152</v>
      </c>
      <c r="M18">
        <v>34299</v>
      </c>
      <c r="N18">
        <v>4460</v>
      </c>
      <c r="O18">
        <v>1</v>
      </c>
      <c r="P18">
        <v>3121</v>
      </c>
      <c r="Q18">
        <v>2267</v>
      </c>
      <c r="R18">
        <v>28</v>
      </c>
      <c r="S18">
        <v>26</v>
      </c>
      <c r="T18">
        <v>0</v>
      </c>
      <c r="U18">
        <v>28</v>
      </c>
      <c r="V18">
        <v>128</v>
      </c>
      <c r="W18">
        <v>3212</v>
      </c>
    </row>
    <row r="19" spans="1:23" x14ac:dyDescent="0.25">
      <c r="A19" t="s">
        <v>34</v>
      </c>
      <c r="B19" s="15">
        <f t="shared" si="0"/>
        <v>1774389</v>
      </c>
      <c r="C19">
        <v>850633</v>
      </c>
      <c r="D19">
        <v>1</v>
      </c>
      <c r="E19">
        <v>68389</v>
      </c>
      <c r="F19">
        <v>7430</v>
      </c>
      <c r="G19">
        <v>101102</v>
      </c>
      <c r="H19">
        <v>54302</v>
      </c>
      <c r="I19">
        <v>185</v>
      </c>
      <c r="J19">
        <v>960</v>
      </c>
      <c r="K19">
        <v>10540</v>
      </c>
      <c r="L19">
        <v>577278</v>
      </c>
      <c r="M19">
        <v>53885</v>
      </c>
      <c r="N19">
        <v>13666</v>
      </c>
      <c r="O19">
        <v>1</v>
      </c>
      <c r="P19">
        <v>16371</v>
      </c>
      <c r="Q19">
        <v>12097</v>
      </c>
      <c r="R19">
        <v>143</v>
      </c>
      <c r="S19">
        <v>68</v>
      </c>
      <c r="T19">
        <v>0</v>
      </c>
      <c r="U19">
        <v>179</v>
      </c>
      <c r="V19">
        <v>452</v>
      </c>
      <c r="W19">
        <v>6707</v>
      </c>
    </row>
    <row r="20" spans="1:23" x14ac:dyDescent="0.25">
      <c r="A20" t="s">
        <v>35</v>
      </c>
      <c r="B20" s="15">
        <f t="shared" si="0"/>
        <v>582777</v>
      </c>
      <c r="C20">
        <v>185101</v>
      </c>
      <c r="D20">
        <v>0</v>
      </c>
      <c r="E20">
        <v>17356</v>
      </c>
      <c r="F20">
        <v>1257</v>
      </c>
      <c r="G20">
        <v>41005</v>
      </c>
      <c r="H20">
        <v>8776</v>
      </c>
      <c r="I20">
        <v>59</v>
      </c>
      <c r="J20">
        <v>1518</v>
      </c>
      <c r="K20">
        <v>1806</v>
      </c>
      <c r="L20">
        <v>270551</v>
      </c>
      <c r="M20">
        <v>46198</v>
      </c>
      <c r="N20">
        <v>3397</v>
      </c>
      <c r="O20">
        <v>0</v>
      </c>
      <c r="P20">
        <v>1777</v>
      </c>
      <c r="Q20">
        <v>1718</v>
      </c>
      <c r="R20">
        <v>200</v>
      </c>
      <c r="S20">
        <v>23</v>
      </c>
      <c r="T20">
        <v>0</v>
      </c>
      <c r="U20">
        <v>13</v>
      </c>
      <c r="V20">
        <v>304</v>
      </c>
      <c r="W20">
        <v>1718</v>
      </c>
    </row>
    <row r="21" spans="1:23" x14ac:dyDescent="0.25">
      <c r="A21" t="s">
        <v>36</v>
      </c>
      <c r="B21" s="15">
        <f t="shared" si="0"/>
        <v>731263</v>
      </c>
      <c r="C21">
        <v>335705</v>
      </c>
      <c r="D21">
        <v>0</v>
      </c>
      <c r="E21">
        <v>22478</v>
      </c>
      <c r="F21">
        <v>1768</v>
      </c>
      <c r="G21">
        <v>49124</v>
      </c>
      <c r="H21">
        <v>15837</v>
      </c>
      <c r="I21">
        <v>56</v>
      </c>
      <c r="J21">
        <v>413</v>
      </c>
      <c r="K21">
        <v>3474</v>
      </c>
      <c r="L21">
        <v>249672</v>
      </c>
      <c r="M21">
        <v>33899</v>
      </c>
      <c r="N21">
        <v>4548</v>
      </c>
      <c r="O21">
        <v>1</v>
      </c>
      <c r="P21">
        <v>5373</v>
      </c>
      <c r="Q21">
        <v>2592</v>
      </c>
      <c r="R21">
        <v>57</v>
      </c>
      <c r="S21">
        <v>29</v>
      </c>
      <c r="T21">
        <v>0</v>
      </c>
      <c r="U21">
        <v>96</v>
      </c>
      <c r="V21">
        <v>203</v>
      </c>
      <c r="W21">
        <v>5938</v>
      </c>
    </row>
    <row r="22" spans="1:23" x14ac:dyDescent="0.25">
      <c r="A22" t="s">
        <v>37</v>
      </c>
      <c r="B22" s="15">
        <f t="shared" si="0"/>
        <v>427048</v>
      </c>
      <c r="C22">
        <v>205160</v>
      </c>
      <c r="D22">
        <v>0</v>
      </c>
      <c r="E22">
        <v>15697</v>
      </c>
      <c r="F22">
        <v>1232</v>
      </c>
      <c r="G22">
        <v>22248</v>
      </c>
      <c r="H22">
        <v>8054</v>
      </c>
      <c r="I22">
        <v>31</v>
      </c>
      <c r="J22">
        <v>176</v>
      </c>
      <c r="K22">
        <v>2486</v>
      </c>
      <c r="L22">
        <v>134273</v>
      </c>
      <c r="M22">
        <v>21994</v>
      </c>
      <c r="N22">
        <v>4494</v>
      </c>
      <c r="O22">
        <v>0</v>
      </c>
      <c r="P22">
        <v>7587</v>
      </c>
      <c r="Q22">
        <v>1733</v>
      </c>
      <c r="R22">
        <v>42</v>
      </c>
      <c r="S22">
        <v>23</v>
      </c>
      <c r="T22">
        <v>2</v>
      </c>
      <c r="U22">
        <v>98</v>
      </c>
      <c r="V22">
        <v>158</v>
      </c>
      <c r="W22">
        <v>1560</v>
      </c>
    </row>
    <row r="23" spans="1:23" x14ac:dyDescent="0.2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t="s">
        <v>38</v>
      </c>
      <c r="B24" s="15">
        <f t="shared" si="0"/>
        <v>1262848</v>
      </c>
      <c r="C24">
        <v>653018</v>
      </c>
      <c r="D24">
        <v>16</v>
      </c>
      <c r="E24">
        <v>54777</v>
      </c>
      <c r="F24">
        <v>13311</v>
      </c>
      <c r="G24">
        <v>96979</v>
      </c>
      <c r="H24">
        <v>33516</v>
      </c>
      <c r="I24">
        <v>66</v>
      </c>
      <c r="J24">
        <v>830</v>
      </c>
      <c r="K24">
        <v>5241</v>
      </c>
      <c r="L24">
        <v>291250</v>
      </c>
      <c r="M24">
        <v>60502</v>
      </c>
      <c r="N24">
        <v>12129</v>
      </c>
      <c r="O24">
        <v>2</v>
      </c>
      <c r="P24">
        <v>15085</v>
      </c>
      <c r="Q24">
        <v>17614</v>
      </c>
      <c r="R24">
        <v>133</v>
      </c>
      <c r="S24">
        <v>111</v>
      </c>
      <c r="T24">
        <v>9</v>
      </c>
      <c r="U24">
        <v>1380</v>
      </c>
      <c r="V24">
        <v>566</v>
      </c>
      <c r="W24">
        <v>6313</v>
      </c>
    </row>
    <row r="25" spans="1:23" x14ac:dyDescent="0.25">
      <c r="A25" t="s">
        <v>39</v>
      </c>
      <c r="B25" s="15">
        <f t="shared" si="0"/>
        <v>7005640</v>
      </c>
      <c r="C25">
        <v>3922908</v>
      </c>
      <c r="D25">
        <v>0</v>
      </c>
      <c r="E25">
        <v>254779</v>
      </c>
      <c r="F25">
        <v>43554</v>
      </c>
      <c r="G25">
        <v>492045</v>
      </c>
      <c r="H25">
        <v>177196</v>
      </c>
      <c r="I25">
        <v>100</v>
      </c>
      <c r="J25">
        <v>13171</v>
      </c>
      <c r="K25">
        <v>29584</v>
      </c>
      <c r="L25">
        <v>1682276</v>
      </c>
      <c r="M25">
        <v>166292</v>
      </c>
      <c r="N25">
        <v>56297</v>
      </c>
      <c r="O25">
        <v>10</v>
      </c>
      <c r="P25">
        <v>89948</v>
      </c>
      <c r="Q25">
        <v>53003</v>
      </c>
      <c r="R25">
        <v>1400</v>
      </c>
      <c r="S25">
        <v>878</v>
      </c>
      <c r="T25">
        <v>33</v>
      </c>
      <c r="U25">
        <v>1404</v>
      </c>
      <c r="V25">
        <v>1399</v>
      </c>
      <c r="W25">
        <v>19363</v>
      </c>
    </row>
    <row r="26" spans="1:23" x14ac:dyDescent="0.25">
      <c r="A26" t="s">
        <v>40</v>
      </c>
      <c r="B26" s="15">
        <f t="shared" si="0"/>
        <v>4489680</v>
      </c>
      <c r="C26">
        <v>3181686</v>
      </c>
      <c r="D26">
        <v>0</v>
      </c>
      <c r="E26">
        <v>110468</v>
      </c>
      <c r="F26">
        <v>10780</v>
      </c>
      <c r="G26">
        <v>204251</v>
      </c>
      <c r="H26">
        <v>175470</v>
      </c>
      <c r="I26">
        <v>74</v>
      </c>
      <c r="J26">
        <v>651</v>
      </c>
      <c r="K26">
        <v>29689</v>
      </c>
      <c r="L26">
        <v>566794</v>
      </c>
      <c r="M26">
        <v>105224</v>
      </c>
      <c r="N26">
        <v>37174</v>
      </c>
      <c r="O26">
        <v>8</v>
      </c>
      <c r="P26">
        <v>30372</v>
      </c>
      <c r="Q26">
        <v>14380</v>
      </c>
      <c r="R26">
        <v>204</v>
      </c>
      <c r="S26">
        <v>452</v>
      </c>
      <c r="T26">
        <v>1</v>
      </c>
      <c r="U26">
        <v>542</v>
      </c>
      <c r="V26">
        <v>716</v>
      </c>
      <c r="W26">
        <v>20744</v>
      </c>
    </row>
    <row r="27" spans="1:23" x14ac:dyDescent="0.25">
      <c r="A27" t="s">
        <v>41</v>
      </c>
      <c r="B27" s="15">
        <f t="shared" si="0"/>
        <v>20537980</v>
      </c>
      <c r="C27">
        <v>13334875</v>
      </c>
      <c r="D27">
        <v>49</v>
      </c>
      <c r="E27">
        <v>582761</v>
      </c>
      <c r="F27">
        <v>110929</v>
      </c>
      <c r="G27">
        <v>1226218</v>
      </c>
      <c r="H27">
        <v>699225</v>
      </c>
      <c r="I27">
        <v>1366</v>
      </c>
      <c r="J27">
        <v>48805</v>
      </c>
      <c r="K27">
        <v>89639</v>
      </c>
      <c r="L27">
        <v>3322544</v>
      </c>
      <c r="M27">
        <v>530436</v>
      </c>
      <c r="N27">
        <v>126880</v>
      </c>
      <c r="O27">
        <v>57</v>
      </c>
      <c r="P27">
        <v>198919</v>
      </c>
      <c r="Q27">
        <v>169719</v>
      </c>
      <c r="R27">
        <v>1900</v>
      </c>
      <c r="S27">
        <v>837</v>
      </c>
      <c r="T27">
        <v>50</v>
      </c>
      <c r="U27">
        <v>7847</v>
      </c>
      <c r="V27">
        <v>1696</v>
      </c>
      <c r="W27">
        <v>83228</v>
      </c>
    </row>
    <row r="28" spans="1:23" x14ac:dyDescent="0.2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t="s">
        <v>42</v>
      </c>
      <c r="B29" s="15">
        <f t="shared" si="0"/>
        <v>5160354</v>
      </c>
      <c r="C29">
        <v>3072415</v>
      </c>
      <c r="D29">
        <v>7</v>
      </c>
      <c r="E29">
        <v>213380</v>
      </c>
      <c r="F29">
        <v>62398</v>
      </c>
      <c r="G29">
        <v>374979</v>
      </c>
      <c r="H29">
        <v>134159</v>
      </c>
      <c r="I29">
        <v>248</v>
      </c>
      <c r="J29">
        <v>7254</v>
      </c>
      <c r="K29">
        <v>14970</v>
      </c>
      <c r="L29">
        <v>858295</v>
      </c>
      <c r="M29">
        <v>204738</v>
      </c>
      <c r="N29">
        <v>31922</v>
      </c>
      <c r="O29">
        <v>19</v>
      </c>
      <c r="P29">
        <v>69882</v>
      </c>
      <c r="Q29">
        <v>93838</v>
      </c>
      <c r="R29">
        <v>581</v>
      </c>
      <c r="S29">
        <v>424</v>
      </c>
      <c r="T29">
        <v>8</v>
      </c>
      <c r="U29">
        <v>1465</v>
      </c>
      <c r="V29">
        <v>868</v>
      </c>
      <c r="W29">
        <v>18504</v>
      </c>
    </row>
    <row r="30" spans="1:23" x14ac:dyDescent="0.25">
      <c r="A30" t="s">
        <v>43</v>
      </c>
      <c r="B30" s="15">
        <f t="shared" si="0"/>
        <v>4808503</v>
      </c>
      <c r="C30">
        <v>2966251</v>
      </c>
      <c r="D30">
        <v>31</v>
      </c>
      <c r="E30">
        <v>181033</v>
      </c>
      <c r="F30">
        <v>40404</v>
      </c>
      <c r="G30">
        <v>298911</v>
      </c>
      <c r="H30">
        <v>129487</v>
      </c>
      <c r="I30">
        <v>373</v>
      </c>
      <c r="J30">
        <v>3968</v>
      </c>
      <c r="K30">
        <v>15397</v>
      </c>
      <c r="L30">
        <v>822935</v>
      </c>
      <c r="M30">
        <v>133059</v>
      </c>
      <c r="N30">
        <v>31060</v>
      </c>
      <c r="O30">
        <v>38</v>
      </c>
      <c r="P30">
        <v>104289</v>
      </c>
      <c r="Q30">
        <v>52809</v>
      </c>
      <c r="R30">
        <v>422</v>
      </c>
      <c r="S30">
        <v>3273</v>
      </c>
      <c r="T30">
        <v>36</v>
      </c>
      <c r="U30">
        <v>5175</v>
      </c>
      <c r="V30">
        <v>451</v>
      </c>
      <c r="W30">
        <v>19101</v>
      </c>
    </row>
    <row r="31" spans="1:23" x14ac:dyDescent="0.25">
      <c r="A31" t="s">
        <v>44</v>
      </c>
      <c r="B31" s="15">
        <f t="shared" si="0"/>
        <v>3414195</v>
      </c>
      <c r="C31">
        <v>1982129</v>
      </c>
      <c r="D31">
        <v>0</v>
      </c>
      <c r="E31">
        <v>123496</v>
      </c>
      <c r="F31">
        <v>35964</v>
      </c>
      <c r="G31">
        <v>216228</v>
      </c>
      <c r="H31">
        <v>82028</v>
      </c>
      <c r="I31">
        <v>142</v>
      </c>
      <c r="J31">
        <v>1446</v>
      </c>
      <c r="K31">
        <v>8677</v>
      </c>
      <c r="L31">
        <v>659428</v>
      </c>
      <c r="M31">
        <v>177681</v>
      </c>
      <c r="N31">
        <v>15271</v>
      </c>
      <c r="O31">
        <v>10</v>
      </c>
      <c r="P31">
        <v>41667</v>
      </c>
      <c r="Q31">
        <v>49679</v>
      </c>
      <c r="R31">
        <v>667</v>
      </c>
      <c r="S31">
        <v>891</v>
      </c>
      <c r="T31">
        <v>9</v>
      </c>
      <c r="U31">
        <v>2275</v>
      </c>
      <c r="V31">
        <v>316</v>
      </c>
      <c r="W31">
        <v>16191</v>
      </c>
    </row>
    <row r="32" spans="1:23" x14ac:dyDescent="0.2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3" t="s">
        <v>45</v>
      </c>
      <c r="B33" s="15">
        <f t="shared" si="0"/>
        <v>1245521</v>
      </c>
      <c r="C33">
        <v>924103</v>
      </c>
      <c r="D33">
        <v>5</v>
      </c>
      <c r="E33">
        <v>19362</v>
      </c>
      <c r="F33">
        <v>2294</v>
      </c>
      <c r="G33">
        <v>76595</v>
      </c>
      <c r="H33">
        <v>43863</v>
      </c>
      <c r="I33">
        <v>57</v>
      </c>
      <c r="J33">
        <v>675</v>
      </c>
      <c r="K33">
        <v>4591</v>
      </c>
      <c r="L33">
        <v>124520</v>
      </c>
      <c r="M33">
        <v>11171</v>
      </c>
      <c r="N33">
        <v>8663</v>
      </c>
      <c r="O33">
        <v>1</v>
      </c>
      <c r="P33">
        <v>15548</v>
      </c>
      <c r="Q33">
        <v>2694</v>
      </c>
      <c r="R33">
        <v>711</v>
      </c>
      <c r="S33">
        <v>118</v>
      </c>
      <c r="T33">
        <v>4</v>
      </c>
      <c r="U33">
        <v>503</v>
      </c>
      <c r="V33">
        <v>233</v>
      </c>
      <c r="W33">
        <v>9810</v>
      </c>
    </row>
    <row r="34" spans="1:23" x14ac:dyDescent="0.25">
      <c r="A34" t="s">
        <v>46</v>
      </c>
      <c r="B34" s="15">
        <f t="shared" si="0"/>
        <v>2428705</v>
      </c>
      <c r="C34">
        <v>1170400</v>
      </c>
      <c r="D34">
        <v>0</v>
      </c>
      <c r="E34">
        <v>83873</v>
      </c>
      <c r="F34">
        <v>18255</v>
      </c>
      <c r="G34">
        <v>209674</v>
      </c>
      <c r="H34">
        <v>53560</v>
      </c>
      <c r="I34">
        <v>101</v>
      </c>
      <c r="J34">
        <v>5255</v>
      </c>
      <c r="K34">
        <v>5721</v>
      </c>
      <c r="L34">
        <v>590438</v>
      </c>
      <c r="M34">
        <v>163560</v>
      </c>
      <c r="N34">
        <v>16289</v>
      </c>
      <c r="O34">
        <v>0</v>
      </c>
      <c r="P34">
        <v>72754</v>
      </c>
      <c r="Q34">
        <v>29819</v>
      </c>
      <c r="R34">
        <v>136</v>
      </c>
      <c r="S34">
        <v>162</v>
      </c>
      <c r="T34">
        <v>2</v>
      </c>
      <c r="U34">
        <v>97</v>
      </c>
      <c r="V34">
        <v>296</v>
      </c>
      <c r="W34">
        <v>8313</v>
      </c>
    </row>
    <row r="35" spans="1:23" x14ac:dyDescent="0.25">
      <c r="A35" t="s">
        <v>47</v>
      </c>
      <c r="B35" s="15">
        <f t="shared" si="0"/>
        <v>1173125</v>
      </c>
      <c r="C35">
        <v>407567</v>
      </c>
      <c r="D35">
        <v>0</v>
      </c>
      <c r="E35">
        <v>50046</v>
      </c>
      <c r="F35">
        <v>17463</v>
      </c>
      <c r="G35">
        <v>116411</v>
      </c>
      <c r="H35">
        <v>20481</v>
      </c>
      <c r="I35">
        <v>11</v>
      </c>
      <c r="J35">
        <v>1926</v>
      </c>
      <c r="K35">
        <v>2173</v>
      </c>
      <c r="L35">
        <v>381243</v>
      </c>
      <c r="M35">
        <v>118113</v>
      </c>
      <c r="N35">
        <v>7147</v>
      </c>
      <c r="O35">
        <v>2</v>
      </c>
      <c r="P35">
        <v>15326</v>
      </c>
      <c r="Q35">
        <v>29769</v>
      </c>
      <c r="R35">
        <v>136</v>
      </c>
      <c r="S35">
        <v>48</v>
      </c>
      <c r="T35">
        <v>0</v>
      </c>
      <c r="U35">
        <v>17</v>
      </c>
      <c r="V35">
        <v>310</v>
      </c>
      <c r="W35">
        <v>4936</v>
      </c>
    </row>
    <row r="36" spans="1:23" x14ac:dyDescent="0.25">
      <c r="A36" t="s">
        <v>48</v>
      </c>
      <c r="B36" s="15">
        <f t="shared" si="0"/>
        <v>972529</v>
      </c>
      <c r="C36">
        <v>447089</v>
      </c>
      <c r="D36">
        <v>10</v>
      </c>
      <c r="E36">
        <v>39187</v>
      </c>
      <c r="F36">
        <v>9373</v>
      </c>
      <c r="G36">
        <v>89115</v>
      </c>
      <c r="H36">
        <v>22648</v>
      </c>
      <c r="I36">
        <v>58</v>
      </c>
      <c r="J36">
        <v>951</v>
      </c>
      <c r="K36">
        <v>2180</v>
      </c>
      <c r="L36">
        <v>252583</v>
      </c>
      <c r="M36">
        <v>67389</v>
      </c>
      <c r="N36">
        <v>6377</v>
      </c>
      <c r="O36">
        <v>1</v>
      </c>
      <c r="P36">
        <v>15462</v>
      </c>
      <c r="Q36">
        <v>15646</v>
      </c>
      <c r="R36">
        <v>171</v>
      </c>
      <c r="S36">
        <v>94</v>
      </c>
      <c r="T36">
        <v>0</v>
      </c>
      <c r="U36">
        <v>133</v>
      </c>
      <c r="V36">
        <v>228</v>
      </c>
      <c r="W36">
        <v>3834</v>
      </c>
    </row>
    <row r="37" spans="1:23" ht="13.8" thickBot="1" x14ac:dyDescent="0.3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3.8" thickTop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1" t="s">
        <v>53</v>
      </c>
    </row>
    <row r="41" spans="1:23" ht="30.6" x14ac:dyDescent="0.25">
      <c r="A41" s="19" t="s">
        <v>50</v>
      </c>
      <c r="B41" s="6" t="s">
        <v>0</v>
      </c>
      <c r="C41" s="7" t="s">
        <v>1</v>
      </c>
      <c r="D41" s="7" t="s">
        <v>10</v>
      </c>
      <c r="E41" s="7" t="s">
        <v>5</v>
      </c>
      <c r="F41" s="7" t="s">
        <v>11</v>
      </c>
      <c r="G41" s="7" t="s">
        <v>3</v>
      </c>
      <c r="H41" s="7" t="s">
        <v>6</v>
      </c>
      <c r="I41" s="7" t="s">
        <v>14</v>
      </c>
      <c r="J41" s="7" t="s">
        <v>15</v>
      </c>
      <c r="K41" s="7" t="s">
        <v>12</v>
      </c>
      <c r="L41" s="7" t="s">
        <v>4</v>
      </c>
      <c r="M41" s="7" t="s">
        <v>9</v>
      </c>
      <c r="N41" s="7" t="s">
        <v>21</v>
      </c>
      <c r="O41" s="7" t="s">
        <v>8</v>
      </c>
      <c r="P41" s="7" t="s">
        <v>19</v>
      </c>
      <c r="Q41" s="7" t="s">
        <v>20</v>
      </c>
      <c r="R41" s="7" t="s">
        <v>16</v>
      </c>
      <c r="S41" s="7" t="s">
        <v>17</v>
      </c>
      <c r="T41" s="7" t="s">
        <v>7</v>
      </c>
      <c r="U41" s="7" t="s">
        <v>18</v>
      </c>
      <c r="V41" s="7" t="s">
        <v>13</v>
      </c>
      <c r="W41" s="7" t="s">
        <v>2</v>
      </c>
    </row>
    <row r="42" spans="1:23" x14ac:dyDescent="0.25">
      <c r="A42" s="19"/>
      <c r="B42" s="17">
        <f>SUM(C42:W42)</f>
        <v>64817974</v>
      </c>
      <c r="C42" s="10">
        <v>37188341</v>
      </c>
      <c r="D42" s="10">
        <v>13950448</v>
      </c>
      <c r="E42" s="10">
        <v>4285690</v>
      </c>
      <c r="F42" s="10">
        <v>2444471</v>
      </c>
      <c r="G42" s="10">
        <v>2143467</v>
      </c>
      <c r="H42" s="10">
        <v>1859043</v>
      </c>
      <c r="I42" s="10">
        <v>782421</v>
      </c>
      <c r="J42" s="10">
        <v>612040</v>
      </c>
      <c r="K42" s="10">
        <v>451989</v>
      </c>
      <c r="L42" s="10">
        <v>412473</v>
      </c>
      <c r="M42" s="10">
        <v>270693</v>
      </c>
      <c r="N42" s="10">
        <v>269217</v>
      </c>
      <c r="O42" s="10">
        <v>95259</v>
      </c>
      <c r="P42" s="10">
        <v>21679</v>
      </c>
      <c r="Q42" s="10">
        <v>10258</v>
      </c>
      <c r="R42" s="10">
        <v>8418</v>
      </c>
      <c r="S42" s="10">
        <v>7832</v>
      </c>
      <c r="T42" s="10">
        <v>3801</v>
      </c>
      <c r="U42" s="10">
        <v>155</v>
      </c>
      <c r="V42" s="10">
        <v>153</v>
      </c>
      <c r="W42" s="10">
        <v>126</v>
      </c>
    </row>
    <row r="43" spans="1:23" x14ac:dyDescent="0.25">
      <c r="A43" s="20"/>
      <c r="B43" s="18" t="s">
        <v>51</v>
      </c>
      <c r="C43" s="16">
        <v>57.373501060060903</v>
      </c>
      <c r="D43" s="16">
        <v>21.522499299345579</v>
      </c>
      <c r="E43" s="16">
        <v>6.6118851539543648</v>
      </c>
      <c r="F43" s="16">
        <v>3.7712857239258977</v>
      </c>
      <c r="G43" s="16">
        <v>3.306902187346985</v>
      </c>
      <c r="H43" s="16">
        <v>2.8680979754165099</v>
      </c>
      <c r="I43" s="16">
        <v>1.2071049922047856</v>
      </c>
      <c r="J43" s="14">
        <v>0.94424426163026931</v>
      </c>
      <c r="K43" s="14">
        <v>0.6973204685478136</v>
      </c>
      <c r="L43" s="14">
        <v>0.63635589720838859</v>
      </c>
      <c r="M43" s="14">
        <v>0.41762027304339994</v>
      </c>
      <c r="N43" s="14">
        <v>0.41534312689254993</v>
      </c>
      <c r="O43" s="14">
        <v>0.14696386530069577</v>
      </c>
      <c r="P43" s="14">
        <v>3.344596978609668E-2</v>
      </c>
      <c r="Q43" s="14">
        <v>1.582585719201899E-2</v>
      </c>
      <c r="R43" s="14">
        <v>1.2987138413181505E-2</v>
      </c>
      <c r="S43" s="14">
        <v>1.2083068193399564E-2</v>
      </c>
      <c r="T43" s="14">
        <v>5.8641141730224394E-3</v>
      </c>
      <c r="U43" s="14">
        <v>2.391312014781579E-4</v>
      </c>
      <c r="V43" s="14">
        <v>2.3604563758811712E-4</v>
      </c>
      <c r="W43" s="14">
        <v>1.9439052507256709E-4</v>
      </c>
    </row>
    <row r="45" spans="1:23" ht="13.8" thickBo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3.8" thickTop="1" x14ac:dyDescent="0.25">
      <c r="A46" t="s">
        <v>49</v>
      </c>
    </row>
  </sheetData>
  <mergeCells count="1">
    <mergeCell ref="A41:A43"/>
  </mergeCells>
  <phoneticPr fontId="0" type="noConversion"/>
  <pageMargins left="0.27" right="0.22" top="0.41" bottom="1" header="0.17" footer="0.49212598499999999"/>
  <pageSetup paperSize="9" scale="51" orientation="landscape" r:id="rId1"/>
  <headerFooter alignWithMargins="0">
    <oddHeader>&amp;F&amp;RPágina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DEZ_2010</vt:lpstr>
    </vt:vector>
  </TitlesOfParts>
  <Company>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DENATRAN-CGIE</dc:creator>
  <cp:lastModifiedBy>Sergio Prolo</cp:lastModifiedBy>
  <cp:lastPrinted>2006-02-24T14:15:11Z</cp:lastPrinted>
  <dcterms:created xsi:type="dcterms:W3CDTF">2004-05-06T13:06:54Z</dcterms:created>
  <dcterms:modified xsi:type="dcterms:W3CDTF">2024-04-27T10:33:13Z</dcterms:modified>
</cp:coreProperties>
</file>