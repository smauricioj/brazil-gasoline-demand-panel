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panel_collect\data\input\frota\"/>
    </mc:Choice>
  </mc:AlternateContent>
  <xr:revisionPtr revIDLastSave="0" documentId="13_ncr:1_{B95DEE0C-B90B-4AB4-AD30-E31AB4F22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zembro_2006" sheetId="1" r:id="rId1"/>
  </sheets>
  <definedNames>
    <definedName name="_xlnm.Print_Area" localSheetId="0">Dezembro_2006!#REF!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36" i="1"/>
  <c r="B35" i="1"/>
  <c r="B34" i="1"/>
  <c r="B33" i="1"/>
  <c r="B31" i="1"/>
  <c r="B30" i="1"/>
  <c r="B29" i="1"/>
  <c r="B27" i="1"/>
  <c r="B26" i="1"/>
  <c r="B25" i="1"/>
  <c r="B24" i="1"/>
  <c r="B22" i="1"/>
  <c r="B21" i="1"/>
  <c r="B20" i="1"/>
  <c r="B19" i="1"/>
  <c r="B18" i="1"/>
  <c r="B17" i="1"/>
  <c r="B16" i="1"/>
  <c r="B15" i="1"/>
  <c r="B14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<sst xmlns="http://schemas.openxmlformats.org/spreadsheetml/2006/main" count="76" uniqueCount="54">
  <si>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</si>
  <si>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</si>
  <si>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</si>
  <si>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</si>
  <si>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</si>
  <si>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</si>
  <si>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</si>
  <si>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</si>
  <si>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</si>
  <si>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</si>
  <si>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</si>
  <si>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</si>
  <si>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</si>
  <si>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</si>
  <si>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</si>
  <si>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</si>
  <si>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</si>
  <si>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</si>
  <si>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</si>
  <si>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</si>
  <si>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</si>
  <si>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</si>
  <si>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</si>
  <si>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</si>
  <si>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</si>
  <si>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</si>
  <si>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</si>
  <si>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</si>
  <si>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</si>
  <si>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</si>
  <si>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</si>
  <si>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</si>
  <si>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</si>
  <si>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</si>
  <si>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</si>
  <si>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</si>
  <si>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</si>
  <si>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</si>
  <si>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</si>
  <si>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</si>
  <si>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</si>
  <si>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</si>
  <si>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</si>
  <si>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</si>
  <si>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</si>
  <si>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</si>
  <si>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</si>
  <si>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</si>
  <si>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</si>
  <si>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Brasil</t>
  </si>
  <si>
    <t>Fonte: Ministério das Cidades, Departamento Nacional de Trânsito - DENATRAN, Sistema Nacional de Registro de Veículos/RENAVAM, RENAEST/Registro nacional de estatísticas e acidents de Trânsito.</t>
  </si>
  <si>
    <t>Tabela 1 - Frota de veículos, por tipo e com placa, segundo as Grandes Regiões e Unidades da Federação - Dezembro/2006</t>
  </si>
  <si>
    <t>Tabela 2 - Percentagem de veículos, por tipo segundo o Brasil - Dezembro/2006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</si>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</sst>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000"/>
    <numFmt numFmtId="167" formatCode="#\ ###\ ###\ ###"/>
  </numFmts>
  <fonts count="5" x14ac:knownFonts="1">
    <font>
      <sz val="10"/>
      <name val="Arial"/>
    </font>
    <font>
      <sz val="10"/>
      <name val="Arial"/>
    </font>
    <font>
      <sz val="10"/>
      <color indexed="8"/>
      <name val="Arial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3" fontId="3" fillId="0" borderId="0" xfId="0" applyNumberFormat="1" applyFont="1"/>
    <xf numFmtId="167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3" fillId="0" borderId="1" xfId="2" applyNumberFormat="1" applyFont="1" applyBorder="1"/>
    <xf numFmtId="9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/>
    <xf numFmtId="165" fontId="2" fillId="0" borderId="1" xfId="2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166" fontId="0" fillId="0" borderId="1" xfId="1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6"/>
  <sheetViews>
    <sheetView showGridLines="0" showRowColHeaders="0" tabSelected="1" zoomScale="75" workbookViewId="0">
      <selection activeCell="A3" sqref="A3"/>
    </sheetView>
  </sheetViews>
  <sheetFormatPr defaultRowHeight="13.2" x14ac:dyDescent="0.25"/>
  <cols>
    <col min="1" max="1" width="18.109375" customWidth="1"/>
    <col min="2" max="2" width="18.5546875" customWidth="1"/>
    <col min="3" max="3" width="15.5546875" bestFit="1" customWidth="1"/>
    <col min="4" max="4" width="11.5546875" bestFit="1" customWidth="1"/>
    <col min="5" max="5" width="14" bestFit="1" customWidth="1"/>
    <col min="6" max="6" width="12" bestFit="1" customWidth="1"/>
    <col min="7" max="7" width="11.109375" customWidth="1"/>
    <col min="8" max="8" width="14.33203125" bestFit="1" customWidth="1"/>
    <col min="9" max="9" width="10" bestFit="1" customWidth="1"/>
    <col min="10" max="10" width="12.109375" bestFit="1" customWidth="1"/>
    <col min="11" max="11" width="11.109375" customWidth="1"/>
    <col min="12" max="12" width="14.109375" customWidth="1"/>
    <col min="13" max="13" width="11.88671875" customWidth="1"/>
    <col min="14" max="14" width="12.44140625" bestFit="1" customWidth="1"/>
    <col min="16" max="16" width="12" bestFit="1" customWidth="1"/>
    <col min="17" max="17" width="11.88671875" customWidth="1"/>
    <col min="19" max="19" width="9.6640625" customWidth="1"/>
    <col min="20" max="20" width="9" bestFit="1" customWidth="1"/>
    <col min="21" max="21" width="10.33203125" bestFit="1" customWidth="1"/>
    <col min="22" max="23" width="9.44140625" customWidth="1"/>
  </cols>
  <sheetData>
    <row r="1" spans="1:23" x14ac:dyDescent="0.25">
      <c r="A1" s="1" t="s">
        <v>51</v>
      </c>
    </row>
    <row r="3" spans="1:23" ht="62.25" customHeight="1" x14ac:dyDescent="0.25">
      <c r="A3" s="10" t="s">
        <v>53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7" t="s">
        <v>20</v>
      </c>
      <c r="W3" s="7" t="s">
        <v>21</v>
      </c>
    </row>
    <row r="4" spans="1:23" ht="16.5" customHeight="1" x14ac:dyDescent="0.25">
      <c r="A4" s="13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21" customHeight="1" x14ac:dyDescent="0.2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4.25" customHeight="1" x14ac:dyDescent="0.25">
      <c r="A6" t="s">
        <v>22</v>
      </c>
      <c r="B6">
        <f>SUM(C6:W6)</f>
        <v>82758</v>
      </c>
      <c r="C6">
        <v>31065</v>
      </c>
      <c r="D6">
        <v>0</v>
      </c>
      <c r="E6">
        <v>3627</v>
      </c>
      <c r="F6">
        <v>248</v>
      </c>
      <c r="G6">
        <v>6585</v>
      </c>
      <c r="H6">
        <v>4685</v>
      </c>
      <c r="I6">
        <v>12</v>
      </c>
      <c r="J6">
        <v>10</v>
      </c>
      <c r="K6">
        <v>122</v>
      </c>
      <c r="L6">
        <v>27623</v>
      </c>
      <c r="M6">
        <v>7010</v>
      </c>
      <c r="N6">
        <v>439</v>
      </c>
      <c r="O6">
        <v>0</v>
      </c>
      <c r="P6">
        <v>801</v>
      </c>
      <c r="Q6">
        <v>382</v>
      </c>
      <c r="R6">
        <v>39</v>
      </c>
      <c r="S6">
        <v>2</v>
      </c>
      <c r="T6">
        <v>0</v>
      </c>
      <c r="U6">
        <v>1</v>
      </c>
      <c r="V6">
        <v>3</v>
      </c>
      <c r="W6">
        <v>104</v>
      </c>
    </row>
    <row r="7" spans="1:23" x14ac:dyDescent="0.25">
      <c r="A7" t="s">
        <v>23</v>
      </c>
      <c r="B7">
        <f t="shared" ref="B7:B36" si="0">SUM(C7:W7)</f>
        <v>65794</v>
      </c>
      <c r="C7">
        <v>30674</v>
      </c>
      <c r="D7">
        <v>0</v>
      </c>
      <c r="E7">
        <v>2435</v>
      </c>
      <c r="F7">
        <v>170</v>
      </c>
      <c r="G7">
        <v>6053</v>
      </c>
      <c r="H7">
        <v>3587</v>
      </c>
      <c r="I7">
        <v>17</v>
      </c>
      <c r="J7">
        <v>57</v>
      </c>
      <c r="K7">
        <v>188</v>
      </c>
      <c r="L7">
        <v>17440</v>
      </c>
      <c r="M7">
        <v>3835</v>
      </c>
      <c r="N7">
        <v>466</v>
      </c>
      <c r="O7">
        <v>0</v>
      </c>
      <c r="P7">
        <v>371</v>
      </c>
      <c r="Q7">
        <v>338</v>
      </c>
      <c r="R7">
        <v>38</v>
      </c>
      <c r="S7">
        <v>1</v>
      </c>
      <c r="T7">
        <v>0</v>
      </c>
      <c r="U7">
        <v>3</v>
      </c>
      <c r="V7">
        <v>6</v>
      </c>
      <c r="W7">
        <v>115</v>
      </c>
    </row>
    <row r="8" spans="1:23" x14ac:dyDescent="0.25">
      <c r="A8" t="s">
        <v>24</v>
      </c>
      <c r="B8">
        <f t="shared" si="0"/>
        <v>343035</v>
      </c>
      <c r="C8">
        <v>179174</v>
      </c>
      <c r="D8">
        <v>0</v>
      </c>
      <c r="E8">
        <v>12418</v>
      </c>
      <c r="F8">
        <v>1489</v>
      </c>
      <c r="G8">
        <v>26651</v>
      </c>
      <c r="H8">
        <v>22455</v>
      </c>
      <c r="I8">
        <v>66</v>
      </c>
      <c r="J8">
        <v>322</v>
      </c>
      <c r="K8">
        <v>1875</v>
      </c>
      <c r="L8">
        <v>66412</v>
      </c>
      <c r="M8">
        <v>17109</v>
      </c>
      <c r="N8">
        <v>4819</v>
      </c>
      <c r="O8">
        <v>0</v>
      </c>
      <c r="P8">
        <v>1388</v>
      </c>
      <c r="Q8">
        <v>7907</v>
      </c>
      <c r="R8">
        <v>7</v>
      </c>
      <c r="S8">
        <v>75</v>
      </c>
      <c r="T8">
        <v>0</v>
      </c>
      <c r="U8">
        <v>36</v>
      </c>
      <c r="V8">
        <v>36</v>
      </c>
      <c r="W8">
        <v>796</v>
      </c>
    </row>
    <row r="9" spans="1:23" x14ac:dyDescent="0.25">
      <c r="A9" t="s">
        <v>25</v>
      </c>
      <c r="B9">
        <f t="shared" si="0"/>
        <v>554892</v>
      </c>
      <c r="C9">
        <v>226115</v>
      </c>
      <c r="D9">
        <v>0</v>
      </c>
      <c r="E9">
        <v>29735</v>
      </c>
      <c r="F9">
        <v>2443</v>
      </c>
      <c r="G9">
        <v>31179</v>
      </c>
      <c r="H9">
        <v>29386</v>
      </c>
      <c r="I9">
        <v>299</v>
      </c>
      <c r="J9">
        <v>406</v>
      </c>
      <c r="K9">
        <v>2950</v>
      </c>
      <c r="L9">
        <v>170479</v>
      </c>
      <c r="M9">
        <v>42599</v>
      </c>
      <c r="N9">
        <v>6986</v>
      </c>
      <c r="O9">
        <v>1</v>
      </c>
      <c r="P9">
        <v>5253</v>
      </c>
      <c r="Q9">
        <v>5510</v>
      </c>
      <c r="R9">
        <v>72</v>
      </c>
      <c r="S9">
        <v>31</v>
      </c>
      <c r="T9">
        <v>0</v>
      </c>
      <c r="U9">
        <v>18</v>
      </c>
      <c r="V9">
        <v>30</v>
      </c>
      <c r="W9">
        <v>1400</v>
      </c>
    </row>
    <row r="10" spans="1:23" x14ac:dyDescent="0.25">
      <c r="A10" t="s">
        <v>26</v>
      </c>
      <c r="B10">
        <f t="shared" si="0"/>
        <v>328919</v>
      </c>
      <c r="C10">
        <v>90327</v>
      </c>
      <c r="D10">
        <v>0</v>
      </c>
      <c r="E10">
        <v>16992</v>
      </c>
      <c r="F10">
        <v>2545</v>
      </c>
      <c r="G10">
        <v>23101</v>
      </c>
      <c r="H10">
        <v>12761</v>
      </c>
      <c r="I10">
        <v>15</v>
      </c>
      <c r="J10">
        <v>391</v>
      </c>
      <c r="K10">
        <v>484</v>
      </c>
      <c r="L10">
        <v>131705</v>
      </c>
      <c r="M10">
        <v>39862</v>
      </c>
      <c r="N10">
        <v>2365</v>
      </c>
      <c r="O10">
        <v>0</v>
      </c>
      <c r="P10">
        <v>3713</v>
      </c>
      <c r="Q10">
        <v>4321</v>
      </c>
      <c r="R10">
        <v>24</v>
      </c>
      <c r="S10">
        <v>5</v>
      </c>
      <c r="T10">
        <v>1</v>
      </c>
      <c r="U10">
        <v>5</v>
      </c>
      <c r="V10">
        <v>18</v>
      </c>
      <c r="W10">
        <v>284</v>
      </c>
    </row>
    <row r="11" spans="1:23" x14ac:dyDescent="0.25">
      <c r="A11" t="s">
        <v>27</v>
      </c>
      <c r="B11">
        <f t="shared" si="0"/>
        <v>72146</v>
      </c>
      <c r="C11">
        <v>23856</v>
      </c>
      <c r="D11">
        <v>0</v>
      </c>
      <c r="E11">
        <v>2465</v>
      </c>
      <c r="F11">
        <v>210</v>
      </c>
      <c r="G11">
        <v>4671</v>
      </c>
      <c r="H11">
        <v>5097</v>
      </c>
      <c r="I11">
        <v>5</v>
      </c>
      <c r="J11">
        <v>29</v>
      </c>
      <c r="K11">
        <v>250</v>
      </c>
      <c r="L11">
        <v>27254</v>
      </c>
      <c r="M11">
        <v>7001</v>
      </c>
      <c r="N11">
        <v>397</v>
      </c>
      <c r="O11">
        <v>0</v>
      </c>
      <c r="P11">
        <v>255</v>
      </c>
      <c r="Q11">
        <v>573</v>
      </c>
      <c r="R11">
        <v>0</v>
      </c>
      <c r="S11">
        <v>7</v>
      </c>
      <c r="T11">
        <v>0</v>
      </c>
      <c r="U11">
        <v>2</v>
      </c>
      <c r="V11">
        <v>4</v>
      </c>
      <c r="W11">
        <v>70</v>
      </c>
    </row>
    <row r="12" spans="1:23" x14ac:dyDescent="0.25">
      <c r="A12" t="s">
        <v>28</v>
      </c>
      <c r="B12">
        <f t="shared" si="0"/>
        <v>251758</v>
      </c>
      <c r="C12">
        <v>89415</v>
      </c>
      <c r="D12">
        <v>0</v>
      </c>
      <c r="E12">
        <v>14927</v>
      </c>
      <c r="F12">
        <v>1625</v>
      </c>
      <c r="G12">
        <v>18409</v>
      </c>
      <c r="H12">
        <v>12897</v>
      </c>
      <c r="I12">
        <v>7</v>
      </c>
      <c r="J12">
        <v>900</v>
      </c>
      <c r="K12">
        <v>1192</v>
      </c>
      <c r="L12">
        <v>72043</v>
      </c>
      <c r="M12">
        <v>32011</v>
      </c>
      <c r="N12">
        <v>1797</v>
      </c>
      <c r="O12">
        <v>0</v>
      </c>
      <c r="P12">
        <v>4114</v>
      </c>
      <c r="Q12">
        <v>2018</v>
      </c>
      <c r="R12">
        <v>103</v>
      </c>
      <c r="S12">
        <v>4</v>
      </c>
      <c r="T12">
        <v>0</v>
      </c>
      <c r="U12">
        <v>6</v>
      </c>
      <c r="V12">
        <v>13</v>
      </c>
      <c r="W12">
        <v>277</v>
      </c>
    </row>
    <row r="13" spans="1:23" ht="21" customHeight="1" x14ac:dyDescent="0.2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4.25" customHeight="1" x14ac:dyDescent="0.25">
      <c r="A14" t="s">
        <v>29</v>
      </c>
      <c r="B14">
        <f t="shared" si="0"/>
        <v>280363</v>
      </c>
      <c r="C14">
        <v>146056</v>
      </c>
      <c r="D14">
        <v>0</v>
      </c>
      <c r="E14">
        <v>12219</v>
      </c>
      <c r="F14">
        <v>1147</v>
      </c>
      <c r="G14">
        <v>16460</v>
      </c>
      <c r="H14">
        <v>14410</v>
      </c>
      <c r="I14">
        <v>79</v>
      </c>
      <c r="J14">
        <v>23</v>
      </c>
      <c r="K14">
        <v>2866</v>
      </c>
      <c r="L14">
        <v>65242</v>
      </c>
      <c r="M14">
        <v>9891</v>
      </c>
      <c r="N14">
        <v>3441</v>
      </c>
      <c r="O14">
        <v>1</v>
      </c>
      <c r="P14">
        <v>5310</v>
      </c>
      <c r="Q14">
        <v>2396</v>
      </c>
      <c r="R14">
        <v>46</v>
      </c>
      <c r="S14">
        <v>19</v>
      </c>
      <c r="T14">
        <v>0</v>
      </c>
      <c r="U14">
        <v>7</v>
      </c>
      <c r="V14">
        <v>8</v>
      </c>
      <c r="W14">
        <v>742</v>
      </c>
    </row>
    <row r="15" spans="1:23" x14ac:dyDescent="0.25">
      <c r="A15" t="s">
        <v>30</v>
      </c>
      <c r="B15">
        <f t="shared" si="0"/>
        <v>1424983</v>
      </c>
      <c r="C15">
        <v>755736</v>
      </c>
      <c r="D15">
        <v>13</v>
      </c>
      <c r="E15">
        <v>65055</v>
      </c>
      <c r="F15">
        <v>7107</v>
      </c>
      <c r="G15">
        <v>82905</v>
      </c>
      <c r="H15">
        <v>86174</v>
      </c>
      <c r="I15">
        <v>638</v>
      </c>
      <c r="J15">
        <v>177</v>
      </c>
      <c r="K15">
        <v>10151</v>
      </c>
      <c r="L15">
        <v>326889</v>
      </c>
      <c r="M15">
        <v>43304</v>
      </c>
      <c r="N15">
        <v>19541</v>
      </c>
      <c r="O15">
        <v>0</v>
      </c>
      <c r="P15">
        <v>13436</v>
      </c>
      <c r="Q15">
        <v>10787</v>
      </c>
      <c r="R15">
        <v>541</v>
      </c>
      <c r="S15">
        <v>113</v>
      </c>
      <c r="T15">
        <v>1</v>
      </c>
      <c r="U15">
        <v>72</v>
      </c>
      <c r="V15">
        <v>93</v>
      </c>
      <c r="W15">
        <v>2250</v>
      </c>
    </row>
    <row r="16" spans="1:23" x14ac:dyDescent="0.25">
      <c r="A16" t="s">
        <v>31</v>
      </c>
      <c r="B16">
        <f t="shared" si="0"/>
        <v>1058587</v>
      </c>
      <c r="C16">
        <v>481337</v>
      </c>
      <c r="D16">
        <v>0</v>
      </c>
      <c r="E16">
        <v>38675</v>
      </c>
      <c r="F16">
        <v>3195</v>
      </c>
      <c r="G16">
        <v>49539</v>
      </c>
      <c r="H16">
        <v>51894</v>
      </c>
      <c r="I16">
        <v>304</v>
      </c>
      <c r="J16">
        <v>548</v>
      </c>
      <c r="K16">
        <v>4620</v>
      </c>
      <c r="L16">
        <v>362538</v>
      </c>
      <c r="M16">
        <v>38565</v>
      </c>
      <c r="N16">
        <v>7759</v>
      </c>
      <c r="O16">
        <v>0</v>
      </c>
      <c r="P16">
        <v>10403</v>
      </c>
      <c r="Q16">
        <v>4431</v>
      </c>
      <c r="R16">
        <v>268</v>
      </c>
      <c r="S16">
        <v>105</v>
      </c>
      <c r="T16">
        <v>0</v>
      </c>
      <c r="U16">
        <v>31</v>
      </c>
      <c r="V16">
        <v>48</v>
      </c>
      <c r="W16">
        <v>4327</v>
      </c>
    </row>
    <row r="17" spans="1:23" x14ac:dyDescent="0.25">
      <c r="A17" t="s">
        <v>32</v>
      </c>
      <c r="B17">
        <f t="shared" si="0"/>
        <v>412519</v>
      </c>
      <c r="C17">
        <v>150507</v>
      </c>
      <c r="D17">
        <v>0</v>
      </c>
      <c r="E17">
        <v>16471</v>
      </c>
      <c r="F17">
        <v>720</v>
      </c>
      <c r="G17">
        <v>23216</v>
      </c>
      <c r="H17">
        <v>17778</v>
      </c>
      <c r="I17">
        <v>105</v>
      </c>
      <c r="J17">
        <v>1020</v>
      </c>
      <c r="K17">
        <v>2143</v>
      </c>
      <c r="L17">
        <v>161009</v>
      </c>
      <c r="M17">
        <v>31735</v>
      </c>
      <c r="N17">
        <v>3426</v>
      </c>
      <c r="O17">
        <v>0</v>
      </c>
      <c r="P17">
        <v>2490</v>
      </c>
      <c r="Q17">
        <v>1114</v>
      </c>
      <c r="R17">
        <v>30</v>
      </c>
      <c r="S17">
        <v>29</v>
      </c>
      <c r="T17">
        <v>0</v>
      </c>
      <c r="U17">
        <v>16</v>
      </c>
      <c r="V17">
        <v>10</v>
      </c>
      <c r="W17">
        <v>700</v>
      </c>
    </row>
    <row r="18" spans="1:23" x14ac:dyDescent="0.25">
      <c r="A18" t="s">
        <v>33</v>
      </c>
      <c r="B18">
        <f t="shared" si="0"/>
        <v>419784</v>
      </c>
      <c r="C18">
        <v>216768</v>
      </c>
      <c r="D18">
        <v>0</v>
      </c>
      <c r="E18">
        <v>16864</v>
      </c>
      <c r="F18">
        <v>1207</v>
      </c>
      <c r="G18">
        <v>21960</v>
      </c>
      <c r="H18">
        <v>20929</v>
      </c>
      <c r="I18">
        <v>46</v>
      </c>
      <c r="J18">
        <v>107</v>
      </c>
      <c r="K18">
        <v>1628</v>
      </c>
      <c r="L18">
        <v>117415</v>
      </c>
      <c r="M18">
        <v>15342</v>
      </c>
      <c r="N18">
        <v>3283</v>
      </c>
      <c r="O18">
        <v>1</v>
      </c>
      <c r="P18">
        <v>1404</v>
      </c>
      <c r="Q18">
        <v>1966</v>
      </c>
      <c r="R18">
        <v>23</v>
      </c>
      <c r="S18">
        <v>27</v>
      </c>
      <c r="T18">
        <v>0</v>
      </c>
      <c r="U18">
        <v>22</v>
      </c>
      <c r="V18">
        <v>15</v>
      </c>
      <c r="W18">
        <v>777</v>
      </c>
    </row>
    <row r="19" spans="1:23" x14ac:dyDescent="0.25">
      <c r="A19" t="s">
        <v>34</v>
      </c>
      <c r="B19">
        <f t="shared" si="0"/>
        <v>1142940</v>
      </c>
      <c r="C19">
        <v>624428</v>
      </c>
      <c r="D19">
        <v>4</v>
      </c>
      <c r="E19">
        <v>53690</v>
      </c>
      <c r="F19">
        <v>4825</v>
      </c>
      <c r="G19">
        <v>48599</v>
      </c>
      <c r="H19">
        <v>61753</v>
      </c>
      <c r="I19">
        <v>418</v>
      </c>
      <c r="J19">
        <v>764</v>
      </c>
      <c r="K19">
        <v>6726</v>
      </c>
      <c r="L19">
        <v>286485</v>
      </c>
      <c r="M19">
        <v>24493</v>
      </c>
      <c r="N19">
        <v>10035</v>
      </c>
      <c r="O19">
        <v>1</v>
      </c>
      <c r="P19">
        <v>10572</v>
      </c>
      <c r="Q19">
        <v>7498</v>
      </c>
      <c r="R19">
        <v>102</v>
      </c>
      <c r="S19">
        <v>91</v>
      </c>
      <c r="T19">
        <v>0</v>
      </c>
      <c r="U19">
        <v>60</v>
      </c>
      <c r="V19">
        <v>77</v>
      </c>
      <c r="W19">
        <v>2319</v>
      </c>
    </row>
    <row r="20" spans="1:23" x14ac:dyDescent="0.25">
      <c r="A20" t="s">
        <v>35</v>
      </c>
      <c r="B20">
        <f t="shared" si="0"/>
        <v>333317</v>
      </c>
      <c r="C20">
        <v>120519</v>
      </c>
      <c r="D20">
        <v>0</v>
      </c>
      <c r="E20">
        <v>13588</v>
      </c>
      <c r="F20">
        <v>877</v>
      </c>
      <c r="G20">
        <v>19468</v>
      </c>
      <c r="H20">
        <v>15187</v>
      </c>
      <c r="I20">
        <v>103</v>
      </c>
      <c r="J20">
        <v>31</v>
      </c>
      <c r="K20">
        <v>1326</v>
      </c>
      <c r="L20">
        <v>132432</v>
      </c>
      <c r="M20">
        <v>24421</v>
      </c>
      <c r="N20">
        <v>2468</v>
      </c>
      <c r="O20">
        <v>0</v>
      </c>
      <c r="P20">
        <v>940</v>
      </c>
      <c r="Q20">
        <v>1227</v>
      </c>
      <c r="R20">
        <v>143</v>
      </c>
      <c r="S20">
        <v>17</v>
      </c>
      <c r="T20">
        <v>0</v>
      </c>
      <c r="U20">
        <v>10</v>
      </c>
      <c r="V20">
        <v>8</v>
      </c>
      <c r="W20">
        <v>552</v>
      </c>
    </row>
    <row r="21" spans="1:23" x14ac:dyDescent="0.25">
      <c r="A21" t="s">
        <v>36</v>
      </c>
      <c r="B21">
        <f t="shared" si="0"/>
        <v>455822</v>
      </c>
      <c r="C21">
        <v>228548</v>
      </c>
      <c r="D21">
        <v>0</v>
      </c>
      <c r="E21">
        <v>17941</v>
      </c>
      <c r="F21">
        <v>1103</v>
      </c>
      <c r="G21">
        <v>22153</v>
      </c>
      <c r="H21">
        <v>22168</v>
      </c>
      <c r="I21">
        <v>99</v>
      </c>
      <c r="J21">
        <v>59</v>
      </c>
      <c r="K21">
        <v>2712</v>
      </c>
      <c r="L21">
        <v>130593</v>
      </c>
      <c r="M21">
        <v>20180</v>
      </c>
      <c r="N21">
        <v>3411</v>
      </c>
      <c r="O21">
        <v>1</v>
      </c>
      <c r="P21">
        <v>3479</v>
      </c>
      <c r="Q21">
        <v>1654</v>
      </c>
      <c r="R21">
        <v>49</v>
      </c>
      <c r="S21">
        <v>29</v>
      </c>
      <c r="T21">
        <v>0</v>
      </c>
      <c r="U21">
        <v>76</v>
      </c>
      <c r="V21">
        <v>34</v>
      </c>
      <c r="W21">
        <v>1533</v>
      </c>
    </row>
    <row r="22" spans="1:23" x14ac:dyDescent="0.25">
      <c r="A22" t="s">
        <v>37</v>
      </c>
      <c r="B22">
        <f t="shared" si="0"/>
        <v>269323</v>
      </c>
      <c r="C22">
        <v>143393</v>
      </c>
      <c r="D22">
        <v>0</v>
      </c>
      <c r="E22">
        <v>13038</v>
      </c>
      <c r="F22">
        <v>698</v>
      </c>
      <c r="G22">
        <v>10844</v>
      </c>
      <c r="H22">
        <v>9988</v>
      </c>
      <c r="I22">
        <v>41</v>
      </c>
      <c r="J22">
        <v>175</v>
      </c>
      <c r="K22">
        <v>1972</v>
      </c>
      <c r="L22">
        <v>68806</v>
      </c>
      <c r="M22">
        <v>10336</v>
      </c>
      <c r="N22">
        <v>3217</v>
      </c>
      <c r="O22">
        <v>0</v>
      </c>
      <c r="P22">
        <v>5198</v>
      </c>
      <c r="Q22">
        <v>1046</v>
      </c>
      <c r="R22">
        <v>42</v>
      </c>
      <c r="S22">
        <v>25</v>
      </c>
      <c r="T22">
        <v>2</v>
      </c>
      <c r="U22">
        <v>65</v>
      </c>
      <c r="V22">
        <v>9</v>
      </c>
      <c r="W22">
        <v>428</v>
      </c>
    </row>
    <row r="23" spans="1:23" ht="21" customHeight="1" x14ac:dyDescent="0.2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4.25" customHeight="1" x14ac:dyDescent="0.25">
      <c r="A24" t="s">
        <v>38</v>
      </c>
      <c r="B24">
        <f t="shared" si="0"/>
        <v>829534</v>
      </c>
      <c r="C24">
        <v>458609</v>
      </c>
      <c r="D24">
        <v>40</v>
      </c>
      <c r="E24">
        <v>44650</v>
      </c>
      <c r="F24">
        <v>8872</v>
      </c>
      <c r="G24">
        <v>43975</v>
      </c>
      <c r="H24">
        <v>44296</v>
      </c>
      <c r="I24">
        <v>179</v>
      </c>
      <c r="J24">
        <v>671</v>
      </c>
      <c r="K24">
        <v>3427</v>
      </c>
      <c r="L24">
        <v>161541</v>
      </c>
      <c r="M24">
        <v>27680</v>
      </c>
      <c r="N24">
        <v>10222</v>
      </c>
      <c r="O24">
        <v>2</v>
      </c>
      <c r="P24">
        <v>11090</v>
      </c>
      <c r="Q24">
        <v>11777</v>
      </c>
      <c r="R24">
        <v>101</v>
      </c>
      <c r="S24">
        <v>64</v>
      </c>
      <c r="T24">
        <v>3</v>
      </c>
      <c r="U24">
        <v>490</v>
      </c>
      <c r="V24">
        <v>68</v>
      </c>
      <c r="W24">
        <v>1777</v>
      </c>
    </row>
    <row r="25" spans="1:23" x14ac:dyDescent="0.25">
      <c r="A25" t="s">
        <v>39</v>
      </c>
      <c r="B25">
        <f t="shared" si="0"/>
        <v>4796027</v>
      </c>
      <c r="C25">
        <v>2844079</v>
      </c>
      <c r="D25">
        <v>3</v>
      </c>
      <c r="E25">
        <v>205831</v>
      </c>
      <c r="F25">
        <v>28496</v>
      </c>
      <c r="G25">
        <v>225919</v>
      </c>
      <c r="H25">
        <v>250796</v>
      </c>
      <c r="I25">
        <v>188</v>
      </c>
      <c r="J25">
        <v>12375</v>
      </c>
      <c r="K25">
        <v>19550</v>
      </c>
      <c r="L25">
        <v>966369</v>
      </c>
      <c r="M25">
        <v>91166</v>
      </c>
      <c r="N25">
        <v>43678</v>
      </c>
      <c r="O25">
        <v>9</v>
      </c>
      <c r="P25">
        <v>63702</v>
      </c>
      <c r="Q25">
        <v>36336</v>
      </c>
      <c r="R25">
        <v>1075</v>
      </c>
      <c r="S25">
        <v>927</v>
      </c>
      <c r="T25">
        <v>11</v>
      </c>
      <c r="U25">
        <v>905</v>
      </c>
      <c r="V25">
        <v>200</v>
      </c>
      <c r="W25">
        <v>4412</v>
      </c>
    </row>
    <row r="26" spans="1:23" x14ac:dyDescent="0.25">
      <c r="A26" t="s">
        <v>40</v>
      </c>
      <c r="B26">
        <f t="shared" si="0"/>
        <v>3360294</v>
      </c>
      <c r="C26">
        <v>2519058</v>
      </c>
      <c r="D26">
        <v>2</v>
      </c>
      <c r="E26">
        <v>93794</v>
      </c>
      <c r="F26">
        <v>7132</v>
      </c>
      <c r="G26">
        <v>99259</v>
      </c>
      <c r="H26">
        <v>179332</v>
      </c>
      <c r="I26">
        <v>132</v>
      </c>
      <c r="J26">
        <v>535</v>
      </c>
      <c r="K26">
        <v>23645</v>
      </c>
      <c r="L26">
        <v>307631</v>
      </c>
      <c r="M26">
        <v>59273</v>
      </c>
      <c r="N26">
        <v>29072</v>
      </c>
      <c r="O26">
        <v>8</v>
      </c>
      <c r="P26">
        <v>23235</v>
      </c>
      <c r="Q26">
        <v>10737</v>
      </c>
      <c r="R26">
        <v>156</v>
      </c>
      <c r="S26">
        <v>615</v>
      </c>
      <c r="T26">
        <v>1</v>
      </c>
      <c r="U26">
        <v>429</v>
      </c>
      <c r="V26">
        <v>94</v>
      </c>
      <c r="W26">
        <v>6154</v>
      </c>
    </row>
    <row r="27" spans="1:23" x14ac:dyDescent="0.25">
      <c r="A27" t="s">
        <v>41</v>
      </c>
      <c r="B27">
        <f t="shared" si="0"/>
        <v>15187281</v>
      </c>
      <c r="C27">
        <v>10340008</v>
      </c>
      <c r="D27">
        <v>82</v>
      </c>
      <c r="E27">
        <v>491706</v>
      </c>
      <c r="F27">
        <v>71837</v>
      </c>
      <c r="G27">
        <v>602390</v>
      </c>
      <c r="H27">
        <v>779713</v>
      </c>
      <c r="I27">
        <v>2210</v>
      </c>
      <c r="J27">
        <v>48629</v>
      </c>
      <c r="K27">
        <v>68109</v>
      </c>
      <c r="L27">
        <v>2051343</v>
      </c>
      <c r="M27">
        <v>324612</v>
      </c>
      <c r="N27">
        <v>102820</v>
      </c>
      <c r="O27">
        <v>55</v>
      </c>
      <c r="P27">
        <v>155987</v>
      </c>
      <c r="Q27">
        <v>118006</v>
      </c>
      <c r="R27">
        <v>1667</v>
      </c>
      <c r="S27">
        <v>457</v>
      </c>
      <c r="T27">
        <v>31</v>
      </c>
      <c r="U27">
        <v>4931</v>
      </c>
      <c r="V27">
        <v>766</v>
      </c>
      <c r="W27">
        <v>21922</v>
      </c>
    </row>
    <row r="28" spans="1:23" ht="20.100000000000001" customHeight="1" x14ac:dyDescent="0.2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4.25" customHeight="1" x14ac:dyDescent="0.25">
      <c r="A29" t="s">
        <v>42</v>
      </c>
      <c r="B29">
        <f t="shared" si="0"/>
        <v>3739741</v>
      </c>
      <c r="C29">
        <v>2304634</v>
      </c>
      <c r="D29">
        <v>18</v>
      </c>
      <c r="E29">
        <v>184783</v>
      </c>
      <c r="F29">
        <v>45759</v>
      </c>
      <c r="G29">
        <v>177655</v>
      </c>
      <c r="H29">
        <v>195039</v>
      </c>
      <c r="I29">
        <v>505</v>
      </c>
      <c r="J29">
        <v>7331</v>
      </c>
      <c r="K29">
        <v>10663</v>
      </c>
      <c r="L29">
        <v>540082</v>
      </c>
      <c r="M29">
        <v>122075</v>
      </c>
      <c r="N29">
        <v>25177</v>
      </c>
      <c r="O29">
        <v>20</v>
      </c>
      <c r="P29">
        <v>51305</v>
      </c>
      <c r="Q29">
        <v>67681</v>
      </c>
      <c r="R29">
        <v>416</v>
      </c>
      <c r="S29">
        <v>106</v>
      </c>
      <c r="T29">
        <v>7</v>
      </c>
      <c r="U29">
        <v>1023</v>
      </c>
      <c r="V29">
        <v>232</v>
      </c>
      <c r="W29">
        <v>5230</v>
      </c>
    </row>
    <row r="30" spans="1:23" x14ac:dyDescent="0.25">
      <c r="A30" t="s">
        <v>43</v>
      </c>
      <c r="B30">
        <f t="shared" si="0"/>
        <v>3665308</v>
      </c>
      <c r="C30">
        <v>2334330</v>
      </c>
      <c r="D30">
        <v>31</v>
      </c>
      <c r="E30">
        <v>156427</v>
      </c>
      <c r="F30">
        <v>30263</v>
      </c>
      <c r="G30">
        <v>143012</v>
      </c>
      <c r="H30">
        <v>173252</v>
      </c>
      <c r="I30">
        <v>741</v>
      </c>
      <c r="J30">
        <v>3879</v>
      </c>
      <c r="K30">
        <v>12622</v>
      </c>
      <c r="L30">
        <v>566747</v>
      </c>
      <c r="M30">
        <v>83651</v>
      </c>
      <c r="N30">
        <v>27849</v>
      </c>
      <c r="O30">
        <v>38</v>
      </c>
      <c r="P30">
        <v>54264</v>
      </c>
      <c r="Q30">
        <v>68689</v>
      </c>
      <c r="R30">
        <v>327</v>
      </c>
      <c r="S30">
        <v>13</v>
      </c>
      <c r="T30">
        <v>10</v>
      </c>
      <c r="U30">
        <v>3183</v>
      </c>
      <c r="V30">
        <v>162</v>
      </c>
      <c r="W30">
        <v>5818</v>
      </c>
    </row>
    <row r="31" spans="1:23" x14ac:dyDescent="0.25">
      <c r="A31" t="s">
        <v>44</v>
      </c>
      <c r="B31">
        <f t="shared" si="0"/>
        <v>2437535</v>
      </c>
      <c r="C31">
        <v>1450976</v>
      </c>
      <c r="D31">
        <v>2</v>
      </c>
      <c r="E31">
        <v>103580</v>
      </c>
      <c r="F31">
        <v>27045</v>
      </c>
      <c r="G31">
        <v>101983</v>
      </c>
      <c r="H31">
        <v>102234</v>
      </c>
      <c r="I31">
        <v>413</v>
      </c>
      <c r="J31">
        <v>1418</v>
      </c>
      <c r="K31">
        <v>6891</v>
      </c>
      <c r="L31">
        <v>460254</v>
      </c>
      <c r="M31">
        <v>95514</v>
      </c>
      <c r="N31">
        <v>12982</v>
      </c>
      <c r="O31">
        <v>9</v>
      </c>
      <c r="P31">
        <v>28849</v>
      </c>
      <c r="Q31">
        <v>38118</v>
      </c>
      <c r="R31">
        <v>555</v>
      </c>
      <c r="S31">
        <v>315</v>
      </c>
      <c r="T31">
        <v>8</v>
      </c>
      <c r="U31">
        <v>1393</v>
      </c>
      <c r="V31">
        <v>95</v>
      </c>
      <c r="W31">
        <v>4901</v>
      </c>
    </row>
    <row r="32" spans="1:23" ht="21" customHeight="1" x14ac:dyDescent="0.25">
      <c r="A32" s="5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4.25" customHeight="1" x14ac:dyDescent="0.25">
      <c r="A33" s="3" t="s">
        <v>45</v>
      </c>
      <c r="B33">
        <f t="shared" si="0"/>
        <v>891013</v>
      </c>
      <c r="C33">
        <v>688116</v>
      </c>
      <c r="D33">
        <v>11</v>
      </c>
      <c r="E33">
        <v>15762</v>
      </c>
      <c r="F33">
        <v>1436</v>
      </c>
      <c r="G33">
        <v>37883</v>
      </c>
      <c r="H33">
        <v>42748</v>
      </c>
      <c r="I33">
        <v>189</v>
      </c>
      <c r="J33">
        <v>418</v>
      </c>
      <c r="K33">
        <v>5383</v>
      </c>
      <c r="L33">
        <v>68549</v>
      </c>
      <c r="M33">
        <v>5867</v>
      </c>
      <c r="N33">
        <v>6075</v>
      </c>
      <c r="O33">
        <v>1</v>
      </c>
      <c r="P33">
        <v>13152</v>
      </c>
      <c r="Q33">
        <v>1865</v>
      </c>
      <c r="R33">
        <v>567</v>
      </c>
      <c r="S33">
        <v>119</v>
      </c>
      <c r="T33">
        <v>1</v>
      </c>
      <c r="U33">
        <v>396</v>
      </c>
      <c r="V33">
        <v>61</v>
      </c>
      <c r="W33">
        <v>2414</v>
      </c>
    </row>
    <row r="34" spans="1:23" x14ac:dyDescent="0.25">
      <c r="A34" t="s">
        <v>46</v>
      </c>
      <c r="B34">
        <f t="shared" si="0"/>
        <v>1574386</v>
      </c>
      <c r="C34">
        <v>800202</v>
      </c>
      <c r="D34">
        <v>0</v>
      </c>
      <c r="E34">
        <v>67834</v>
      </c>
      <c r="F34">
        <v>11436</v>
      </c>
      <c r="G34">
        <v>88974</v>
      </c>
      <c r="H34">
        <v>90850</v>
      </c>
      <c r="I34">
        <v>164</v>
      </c>
      <c r="J34">
        <v>1631</v>
      </c>
      <c r="K34">
        <v>3840</v>
      </c>
      <c r="L34">
        <v>347493</v>
      </c>
      <c r="M34">
        <v>87958</v>
      </c>
      <c r="N34">
        <v>12146</v>
      </c>
      <c r="O34">
        <v>0</v>
      </c>
      <c r="P34">
        <v>37703</v>
      </c>
      <c r="Q34">
        <v>21528</v>
      </c>
      <c r="R34">
        <v>78</v>
      </c>
      <c r="S34">
        <v>181</v>
      </c>
      <c r="T34">
        <v>2</v>
      </c>
      <c r="U34">
        <v>30</v>
      </c>
      <c r="V34">
        <v>108</v>
      </c>
      <c r="W34">
        <v>2228</v>
      </c>
    </row>
    <row r="35" spans="1:23" x14ac:dyDescent="0.25">
      <c r="A35" t="s">
        <v>47</v>
      </c>
      <c r="B35">
        <f t="shared" si="0"/>
        <v>730609</v>
      </c>
      <c r="C35">
        <v>266592</v>
      </c>
      <c r="D35">
        <v>0</v>
      </c>
      <c r="E35">
        <v>40875</v>
      </c>
      <c r="F35">
        <v>11963</v>
      </c>
      <c r="G35">
        <v>57915</v>
      </c>
      <c r="H35">
        <v>39727</v>
      </c>
      <c r="I35">
        <v>11</v>
      </c>
      <c r="J35">
        <v>581</v>
      </c>
      <c r="K35">
        <v>1633</v>
      </c>
      <c r="L35">
        <v>206177</v>
      </c>
      <c r="M35">
        <v>67718</v>
      </c>
      <c r="N35">
        <v>5090</v>
      </c>
      <c r="O35">
        <v>3</v>
      </c>
      <c r="P35">
        <v>10538</v>
      </c>
      <c r="Q35">
        <v>20097</v>
      </c>
      <c r="R35">
        <v>99</v>
      </c>
      <c r="S35">
        <v>40</v>
      </c>
      <c r="T35">
        <v>0</v>
      </c>
      <c r="U35">
        <v>5</v>
      </c>
      <c r="V35">
        <v>77</v>
      </c>
      <c r="W35">
        <v>1468</v>
      </c>
    </row>
    <row r="36" spans="1:23" x14ac:dyDescent="0.25">
      <c r="A36" t="s">
        <v>48</v>
      </c>
      <c r="B36">
        <f t="shared" si="0"/>
        <v>663972</v>
      </c>
      <c r="C36">
        <v>324042</v>
      </c>
      <c r="D36">
        <v>10</v>
      </c>
      <c r="E36">
        <v>32839</v>
      </c>
      <c r="F36">
        <v>6189</v>
      </c>
      <c r="G36">
        <v>45272</v>
      </c>
      <c r="H36">
        <v>39460</v>
      </c>
      <c r="I36">
        <v>96</v>
      </c>
      <c r="J36">
        <v>854</v>
      </c>
      <c r="K36">
        <v>1425</v>
      </c>
      <c r="L36">
        <v>149374</v>
      </c>
      <c r="M36">
        <v>37563</v>
      </c>
      <c r="N36">
        <v>4622</v>
      </c>
      <c r="O36">
        <v>0</v>
      </c>
      <c r="P36">
        <v>10377</v>
      </c>
      <c r="Q36">
        <v>10332</v>
      </c>
      <c r="R36">
        <v>142</v>
      </c>
      <c r="S36">
        <v>77</v>
      </c>
      <c r="T36">
        <v>0</v>
      </c>
      <c r="U36">
        <v>78</v>
      </c>
      <c r="V36">
        <v>60</v>
      </c>
      <c r="W36">
        <v>1160</v>
      </c>
    </row>
    <row r="37" spans="1:23" ht="6" customHeight="1" thickBot="1" x14ac:dyDescent="0.3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21.75" customHeight="1" thickTop="1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1" t="s">
        <v>52</v>
      </c>
    </row>
    <row r="41" spans="1:23" ht="40.5" customHeight="1" x14ac:dyDescent="0.25">
      <c r="A41" s="17" t="s">
        <v>49</v>
      </c>
      <c r="B41" s="6" t="s">
        <v>0</v>
      </c>
      <c r="C41" s="7" t="s">
        <v>1</v>
      </c>
      <c r="D41" s="7" t="s">
        <v>10</v>
      </c>
      <c r="E41" s="7" t="s">
        <v>6</v>
      </c>
      <c r="F41" s="7" t="s">
        <v>5</v>
      </c>
      <c r="G41" s="7" t="s">
        <v>3</v>
      </c>
      <c r="H41" s="7" t="s">
        <v>11</v>
      </c>
      <c r="I41" s="7" t="s">
        <v>14</v>
      </c>
      <c r="J41" s="7" t="s">
        <v>15</v>
      </c>
      <c r="K41" s="7" t="s">
        <v>12</v>
      </c>
      <c r="L41" s="7" t="s">
        <v>4</v>
      </c>
      <c r="M41" s="7" t="s">
        <v>9</v>
      </c>
      <c r="N41" s="7" t="s">
        <v>8</v>
      </c>
      <c r="O41" s="7" t="s">
        <v>21</v>
      </c>
      <c r="P41" s="7" t="s">
        <v>19</v>
      </c>
      <c r="Q41" s="7" t="s">
        <v>7</v>
      </c>
      <c r="R41" s="7" t="s">
        <v>16</v>
      </c>
      <c r="S41" s="7" t="s">
        <v>17</v>
      </c>
      <c r="T41" s="7" t="s">
        <v>20</v>
      </c>
      <c r="U41" s="7" t="s">
        <v>2</v>
      </c>
      <c r="V41" s="7" t="s">
        <v>13</v>
      </c>
      <c r="W41" s="7" t="s">
        <v>18</v>
      </c>
    </row>
    <row r="42" spans="1:23" x14ac:dyDescent="0.25">
      <c r="A42" s="17"/>
      <c r="B42" s="8">
        <f>SUM(C42:W42)</f>
        <v>45372640</v>
      </c>
      <c r="C42" s="12">
        <v>27868564</v>
      </c>
      <c r="D42" s="12">
        <v>7989925</v>
      </c>
      <c r="E42" s="12">
        <v>2328596</v>
      </c>
      <c r="F42" s="12">
        <v>2036030</v>
      </c>
      <c r="G42" s="12">
        <v>1768221</v>
      </c>
      <c r="H42" s="12">
        <v>1370771</v>
      </c>
      <c r="I42" s="12">
        <v>529329</v>
      </c>
      <c r="J42" s="12">
        <v>458334</v>
      </c>
      <c r="K42" s="12">
        <v>353583</v>
      </c>
      <c r="L42" s="12">
        <v>280037</v>
      </c>
      <c r="M42" s="12">
        <v>198393</v>
      </c>
      <c r="N42" s="12">
        <v>83341</v>
      </c>
      <c r="O42" s="12">
        <v>74158</v>
      </c>
      <c r="P42" s="12">
        <v>13293</v>
      </c>
      <c r="Q42" s="12">
        <v>7082</v>
      </c>
      <c r="R42" s="12">
        <v>6710</v>
      </c>
      <c r="S42" s="12">
        <v>3494</v>
      </c>
      <c r="T42" s="12">
        <v>2335</v>
      </c>
      <c r="U42" s="12">
        <v>216</v>
      </c>
      <c r="V42" s="12">
        <v>150</v>
      </c>
      <c r="W42" s="12">
        <v>78</v>
      </c>
    </row>
    <row r="43" spans="1:23" x14ac:dyDescent="0.25">
      <c r="A43" s="18"/>
      <c r="B43" s="9">
        <v>1</v>
      </c>
      <c r="C43" s="16">
        <v>63.116698279864714</v>
      </c>
      <c r="D43" s="16">
        <v>18.095574838507936</v>
      </c>
      <c r="E43" s="16">
        <v>5.2738020928419509</v>
      </c>
      <c r="F43" s="16">
        <v>4.6111988833996955</v>
      </c>
      <c r="G43" s="16">
        <v>4.0046653049335683</v>
      </c>
      <c r="H43" s="16">
        <v>3.1045209081382317</v>
      </c>
      <c r="I43" s="16">
        <v>1.1988238354793774</v>
      </c>
      <c r="J43" s="16">
        <v>1.0380344243572617</v>
      </c>
      <c r="K43" s="16">
        <v>0.80079445528264037</v>
      </c>
      <c r="L43" s="16">
        <v>0.6342275416917238</v>
      </c>
      <c r="M43" s="16">
        <v>0.44932028510106226</v>
      </c>
      <c r="N43" s="16">
        <v>0.18875062063987957</v>
      </c>
      <c r="O43" s="16">
        <v>0.16795297063164816</v>
      </c>
      <c r="P43" s="16">
        <v>3.0105974252359811E-2</v>
      </c>
      <c r="Q43" s="16">
        <v>1.6039307128203732E-2</v>
      </c>
      <c r="R43" s="16">
        <v>1.5196801868151229E-2</v>
      </c>
      <c r="S43" s="16">
        <v>7.9132080070522196E-3</v>
      </c>
      <c r="T43" s="16">
        <v>5.2883058661897355E-3</v>
      </c>
      <c r="U43" s="16">
        <v>4.8919660261112767E-4</v>
      </c>
      <c r="V43" s="16">
        <v>3.3971986292439415E-4</v>
      </c>
      <c r="W43" s="16">
        <v>1.7665432872068494E-4</v>
      </c>
    </row>
    <row r="44" spans="1:23" ht="5.25" customHeight="1" x14ac:dyDescent="0.25"/>
    <row r="45" spans="1:23" ht="13.8" thickBo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ht="13.8" thickTop="1" x14ac:dyDescent="0.25">
      <c r="A46" t="s">
        <v>50</v>
      </c>
    </row>
  </sheetData>
  <mergeCells count="1">
    <mergeCell ref="A41:A43"/>
  </mergeCells>
  <phoneticPr fontId="0" type="noConversion"/>
  <pageMargins left="0.27" right="0.22" top="0.41" bottom="1" header="0.17" footer="0.49212598499999999"/>
  <pageSetup paperSize="9" scale="51" orientation="landscape" r:id="rId1"/>
  <headerFooter alignWithMargins="0">
    <oddHeader>&amp;F&amp;RPágina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Dezembro_2006</vt:lpstr>
    </vt:vector>
  </TitlesOfParts>
  <Company>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DENATRAN-CGIE</dc:creator>
  <cp:lastModifiedBy>Sergio Prolo</cp:lastModifiedBy>
  <cp:lastPrinted>2006-02-24T14:15:11Z</cp:lastPrinted>
  <dcterms:created xsi:type="dcterms:W3CDTF">2004-05-06T13:06:54Z</dcterms:created>
  <dcterms:modified xsi:type="dcterms:W3CDTF">2024-04-27T10:33:33Z</dcterms:modified>
</cp:coreProperties>
</file>