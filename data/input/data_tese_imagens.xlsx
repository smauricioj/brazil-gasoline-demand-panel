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maur\OneDrive\Área de Trabalho\scripts\tese\data\input\"/>
    </mc:Choice>
  </mc:AlternateContent>
  <xr:revisionPtr revIDLastSave="0" documentId="13_ncr:1_{95EEA3E5-E25E-44C2-A097-1A8ADC10199A}" xr6:coauthVersionLast="47" xr6:coauthVersionMax="47" xr10:uidLastSave="{00000000-0000-0000-0000-000000000000}"/>
  <bookViews>
    <workbookView xWindow="-120" yWindow="-120" windowWidth="29040" windowHeight="15720" activeTab="1" xr2:uid="{0CC0F607-EDB3-4572-A29A-93A94DB78A4F}"/>
  </bookViews>
  <sheets>
    <sheet name="Sheet1" sheetId="2" r:id="rId1"/>
    <sheet name="Chart1" sheetId="3" r:id="rId2"/>
    <sheet name="data_tese" sheetId="1" r:id="rId3"/>
    <sheet name="Pie - fleet" sheetId="6" r:id="rId4"/>
    <sheet name="frota_circulante" sheetId="5" r:id="rId5"/>
  </sheets>
  <definedNames>
    <definedName name="ExternalData_1" localSheetId="4" hidden="1">frota_circulante!$A$1:$F$67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I7" i="2"/>
  <c r="K7" i="2"/>
  <c r="I4" i="2"/>
  <c r="I8" i="2" l="1"/>
  <c r="J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7D0F2B-1666-48CA-8F7D-4AD6795C9AB4}" keepAlive="1" name="Query - frota_circulante" description="Connection to the 'frota_circulante' query in the workbook." type="5" refreshedVersion="8" background="1" saveData="1">
    <dbPr connection="Provider=Microsoft.Mashup.OleDb.1;Data Source=$Workbook$;Location=frota_circulante;Extended Properties=&quot;&quot;" command="SELECT * FROM [frota_circulante]"/>
  </connection>
</connections>
</file>

<file path=xl/sharedStrings.xml><?xml version="1.0" encoding="utf-8"?>
<sst xmlns="http://schemas.openxmlformats.org/spreadsheetml/2006/main" count="26" uniqueCount="20">
  <si>
    <t>i</t>
  </si>
  <si>
    <t>t</t>
  </si>
  <si>
    <t>Sg</t>
  </si>
  <si>
    <t>Se</t>
  </si>
  <si>
    <t>Pop</t>
  </si>
  <si>
    <t>Sg_pc</t>
  </si>
  <si>
    <t>Se_pc</t>
  </si>
  <si>
    <t>Pg</t>
  </si>
  <si>
    <t>Pe</t>
  </si>
  <si>
    <t>Pd</t>
  </si>
  <si>
    <t>Row Labels</t>
  </si>
  <si>
    <t>Grand Total</t>
  </si>
  <si>
    <t>Gasoline</t>
  </si>
  <si>
    <t>Ethanol</t>
  </si>
  <si>
    <t>Ano</t>
  </si>
  <si>
    <t>Flex</t>
  </si>
  <si>
    <t>Electric</t>
  </si>
  <si>
    <t>Total</t>
  </si>
  <si>
    <t>Fuel</t>
  </si>
  <si>
    <t>Fleet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</si>
</sst>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3" fillId="33" borderId="10" xfId="0" applyFont="1" applyFill="1" applyBorder="1"/>
    <xf numFmtId="0" fontId="0" fillId="0" borderId="10" xfId="0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[data_tese_imagens.xlsx]Sheet1!PivotTable3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solidFill>
              <a:schemeClr val="accent1">
                <a:lumMod val="60000"/>
                <a:lumOff val="4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Gasoline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Sheet1!$A$4:$A$22</c:f>
              <c:strCach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strCache>
            </c:strRef>
          </c:cat>
          <c:val>
            <c:numRef>
              <c:f>Sheet1!$B$4:$B$22</c:f>
              <c:numCache>
                <c:formatCode>General</c:formatCode>
                <c:ptCount val="18"/>
                <c:pt idx="0">
                  <c:v>24007633.499999996</c:v>
                </c:pt>
                <c:pt idx="1">
                  <c:v>24325448.640000001</c:v>
                </c:pt>
                <c:pt idx="2">
                  <c:v>25174782.619999997</c:v>
                </c:pt>
                <c:pt idx="3">
                  <c:v>25409089.750000004</c:v>
                </c:pt>
                <c:pt idx="4">
                  <c:v>29843665.009999994</c:v>
                </c:pt>
                <c:pt idx="5">
                  <c:v>35491255.699999996</c:v>
                </c:pt>
                <c:pt idx="6">
                  <c:v>39697714.699999996</c:v>
                </c:pt>
                <c:pt idx="7">
                  <c:v>41426236.589999989</c:v>
                </c:pt>
                <c:pt idx="8">
                  <c:v>44364246.809999995</c:v>
                </c:pt>
                <c:pt idx="9">
                  <c:v>41137401.559999987</c:v>
                </c:pt>
                <c:pt idx="10">
                  <c:v>43019081.860000007</c:v>
                </c:pt>
                <c:pt idx="11">
                  <c:v>44149532.009999998</c:v>
                </c:pt>
                <c:pt idx="12">
                  <c:v>38351779.260000005</c:v>
                </c:pt>
                <c:pt idx="13">
                  <c:v>38165036.760000013</c:v>
                </c:pt>
                <c:pt idx="14">
                  <c:v>35823614.180000007</c:v>
                </c:pt>
                <c:pt idx="15">
                  <c:v>39317347.130000003</c:v>
                </c:pt>
                <c:pt idx="16">
                  <c:v>43039272.100000001</c:v>
                </c:pt>
                <c:pt idx="17">
                  <c:v>46029714.280000001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7-49C5-90A7-8BC1FEDA58B3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Ethanol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Sheet1!$A$4:$A$22</c:f>
              <c:strCach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strCache>
            </c:strRef>
          </c:cat>
          <c:val>
            <c:numRef>
              <c:f>Sheet1!$C$4:$C$22</c:f>
              <c:numCache>
                <c:formatCode>General</c:formatCode>
                <c:ptCount val="18"/>
                <c:pt idx="0">
                  <c:v>6186552.8000000007</c:v>
                </c:pt>
                <c:pt idx="1">
                  <c:v>9366835.6799999997</c:v>
                </c:pt>
                <c:pt idx="2">
                  <c:v>13290095.839999998</c:v>
                </c:pt>
                <c:pt idx="3">
                  <c:v>16470948.17</c:v>
                </c:pt>
                <c:pt idx="4">
                  <c:v>15074300.479999999</c:v>
                </c:pt>
                <c:pt idx="5">
                  <c:v>10899220.539999999</c:v>
                </c:pt>
                <c:pt idx="6">
                  <c:v>9850180.2899999991</c:v>
                </c:pt>
                <c:pt idx="7">
                  <c:v>11754962.98</c:v>
                </c:pt>
                <c:pt idx="8">
                  <c:v>12994115.140000001</c:v>
                </c:pt>
                <c:pt idx="9">
                  <c:v>17862739.520000003</c:v>
                </c:pt>
                <c:pt idx="10">
                  <c:v>14585844.16</c:v>
                </c:pt>
                <c:pt idx="11">
                  <c:v>13644445.460000001</c:v>
                </c:pt>
                <c:pt idx="12">
                  <c:v>19384719.150000002</c:v>
                </c:pt>
                <c:pt idx="13">
                  <c:v>22544050.099999998</c:v>
                </c:pt>
                <c:pt idx="14">
                  <c:v>19256205.520000003</c:v>
                </c:pt>
                <c:pt idx="15">
                  <c:v>16682287.08</c:v>
                </c:pt>
                <c:pt idx="16">
                  <c:v>15252361.74</c:v>
                </c:pt>
                <c:pt idx="17">
                  <c:v>16034900.189999999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57-49C5-90A7-8BC1FEDA5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035739055"/>
        <c:axId val="2035739535"/>
      </c:barChart>
      <c:catAx>
        <c:axId val="203573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035739535"/>
        <c:crosses val="autoZero"/>
        <c:auto val="1"/>
        <c:lblAlgn val="ctr"/>
        <c:lblOffset val="100"/>
        <c:noMultiLvlLbl val="0"/>
      </c:catAx>
      <c:valAx>
        <c:axId val="203573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 Fuel sales [m³]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15875"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03573905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frota_circulante!$K$1</c:f>
              <c:strCache>
                <c:ptCount val="1"/>
                <c:pt idx="0">
                  <c:v>Fleet</c:v>
                </c:pt>
              </c:strCache>
            </c:strRef>
          </c:tx>
          <c:spPr>
            <a:ln w="12700"/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2"/>
              </a:solidFill>
              <a:ln w="1270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24-449A-B943-3435E48BF80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270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24-449A-B943-3435E48BF803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270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24-449A-B943-3435E48BF803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270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224-449A-B943-3435E48BF803}"/>
              </c:ext>
            </c:extLst>
          </c:dPt>
          <c:dLbls>
            <c:dLbl>
              <c:idx val="0"/>
              <c:layout>
                <c:manualLayout>
                  <c:x val="-0.14946289824073825"/>
                  <c:y val="-0.26475017439958087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24-449A-B943-3435E48BF803}"/>
                </c:ext>
              </c:extLst>
            </c:dLbl>
            <c:dLbl>
              <c:idx val="1"/>
              <c:layout>
                <c:manualLayout>
                  <c:x val="0.14768384076170563"/>
                  <c:y val="-0.22690944751556166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24-449A-B943-3435E48BF803}"/>
                </c:ext>
              </c:extLst>
            </c:dLbl>
            <c:dLbl>
              <c:idx val="2"/>
              <c:layout>
                <c:manualLayout>
                  <c:x val="0.22516892635226873"/>
                  <c:y val="-5.7962264440621233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24-449A-B943-3435E48BF803}"/>
                </c:ext>
              </c:extLst>
            </c:dLbl>
            <c:dLbl>
              <c:idx val="3"/>
              <c:layout>
                <c:manualLayout>
                  <c:x val="0.17970418392063089"/>
                  <c:y val="0.16444992884880924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24-449A-B943-3435E48BF803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frota_circulante!$J$2:$J$5</c:f>
              <c:strCache>
                <c:ptCount val="4"/>
                <c:pt idx="0">
                  <c:v>Flex</c:v>
                </c:pt>
                <c:pt idx="1">
                  <c:v>Gasoline</c:v>
                </c:pt>
                <c:pt idx="2">
                  <c:v>Ethanol</c:v>
                </c:pt>
                <c:pt idx="3">
                  <c:v>Electric</c:v>
                </c:pt>
              </c:strCache>
            </c:strRef>
          </c:cat>
          <c:val>
            <c:numRef>
              <c:f>frota_circulante!$K$2:$K$5</c:f>
              <c:numCache>
                <c:formatCode>General</c:formatCode>
                <c:ptCount val="4"/>
                <c:pt idx="0">
                  <c:v>32206054</c:v>
                </c:pt>
                <c:pt idx="1">
                  <c:v>10559188</c:v>
                </c:pt>
                <c:pt idx="2">
                  <c:v>1007638</c:v>
                </c:pt>
                <c:pt idx="3">
                  <c:v>125107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24-449A-B943-3435E48BF8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4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F11BB9-431C-445D-846D-6593D6CD3EFD}">
  <sheetPr/>
  <sheetViews>
    <sheetView tabSelected="1" zoomScale="136" workbookViewId="0" zoomToFit="1"/>
  </sheetViews>
  <pageMargins left="0" right="0" top="0" bottom="0" header="0" footer="0"/>
  <pageSetup paperSize="11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B58EE3-EED9-42D3-929B-951F5633D5D6}">
  <sheetPr/>
  <sheetViews>
    <sheetView zoomScale="136" workbookViewId="0" zoomToFit="1"/>
  </sheetViews>
  <pageMargins left="0" right="0" top="0" bottom="0" header="0" footer="0"/>
  <pageSetup paperSize="11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7430901" cy="52107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814CB-6288-F8B6-0EE0-7FAAB4ED8F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7430901" cy="52247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C9C037-5579-2482-BBAD-41C1C0710A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io Prolo" refreshedDate="46073.501597685186" createdVersion="8" refreshedVersion="8" minRefreshableVersion="3" recordCount="486" xr:uid="{793D426C-FB5D-4FC2-B212-B1AFA82D761A}">
  <cacheSource type="worksheet">
    <worksheetSource ref="A1:J487" sheet="data_tese"/>
  </cacheSource>
  <cacheFields count="10">
    <cacheField name="i" numFmtId="0">
      <sharedItems containsSemiMixedTypes="0" containsString="0" containsNumber="1" containsInteger="1" minValue="11" maxValue="53" count="27">
        <n v="11"/>
        <n v="12"/>
        <n v="13"/>
        <n v="14"/>
        <n v="15"/>
        <n v="16"/>
        <n v="17"/>
        <n v="21"/>
        <n v="22"/>
        <n v="23"/>
        <n v="24"/>
        <n v="25"/>
        <n v="26"/>
        <n v="27"/>
        <n v="28"/>
        <n v="29"/>
        <n v="31"/>
        <n v="32"/>
        <n v="33"/>
        <n v="35"/>
        <n v="41"/>
        <n v="42"/>
        <n v="43"/>
        <n v="50"/>
        <n v="51"/>
        <n v="52"/>
        <n v="53"/>
      </sharedItems>
    </cacheField>
    <cacheField name="t" numFmtId="0">
      <sharedItems containsSemiMixedTypes="0" containsString="0" containsNumber="1" containsInteger="1" minValue="2006" maxValue="2023" count="18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Sg" numFmtId="0">
      <sharedItems containsSemiMixedTypes="0" containsString="0" containsNumber="1" minValue="48344.95" maxValue="10849785.85"/>
    </cacheField>
    <cacheField name="Se" numFmtId="0">
      <sharedItems containsSemiMixedTypes="0" containsString="0" containsNumber="1" minValue="322.83" maxValue="11673779.17"/>
    </cacheField>
    <cacheField name="Pop" numFmtId="0">
      <sharedItems containsSemiMixedTypes="0" containsString="0" containsNumber="1" containsInteger="1" minValue="403344" maxValue="46649132"/>
    </cacheField>
    <cacheField name="Sg_pc" numFmtId="0">
      <sharedItems containsSemiMixedTypes="0" containsString="0" containsNumber="1" minValue="4.9535105128305397E-2" maxValue="0.422871142266245"/>
    </cacheField>
    <cacheField name="Se_pc" numFmtId="0">
      <sharedItems containsSemiMixedTypes="0" containsString="0" containsNumber="1" minValue="3.6785006603138199E-4" maxValue="0.28700825894125498"/>
    </cacheField>
    <cacheField name="Pg" numFmtId="0">
      <sharedItems containsSemiMixedTypes="0" containsString="0" containsNumber="1" minValue="1.6598999999999999" maxValue="2.95"/>
    </cacheField>
    <cacheField name="Pe" numFmtId="0">
      <sharedItems containsSemiMixedTypes="0" containsString="0" containsNumber="1" minValue="1.1479999999999999" maxValue="2.4481000000000002"/>
    </cacheField>
    <cacheField name="Pd" numFmtId="0">
      <sharedItems containsSemiMixedTypes="0" containsString="0" containsNumber="1" minValue="1.4518" maxValue="3.0935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x v="0"/>
    <x v="0"/>
    <n v="180781.71"/>
    <n v="10618.08"/>
    <n v="1562417"/>
    <n v="0.115706440726131"/>
    <n v="6.7959321999184596E-3"/>
    <n v="2.73"/>
    <n v="2.14"/>
    <n v="2.08"/>
  </r>
  <r>
    <x v="0"/>
    <x v="1"/>
    <n v="192110.87"/>
    <n v="21534.12"/>
    <n v="1527991"/>
    <n v="0.12572774970533199"/>
    <n v="1.40930934802626E-2"/>
    <n v="2.5655999999999999"/>
    <n v="1.8189"/>
    <n v="1.9816"/>
  </r>
  <r>
    <x v="0"/>
    <x v="2"/>
    <n v="211211.34"/>
    <n v="40583.800000000003"/>
    <n v="1493565"/>
    <n v="0.14141422703397499"/>
    <n v="2.7172436418903701E-2"/>
    <n v="2.4498000000000002"/>
    <n v="1.6814"/>
    <n v="2.0068000000000001"/>
  </r>
  <r>
    <x v="0"/>
    <x v="3"/>
    <n v="233616.64000000001"/>
    <n v="57187.67"/>
    <n v="1503928"/>
    <n v="0.15533764914277801"/>
    <n v="3.8025537126777302E-2"/>
    <n v="2.3224999999999998"/>
    <n v="1.6119000000000001"/>
    <n v="1.9672000000000001"/>
  </r>
  <r>
    <x v="0"/>
    <x v="4"/>
    <n v="286145.90000000002"/>
    <n v="40080.720000000001"/>
    <n v="1540192"/>
    <n v="0.18578586306122799"/>
    <n v="2.6023197107893001E-2"/>
    <n v="2.2665999999999999"/>
    <n v="1.6856"/>
    <n v="1.8247"/>
  </r>
  <r>
    <x v="0"/>
    <x v="5"/>
    <n v="325210.12"/>
    <n v="26509.16"/>
    <n v="1576455"/>
    <n v="0.20629204132055701"/>
    <n v="1.68156782147286E-2"/>
    <n v="2.2742"/>
    <n v="1.8209"/>
    <n v="1.7134"/>
  </r>
  <r>
    <x v="0"/>
    <x v="6"/>
    <n v="365370.29"/>
    <n v="19696.68"/>
    <n v="1590011"/>
    <n v="0.22979104547075399"/>
    <n v="1.23877633550962E-2"/>
    <n v="2.1415000000000002"/>
    <n v="1.7495000000000001"/>
    <n v="1.6261000000000001"/>
  </r>
  <r>
    <x v="0"/>
    <x v="7"/>
    <n v="378462.95"/>
    <n v="20747.509999999998"/>
    <n v="1728214"/>
    <n v="0.21899079049238099"/>
    <n v="1.2005174127741099E-2"/>
    <n v="2.0973999999999999"/>
    <n v="1.6793"/>
    <n v="1.7067000000000001"/>
  </r>
  <r>
    <x v="0"/>
    <x v="8"/>
    <n v="406947.37"/>
    <n v="18135.060000000001"/>
    <n v="1748531"/>
    <n v="0.232736720138218"/>
    <n v="1.03715976439651E-2"/>
    <n v="2.0611999999999999"/>
    <n v="1.6940999999999999"/>
    <n v="1.7778"/>
  </r>
  <r>
    <x v="0"/>
    <x v="9"/>
    <n v="416855.03"/>
    <n v="29194.54"/>
    <n v="1768204"/>
    <n v="0.23575052991623099"/>
    <n v="1.6510843771420002E-2"/>
    <n v="2.0895000000000001"/>
    <n v="1.6122000000000001"/>
    <n v="1.8101"/>
  </r>
  <r>
    <x v="0"/>
    <x v="10"/>
    <n v="431573.74"/>
    <n v="14528.65"/>
    <n v="1787279"/>
    <n v="0.24146970898220099"/>
    <n v="8.1289211141629195E-3"/>
    <n v="2.1246"/>
    <n v="1.8563000000000001"/>
    <n v="1.8069999999999999"/>
  </r>
  <r>
    <x v="0"/>
    <x v="11"/>
    <n v="436154.44"/>
    <n v="11331.85"/>
    <n v="1805788"/>
    <n v="0.24153136470061801"/>
    <n v="6.2752936668091699E-3"/>
    <n v="2.101"/>
    <n v="1.835"/>
    <n v="1.7659"/>
  </r>
  <r>
    <x v="0"/>
    <x v="12"/>
    <n v="427769.57"/>
    <n v="15640.01"/>
    <n v="1757589"/>
    <n v="0.24338430088035301"/>
    <n v="8.8985593332684704E-3"/>
    <n v="2.3018999999999998"/>
    <n v="1.9121999999999999"/>
    <n v="1.9019999999999999"/>
  </r>
  <r>
    <x v="0"/>
    <x v="13"/>
    <n v="440066.88"/>
    <n v="15469.21"/>
    <n v="1777225"/>
    <n v="0.247614612668626"/>
    <n v="8.7041370676194593E-3"/>
    <n v="2.2166000000000001"/>
    <n v="1.8577999999999999"/>
    <n v="1.8873"/>
  </r>
  <r>
    <x v="0"/>
    <x v="14"/>
    <n v="430076.78"/>
    <n v="12244.93"/>
    <n v="1796460"/>
    <n v="0.23940236910368101"/>
    <n v="6.8161439720338798E-3"/>
    <n v="2.0596000000000001"/>
    <n v="1.7257"/>
    <n v="1.7116"/>
  </r>
  <r>
    <x v="0"/>
    <x v="15"/>
    <n v="439880.44"/>
    <n v="12567.02"/>
    <n v="1815278"/>
    <n v="0.24232125327360299"/>
    <n v="6.9229175916856803E-3"/>
    <n v="2.5036999999999998"/>
    <n v="2.1362000000000001"/>
    <n v="2.0636000000000001"/>
  </r>
  <r>
    <x v="0"/>
    <x v="16"/>
    <n v="461219.1"/>
    <n v="8114.32"/>
    <n v="1815278"/>
    <n v="0.25407629024314698"/>
    <n v="4.4700150610540003E-3"/>
    <n v="2.508"/>
    <n v="2.2132000000000001"/>
    <n v="2.8069000000000002"/>
  </r>
  <r>
    <x v="0"/>
    <x v="17"/>
    <n v="478218.96"/>
    <n v="12757.61"/>
    <n v="1815278"/>
    <n v="0.26344116989243499"/>
    <n v="7.0279097747011701E-3"/>
    <n v="2.3355000000000001"/>
    <n v="1.8761000000000001"/>
    <n v="2.4281000000000001"/>
  </r>
  <r>
    <x v="1"/>
    <x v="0"/>
    <n v="54125.47"/>
    <n v="4135.93"/>
    <n v="686652"/>
    <n v="7.8825183644699204E-2"/>
    <n v="6.0233276827271996E-3"/>
    <n v="2.94"/>
    <n v="2.2599999999999998"/>
    <n v="2.29"/>
  </r>
  <r>
    <x v="1"/>
    <x v="1"/>
    <n v="59986.73"/>
    <n v="6373.69"/>
    <n v="683364"/>
    <n v="8.7781519073290307E-2"/>
    <n v="9.3269326449739801E-3"/>
    <n v="2.7953000000000001"/>
    <n v="1.9816"/>
    <n v="2.1730999999999998"/>
  </r>
  <r>
    <x v="1"/>
    <x v="2"/>
    <n v="69961.95"/>
    <n v="9511.65"/>
    <n v="680075"/>
    <n v="0.10287387420504999"/>
    <n v="1.3986177995074E-2"/>
    <n v="2.6848000000000001"/>
    <n v="1.8983000000000001"/>
    <n v="2.1876000000000002"/>
  </r>
  <r>
    <x v="1"/>
    <x v="3"/>
    <n v="75724.2"/>
    <n v="11952.01"/>
    <n v="691132"/>
    <n v="0.109565466510015"/>
    <n v="1.7293382450819801E-2"/>
    <n v="2.5739000000000001"/>
    <n v="1.8286"/>
    <n v="2.1318999999999999"/>
  </r>
  <r>
    <x v="1"/>
    <x v="4"/>
    <n v="94983.8"/>
    <n v="9494.5300000000007"/>
    <n v="718759"/>
    <n v="0.132149719168733"/>
    <n v="1.32096154622063E-2"/>
    <n v="2.4466000000000001"/>
    <n v="1.972"/>
    <n v="1.9802"/>
  </r>
  <r>
    <x v="1"/>
    <x v="5"/>
    <n v="106948.78"/>
    <n v="8584.56"/>
    <n v="746386"/>
    <n v="0.143288834463668"/>
    <n v="1.15015019038406E-2"/>
    <n v="2.3895"/>
    <n v="1.9131"/>
    <n v="1.9285000000000001"/>
  </r>
  <r>
    <x v="1"/>
    <x v="6"/>
    <n v="118891.75"/>
    <n v="5745.5"/>
    <n v="758786"/>
    <n v="0.156686799703737"/>
    <n v="7.5719636366511703E-3"/>
    <n v="2.2721"/>
    <n v="1.8292999999999999"/>
    <n v="1.8874"/>
  </r>
  <r>
    <x v="1"/>
    <x v="7"/>
    <n v="125329.99"/>
    <n v="6024.83"/>
    <n v="776463"/>
    <n v="0.161411413035778"/>
    <n v="7.75932658735831E-3"/>
    <n v="2.2275999999999998"/>
    <n v="1.8095000000000001"/>
    <n v="1.9329000000000001"/>
  </r>
  <r>
    <x v="1"/>
    <x v="8"/>
    <n v="138151.75"/>
    <n v="3699.01"/>
    <n v="790101"/>
    <n v="0.174853278251767"/>
    <n v="4.6816925937316796E-3"/>
    <n v="2.1964999999999999"/>
    <n v="1.8358000000000001"/>
    <n v="1.9775"/>
  </r>
  <r>
    <x v="1"/>
    <x v="9"/>
    <n v="140258.84"/>
    <n v="7384.5"/>
    <n v="803513"/>
    <n v="0.17455702645756799"/>
    <n v="9.1902682346147405E-3"/>
    <n v="2.2349999999999999"/>
    <n v="1.7809999999999999"/>
    <n v="1.9731000000000001"/>
  </r>
  <r>
    <x v="1"/>
    <x v="10"/>
    <n v="136817.74"/>
    <n v="7603.71"/>
    <n v="816687"/>
    <n v="0.167527755431395"/>
    <n v="9.3104334953293E-3"/>
    <n v="2.2395999999999998"/>
    <n v="1.8344"/>
    <n v="1.9658"/>
  </r>
  <r>
    <x v="1"/>
    <x v="11"/>
    <n v="136592.56"/>
    <n v="6748.5"/>
    <n v="829619"/>
    <n v="0.164644927370274"/>
    <n v="8.13445690130047E-3"/>
    <n v="2.3243999999999998"/>
    <n v="1.9414"/>
    <n v="2.0318000000000001"/>
  </r>
  <r>
    <x v="1"/>
    <x v="12"/>
    <n v="133872.32000000001"/>
    <n v="8533.39"/>
    <n v="869265"/>
    <n v="0.154006338688432"/>
    <n v="9.8167877459692902E-3"/>
    <n v="2.5531000000000001"/>
    <n v="2.0148000000000001"/>
    <n v="2.2454999999999998"/>
  </r>
  <r>
    <x v="1"/>
    <x v="13"/>
    <n v="138001.4"/>
    <n v="7903.02"/>
    <n v="881935"/>
    <n v="0.15647570399179"/>
    <n v="8.9610005272497406E-3"/>
    <n v="2.3837000000000002"/>
    <n v="1.9414"/>
    <n v="2.2656999999999998"/>
  </r>
  <r>
    <x v="1"/>
    <x v="14"/>
    <n v="136417.72"/>
    <n v="6541.79"/>
    <n v="894470"/>
    <n v="0.15251234809440201"/>
    <n v="7.3135935246570498E-3"/>
    <n v="2.2665000000000002"/>
    <n v="1.8573999999999999"/>
    <n v="2.1160000000000001"/>
  </r>
  <r>
    <x v="1"/>
    <x v="15"/>
    <n v="138568.1"/>
    <n v="6970.54"/>
    <n v="906876"/>
    <n v="0.15279718506168399"/>
    <n v="7.6863209523683499E-3"/>
    <n v="2.7002000000000002"/>
    <n v="2.2644000000000002"/>
    <n v="2.5036999999999998"/>
  </r>
  <r>
    <x v="1"/>
    <x v="16"/>
    <n v="149349.85"/>
    <n v="6101.56"/>
    <n v="906876"/>
    <n v="0.16468607615594599"/>
    <n v="6.7281083632161403E-3"/>
    <n v="2.6292"/>
    <n v="2.1768000000000001"/>
    <n v="3.0935999999999999"/>
  </r>
  <r>
    <x v="1"/>
    <x v="17"/>
    <n v="155529.5"/>
    <n v="9226.0400000000009"/>
    <n v="906876"/>
    <n v="0.17150029331463101"/>
    <n v="1.01734305461827E-2"/>
    <n v="2.4165000000000001"/>
    <n v="1.7873000000000001"/>
    <n v="2.7254"/>
  </r>
  <r>
    <x v="2"/>
    <x v="0"/>
    <n v="332061.53000000003"/>
    <n v="16265.73"/>
    <n v="3311026"/>
    <n v="0.10028961717606499"/>
    <n v="4.91259506871888E-3"/>
    <n v="2.56"/>
    <n v="2.0499999999999998"/>
    <n v="1.99"/>
  </r>
  <r>
    <x v="2"/>
    <x v="1"/>
    <n v="354301.33"/>
    <n v="32504.39"/>
    <n v="3326060"/>
    <n v="0.106522831819029"/>
    <n v="9.7726409024491406E-3"/>
    <n v="2.3645"/>
    <n v="1.6943999999999999"/>
    <n v="1.8955"/>
  </r>
  <r>
    <x v="2"/>
    <x v="2"/>
    <n v="388553.26"/>
    <n v="54703.03"/>
    <n v="3341094"/>
    <n v="0.11629521947002899"/>
    <n v="1.6372789870623201E-2"/>
    <n v="2.2057000000000002"/>
    <n v="1.6091"/>
    <n v="1.9255"/>
  </r>
  <r>
    <x v="2"/>
    <x v="3"/>
    <n v="403312.31"/>
    <n v="79600.73"/>
    <n v="3393369"/>
    <n v="0.118853066082704"/>
    <n v="2.34577288824174E-2"/>
    <n v="2.2271999999999998"/>
    <n v="1.5686"/>
    <n v="1.8806"/>
  </r>
  <r>
    <x v="2"/>
    <x v="4"/>
    <n v="468688.2"/>
    <n v="54875.69"/>
    <n v="3465878"/>
    <n v="0.13522928389285399"/>
    <n v="1.5833127998158E-2"/>
    <n v="2.1356999999999999"/>
    <n v="1.6611"/>
    <n v="1.7428999999999999"/>
  </r>
  <r>
    <x v="2"/>
    <x v="5"/>
    <n v="521355.1"/>
    <n v="40517.31"/>
    <n v="3538387"/>
    <n v="0.147342588586268"/>
    <n v="1.1450785343717299E-2"/>
    <n v="2.1358999999999999"/>
    <n v="1.7595000000000001"/>
    <n v="1.6596"/>
  </r>
  <r>
    <x v="2"/>
    <x v="6"/>
    <n v="569396.75"/>
    <n v="40069.26"/>
    <n v="3590985"/>
    <n v="0.15856283164647"/>
    <n v="1.1158292223442799E-2"/>
    <n v="2.0979000000000001"/>
    <n v="1.6914"/>
    <n v="1.5825"/>
  </r>
  <r>
    <x v="2"/>
    <x v="7"/>
    <n v="590749.21"/>
    <n v="47011.25"/>
    <n v="3807921"/>
    <n v="0.15513693955310501"/>
    <n v="1.2345647401823701E-2"/>
    <n v="2.0493999999999999"/>
    <n v="1.6656"/>
    <n v="1.6244000000000001"/>
  </r>
  <r>
    <x v="2"/>
    <x v="8"/>
    <n v="627353.97"/>
    <n v="50438.879999999997"/>
    <n v="3873743"/>
    <n v="0.16195033330812"/>
    <n v="1.3020708911251899E-2"/>
    <n v="2.0354000000000001"/>
    <n v="1.6361000000000001"/>
    <n v="1.6747000000000001"/>
  </r>
  <r>
    <x v="2"/>
    <x v="9"/>
    <n v="617203.43000000005"/>
    <n v="78600.59"/>
    <n v="3938336"/>
    <n v="0.156716803746556"/>
    <n v="1.9957817210111001E-2"/>
    <n v="2.1011000000000002"/>
    <n v="1.6238999999999999"/>
    <n v="1.7403"/>
  </r>
  <r>
    <x v="2"/>
    <x v="10"/>
    <n v="634172.72"/>
    <n v="38370.910000000003"/>
    <n v="4001667"/>
    <n v="0.15847713465413199"/>
    <n v="9.5887313961906303E-3"/>
    <n v="2.0425"/>
    <n v="1.8015000000000001"/>
    <n v="1.7358"/>
  </r>
  <r>
    <x v="2"/>
    <x v="11"/>
    <n v="644424.52"/>
    <n v="38859.03"/>
    <n v="4063614"/>
    <n v="0.15858408795717299"/>
    <n v="9.5626774590303106E-3"/>
    <n v="2.0265"/>
    <n v="1.7445999999999999"/>
    <n v="1.7074"/>
  </r>
  <r>
    <x v="2"/>
    <x v="12"/>
    <n v="614179.32999999996"/>
    <n v="90530.92"/>
    <n v="4080611"/>
    <n v="0.150511609658455"/>
    <n v="2.2185628573760101E-2"/>
    <n v="2.3069999999999999"/>
    <n v="1.8046"/>
    <n v="1.82"/>
  </r>
  <r>
    <x v="2"/>
    <x v="13"/>
    <n v="647740.53"/>
    <n v="102044.67"/>
    <n v="4144597"/>
    <n v="0.15628552788123901"/>
    <n v="2.4621132042512199E-2"/>
    <n v="2.0741000000000001"/>
    <n v="1.6514"/>
    <n v="1.8185"/>
  </r>
  <r>
    <x v="2"/>
    <x v="14"/>
    <n v="625946.68000000005"/>
    <n v="112895.73"/>
    <n v="4207714"/>
    <n v="0.148761698157241"/>
    <n v="2.6830656741403999E-2"/>
    <n v="2.0078999999999998"/>
    <n v="1.5893999999999999"/>
    <n v="1.6411"/>
  </r>
  <r>
    <x v="2"/>
    <x v="15"/>
    <n v="608234.64"/>
    <n v="130812.71"/>
    <n v="4269995"/>
    <n v="0.14244387639798101"/>
    <n v="3.063533095472E-2"/>
    <n v="2.4097"/>
    <n v="1.9097999999999999"/>
    <n v="1.9482999999999999"/>
  </r>
  <r>
    <x v="2"/>
    <x v="16"/>
    <n v="643995.49"/>
    <n v="123819.64"/>
    <n v="4269995"/>
    <n v="0.15081879252786001"/>
    <n v="2.89976077255359E-2"/>
    <n v="2.504"/>
    <n v="1.9587000000000001"/>
    <n v="2.6655000000000002"/>
  </r>
  <r>
    <x v="2"/>
    <x v="17"/>
    <n v="619234.77"/>
    <n v="167462.42000000001"/>
    <n v="4269995"/>
    <n v="0.145020022271688"/>
    <n v="3.9218411262776601E-2"/>
    <n v="2.4011"/>
    <n v="1.7333000000000001"/>
    <n v="2.2892000000000001"/>
  </r>
  <r>
    <x v="3"/>
    <x v="0"/>
    <n v="48344.95"/>
    <n v="1299"/>
    <n v="403344"/>
    <n v="0.11986034253639501"/>
    <n v="3.22057598476734E-3"/>
    <n v="2.86"/>
    <n v="2.23"/>
    <n v="2.25"/>
  </r>
  <r>
    <x v="3"/>
    <x v="1"/>
    <n v="52591.94"/>
    <n v="2256.27"/>
    <n v="408064"/>
    <n v="0.128881597004391"/>
    <n v="5.5292062029485504E-3"/>
    <n v="2.5272999999999999"/>
    <n v="1.972"/>
    <n v="2.1061000000000001"/>
  </r>
  <r>
    <x v="3"/>
    <x v="2"/>
    <n v="62254.19"/>
    <n v="2865.82"/>
    <n v="412783"/>
    <n v="0.15081577971960999"/>
    <n v="6.9426793254567104E-3"/>
    <n v="2.4317000000000002"/>
    <n v="1.9345000000000001"/>
    <n v="2.1695000000000002"/>
  </r>
  <r>
    <x v="3"/>
    <x v="3"/>
    <n v="74627.009999999995"/>
    <n v="2908.07"/>
    <n v="421499"/>
    <n v="0.17705145207936401"/>
    <n v="6.8993520743821403E-3"/>
    <n v="2.3399000000000001"/>
    <n v="1.8718999999999999"/>
    <n v="2.1145"/>
  </r>
  <r>
    <x v="3"/>
    <x v="4"/>
    <n v="85768.4"/>
    <n v="2756.32"/>
    <n v="440832"/>
    <n v="0.19456028600464501"/>
    <n v="6.2525406504065004E-3"/>
    <n v="2.3157000000000001"/>
    <n v="1.8902000000000001"/>
    <n v="1.9556"/>
  </r>
  <r>
    <x v="3"/>
    <x v="5"/>
    <n v="88273.25"/>
    <n v="2486.8200000000002"/>
    <n v="460165"/>
    <n v="0.19182956113567901"/>
    <n v="5.4041919746177997E-3"/>
    <n v="2.1819999999999999"/>
    <n v="1.8824000000000001"/>
    <n v="1.8055000000000001"/>
  </r>
  <r>
    <x v="3"/>
    <x v="6"/>
    <n v="99430"/>
    <n v="1928.8"/>
    <n v="469524"/>
    <n v="0.21176766256889901"/>
    <n v="4.1079902198822597E-3"/>
    <n v="2.0834000000000001"/>
    <n v="1.8584000000000001"/>
    <n v="1.7350000000000001"/>
  </r>
  <r>
    <x v="3"/>
    <x v="7"/>
    <n v="108861.3"/>
    <n v="1822.8"/>
    <n v="488072"/>
    <n v="0.223043526364962"/>
    <n v="3.7346948810831099E-3"/>
    <n v="2.0630999999999999"/>
    <n v="1.8506"/>
    <n v="1.7958000000000001"/>
  </r>
  <r>
    <x v="3"/>
    <x v="8"/>
    <n v="122815.08"/>
    <n v="1953.6"/>
    <n v="496936"/>
    <n v="0.24714466249174899"/>
    <n v="3.9312909509474003E-3"/>
    <n v="1.9967999999999999"/>
    <n v="1.7778"/>
    <n v="1.7970999999999999"/>
  </r>
  <r>
    <x v="3"/>
    <x v="9"/>
    <n v="123890.24000000001"/>
    <n v="2902.4"/>
    <n v="505665"/>
    <n v="0.24500457812978901"/>
    <n v="5.7397684237588103E-3"/>
    <n v="2.0720000000000001"/>
    <n v="1.7751999999999999"/>
    <n v="1.7985"/>
  </r>
  <r>
    <x v="3"/>
    <x v="10"/>
    <n v="129943.6"/>
    <n v="1448.4"/>
    <n v="514229"/>
    <n v="0.25269597786200299"/>
    <n v="2.8166439465685499E-3"/>
    <n v="2.1246"/>
    <n v="2.0150999999999999"/>
    <n v="1.7796000000000001"/>
  </r>
  <r>
    <x v="3"/>
    <x v="11"/>
    <n v="137423.76999999999"/>
    <n v="1016.6"/>
    <n v="522636"/>
    <n v="0.26294355918842099"/>
    <n v="1.9451396382951E-3"/>
    <n v="1.9999"/>
    <n v="1.9467000000000001"/>
    <n v="1.734"/>
  </r>
  <r>
    <x v="3"/>
    <x v="12"/>
    <n v="140968.56"/>
    <n v="2000"/>
    <n v="576568"/>
    <n v="0.24449598312774901"/>
    <n v="3.4688015984237698E-3"/>
    <n v="2.1840000000000002"/>
    <n v="1.9276"/>
    <n v="1.8455999999999999"/>
  </r>
  <r>
    <x v="3"/>
    <x v="13"/>
    <n v="153676.13"/>
    <n v="1663.2"/>
    <n v="605761"/>
    <n v="0.25369102665902798"/>
    <n v="2.7456373058021202E-3"/>
    <n v="2.02"/>
    <n v="1.8627"/>
    <n v="1.8037000000000001"/>
  </r>
  <r>
    <x v="3"/>
    <x v="14"/>
    <n v="156555.17000000001"/>
    <n v="1555.8"/>
    <n v="631181"/>
    <n v="0.248035302076583"/>
    <n v="2.4649030943580301E-3"/>
    <n v="1.8762000000000001"/>
    <n v="1.7399"/>
    <n v="1.6787000000000001"/>
  </r>
  <r>
    <x v="3"/>
    <x v="15"/>
    <n v="167862"/>
    <n v="2564.15"/>
    <n v="652713"/>
    <n v="0.257175818468454"/>
    <n v="3.9284494103840398E-3"/>
    <n v="2.3498999999999999"/>
    <n v="2.1021000000000001"/>
    <n v="2.0550999999999999"/>
  </r>
  <r>
    <x v="3"/>
    <x v="16"/>
    <n v="185867.56"/>
    <n v="2350.36"/>
    <n v="652713"/>
    <n v="0.284761541443176"/>
    <n v="3.6009088221009801E-3"/>
    <n v="2.4998999999999998"/>
    <n v="2.2898999999999998"/>
    <n v="2.8069000000000002"/>
  </r>
  <r>
    <x v="3"/>
    <x v="17"/>
    <n v="183252.1"/>
    <n v="3098.51"/>
    <n v="652713"/>
    <n v="0.28075448167877698"/>
    <n v="4.7471246933951002E-3"/>
    <n v="2.266"/>
    <n v="1.9108000000000001"/>
    <n v="2.4975999999999998"/>
  </r>
  <r>
    <x v="4"/>
    <x v="0"/>
    <n v="435939.38"/>
    <n v="10367"/>
    <n v="7110465"/>
    <n v="6.1309545859518297E-2"/>
    <n v="1.4579918472279901E-3"/>
    <n v="2.66"/>
    <n v="2.3199999999999998"/>
    <n v="1.94"/>
  </r>
  <r>
    <x v="4"/>
    <x v="1"/>
    <n v="493385.98"/>
    <n v="17748.830000000002"/>
    <n v="7215978"/>
    <n v="6.8374097038544093E-2"/>
    <n v="2.4596568891978301E-3"/>
    <n v="2.5177"/>
    <n v="2.0390999999999999"/>
    <n v="1.8285"/>
  </r>
  <r>
    <x v="4"/>
    <x v="2"/>
    <n v="559079.29"/>
    <n v="31548.27"/>
    <n v="7321490"/>
    <n v="7.6361408675010095E-2"/>
    <n v="4.3089958464738697E-3"/>
    <n v="2.4859"/>
    <n v="1.9435"/>
    <n v="1.8893"/>
  </r>
  <r>
    <x v="4"/>
    <x v="3"/>
    <n v="585376.66"/>
    <n v="46192.34"/>
    <n v="7431020"/>
    <n v="7.8774738864920299E-2"/>
    <n v="6.2161506764885502E-3"/>
    <n v="2.3919000000000001"/>
    <n v="1.8199000000000001"/>
    <n v="1.8459000000000001"/>
  </r>
  <r>
    <x v="4"/>
    <x v="4"/>
    <n v="674940.64"/>
    <n v="46966.6"/>
    <n v="7559806"/>
    <n v="8.9280153485420094E-2"/>
    <n v="6.21267265324004E-3"/>
    <n v="2.2665999999999999"/>
    <n v="1.7428999999999999"/>
    <n v="1.6938"/>
  </r>
  <r>
    <x v="4"/>
    <x v="5"/>
    <n v="768592.56"/>
    <n v="33566.53"/>
    <n v="7688593"/>
    <n v="9.9965307046425797E-2"/>
    <n v="4.3657571677938904E-3"/>
    <n v="2.1667000000000001"/>
    <n v="1.7979000000000001"/>
    <n v="1.6212"/>
  </r>
  <r>
    <x v="4"/>
    <x v="6"/>
    <n v="909505.43"/>
    <n v="30715.07"/>
    <n v="7777543"/>
    <n v="0.116939942344259"/>
    <n v="3.9491996379833498E-3"/>
    <n v="2.0615999999999999"/>
    <n v="1.6987000000000001"/>
    <n v="1.6043000000000001"/>
  </r>
  <r>
    <x v="4"/>
    <x v="7"/>
    <n v="996173.28"/>
    <n v="32956.050000000003"/>
    <n v="7969654"/>
    <n v="0.12499580031956201"/>
    <n v="4.1351920673093198E-3"/>
    <n v="2.0425"/>
    <n v="1.7341"/>
    <n v="1.6998"/>
  </r>
  <r>
    <x v="4"/>
    <x v="8"/>
    <n v="1098714.3500000001"/>
    <n v="33477.43"/>
    <n v="8073924"/>
    <n v="0.136081829603548"/>
    <n v="4.1463642709542404E-3"/>
    <n v="2.0097"/>
    <n v="1.7326999999999999"/>
    <n v="1.7326999999999999"/>
  </r>
  <r>
    <x v="4"/>
    <x v="9"/>
    <n v="1131966.26"/>
    <n v="52965.81"/>
    <n v="8175113"/>
    <n v="0.13846490684593499"/>
    <n v="6.4789086095812902E-3"/>
    <n v="2.0604"/>
    <n v="1.7112000000000001"/>
    <n v="1.7694000000000001"/>
  </r>
  <r>
    <x v="4"/>
    <x v="10"/>
    <n v="1154585.46"/>
    <n v="36912.839999999997"/>
    <n v="8272724"/>
    <n v="0.139565330597273"/>
    <n v="4.4619934135358497E-3"/>
    <n v="2.1793999999999998"/>
    <n v="1.9383999999999999"/>
    <n v="1.7961"/>
  </r>
  <r>
    <x v="4"/>
    <x v="11"/>
    <n v="1154058.1599999999"/>
    <n v="27253.95"/>
    <n v="8366628"/>
    <n v="0.13793587571958499"/>
    <n v="3.2574592775010398E-3"/>
    <n v="2.1381999999999999"/>
    <n v="1.9148000000000001"/>
    <n v="1.7925"/>
  </r>
  <r>
    <x v="4"/>
    <x v="12"/>
    <n v="1136547.74"/>
    <n v="53647.42"/>
    <n v="8513497"/>
    <n v="0.13349951729588899"/>
    <n v="6.3014552069496198E-3"/>
    <n v="2.3018999999999998"/>
    <n v="1.8916999999999999"/>
    <n v="1.9071"/>
  </r>
  <r>
    <x v="4"/>
    <x v="13"/>
    <n v="1176565.93"/>
    <n v="58377.72"/>
    <n v="8602865"/>
    <n v="0.13676443022179199"/>
    <n v="6.7858463430496702E-3"/>
    <n v="2.2313000000000001"/>
    <n v="1.8480000000000001"/>
    <n v="1.9315"/>
  </r>
  <r>
    <x v="4"/>
    <x v="14"/>
    <n v="1208775.1599999999"/>
    <n v="44085.35"/>
    <n v="8690745"/>
    <n v="0.13908763402907301"/>
    <n v="5.0726778889496798E-3"/>
    <n v="2.0596000000000001"/>
    <n v="1.8057000000000001"/>
    <n v="1.7822"/>
  </r>
  <r>
    <x v="4"/>
    <x v="15"/>
    <n v="1244976.24"/>
    <n v="45158.35"/>
    <n v="8777124"/>
    <n v="0.14184330083521601"/>
    <n v="5.14500535710786E-3"/>
    <n v="2.4950999999999999"/>
    <n v="2.2302"/>
    <n v="2.1105999999999998"/>
  </r>
  <r>
    <x v="4"/>
    <x v="16"/>
    <n v="1301558.19"/>
    <n v="36721.29"/>
    <n v="8777124"/>
    <n v="0.14828982591564099"/>
    <n v="4.18374971118102E-3"/>
    <n v="2.4958999999999998"/>
    <n v="2.2132000000000001"/>
    <n v="2.823"/>
  </r>
  <r>
    <x v="4"/>
    <x v="17"/>
    <n v="1384124.36"/>
    <n v="49268.49"/>
    <n v="8777124"/>
    <n v="0.15769679908817499"/>
    <n v="5.61328403244616E-3"/>
    <n v="2.1347"/>
    <n v="1.7564"/>
    <n v="2.3895"/>
  </r>
  <r>
    <x v="5"/>
    <x v="0"/>
    <n v="64644.76"/>
    <n v="925.3"/>
    <n v="615715"/>
    <n v="0.104991367759434"/>
    <n v="1.5028056811998999E-3"/>
    <n v="2.58"/>
    <n v="2.19"/>
    <n v="2"/>
  </r>
  <r>
    <x v="5"/>
    <x v="1"/>
    <n v="72340.09"/>
    <n v="1452.37"/>
    <n v="614440"/>
    <n v="0.117733366968296"/>
    <n v="2.3637295748974601E-3"/>
    <n v="2.3357999999999999"/>
    <n v="1.9146000000000001"/>
    <n v="1.905"/>
  </r>
  <r>
    <x v="5"/>
    <x v="2"/>
    <n v="82509.63"/>
    <n v="2771.45"/>
    <n v="613166"/>
    <n v="0.13456328302612899"/>
    <n v="4.51990162533473E-3"/>
    <n v="2.3593999999999999"/>
    <n v="1.9345000000000001"/>
    <n v="1.9525999999999999"/>
  </r>
  <r>
    <x v="5"/>
    <x v="3"/>
    <n v="86003.95"/>
    <n v="8297.1"/>
    <n v="626609"/>
    <n v="0.137252975938743"/>
    <n v="1.3241271670212201E-2"/>
    <n v="2.3485"/>
    <n v="1.7505999999999999"/>
    <n v="1.9412"/>
  </r>
  <r>
    <x v="5"/>
    <x v="4"/>
    <n v="99396.5"/>
    <n v="6721.64"/>
    <n v="655459"/>
    <n v="0.151644115039994"/>
    <n v="1.0254859571689401E-2"/>
    <n v="2.3319999999999999"/>
    <n v="1.7838000000000001"/>
    <n v="1.8329"/>
  </r>
  <r>
    <x v="5"/>
    <x v="5"/>
    <n v="109515.6"/>
    <n v="4933.6400000000003"/>
    <n v="684309"/>
    <n v="0.160038228344212"/>
    <n v="7.2096669779295602E-3"/>
    <n v="2.1513"/>
    <n v="1.7518"/>
    <n v="1.7210000000000001"/>
  </r>
  <r>
    <x v="5"/>
    <x v="6"/>
    <n v="127984.5"/>
    <n v="3311.01"/>
    <n v="698602"/>
    <n v="0.18320087832557"/>
    <n v="4.7394797037512001E-3"/>
    <n v="1.9673"/>
    <n v="1.6551"/>
    <n v="1.5898000000000001"/>
  </r>
  <r>
    <x v="5"/>
    <x v="7"/>
    <n v="137899.79999999999"/>
    <n v="1458.8"/>
    <n v="734996"/>
    <n v="0.18761979657032099"/>
    <n v="1.9847727062460201E-3"/>
    <n v="1.9534"/>
    <n v="1.6587000000000001"/>
    <n v="1.6039000000000001"/>
  </r>
  <r>
    <x v="5"/>
    <x v="8"/>
    <n v="154417.4"/>
    <n v="1176.5999999999999"/>
    <n v="750912"/>
    <n v="0.20563980865933601"/>
    <n v="1.56689465609818E-3"/>
    <n v="1.9066000000000001"/>
    <n v="1.8036000000000001"/>
    <n v="1.6682999999999999"/>
  </r>
  <r>
    <x v="5"/>
    <x v="9"/>
    <n v="153753.22"/>
    <n v="2193"/>
    <n v="766679"/>
    <n v="0.20054445211098701"/>
    <n v="2.86038876765895E-3"/>
    <n v="1.944"/>
    <n v="1.6588000000000001"/>
    <n v="1.7403"/>
  </r>
  <r>
    <x v="5"/>
    <x v="10"/>
    <n v="151537.69"/>
    <n v="539"/>
    <n v="782295"/>
    <n v="0.19370913785720201"/>
    <n v="6.8899839574584996E-4"/>
    <n v="1.9986999999999999"/>
    <n v="2.0042"/>
    <n v="1.9330000000000001"/>
  </r>
  <r>
    <x v="5"/>
    <x v="11"/>
    <n v="154728.34"/>
    <n v="394.31"/>
    <n v="797722"/>
    <n v="0.193962733884736"/>
    <n v="4.9429500502681301E-4"/>
    <n v="1.968"/>
    <n v="1.9893000000000001"/>
    <n v="1.9041999999999999"/>
  </r>
  <r>
    <x v="5"/>
    <x v="12"/>
    <n v="158010.20000000001"/>
    <n v="928.48"/>
    <n v="829494"/>
    <n v="0.190489864905593"/>
    <n v="1.11933299095593E-3"/>
    <n v="2.0865999999999998"/>
    <n v="1.9685999999999999"/>
    <n v="1.9943"/>
  </r>
  <r>
    <x v="5"/>
    <x v="13"/>
    <n v="170073.11"/>
    <n v="862.15"/>
    <n v="845731"/>
    <n v="0.201095986785396"/>
    <n v="1.01941397441976E-3"/>
    <n v="1.9414"/>
    <n v="1.8233999999999999"/>
    <n v="2.0446"/>
  </r>
  <r>
    <x v="5"/>
    <x v="14"/>
    <n v="173347.57"/>
    <n v="382.68"/>
    <n v="861773"/>
    <n v="0.20115224078730701"/>
    <n v="4.4406125511010398E-4"/>
    <n v="1.6598999999999999"/>
    <n v="1.7822"/>
    <n v="1.7303999999999999"/>
  </r>
  <r>
    <x v="5"/>
    <x v="15"/>
    <n v="190356.68"/>
    <n v="322.83"/>
    <n v="877613"/>
    <n v="0.21690275782149901"/>
    <n v="3.6785006603138199E-4"/>
    <n v="2.1490999999999998"/>
    <n v="2.2686999999999999"/>
    <n v="2.0123000000000002"/>
  </r>
  <r>
    <x v="5"/>
    <x v="16"/>
    <n v="195870.69"/>
    <n v="378.23"/>
    <n v="877613"/>
    <n v="0.22318572081315999"/>
    <n v="4.3097584014821998E-4"/>
    <n v="2.2172000000000001"/>
    <n v="2.3504999999999998"/>
    <n v="2.6574"/>
  </r>
  <r>
    <x v="5"/>
    <x v="17"/>
    <n v="199283.31"/>
    <n v="463.9"/>
    <n v="877613"/>
    <n v="0.227074245709669"/>
    <n v="5.2859289914802896E-4"/>
    <n v="2.0188999999999999"/>
    <n v="2.0613999999999999"/>
    <n v="2.3046000000000002"/>
  </r>
  <r>
    <x v="6"/>
    <x v="0"/>
    <n v="133259.67000000001"/>
    <n v="14161.15"/>
    <n v="1332441"/>
    <n v="0.1000116853204"/>
    <n v="1.0627975272451001E-2"/>
    <n v="2.75"/>
    <n v="2.02"/>
    <n v="1.88"/>
  </r>
  <r>
    <x v="6"/>
    <x v="1"/>
    <n v="157048.59"/>
    <n v="31757.23"/>
    <n v="1306477"/>
    <n v="0.120207695964031"/>
    <n v="2.4307530863536E-2"/>
    <n v="2.6133999999999999"/>
    <n v="1.6657"/>
    <n v="1.7806"/>
  </r>
  <r>
    <x v="6"/>
    <x v="2"/>
    <n v="174092.44"/>
    <n v="55781.19"/>
    <n v="1280513"/>
    <n v="0.135955230442799"/>
    <n v="4.3561596016596399E-2"/>
    <n v="2.4769000000000001"/>
    <n v="1.5729"/>
    <n v="1.8260000000000001"/>
  </r>
  <r>
    <x v="6"/>
    <x v="3"/>
    <n v="177626.18"/>
    <n v="69709.149999999994"/>
    <n v="1292051"/>
    <n v="0.13747613677788201"/>
    <n v="5.39523207675238E-2"/>
    <n v="2.3744999999999998"/>
    <n v="1.4993000000000001"/>
    <n v="1.7851999999999999"/>
  </r>
  <r>
    <x v="6"/>
    <x v="4"/>
    <n v="217260.88"/>
    <n v="60459.83"/>
    <n v="1346472"/>
    <n v="0.161355661313417"/>
    <n v="4.4902404208925203E-2"/>
    <n v="2.3075000000000001"/>
    <n v="1.5465"/>
    <n v="1.7182999999999999"/>
  </r>
  <r>
    <x v="6"/>
    <x v="5"/>
    <n v="249674.17"/>
    <n v="37472.85"/>
    <n v="1400892"/>
    <n v="0.178225137983513"/>
    <n v="2.6749278316957999E-2"/>
    <n v="2.2357999999999998"/>
    <n v="1.6212"/>
    <n v="1.552"/>
  </r>
  <r>
    <x v="6"/>
    <x v="6"/>
    <n v="296202.18"/>
    <n v="27882.1"/>
    <n v="1417694"/>
    <n v="0.20893237891956901"/>
    <n v="1.9667220147648198E-2"/>
    <n v="2.1124000000000001"/>
    <n v="1.5752999999999999"/>
    <n v="1.4881"/>
  </r>
  <r>
    <x v="6"/>
    <x v="7"/>
    <n v="312274.28999999998"/>
    <n v="35772.300000000003"/>
    <n v="1478164"/>
    <n v="0.211258216273701"/>
    <n v="2.4200494667709401E-2"/>
    <n v="2.0836999999999999"/>
    <n v="1.5422"/>
    <n v="1.5559000000000001"/>
  </r>
  <r>
    <x v="6"/>
    <x v="8"/>
    <n v="350345.44"/>
    <n v="35286.18"/>
    <n v="1496880"/>
    <n v="0.23405045160600699"/>
    <n v="2.3573152156485401E-2"/>
    <n v="2.0097"/>
    <n v="1.5073000000000001"/>
    <n v="1.591"/>
  </r>
  <r>
    <x v="6"/>
    <x v="9"/>
    <n v="348183.44"/>
    <n v="56692.45"/>
    <n v="1515126"/>
    <n v="0.229804940315194"/>
    <n v="3.7417647113177299E-2"/>
    <n v="2.0487000000000002"/>
    <n v="1.5365"/>
    <n v="1.653"/>
  </r>
  <r>
    <x v="6"/>
    <x v="10"/>
    <n v="363558.29"/>
    <n v="30666.32"/>
    <n v="1532902"/>
    <n v="0.237169949546676"/>
    <n v="2.0005401519470899E-2"/>
    <n v="2.1137000000000001"/>
    <n v="1.7742"/>
    <n v="1.6592"/>
  </r>
  <r>
    <x v="6"/>
    <x v="11"/>
    <n v="379334.98"/>
    <n v="16890.64"/>
    <n v="1550194"/>
    <n v="0.24470161799103801"/>
    <n v="1.08958233614631E-2"/>
    <n v="2.0636999999999999"/>
    <n v="1.8030999999999999"/>
    <n v="1.6275999999999999"/>
  </r>
  <r>
    <x v="6"/>
    <x v="12"/>
    <n v="348974.01"/>
    <n v="34121.71"/>
    <n v="1555229"/>
    <n v="0.224387540355793"/>
    <n v="2.1939990830932201E-2"/>
    <n v="2.3839000000000001"/>
    <n v="1.8815"/>
    <n v="1.7995000000000001"/>
  </r>
  <r>
    <x v="6"/>
    <x v="13"/>
    <n v="365402.2"/>
    <n v="33215.4"/>
    <n v="1572866"/>
    <n v="0.232316166793611"/>
    <n v="2.1117755740158398E-2"/>
    <n v="2.2461000000000002"/>
    <n v="1.8087"/>
    <n v="1.7791999999999999"/>
  </r>
  <r>
    <x v="6"/>
    <x v="14"/>
    <n v="352986.1"/>
    <n v="38226.92"/>
    <n v="1590248"/>
    <n v="0.221969214864599"/>
    <n v="2.4038338674219301E-2"/>
    <n v="2.1395"/>
    <n v="1.6975"/>
    <n v="1.6082000000000001"/>
  </r>
  <r>
    <x v="6"/>
    <x v="15"/>
    <n v="368813.5"/>
    <n v="31372.71"/>
    <n v="1607363"/>
    <n v="0.22945252565848501"/>
    <n v="1.95181237841109E-2"/>
    <n v="2.5720000000000001"/>
    <n v="2.1362000000000001"/>
    <n v="1.9653"/>
  </r>
  <r>
    <x v="6"/>
    <x v="16"/>
    <n v="396133.55"/>
    <n v="26815.3"/>
    <n v="1607363"/>
    <n v="0.246449339694891"/>
    <n v="1.6682790384001601E-2"/>
    <n v="2.5726"/>
    <n v="2.1202999999999999"/>
    <n v="2.6615000000000002"/>
  </r>
  <r>
    <x v="6"/>
    <x v="17"/>
    <n v="428409.98"/>
    <n v="31329.99"/>
    <n v="1607363"/>
    <n v="0.26652970113160401"/>
    <n v="1.94915460913309E-2"/>
    <n v="2.2235"/>
    <n v="1.714"/>
    <n v="2.1772"/>
  </r>
  <r>
    <x v="7"/>
    <x v="0"/>
    <n v="306351.74"/>
    <n v="16591.650000000001"/>
    <n v="6184538"/>
    <n v="4.9535105128305397E-2"/>
    <n v="2.6827630455177002E-3"/>
    <n v="2.73"/>
    <n v="2.0699999999999998"/>
    <n v="1.89"/>
  </r>
  <r>
    <x v="7"/>
    <x v="1"/>
    <n v="327629.24"/>
    <n v="49095.93"/>
    <n v="6245038"/>
    <n v="5.2462329292471799E-2"/>
    <n v="7.8615902737501301E-3"/>
    <n v="2.6133999999999999"/>
    <n v="1.7902"/>
    <n v="1.7902"/>
  </r>
  <r>
    <x v="7"/>
    <x v="2"/>
    <n v="371604.66"/>
    <n v="107358.39999999999"/>
    <n v="6305537"/>
    <n v="5.89330710453368E-2"/>
    <n v="1.70260518652098E-2"/>
    <n v="2.3955000000000002"/>
    <n v="1.6271"/>
    <n v="1.8169999999999999"/>
  </r>
  <r>
    <x v="7"/>
    <x v="3"/>
    <n v="392331.05"/>
    <n v="142648.18"/>
    <n v="6367138"/>
    <n v="6.1618116334214802E-2"/>
    <n v="2.24038147123558E-2"/>
    <n v="2.2532000000000001"/>
    <n v="1.5426"/>
    <n v="1.7766"/>
  </r>
  <r>
    <x v="7"/>
    <x v="4"/>
    <n v="522287.34"/>
    <n v="88457.55"/>
    <n v="6506450"/>
    <n v="8.0272243696639406E-2"/>
    <n v="1.35953630628069E-2"/>
    <n v="2.1111"/>
    <n v="1.5629"/>
    <n v="1.6202000000000001"/>
  </r>
  <r>
    <x v="7"/>
    <x v="5"/>
    <n v="628889.23"/>
    <n v="35199.519999999997"/>
    <n v="6645761"/>
    <n v="9.4630130394397202E-2"/>
    <n v="5.2965371460093101E-3"/>
    <n v="2.036"/>
    <n v="1.6826000000000001"/>
    <n v="1.552"/>
  </r>
  <r>
    <x v="7"/>
    <x v="6"/>
    <n v="750762.9"/>
    <n v="23838.05"/>
    <n v="6714314"/>
    <n v="0.111815280012224"/>
    <n v="3.5503329156187798E-3"/>
    <n v="1.9164000000000001"/>
    <n v="1.5898000000000001"/>
    <n v="1.4881"/>
  </r>
  <r>
    <x v="7"/>
    <x v="7"/>
    <n v="803208.64"/>
    <n v="26444.720000000001"/>
    <n v="6794301"/>
    <n v="0.11821799475766499"/>
    <n v="3.8921914115962698E-3"/>
    <n v="1.9329000000000001"/>
    <n v="1.6107"/>
    <n v="1.5489999999999999"/>
  </r>
  <r>
    <x v="7"/>
    <x v="8"/>
    <n v="887026.28"/>
    <n v="42643.3"/>
    <n v="6850884"/>
    <n v="0.129476178548636"/>
    <n v="6.2244959920500697E-3"/>
    <n v="1.9258999999999999"/>
    <n v="1.6361000000000001"/>
    <n v="1.5717000000000001"/>
  </r>
  <r>
    <x v="7"/>
    <x v="9"/>
    <n v="889941.82"/>
    <n v="57212.42"/>
    <n v="6904241"/>
    <n v="0.12889784988675801"/>
    <n v="8.2865618393100707E-3"/>
    <n v="1.9265000000000001"/>
    <n v="1.5889"/>
    <n v="1.6238999999999999"/>
  </r>
  <r>
    <x v="7"/>
    <x v="10"/>
    <n v="928346.35"/>
    <n v="35476.36"/>
    <n v="6954036"/>
    <n v="0.13349748980304299"/>
    <n v="5.1015496612327E-3"/>
    <n v="1.9602999999999999"/>
    <n v="1.7632000000000001"/>
    <n v="1.6700999999999999"/>
  </r>
  <r>
    <x v="7"/>
    <x v="11"/>
    <n v="955006.37"/>
    <n v="25618.07"/>
    <n v="7000229"/>
    <n v="0.136425018381541"/>
    <n v="3.65960456436496E-3"/>
    <n v="1.9095"/>
    <n v="1.7445999999999999"/>
    <n v="1.6275999999999999"/>
  </r>
  <r>
    <x v="7"/>
    <x v="12"/>
    <n v="943358.35"/>
    <n v="37299.22"/>
    <n v="7035055"/>
    <n v="0.13409395520006501"/>
    <n v="5.3019087981543804E-3"/>
    <n v="2.1326999999999998"/>
    <n v="1.8148"/>
    <n v="1.7584"/>
  </r>
  <r>
    <x v="7"/>
    <x v="13"/>
    <n v="949378.15"/>
    <n v="47002.09"/>
    <n v="7075181"/>
    <n v="0.13418429153967901"/>
    <n v="6.64323499285742E-3"/>
    <n v="2.1429"/>
    <n v="1.7939000000000001"/>
    <n v="1.7743"/>
  </r>
  <r>
    <x v="7"/>
    <x v="14"/>
    <n v="926654.67"/>
    <n v="39181.08"/>
    <n v="7114598"/>
    <n v="0.13024694719223701"/>
    <n v="5.5071389838188996E-3"/>
    <n v="1.9702999999999999"/>
    <n v="1.7021999999999999"/>
    <n v="1.5988"/>
  </r>
  <r>
    <x v="7"/>
    <x v="15"/>
    <n v="961286.85"/>
    <n v="53908.94"/>
    <n v="7153262"/>
    <n v="0.13438440392648801"/>
    <n v="7.5362736608836599E-3"/>
    <n v="2.4054000000000002"/>
    <n v="2.085"/>
    <n v="1.9611000000000001"/>
  </r>
  <r>
    <x v="7"/>
    <x v="16"/>
    <n v="1003775.94"/>
    <n v="42153.84"/>
    <n v="7153262"/>
    <n v="0.14032422410922399"/>
    <n v="5.8929534525647099E-3"/>
    <n v="2.4474"/>
    <n v="2.1202999999999999"/>
    <n v="2.6857000000000002"/>
  </r>
  <r>
    <x v="7"/>
    <x v="17"/>
    <n v="1077536.98"/>
    <n v="42065.08"/>
    <n v="7153262"/>
    <n v="0.150635749116976"/>
    <n v="5.8805451275236297E-3"/>
    <n v="2.0421"/>
    <n v="1.714"/>
    <n v="2.1579000000000002"/>
  </r>
  <r>
    <x v="8"/>
    <x v="0"/>
    <n v="195720.65"/>
    <n v="14037.54"/>
    <n v="3036290"/>
    <n v="6.4460459969238701E-2"/>
    <n v="4.6232540369991002E-3"/>
    <n v="2.52"/>
    <n v="2.12"/>
    <n v="1.91"/>
  </r>
  <r>
    <x v="8"/>
    <x v="1"/>
    <n v="213323.77"/>
    <n v="19439.830000000002"/>
    <n v="3074086"/>
    <n v="6.9394210181497801E-2"/>
    <n v="6.3237755872802498E-3"/>
    <n v="2.4506999999999999"/>
    <n v="1.8380000000000001"/>
    <n v="1.8189"/>
  </r>
  <r>
    <x v="8"/>
    <x v="2"/>
    <n v="246146.29"/>
    <n v="28274.62"/>
    <n v="3111881"/>
    <n v="7.9098876210240601E-2"/>
    <n v="9.0860222482800502E-3"/>
    <n v="2.3502999999999998"/>
    <n v="1.7265999999999999"/>
    <n v="1.8441000000000001"/>
  </r>
  <r>
    <x v="8"/>
    <x v="3"/>
    <n v="279290.03999999998"/>
    <n v="33108.089999999997"/>
    <n v="3145325"/>
    <n v="8.8795288245252804E-2"/>
    <n v="1.0526126870832099E-2"/>
    <n v="2.2271999999999998"/>
    <n v="1.6378999999999999"/>
    <n v="1.8026"/>
  </r>
  <r>
    <x v="8"/>
    <x v="4"/>
    <n v="345390.95"/>
    <n v="19251.82"/>
    <n v="3142826"/>
    <n v="0.109898209445893"/>
    <n v="6.1256397904306502E-3"/>
    <n v="2.0619999999999998"/>
    <n v="1.6365000000000001"/>
    <n v="1.6611"/>
  </r>
  <r>
    <x v="8"/>
    <x v="5"/>
    <n v="373985.9"/>
    <n v="13860.12"/>
    <n v="3140328"/>
    <n v="0.119091349693407"/>
    <n v="4.4135899179958199E-3"/>
    <n v="2.0436999999999999"/>
    <n v="1.7518"/>
    <n v="1.5673999999999999"/>
  </r>
  <r>
    <x v="8"/>
    <x v="6"/>
    <n v="454910.23"/>
    <n v="15980.71"/>
    <n v="3160748"/>
    <n v="0.143924865253414"/>
    <n v="5.0559899112488501E-3"/>
    <n v="1.8729"/>
    <n v="1.6551"/>
    <n v="1.5099"/>
  </r>
  <r>
    <x v="8"/>
    <x v="7"/>
    <n v="500001.49"/>
    <n v="17938.349999999999"/>
    <n v="3184166"/>
    <n v="0.15702745711121799"/>
    <n v="5.6336101823837E-3"/>
    <n v="1.8643000000000001"/>
    <n v="1.6518999999999999"/>
    <n v="1.5765"/>
  </r>
  <r>
    <x v="8"/>
    <x v="8"/>
    <n v="569210.18999999994"/>
    <n v="21837.99"/>
    <n v="3194718"/>
    <n v="0.17817227999466601"/>
    <n v="6.8356549779980498E-3"/>
    <n v="1.8229"/>
    <n v="1.6425000000000001"/>
    <n v="1.5973999999999999"/>
  </r>
  <r>
    <x v="8"/>
    <x v="9"/>
    <n v="579918.42000000004"/>
    <n v="38396.910000000003"/>
    <n v="3204028"/>
    <n v="0.180996676683225"/>
    <n v="1.19839495784681E-2"/>
    <n v="1.8974"/>
    <n v="1.5889"/>
    <n v="1.6761999999999999"/>
  </r>
  <r>
    <x v="8"/>
    <x v="10"/>
    <n v="596027.06000000006"/>
    <n v="35913.72"/>
    <n v="3212180"/>
    <n v="0.185552198195617"/>
    <n v="1.1180481791182299E-2"/>
    <n v="2.0042"/>
    <n v="1.6919999999999999"/>
    <n v="1.7194"/>
  </r>
  <r>
    <x v="8"/>
    <x v="11"/>
    <n v="607778.96"/>
    <n v="37183.78"/>
    <n v="3219257"/>
    <n v="0.18879479333274701"/>
    <n v="1.1550422970269199E-2"/>
    <n v="1.9414"/>
    <n v="1.6329"/>
    <n v="1.6755"/>
  </r>
  <r>
    <x v="8"/>
    <x v="12"/>
    <n v="557661.82999999996"/>
    <n v="72283.06"/>
    <n v="3264531"/>
    <n v="0.17082448596750899"/>
    <n v="2.2141943207155901E-2"/>
    <n v="2.266"/>
    <n v="1.7431000000000001"/>
    <n v="1.8352999999999999"/>
  </r>
  <r>
    <x v="8"/>
    <x v="13"/>
    <n v="560883.72"/>
    <n v="91343.81"/>
    <n v="3273227"/>
    <n v="0.17135497171445699"/>
    <n v="2.7906347466888099E-2"/>
    <n v="2.2313000000000001"/>
    <n v="1.6907000000000001"/>
    <n v="1.8136000000000001"/>
  </r>
  <r>
    <x v="8"/>
    <x v="14"/>
    <n v="519740.88"/>
    <n v="71251.61"/>
    <n v="3281480"/>
    <n v="0.15838611845874401"/>
    <n v="2.1713254385216402E-2"/>
    <n v="2.0642999999999998"/>
    <n v="1.6129"/>
    <n v="1.6505000000000001"/>
  </r>
  <r>
    <x v="8"/>
    <x v="15"/>
    <n v="535982.11"/>
    <n v="84391.58"/>
    <n v="3289290"/>
    <n v="0.16294766043735801"/>
    <n v="2.5656472977451002E-2"/>
    <n v="2.6061999999999999"/>
    <n v="2.0977999999999999"/>
    <n v="2.0337000000000001"/>
  </r>
  <r>
    <x v="8"/>
    <x v="16"/>
    <n v="552387.27"/>
    <n v="76858.59"/>
    <n v="3289290"/>
    <n v="0.16793510757640701"/>
    <n v="2.33663161350929E-2"/>
    <n v="2.6332"/>
    <n v="2.0354999999999999"/>
    <n v="2.7503000000000002"/>
  </r>
  <r>
    <x v="8"/>
    <x v="17"/>
    <n v="621774.47"/>
    <n v="59753.599999999999"/>
    <n v="3289290"/>
    <n v="0.18902999431488199"/>
    <n v="1.8166108795515098E-2"/>
    <n v="2.1038999999999999"/>
    <n v="1.6445000000000001"/>
    <n v="2.2427999999999999"/>
  </r>
  <r>
    <x v="9"/>
    <x v="0"/>
    <n v="530568.07999999996"/>
    <n v="66099.39"/>
    <n v="8217085"/>
    <n v="6.4568892739943595E-2"/>
    <n v="8.0441409575293405E-3"/>
    <n v="2.7"/>
    <n v="1.92"/>
    <n v="1.86"/>
  </r>
  <r>
    <x v="9"/>
    <x v="1"/>
    <n v="552584.76"/>
    <n v="107878.08"/>
    <n v="8333806"/>
    <n v="6.6306410300407695E-2"/>
    <n v="1.29446353802812E-2"/>
    <n v="2.4986000000000002"/>
    <n v="1.6560999999999999"/>
    <n v="1.7709999999999999"/>
  </r>
  <r>
    <x v="9"/>
    <x v="2"/>
    <n v="615539.66"/>
    <n v="152940.75"/>
    <n v="8450528"/>
    <n v="7.2840378731364397E-2"/>
    <n v="1.80983661612623E-2"/>
    <n v="2.3231999999999999"/>
    <n v="1.6452"/>
    <n v="1.8351"/>
  </r>
  <r>
    <x v="9"/>
    <x v="3"/>
    <n v="665907.71"/>
    <n v="174591.73"/>
    <n v="8547809"/>
    <n v="7.7903906135478596E-2"/>
    <n v="2.0425319517551201E-2"/>
    <n v="2.2012"/>
    <n v="1.5599000000000001"/>
    <n v="1.7766"/>
  </r>
  <r>
    <x v="9"/>
    <x v="4"/>
    <n v="820165.03"/>
    <n v="157505.96"/>
    <n v="8538982"/>
    <n v="9.6049509180368295E-2"/>
    <n v="1.84455196181465E-2"/>
    <n v="2.1520000000000001"/>
    <n v="1.5629"/>
    <n v="1.6202000000000001"/>
  </r>
  <r>
    <x v="9"/>
    <x v="5"/>
    <n v="943328.05"/>
    <n v="113605.2"/>
    <n v="8530155"/>
    <n v="0.11058744536295"/>
    <n v="1.33180698357767E-2"/>
    <n v="2.0897999999999999"/>
    <n v="1.6365000000000001"/>
    <n v="1.5366"/>
  </r>
  <r>
    <x v="9"/>
    <x v="6"/>
    <n v="1120767.7"/>
    <n v="93417.91"/>
    <n v="8606005"/>
    <n v="0.13023089110452499"/>
    <n v="1.08549681298116E-2"/>
    <n v="1.9673"/>
    <n v="1.5680000000000001"/>
    <n v="1.5244"/>
  </r>
  <r>
    <x v="9"/>
    <x v="7"/>
    <n v="1216335.29"/>
    <n v="97864.95"/>
    <n v="8778576"/>
    <n v="0.13855724322486901"/>
    <n v="1.11481577422124E-2"/>
    <n v="1.9466000000000001"/>
    <n v="1.597"/>
    <n v="1.6244000000000001"/>
  </r>
  <r>
    <x v="9"/>
    <x v="8"/>
    <n v="1348677.04"/>
    <n v="109934.44"/>
    <n v="8842791"/>
    <n v="0.15251712270481099"/>
    <n v="1.24320975131041E-2"/>
    <n v="1.9258999999999999"/>
    <n v="1.5846"/>
    <n v="1.6554"/>
  </r>
  <r>
    <x v="9"/>
    <x v="9"/>
    <n v="1331394.4099999999"/>
    <n v="172587.82"/>
    <n v="8904459"/>
    <n v="0.14951996634495099"/>
    <n v="1.9382179198084899E-2"/>
    <n v="2.008"/>
    <n v="1.5598000000000001"/>
    <n v="1.6995"/>
  </r>
  <r>
    <x v="9"/>
    <x v="10"/>
    <n v="1372176.49"/>
    <n v="143299.5"/>
    <n v="8963663"/>
    <n v="0.15308211497911001"/>
    <n v="1.5986712128735699E-2"/>
    <n v="2.141"/>
    <n v="1.7632000000000001"/>
    <n v="1.7413000000000001"/>
  </r>
  <r>
    <x v="9"/>
    <x v="11"/>
    <n v="1381639.09"/>
    <n v="122849.55"/>
    <n v="9020460"/>
    <n v="0.153167254219851"/>
    <n v="1.36189894972096E-2"/>
    <n v="2.0903"/>
    <n v="1.7393000000000001"/>
    <n v="1.718"/>
  </r>
  <r>
    <x v="9"/>
    <x v="12"/>
    <n v="1329769.1100000001"/>
    <n v="169711.04"/>
    <n v="9075649"/>
    <n v="0.146520552965413"/>
    <n v="1.8699603741837E-2"/>
    <n v="2.3069999999999999"/>
    <n v="1.8405"/>
    <n v="1.8815"/>
  </r>
  <r>
    <x v="9"/>
    <x v="13"/>
    <n v="1385259.81"/>
    <n v="166507.5"/>
    <n v="9132078"/>
    <n v="0.15169163141182099"/>
    <n v="1.82332542494709E-2"/>
    <n v="2.2214999999999998"/>
    <n v="1.8185"/>
    <n v="1.8675999999999999"/>
  </r>
  <r>
    <x v="9"/>
    <x v="14"/>
    <n v="1278277.44"/>
    <n v="144948.24"/>
    <n v="9187103"/>
    <n v="0.13913825065420499"/>
    <n v="1.57773609373923E-2"/>
    <n v="2.069"/>
    <n v="1.7069000000000001"/>
    <n v="1.6928000000000001"/>
  </r>
  <r>
    <x v="9"/>
    <x v="15"/>
    <n v="1326330.25"/>
    <n v="136555.46"/>
    <n v="9240580"/>
    <n v="0.14353322518716299"/>
    <n v="1.47778018262922E-2"/>
    <n v="2.5036999999999998"/>
    <n v="2.1362000000000001"/>
    <n v="2.0421999999999998"/>
  </r>
  <r>
    <x v="9"/>
    <x v="16"/>
    <n v="1430938.9"/>
    <n v="117807.51"/>
    <n v="9240580"/>
    <n v="0.154853797056028"/>
    <n v="1.2748930261953201E-2"/>
    <n v="2.5160999999999998"/>
    <n v="2.1324000000000001"/>
    <n v="2.7826"/>
  </r>
  <r>
    <x v="9"/>
    <x v="17"/>
    <n v="1526127.76"/>
    <n v="147080.22"/>
    <n v="9240580"/>
    <n v="0.165154975120609"/>
    <n v="1.5916773622434901E-2"/>
    <n v="2.2235"/>
    <n v="1.768"/>
    <n v="2.3199999999999998"/>
  </r>
  <r>
    <x v="10"/>
    <x v="0"/>
    <n v="266639.71999999997"/>
    <n v="33372.57"/>
    <n v="3043760"/>
    <n v="8.7602084264199506E-2"/>
    <n v="1.0964258022971501E-2"/>
    <n v="2.62"/>
    <n v="1.89"/>
    <n v="1.83"/>
  </r>
  <r>
    <x v="10"/>
    <x v="1"/>
    <n v="272333.34000000003"/>
    <n v="67384.429999999993"/>
    <n v="3075098"/>
    <n v="8.8560865377298501E-2"/>
    <n v="2.1912937408823999E-2"/>
    <n v="2.4411"/>
    <n v="1.5795999999999999"/>
    <n v="1.7423"/>
  </r>
  <r>
    <x v="10"/>
    <x v="2"/>
    <n v="304051.81"/>
    <n v="94711.93"/>
    <n v="3106436"/>
    <n v="9.7878021629932102E-2"/>
    <n v="3.0488936517603999E-2"/>
    <n v="2.3412999999999999"/>
    <n v="1.6362000000000001"/>
    <n v="1.7899"/>
  </r>
  <r>
    <x v="10"/>
    <x v="3"/>
    <n v="334293.33"/>
    <n v="98373.7"/>
    <n v="3137541"/>
    <n v="0.106546282582442"/>
    <n v="3.1353757608267099E-2"/>
    <n v="2.2444999999999999"/>
    <n v="1.5859000000000001"/>
    <n v="1.7419"/>
  </r>
  <r>
    <x v="10"/>
    <x v="4"/>
    <n v="403549.73"/>
    <n v="79156.039999999994"/>
    <n v="3168099"/>
    <n v="0.12737914124527"/>
    <n v="2.4985342945406601E-2"/>
    <n v="2.1928999999999998"/>
    <n v="1.6037999999999999"/>
    <n v="1.6037999999999999"/>
  </r>
  <r>
    <x v="10"/>
    <x v="5"/>
    <n v="484517.1"/>
    <n v="55271.14"/>
    <n v="3198657"/>
    <n v="0.15147516598372299"/>
    <n v="1.7279483233119401E-2"/>
    <n v="2.0897999999999999"/>
    <n v="1.7057"/>
    <n v="1.5366"/>
  </r>
  <r>
    <x v="10"/>
    <x v="6"/>
    <n v="561903.62"/>
    <n v="46051.01"/>
    <n v="3228198"/>
    <n v="0.174061076798882"/>
    <n v="1.42652371384902E-2"/>
    <n v="1.96"/>
    <n v="1.6188"/>
    <n v="1.4881"/>
  </r>
  <r>
    <x v="10"/>
    <x v="7"/>
    <n v="605600.68999999994"/>
    <n v="48016.98"/>
    <n v="3373959"/>
    <n v="0.17949260497830499"/>
    <n v="1.42316430045534E-2"/>
    <n v="1.974"/>
    <n v="1.6587000000000001"/>
    <n v="1.5489999999999999"/>
  </r>
  <r>
    <x v="10"/>
    <x v="8"/>
    <n v="652345.85"/>
    <n v="42656.94"/>
    <n v="3408510"/>
    <n v="0.19138739507878799"/>
    <n v="1.25148349278717E-2"/>
    <n v="1.9517"/>
    <n v="1.6876"/>
    <n v="1.6103000000000001"/>
  </r>
  <r>
    <x v="10"/>
    <x v="9"/>
    <n v="644783.75"/>
    <n v="68898.98"/>
    <n v="3442175"/>
    <n v="0.18731870111194199"/>
    <n v="2.0016117716269499E-2"/>
    <n v="1.9614"/>
    <n v="1.5714999999999999"/>
    <n v="1.6296999999999999"/>
  </r>
  <r>
    <x v="10"/>
    <x v="10"/>
    <n v="651680.24"/>
    <n v="54800.4"/>
    <n v="3474998"/>
    <n v="0.18753398994761999"/>
    <n v="1.5769908356781701E-2"/>
    <n v="2.0972"/>
    <n v="1.7467999999999999"/>
    <n v="1.6919999999999999"/>
  </r>
  <r>
    <x v="10"/>
    <x v="11"/>
    <n v="661020.14"/>
    <n v="54338.48"/>
    <n v="3507003"/>
    <n v="0.18848576405551901"/>
    <n v="1.5494278162864399E-2"/>
    <n v="2.0531000000000001"/>
    <n v="1.7126999999999999"/>
    <n v="1.6755"/>
  </r>
  <r>
    <x v="10"/>
    <x v="12"/>
    <n v="608089.12"/>
    <n v="100968.47"/>
    <n v="3479010"/>
    <n v="0.17478797703944501"/>
    <n v="2.9022184472019302E-2"/>
    <n v="2.266"/>
    <n v="1.7789999999999999"/>
    <n v="1.82"/>
  </r>
  <r>
    <x v="10"/>
    <x v="13"/>
    <n v="620525.15"/>
    <n v="98042.81"/>
    <n v="3506853"/>
    <n v="0.17694643887268699"/>
    <n v="2.7957490661855499E-2"/>
    <n v="2.2067999999999999"/>
    <n v="1.7743"/>
    <n v="1.8087"/>
  </r>
  <r>
    <x v="10"/>
    <x v="14"/>
    <n v="577782.81000000006"/>
    <n v="76160"/>
    <n v="3534165"/>
    <n v="0.16348495613532399"/>
    <n v="2.1549644682690199E-2"/>
    <n v="2.1065999999999998"/>
    <n v="1.6975"/>
    <n v="1.6457999999999999"/>
  </r>
  <r>
    <x v="10"/>
    <x v="15"/>
    <n v="595237.02"/>
    <n v="76950"/>
    <n v="3560903"/>
    <n v="0.16715900994775701"/>
    <n v="2.1609687205745201E-2"/>
    <n v="2.6019000000000001"/>
    <n v="2.1918000000000002"/>
    <n v="2.0421999999999998"/>
  </r>
  <r>
    <x v="10"/>
    <x v="16"/>
    <n v="617546.06999999995"/>
    <n v="63235.97"/>
    <n v="3560903"/>
    <n v="0.17342400789911899"/>
    <n v="1.77584084711097E-2"/>
    <n v="2.609"/>
    <n v="2.1364000000000001"/>
    <n v="2.718"/>
  </r>
  <r>
    <x v="10"/>
    <x v="17"/>
    <n v="671883.03"/>
    <n v="53939.51"/>
    <n v="3560903"/>
    <n v="0.188683328358003"/>
    <n v="1.5147705511775999E-2"/>
    <n v="2.2120000000000002"/>
    <n v="1.7564"/>
    <n v="2.2736999999999998"/>
  </r>
  <r>
    <x v="11"/>
    <x v="0"/>
    <n v="281008.49"/>
    <n v="36596.949999999997"/>
    <n v="3623215"/>
    <n v="7.7557773965939006E-2"/>
    <n v="1.0100684060978899E-2"/>
    <n v="2.59"/>
    <n v="1.89"/>
    <n v="1.83"/>
  </r>
  <r>
    <x v="11"/>
    <x v="1"/>
    <n v="301021.96000000002"/>
    <n v="63588.61"/>
    <n v="3682910"/>
    <n v="8.1734812960403594E-2"/>
    <n v="1.7265860420156799E-2"/>
    <n v="2.4220000000000002"/>
    <n v="1.6560999999999999"/>
    <n v="1.7519"/>
  </r>
  <r>
    <x v="11"/>
    <x v="2"/>
    <n v="341331.35"/>
    <n v="89659.66"/>
    <n v="3742604"/>
    <n v="9.1201567144159501E-2"/>
    <n v="2.3956491255820798E-2"/>
    <n v="2.2147000000000001"/>
    <n v="1.591"/>
    <n v="1.7899"/>
  </r>
  <r>
    <x v="11"/>
    <x v="3"/>
    <n v="359084.68"/>
    <n v="112976.62"/>
    <n v="3769977"/>
    <n v="9.5248506821129106E-2"/>
    <n v="2.9967456034877601E-2"/>
    <n v="2.0972"/>
    <n v="1.4645999999999999"/>
    <n v="1.7592000000000001"/>
  </r>
  <r>
    <x v="11"/>
    <x v="4"/>
    <n v="444825.64"/>
    <n v="86559.83"/>
    <n v="3780646"/>
    <n v="0.11765863294262401"/>
    <n v="2.2895513094852001E-2"/>
    <n v="2.0047000000000001"/>
    <n v="1.5138"/>
    <n v="1.6120000000000001"/>
  </r>
  <r>
    <x v="11"/>
    <x v="5"/>
    <n v="511689.33"/>
    <n v="58018.8"/>
    <n v="3791315"/>
    <n v="0.13496354958635701"/>
    <n v="1.5303080857169599E-2"/>
    <n v="1.9669000000000001"/>
    <n v="1.6134999999999999"/>
    <n v="1.5213000000000001"/>
  </r>
  <r>
    <x v="11"/>
    <x v="6"/>
    <n v="588349.21"/>
    <n v="44717.21"/>
    <n v="3815171"/>
    <n v="0.15421306410643101"/>
    <n v="1.17208927201428E-2"/>
    <n v="1.8874"/>
    <n v="1.5752999999999999"/>
    <n v="1.4663999999999999"/>
  </r>
  <r>
    <x v="11"/>
    <x v="7"/>
    <n v="625181.68999999994"/>
    <n v="54253.8"/>
    <n v="3914421"/>
    <n v="0.159712430011999"/>
    <n v="1.38599808247503E-2"/>
    <n v="1.9055"/>
    <n v="1.5489999999999999"/>
    <n v="1.5489999999999999"/>
  </r>
  <r>
    <x v="11"/>
    <x v="8"/>
    <n v="686269.95"/>
    <n v="69928.45"/>
    <n v="3943885"/>
    <n v="0.174008610798742"/>
    <n v="1.7730854221155001E-2"/>
    <n v="1.8422000000000001"/>
    <n v="1.4751000000000001"/>
    <n v="1.5651999999999999"/>
  </r>
  <r>
    <x v="11"/>
    <x v="9"/>
    <n v="662396.75"/>
    <n v="131568.57"/>
    <n v="3972202"/>
    <n v="0.16675807272641199"/>
    <n v="3.3122326105268503E-2"/>
    <n v="1.8567"/>
    <n v="1.3969"/>
    <n v="1.6064000000000001"/>
  </r>
  <r>
    <x v="11"/>
    <x v="10"/>
    <n v="694589.7"/>
    <n v="85045.440000000002"/>
    <n v="3999415"/>
    <n v="0.17367282465060499"/>
    <n v="2.1264469928726999E-2"/>
    <n v="2.0042"/>
    <n v="1.6536999999999999"/>
    <n v="1.6373"/>
  </r>
  <r>
    <x v="11"/>
    <x v="11"/>
    <n v="713021.85"/>
    <n v="76998.350000000006"/>
    <n v="4025558"/>
    <n v="0.17712373042445201"/>
    <n v="1.9127373149262699E-2"/>
    <n v="1.9414"/>
    <n v="1.5956999999999999"/>
    <n v="1.617"/>
  </r>
  <r>
    <x v="11"/>
    <x v="12"/>
    <n v="637788.09"/>
    <n v="165184.07999999999"/>
    <n v="3996496"/>
    <n v="0.159586820554806"/>
    <n v="4.1332227030879E-2"/>
    <n v="2.1686000000000001"/>
    <n v="1.6252"/>
    <n v="1.7636000000000001"/>
  </r>
  <r>
    <x v="11"/>
    <x v="13"/>
    <n v="653092.79"/>
    <n v="176961.58"/>
    <n v="4018127"/>
    <n v="0.16253662216251499"/>
    <n v="4.4040813045481103E-2"/>
    <n v="2.0985999999999998"/>
    <n v="1.6121000000000001"/>
    <n v="1.7595000000000001"/>
  </r>
  <r>
    <x v="11"/>
    <x v="14"/>
    <n v="621657.74"/>
    <n v="146229.6"/>
    <n v="4039277"/>
    <n v="0.15390322079916699"/>
    <n v="3.62019242552565E-2"/>
    <n v="1.9137999999999999"/>
    <n v="1.4671000000000001"/>
    <n v="1.5847"/>
  </r>
  <r>
    <x v="11"/>
    <x v="15"/>
    <n v="663078.18000000005"/>
    <n v="128742.35"/>
    <n v="4059905"/>
    <n v="0.163323570379109"/>
    <n v="3.1710680422325097E-2"/>
    <n v="2.3925999999999998"/>
    <n v="1.9739"/>
    <n v="1.9269000000000001"/>
  </r>
  <r>
    <x v="11"/>
    <x v="16"/>
    <n v="698823.66"/>
    <n v="124006.86"/>
    <n v="4059905"/>
    <n v="0.172128081814722"/>
    <n v="3.05442762823268E-2"/>
    <n v="2.4232"/>
    <n v="1.8900999999999999"/>
    <n v="2.6332"/>
  </r>
  <r>
    <x v="11"/>
    <x v="17"/>
    <n v="760013.56"/>
    <n v="126411.4"/>
    <n v="4059905"/>
    <n v="0.18719983841986401"/>
    <n v="3.11365413722734E-2"/>
    <n v="2.073"/>
    <n v="1.5557000000000001"/>
    <n v="2.1810999999999998"/>
  </r>
  <r>
    <x v="12"/>
    <x v="0"/>
    <n v="637645.56999999995"/>
    <n v="107508.49"/>
    <n v="8502603"/>
    <n v="7.4994160023700907E-2"/>
    <n v="1.2644185551177601E-2"/>
    <n v="2.64"/>
    <n v="1.85"/>
    <n v="1.84"/>
  </r>
  <r>
    <x v="12"/>
    <x v="1"/>
    <n v="621960.22"/>
    <n v="163306.06"/>
    <n v="8618400"/>
    <n v="7.2166552956465194E-2"/>
    <n v="1.8948535691079502E-2"/>
    <n v="2.4889999999999999"/>
    <n v="1.5508"/>
    <n v="1.7614000000000001"/>
  </r>
  <r>
    <x v="12"/>
    <x v="2"/>
    <n v="676940.04"/>
    <n v="280705.40999999997"/>
    <n v="8734196"/>
    <n v="7.7504562526419102E-2"/>
    <n v="3.2138666226404801E-2"/>
    <n v="2.3502999999999998"/>
    <n v="1.5367"/>
    <n v="1.8079000000000001"/>
  </r>
  <r>
    <x v="12"/>
    <x v="3"/>
    <n v="701324.89"/>
    <n v="365487.16"/>
    <n v="8810256"/>
    <n v="7.9603236273724606E-2"/>
    <n v="4.1484283771095802E-2"/>
    <n v="2.2271999999999998"/>
    <n v="1.4559"/>
    <n v="1.7679"/>
  </r>
  <r>
    <x v="12"/>
    <x v="4"/>
    <n v="898932.82"/>
    <n v="315407.46999999997"/>
    <n v="8837581"/>
    <n v="0.10171706714767299"/>
    <n v="3.5689344176873701E-2"/>
    <n v="2.1438000000000001"/>
    <n v="1.522"/>
    <n v="1.6365000000000001"/>
  </r>
  <r>
    <x v="12"/>
    <x v="5"/>
    <n v="1106865.97"/>
    <n v="184815.72"/>
    <n v="8864906"/>
    <n v="0.124859301384583"/>
    <n v="2.0848018016208999E-2"/>
    <n v="2.0514000000000001"/>
    <n v="1.6212"/>
    <n v="1.5443"/>
  </r>
  <r>
    <x v="12"/>
    <x v="6"/>
    <n v="1290226.1599999999"/>
    <n v="163341.85"/>
    <n v="8931028"/>
    <n v="0.144465582237565"/>
    <n v="1.82892551674902E-2"/>
    <n v="1.9744999999999999"/>
    <n v="1.5535000000000001"/>
    <n v="1.5026999999999999"/>
  </r>
  <r>
    <x v="12"/>
    <x v="7"/>
    <n v="1379495.06"/>
    <n v="153903.01"/>
    <n v="9208550"/>
    <n v="0.14980589343599099"/>
    <n v="1.6713055801401901E-2"/>
    <n v="1.9397"/>
    <n v="1.5559000000000001"/>
    <n v="1.5559000000000001"/>
  </r>
  <r>
    <x v="12"/>
    <x v="8"/>
    <n v="1497221.78"/>
    <n v="148197.51999999999"/>
    <n v="9277727"/>
    <n v="0.16137808107524601"/>
    <n v="1.5973472812899101E-2"/>
    <n v="1.8873"/>
    <n v="1.5395000000000001"/>
    <n v="1.5846"/>
  </r>
  <r>
    <x v="12"/>
    <x v="9"/>
    <n v="1377723.97"/>
    <n v="278681.34000000003"/>
    <n v="9345173"/>
    <n v="0.147426267015067"/>
    <n v="2.98208861408986E-2"/>
    <n v="1.9672000000000001"/>
    <n v="1.4492"/>
    <n v="1.6296999999999999"/>
  </r>
  <r>
    <x v="12"/>
    <x v="10"/>
    <n v="1441149.79"/>
    <n v="205719.9"/>
    <n v="9410336"/>
    <n v="0.15314541266114101"/>
    <n v="2.18610578835867E-2"/>
    <n v="2.0261"/>
    <n v="1.6208"/>
    <n v="1.6482000000000001"/>
  </r>
  <r>
    <x v="12"/>
    <x v="11"/>
    <n v="1494982.01"/>
    <n v="208027.6"/>
    <n v="9473266"/>
    <n v="0.157810623073394"/>
    <n v="2.1959438276091901E-2"/>
    <n v="1.952"/>
    <n v="1.5744"/>
    <n v="1.5956999999999999"/>
  </r>
  <r>
    <x v="12"/>
    <x v="12"/>
    <n v="1311137.67"/>
    <n v="372304.88"/>
    <n v="9496294"/>
    <n v="0.13806835277003801"/>
    <n v="3.9205281555099197E-2"/>
    <n v="2.2044999999999999"/>
    <n v="1.6508"/>
    <n v="1.7943"/>
  </r>
  <r>
    <x v="12"/>
    <x v="13"/>
    <n v="1367866.54"/>
    <n v="347933.94"/>
    <n v="9557071"/>
    <n v="0.14312612514859399"/>
    <n v="3.6405917670801001E-2"/>
    <n v="2.1232000000000002"/>
    <n v="1.6563000000000001"/>
    <n v="1.8185"/>
  </r>
  <r>
    <x v="12"/>
    <x v="14"/>
    <n v="1273074.01"/>
    <n v="264071.08"/>
    <n v="9616621"/>
    <n v="0.13238267474615001"/>
    <n v="2.7459861421179E-2"/>
    <n v="2.0078999999999998"/>
    <n v="1.5893999999999999"/>
    <n v="1.6880999999999999"/>
  </r>
  <r>
    <x v="12"/>
    <x v="15"/>
    <n v="1317326.97"/>
    <n v="241918.95"/>
    <n v="9674793"/>
    <n v="0.13616073956311001"/>
    <n v="2.5005077628017399E-2"/>
    <n v="2.4567000000000001"/>
    <n v="2.0337000000000001"/>
    <n v="2.0081000000000002"/>
  </r>
  <r>
    <x v="12"/>
    <x v="16"/>
    <n v="1354426.64"/>
    <n v="216191.71"/>
    <n v="9674793"/>
    <n v="0.13999541282175201"/>
    <n v="2.23458744802085E-2"/>
    <n v="2.4716999999999998"/>
    <n v="1.9709000000000001"/>
    <n v="2.7624"/>
  </r>
  <r>
    <x v="12"/>
    <x v="17"/>
    <n v="1464095.65"/>
    <n v="214221.41"/>
    <n v="9674793"/>
    <n v="0.15133095354081399"/>
    <n v="2.21422215441715E-2"/>
    <n v="2.0960999999999999"/>
    <n v="1.6096999999999999"/>
    <n v="2.2544"/>
  </r>
  <r>
    <x v="13"/>
    <x v="0"/>
    <n v="168899.39"/>
    <n v="34903.25"/>
    <n v="3050652"/>
    <n v="5.5365013774104598E-2"/>
    <n v="1.14412427245061E-2"/>
    <n v="2.8"/>
    <n v="1.95"/>
    <n v="1.87"/>
  </r>
  <r>
    <x v="13"/>
    <x v="1"/>
    <n v="163490.35"/>
    <n v="51462.02"/>
    <n v="3089106"/>
    <n v="5.2924810608635603E-2"/>
    <n v="1.6659195249369801E-2"/>
    <n v="2.6804999999999999"/>
    <n v="1.6943999999999999"/>
    <n v="1.7806"/>
  </r>
  <r>
    <x v="13"/>
    <x v="2"/>
    <n v="172374.63"/>
    <n v="83104.320000000007"/>
    <n v="3127560"/>
    <n v="5.5114731611863498E-2"/>
    <n v="2.65716149330468E-2"/>
    <n v="2.4950000000000001"/>
    <n v="1.6271"/>
    <n v="1.8169999999999999"/>
  </r>
  <r>
    <x v="13"/>
    <x v="3"/>
    <n v="179400.47"/>
    <n v="104514.39"/>
    <n v="3156108"/>
    <n v="5.6842310212451501E-2"/>
    <n v="3.3114959944336497E-2"/>
    <n v="2.3311999999999999"/>
    <n v="1.5339"/>
    <n v="1.7679"/>
  </r>
  <r>
    <x v="13"/>
    <x v="4"/>
    <n v="245327.83"/>
    <n v="76100.45"/>
    <n v="3149746"/>
    <n v="7.7888131296936294E-2"/>
    <n v="2.4160821221774698E-2"/>
    <n v="2.2338"/>
    <n v="1.6037999999999999"/>
    <n v="1.6365000000000001"/>
  </r>
  <r>
    <x v="13"/>
    <x v="5"/>
    <n v="303096.08"/>
    <n v="53238.36"/>
    <n v="3143384"/>
    <n v="9.6423497733652594E-2"/>
    <n v="1.6936638985246399E-2"/>
    <n v="2.1667000000000001"/>
    <n v="1.7363999999999999"/>
    <n v="1.5366"/>
  </r>
  <r>
    <x v="13"/>
    <x v="6"/>
    <n v="363832.65"/>
    <n v="39553.57"/>
    <n v="3165472"/>
    <n v="0.11493788288128901"/>
    <n v="1.24953150746555E-2"/>
    <n v="2.0036"/>
    <n v="1.6477999999999999"/>
    <n v="1.4881"/>
  </r>
  <r>
    <x v="13"/>
    <x v="7"/>
    <n v="400517.97"/>
    <n v="34967.08"/>
    <n v="3300935"/>
    <n v="0.12133470365214701"/>
    <n v="1.0593083474833599E-2"/>
    <n v="1.9809000000000001"/>
    <n v="1.6656"/>
    <n v="1.5628"/>
  </r>
  <r>
    <x v="13"/>
    <x v="8"/>
    <n v="441612.03"/>
    <n v="35657.589999999997"/>
    <n v="3321730"/>
    <n v="0.132946395402395"/>
    <n v="1.0734644296797101E-2"/>
    <n v="1.9323999999999999"/>
    <n v="1.6295999999999999"/>
    <n v="1.5846"/>
  </r>
  <r>
    <x v="13"/>
    <x v="9"/>
    <n v="425872.69"/>
    <n v="58705"/>
    <n v="3340932"/>
    <n v="0.12747122359868401"/>
    <n v="1.7571444135947599E-2"/>
    <n v="1.9672000000000001"/>
    <n v="1.5365"/>
    <n v="1.6238999999999999"/>
  </r>
  <r>
    <x v="13"/>
    <x v="10"/>
    <n v="453962.27"/>
    <n v="31762"/>
    <n v="3358963"/>
    <n v="0.13514952978047001"/>
    <n v="9.4558945722236203E-3"/>
    <n v="2.0699000000000001"/>
    <n v="1.7632000000000001"/>
    <n v="1.6482000000000001"/>
  </r>
  <r>
    <x v="13"/>
    <x v="11"/>
    <n v="455660.7"/>
    <n v="35056.879999999997"/>
    <n v="3375823"/>
    <n v="0.134977663224641"/>
    <n v="1.03846913774803E-2"/>
    <n v="2.0636999999999999"/>
    <n v="1.7126999999999999"/>
    <n v="1.6700999999999999"/>
  </r>
  <r>
    <x v="13"/>
    <x v="12"/>
    <n v="417718.71"/>
    <n v="77575.13"/>
    <n v="3322820"/>
    <n v="0.12571210899176"/>
    <n v="2.3346172829102899E-2"/>
    <n v="2.3275000000000001"/>
    <n v="1.7789999999999999"/>
    <n v="1.8405"/>
  </r>
  <r>
    <x v="13"/>
    <x v="13"/>
    <n v="437071.22"/>
    <n v="73609.02"/>
    <n v="3337357"/>
    <n v="0.13096328022444101"/>
    <n v="2.2056082103293101E-2"/>
    <n v="2.2214999999999998"/>
    <n v="1.7399"/>
    <n v="1.8431"/>
  </r>
  <r>
    <x v="13"/>
    <x v="14"/>
    <n v="423867.37"/>
    <n v="64922.41"/>
    <n v="3351543"/>
    <n v="0.126469321742254"/>
    <n v="1.9370901701096999E-2"/>
    <n v="2.0737000000000001"/>
    <n v="1.6364000000000001"/>
    <n v="1.6834"/>
  </r>
  <r>
    <x v="13"/>
    <x v="15"/>
    <n v="439772.33"/>
    <n v="69661.78"/>
    <n v="3365351"/>
    <n v="0.13067651190024401"/>
    <n v="2.0699707103359999E-2"/>
    <n v="2.5036999999999998"/>
    <n v="2.0636000000000001"/>
    <n v="2.0550999999999999"/>
  </r>
  <r>
    <x v="13"/>
    <x v="16"/>
    <n v="466946.34"/>
    <n v="67536.72"/>
    <n v="3365351"/>
    <n v="0.13875115552582701"/>
    <n v="2.00682543960496E-2"/>
    <n v="2.4756999999999998"/>
    <n v="1.9547000000000001"/>
    <n v="2.6938"/>
  </r>
  <r>
    <x v="13"/>
    <x v="17"/>
    <n v="505126.35"/>
    <n v="64380.85"/>
    <n v="3365351"/>
    <n v="0.150096186103618"/>
    <n v="1.9130500800659402E-2"/>
    <n v="2.1425000000000001"/>
    <n v="1.629"/>
    <n v="2.2698999999999998"/>
  </r>
  <r>
    <x v="14"/>
    <x v="0"/>
    <n v="170814.53"/>
    <n v="12774.68"/>
    <n v="2000738"/>
    <n v="8.5375761344063994E-2"/>
    <n v="6.3849839409257899E-3"/>
    <n v="2.5499999999999998"/>
    <n v="2.0499999999999998"/>
    <n v="1.86"/>
  </r>
  <r>
    <x v="14"/>
    <x v="1"/>
    <n v="176382.29"/>
    <n v="16849.14"/>
    <n v="2000056"/>
    <n v="8.8188675717079903E-2"/>
    <n v="8.4243341186446708E-3"/>
    <n v="2.4123999999999999"/>
    <n v="1.8189"/>
    <n v="1.7806"/>
  </r>
  <r>
    <x v="14"/>
    <x v="2"/>
    <n v="197333.27"/>
    <n v="29434.48"/>
    <n v="1999374"/>
    <n v="9.8697527326052997E-2"/>
    <n v="1.4721847938404699E-2"/>
    <n v="2.278"/>
    <n v="1.6543000000000001"/>
    <n v="1.8260000000000001"/>
  </r>
  <r>
    <x v="14"/>
    <x v="3"/>
    <n v="210071.2"/>
    <n v="52496.42"/>
    <n v="2019679"/>
    <n v="0.104012172231329"/>
    <n v="2.59924572172112E-2"/>
    <n v="2.2099000000000002"/>
    <n v="1.5339"/>
    <n v="1.7679"/>
  </r>
  <r>
    <x v="14"/>
    <x v="4"/>
    <n v="259063.29"/>
    <n v="39229.339999999997"/>
    <n v="2054749"/>
    <n v="0.126080260898046"/>
    <n v="1.9092035085550501E-2"/>
    <n v="2.1356999999999999"/>
    <n v="1.5791999999999999"/>
    <n v="1.6202000000000001"/>
  </r>
  <r>
    <x v="14"/>
    <x v="5"/>
    <n v="298401.15000000002"/>
    <n v="25245.97"/>
    <n v="2089819"/>
    <n v="0.14278803571026899"/>
    <n v="1.20804576855698E-2"/>
    <n v="2.0975000000000001"/>
    <n v="1.7057"/>
    <n v="1.5597000000000001"/>
  </r>
  <r>
    <x v="14"/>
    <x v="6"/>
    <n v="340092.12"/>
    <n v="21122.42"/>
    <n v="2110867"/>
    <n v="0.16111489733839199"/>
    <n v="1.0006513911108499E-2"/>
    <n v="1.9963"/>
    <n v="1.6624000000000001"/>
    <n v="1.5244"/>
  </r>
  <r>
    <x v="14"/>
    <x v="7"/>
    <n v="366897.07"/>
    <n v="20763.23"/>
    <n v="2195662"/>
    <n v="0.16710088802374801"/>
    <n v="9.4564782739784102E-3"/>
    <n v="1.974"/>
    <n v="1.6998"/>
    <n v="1.6039000000000001"/>
  </r>
  <r>
    <x v="14"/>
    <x v="8"/>
    <n v="403098.47"/>
    <n v="21510.9"/>
    <n v="2219574"/>
    <n v="0.181610737015301"/>
    <n v="9.6914543060965704E-3"/>
    <n v="1.8936999999999999"/>
    <n v="1.6103000000000001"/>
    <n v="1.5973999999999999"/>
  </r>
  <r>
    <x v="14"/>
    <x v="9"/>
    <n v="390746.96"/>
    <n v="45478.3"/>
    <n v="2242937"/>
    <n v="0.17421218696735499"/>
    <n v="2.02762271075826E-2"/>
    <n v="1.9614"/>
    <n v="1.5424"/>
    <n v="1.6238999999999999"/>
  </r>
  <r>
    <x v="14"/>
    <x v="10"/>
    <n v="398251.99"/>
    <n v="25192.3"/>
    <n v="2265779"/>
    <n v="0.17576824129802501"/>
    <n v="1.1118604241631601E-2"/>
    <n v="2.0150999999999999"/>
    <n v="1.7194"/>
    <n v="1.6427"/>
  </r>
  <r>
    <x v="14"/>
    <x v="11"/>
    <n v="401427.9"/>
    <n v="22413.35"/>
    <n v="2288116"/>
    <n v="0.175440362289324"/>
    <n v="9.7955479529883895E-3"/>
    <n v="1.9733000000000001"/>
    <n v="1.6808000000000001"/>
    <n v="1.6435"/>
  </r>
  <r>
    <x v="14"/>
    <x v="12"/>
    <n v="370116.04"/>
    <n v="48435.7"/>
    <n v="2278308"/>
    <n v="0.16245215308904601"/>
    <n v="2.1259504860624601E-2"/>
    <n v="2.266"/>
    <n v="1.7995000000000001"/>
    <n v="1.8046"/>
  </r>
  <r>
    <x v="14"/>
    <x v="13"/>
    <n v="380080.42"/>
    <n v="54119.38"/>
    <n v="2298696"/>
    <n v="0.16534610057180199"/>
    <n v="2.3543513365838702E-2"/>
    <n v="2.1576"/>
    <n v="1.7103999999999999"/>
    <n v="1.7791999999999999"/>
  </r>
  <r>
    <x v="14"/>
    <x v="14"/>
    <n v="357524.12"/>
    <n v="40584.870000000003"/>
    <n v="2318822"/>
    <n v="0.154183512145391"/>
    <n v="1.75023654252029E-2"/>
    <n v="2.0783999999999998"/>
    <n v="1.6598999999999999"/>
    <n v="1.6457999999999999"/>
  </r>
  <r>
    <x v="14"/>
    <x v="15"/>
    <n v="366043.71"/>
    <n v="36890.18"/>
    <n v="2338474"/>
    <n v="0.15653101552550899"/>
    <n v="1.57753218551927E-2"/>
    <n v="2.4866000000000001"/>
    <n v="2.0764"/>
    <n v="2.0209000000000001"/>
  </r>
  <r>
    <x v="14"/>
    <x v="16"/>
    <n v="381713.74"/>
    <n v="32982.17"/>
    <n v="2338474"/>
    <n v="0.163231979487477"/>
    <n v="1.41041422739786E-2"/>
    <n v="2.4554999999999998"/>
    <n v="1.9911000000000001"/>
    <n v="2.6453000000000002"/>
  </r>
  <r>
    <x v="14"/>
    <x v="17"/>
    <n v="418885.73"/>
    <n v="33878.36"/>
    <n v="2338474"/>
    <n v="0.17912781155574101"/>
    <n v="1.44873793764651E-2"/>
    <n v="2.1617999999999999"/>
    <n v="1.7023999999999999"/>
    <n v="2.1232000000000002"/>
  </r>
  <r>
    <x v="15"/>
    <x v="0"/>
    <n v="1006425.23"/>
    <n v="95525.759999999995"/>
    <n v="13950146"/>
    <n v="7.2144422717869694E-2"/>
    <n v="6.8476530639894296E-3"/>
    <n v="2.64"/>
    <n v="1.86"/>
    <n v="1.84"/>
  </r>
  <r>
    <x v="15"/>
    <x v="1"/>
    <n v="988911.79"/>
    <n v="173953.49"/>
    <n v="14226354"/>
    <n v="6.9512665718848204E-2"/>
    <n v="1.22275524705767E-2"/>
    <n v="2.4986000000000002"/>
    <n v="1.6177999999999999"/>
    <n v="1.7519"/>
  </r>
  <r>
    <x v="15"/>
    <x v="2"/>
    <n v="1050094.3999999999"/>
    <n v="369506.46"/>
    <n v="14502563"/>
    <n v="7.2407504797600206E-2"/>
    <n v="2.5478700557963401E-2"/>
    <n v="2.3683999999999998"/>
    <n v="1.5367"/>
    <n v="1.8079000000000001"/>
  </r>
  <r>
    <x v="15"/>
    <x v="3"/>
    <n v="1056462.81"/>
    <n v="541169.67000000004"/>
    <n v="14637364"/>
    <n v="7.2175755825980695E-2"/>
    <n v="3.6971798337460199E-2"/>
    <n v="2.2879"/>
    <n v="1.4993000000000001"/>
    <n v="1.7419"/>
  </r>
  <r>
    <x v="15"/>
    <x v="4"/>
    <n v="1273406.05"/>
    <n v="498360.45"/>
    <n v="14367449"/>
    <n v="8.8631325574915903E-2"/>
    <n v="3.4686773553189498E-2"/>
    <n v="2.2174999999999998"/>
    <n v="1.5383"/>
    <n v="1.5873999999999999"/>
  </r>
  <r>
    <x v="15"/>
    <x v="5"/>
    <n v="1588825.7"/>
    <n v="254228.59"/>
    <n v="14097534"/>
    <n v="0.11270238468657"/>
    <n v="1.8033550406759E-2"/>
    <n v="2.1128999999999998"/>
    <n v="1.6134999999999999"/>
    <n v="1.4904999999999999"/>
  </r>
  <r>
    <x v="15"/>
    <x v="6"/>
    <n v="1842729.92"/>
    <n v="197612.31"/>
    <n v="14175341"/>
    <n v="0.12999545619396299"/>
    <n v="1.39405683432941E-2"/>
    <n v="1.9818"/>
    <n v="1.5317000000000001"/>
    <n v="1.4518"/>
  </r>
  <r>
    <x v="15"/>
    <x v="7"/>
    <n v="1943731.38"/>
    <n v="245539.53"/>
    <n v="15044137"/>
    <n v="0.12920191965813599"/>
    <n v="1.6321277185922901E-2"/>
    <n v="1.9877"/>
    <n v="1.5353000000000001"/>
    <n v="1.5628"/>
  </r>
  <r>
    <x v="15"/>
    <x v="8"/>
    <n v="2145017.1800000002"/>
    <n v="271186.74"/>
    <n v="15126371"/>
    <n v="0.14180646369178701"/>
    <n v="1.7928076734333699E-2"/>
    <n v="1.9453"/>
    <n v="1.5266"/>
    <n v="1.5781000000000001"/>
  </r>
  <r>
    <x v="15"/>
    <x v="9"/>
    <n v="2050793.53"/>
    <n v="508118.76"/>
    <n v="15203334"/>
    <n v="0.134891039689057"/>
    <n v="3.3421535039616902E-2"/>
    <n v="2.0487000000000002"/>
    <n v="1.5016"/>
    <n v="1.6180000000000001"/>
  </r>
  <r>
    <x v="15"/>
    <x v="10"/>
    <n v="2210592.7599999998"/>
    <n v="306047.15000000002"/>
    <n v="15276566"/>
    <n v="0.144704821751171"/>
    <n v="2.00337660963858E-2"/>
    <n v="2.0699000000000001"/>
    <n v="1.6482000000000001"/>
    <n v="1.6317999999999999"/>
  </r>
  <r>
    <x v="15"/>
    <x v="11"/>
    <n v="2251135.71"/>
    <n v="277356.95"/>
    <n v="15344447"/>
    <n v="0.14670686470486599"/>
    <n v="1.8075395613800799E-2"/>
    <n v="2.0318000000000001"/>
    <n v="1.6063000000000001"/>
    <n v="1.6329"/>
  </r>
  <r>
    <x v="15"/>
    <x v="12"/>
    <n v="2010769.64"/>
    <n v="501277.13"/>
    <n v="14812617"/>
    <n v="0.13574708912003799"/>
    <n v="3.3841226705584801E-2"/>
    <n v="2.3121"/>
    <n v="1.7379"/>
    <n v="1.7841"/>
  </r>
  <r>
    <x v="15"/>
    <x v="13"/>
    <n v="2043682.94"/>
    <n v="594999.6"/>
    <n v="14873064"/>
    <n v="0.13740833361572299"/>
    <n v="4.0005179833825698E-2"/>
    <n v="2.2363"/>
    <n v="1.6907000000000001"/>
    <n v="1.7595000000000001"/>
  </r>
  <r>
    <x v="15"/>
    <x v="14"/>
    <n v="2001075.8"/>
    <n v="494275.91"/>
    <n v="14930634"/>
    <n v="0.13402483779322399"/>
    <n v="3.3104817250225203E-2"/>
    <n v="2.0455000000000001"/>
    <n v="1.5659000000000001"/>
    <n v="1.5941000000000001"/>
  </r>
  <r>
    <x v="15"/>
    <x v="15"/>
    <n v="2064159.04"/>
    <n v="465818.99"/>
    <n v="14985284"/>
    <n v="0.13774574042106899"/>
    <n v="3.1085095884735899E-2"/>
    <n v="2.5122"/>
    <n v="2.0421999999999998"/>
    <n v="1.9568000000000001"/>
  </r>
  <r>
    <x v="15"/>
    <x v="16"/>
    <n v="2148656.52"/>
    <n v="465908.84"/>
    <n v="14985284"/>
    <n v="0.143384437692338"/>
    <n v="3.1091091767096301E-2"/>
    <n v="2.617"/>
    <n v="2.0274000000000001"/>
    <n v="2.7342"/>
  </r>
  <r>
    <x v="15"/>
    <x v="17"/>
    <n v="2336946.25"/>
    <n v="472202.86"/>
    <n v="14985284"/>
    <n v="0.15594941343787599"/>
    <n v="3.1511105161570498E-2"/>
    <n v="2.2273999999999998"/>
    <n v="1.6831"/>
    <n v="2.2081"/>
  </r>
  <r>
    <x v="16"/>
    <x v="0"/>
    <n v="2698050.56"/>
    <n v="371414.32"/>
    <n v="19479356"/>
    <n v="0.138508201195152"/>
    <n v="1.9067073880676501E-2"/>
    <n v="2.4900000000000002"/>
    <n v="1.91"/>
    <n v="1.83"/>
  </r>
  <r>
    <x v="16"/>
    <x v="1"/>
    <n v="2827568.22"/>
    <n v="602743.94999999995"/>
    <n v="19664708"/>
    <n v="0.143788975661372"/>
    <n v="3.0651050094412699E-2"/>
    <n v="2.355"/>
    <n v="1.6177999999999999"/>
    <n v="1.7423"/>
  </r>
  <r>
    <x v="16"/>
    <x v="2"/>
    <n v="2924880.57"/>
    <n v="957199.81"/>
    <n v="19850060"/>
    <n v="0.14734870171677"/>
    <n v="4.8221507139021201E-2"/>
    <n v="2.2147000000000001"/>
    <n v="1.4735"/>
    <n v="1.7899"/>
  </r>
  <r>
    <x v="16"/>
    <x v="3"/>
    <n v="3008093.69"/>
    <n v="1204429.53"/>
    <n v="20033665"/>
    <n v="0.150151941244899"/>
    <n v="6.0120279040305397E-2"/>
    <n v="2.1145"/>
    <n v="1.4298999999999999"/>
    <n v="1.7332000000000001"/>
  </r>
  <r>
    <x v="16"/>
    <x v="4"/>
    <n v="3677903.76"/>
    <n v="838161.04"/>
    <n v="19881183"/>
    <n v="0.184994210857573"/>
    <n v="4.2158509380452798E-2"/>
    <n v="2.0619999999999998"/>
    <n v="1.5138"/>
    <n v="1.5955999999999999"/>
  </r>
  <r>
    <x v="16"/>
    <x v="5"/>
    <n v="4099918.36"/>
    <n v="568764.81999999995"/>
    <n v="19728701"/>
    <n v="0.20781491695778601"/>
    <n v="2.88293091369776E-2"/>
    <n v="2.1436000000000002"/>
    <n v="1.6518999999999999"/>
    <n v="1.5213000000000001"/>
  </r>
  <r>
    <x v="16"/>
    <x v="6"/>
    <n v="4459305.49"/>
    <n v="524092.21"/>
    <n v="19855332"/>
    <n v="0.224589822522232"/>
    <n v="2.63955399990289E-2"/>
    <n v="2.0398000000000001"/>
    <n v="1.5462"/>
    <n v="1.5244"/>
  </r>
  <r>
    <x v="16"/>
    <x v="7"/>
    <n v="4655426.5199999996"/>
    <n v="726896.12"/>
    <n v="20593356"/>
    <n v="0.22606448992577899"/>
    <n v="3.5297603751423497E-2"/>
    <n v="1.9809000000000001"/>
    <n v="1.4325000000000001"/>
    <n v="1.6039000000000001"/>
  </r>
  <r>
    <x v="16"/>
    <x v="8"/>
    <n v="4986074.28"/>
    <n v="749658.98"/>
    <n v="20734097"/>
    <n v="0.240477040307084"/>
    <n v="3.6155853809307401E-2"/>
    <n v="1.9195"/>
    <n v="1.4171"/>
    <n v="1.6295999999999999"/>
  </r>
  <r>
    <x v="16"/>
    <x v="9"/>
    <n v="4296429.03"/>
    <n v="1789938.3"/>
    <n v="20869101"/>
    <n v="0.20587513712258099"/>
    <n v="8.5769784716648798E-2"/>
    <n v="1.9614"/>
    <n v="1.3503000000000001"/>
    <n v="1.6471"/>
  </r>
  <r>
    <x v="16"/>
    <x v="10"/>
    <n v="4512741.38"/>
    <n v="1447289.1"/>
    <n v="20997560"/>
    <n v="0.21491741802380801"/>
    <n v="6.8926537178605501E-2"/>
    <n v="2.0314999999999999"/>
    <n v="1.4839"/>
    <n v="1.6427"/>
  </r>
  <r>
    <x v="16"/>
    <x v="11"/>
    <n v="4570210.88"/>
    <n v="1468581.61"/>
    <n v="21119536"/>
    <n v="0.21639731478949101"/>
    <n v="6.9536641808797303E-2"/>
    <n v="2.0478000000000001"/>
    <n v="1.4626999999999999"/>
    <n v="1.6648000000000001"/>
  </r>
  <r>
    <x v="16"/>
    <x v="12"/>
    <n v="3572714.95"/>
    <n v="2488314.9500000002"/>
    <n v="21040662"/>
    <n v="0.16980050104887301"/>
    <n v="0.118262198689375"/>
    <n v="2.3942000000000001"/>
    <n v="1.5688"/>
    <n v="1.8250999999999999"/>
  </r>
  <r>
    <x v="16"/>
    <x v="13"/>
    <n v="3300671.72"/>
    <n v="3190914.71"/>
    <n v="21168791"/>
    <n v="0.15592159797883501"/>
    <n v="0.15073674779064999"/>
    <n v="2.2902999999999998"/>
    <n v="1.4744999999999999"/>
    <n v="1.7841"/>
  </r>
  <r>
    <x v="16"/>
    <x v="14"/>
    <n v="3239443.27"/>
    <n v="2743683.85"/>
    <n v="21292666"/>
    <n v="0.152138922857288"/>
    <n v="0.12885581589454301"/>
    <n v="2.0924999999999998"/>
    <n v="1.4059999999999999"/>
    <n v="1.6411"/>
  </r>
  <r>
    <x v="16"/>
    <x v="15"/>
    <n v="3690060.85"/>
    <n v="2331020.92"/>
    <n v="21411923"/>
    <n v="0.172336732669924"/>
    <n v="0.10886555682084199"/>
    <n v="2.5634999999999999"/>
    <n v="1.8842000000000001"/>
    <n v="1.9653"/>
  </r>
  <r>
    <x v="16"/>
    <x v="16"/>
    <n v="4282417.37"/>
    <n v="1913184.37"/>
    <n v="21411923"/>
    <n v="0.200001530455718"/>
    <n v="8.9351356718403996E-2"/>
    <n v="2.512"/>
    <n v="1.8213999999999999"/>
    <n v="2.6494"/>
  </r>
  <r>
    <x v="16"/>
    <x v="17"/>
    <n v="4793983.96"/>
    <n v="1864915.59"/>
    <n v="21411923"/>
    <n v="0.22389320006428101"/>
    <n v="8.7097062230235001E-2"/>
    <n v="2.0575000000000001"/>
    <n v="1.4206000000000001"/>
    <n v="2.1772"/>
  </r>
  <r>
    <x v="17"/>
    <x v="0"/>
    <n v="461645.14"/>
    <n v="42426.78"/>
    <n v="3464285"/>
    <n v="0.13325841840379701"/>
    <n v="1.2246908092145899E-2"/>
    <n v="2.62"/>
    <n v="1.97"/>
    <n v="1.87"/>
  </r>
  <r>
    <x v="17"/>
    <x v="1"/>
    <n v="474983.77"/>
    <n v="70831.09"/>
    <n v="3458966"/>
    <n v="0.13731958336682101"/>
    <n v="2.0477532881213598E-2"/>
    <n v="2.5081000000000002"/>
    <n v="1.7231000000000001"/>
    <n v="1.7806"/>
  </r>
  <r>
    <x v="17"/>
    <x v="2"/>
    <n v="485291.81"/>
    <n v="137246.76999999999"/>
    <n v="3453646"/>
    <n v="0.14051579403332001"/>
    <n v="3.9739675114357401E-2"/>
    <n v="2.3774000000000002"/>
    <n v="1.6"/>
    <n v="1.8351"/>
  </r>
  <r>
    <x v="17"/>
    <x v="3"/>
    <n v="511197.59"/>
    <n v="172831.93"/>
    <n v="3487199"/>
    <n v="0.14659260627225401"/>
    <n v="4.9561820245991102E-2"/>
    <n v="2.2791999999999999"/>
    <n v="1.5946"/>
    <n v="1.7939000000000001"/>
  </r>
  <r>
    <x v="17"/>
    <x v="4"/>
    <n v="638223.62"/>
    <n v="85759.13"/>
    <n v="3517127"/>
    <n v="0.18146163615928501"/>
    <n v="2.43832906801488E-2"/>
    <n v="2.2010999999999998"/>
    <n v="1.6611"/>
    <n v="1.6529"/>
  </r>
  <r>
    <x v="17"/>
    <x v="5"/>
    <n v="715752.59"/>
    <n v="55732.65"/>
    <n v="3547055"/>
    <n v="0.201787846537479"/>
    <n v="1.5712372658444801E-2"/>
    <n v="2.2050999999999998"/>
    <n v="1.8286"/>
    <n v="1.5827"/>
  </r>
  <r>
    <x v="17"/>
    <x v="6"/>
    <n v="821777.45"/>
    <n v="47371"/>
    <n v="3578067"/>
    <n v="0.229670783135139"/>
    <n v="1.32392713719446E-2"/>
    <n v="2.0543999999999998"/>
    <n v="1.7858000000000001"/>
    <n v="1.5317000000000001"/>
  </r>
  <r>
    <x v="17"/>
    <x v="7"/>
    <n v="861718.45"/>
    <n v="41948.7"/>
    <n v="3839366"/>
    <n v="0.22444290281259899"/>
    <n v="1.0925944543968899E-2"/>
    <n v="1.9809000000000001"/>
    <n v="1.7067000000000001"/>
    <n v="1.597"/>
  </r>
  <r>
    <x v="17"/>
    <x v="8"/>
    <n v="934933.59"/>
    <n v="42008.75"/>
    <n v="3885049"/>
    <n v="0.24064911150412699"/>
    <n v="1.0812926683807501E-2"/>
    <n v="1.9323999999999999"/>
    <n v="1.6812"/>
    <n v="1.6039000000000001"/>
  </r>
  <r>
    <x v="17"/>
    <x v="9"/>
    <n v="917021.22"/>
    <n v="63513.2"/>
    <n v="3929911"/>
    <n v="0.23334401720547801"/>
    <n v="1.6161485590894999E-2"/>
    <n v="1.9672000000000001"/>
    <n v="1.6296999999999999"/>
    <n v="1.6296999999999999"/>
  </r>
  <r>
    <x v="17"/>
    <x v="10"/>
    <n v="947149.01"/>
    <n v="41293.599999999999"/>
    <n v="3973697"/>
    <n v="0.23835461284541801"/>
    <n v="1.0391733441175799E-2"/>
    <n v="2.0150999999999999"/>
    <n v="1.7523"/>
    <n v="1.6373"/>
  </r>
  <r>
    <x v="17"/>
    <x v="11"/>
    <n v="937560.44"/>
    <n v="33730.629999999997"/>
    <n v="4016356"/>
    <n v="0.23343559186486401"/>
    <n v="8.3983167826756303E-3"/>
    <n v="2.0051999999999999"/>
    <n v="1.7765"/>
    <n v="1.6808000000000001"/>
  </r>
  <r>
    <x v="17"/>
    <x v="12"/>
    <n v="909645.08"/>
    <n v="53054.62"/>
    <n v="3972388"/>
    <n v="0.228992001788344"/>
    <n v="1.33558504355566E-2"/>
    <n v="2.2454999999999998"/>
    <n v="1.8250999999999999"/>
    <n v="1.7482"/>
  </r>
  <r>
    <x v="17"/>
    <x v="13"/>
    <n v="932664.15"/>
    <n v="61911.12"/>
    <n v="4018650"/>
    <n v="0.23208394610130201"/>
    <n v="1.54059497592475E-2"/>
    <n v="2.1920000000000002"/>
    <n v="1.7644"/>
    <n v="1.7545999999999999"/>
  </r>
  <r>
    <x v="17"/>
    <x v="14"/>
    <n v="904269.24"/>
    <n v="40861.24"/>
    <n v="4064052"/>
    <n v="0.222504347877438"/>
    <n v="1.0054310328706399E-2"/>
    <n v="1.9750000000000001"/>
    <n v="1.6880999999999999"/>
    <n v="1.5470999999999999"/>
  </r>
  <r>
    <x v="17"/>
    <x v="15"/>
    <n v="1040631.46"/>
    <n v="53869.41"/>
    <n v="4108508"/>
    <n v="0.253286949909796"/>
    <n v="1.31116721690696E-2"/>
    <n v="2.4994000000000001"/>
    <n v="2.1234000000000002"/>
    <n v="1.8755999999999999"/>
  </r>
  <r>
    <x v="17"/>
    <x v="16"/>
    <n v="1005041.94"/>
    <n v="44001.58"/>
    <n v="4108508"/>
    <n v="0.24462455470453001"/>
    <n v="1.07098683999154E-2"/>
    <n v="2.508"/>
    <n v="2.0880000000000001"/>
    <n v="2.5767000000000002"/>
  </r>
  <r>
    <x v="17"/>
    <x v="17"/>
    <n v="1003131.81"/>
    <n v="65648.28"/>
    <n v="4108508"/>
    <n v="0.244159634105616"/>
    <n v="1.5978618028734501E-2"/>
    <n v="2.1617999999999999"/>
    <n v="1.6715"/>
    <n v="2.1848999999999998"/>
  </r>
  <r>
    <x v="18"/>
    <x v="0"/>
    <n v="1660802.99"/>
    <n v="224254.94"/>
    <n v="15561720"/>
    <n v="0.10672361345660999"/>
    <n v="1.44106782540747E-2"/>
    <n v="2.56"/>
    <n v="1.88"/>
    <n v="1.82"/>
  </r>
  <r>
    <x v="18"/>
    <x v="1"/>
    <n v="1635151.71"/>
    <n v="359404.27"/>
    <n v="15717041"/>
    <n v="0.10403686737217201"/>
    <n v="2.28671713715068E-2"/>
    <n v="2.4220000000000002"/>
    <n v="1.6274"/>
    <n v="1.7326999999999999"/>
  </r>
  <r>
    <x v="18"/>
    <x v="2"/>
    <n v="1616429.48"/>
    <n v="677059.6"/>
    <n v="15872362"/>
    <n v="0.101839252406163"/>
    <n v="4.2656511992354998E-2"/>
    <n v="2.3050999999999999"/>
    <n v="1.5186999999999999"/>
    <n v="1.7988999999999999"/>
  </r>
  <r>
    <x v="18"/>
    <x v="3"/>
    <n v="1636890.68"/>
    <n v="872813.85"/>
    <n v="16010429"/>
    <n v="0.10223902682432801"/>
    <n v="5.4515331850258301E-2"/>
    <n v="2.2271999999999998"/>
    <n v="1.4819"/>
    <n v="1.7592000000000001"/>
  </r>
  <r>
    <x v="18"/>
    <x v="4"/>
    <n v="1867262.45"/>
    <n v="746457.54"/>
    <n v="16061554"/>
    <n v="0.116256649263203"/>
    <n v="4.6474801877825697E-2"/>
    <n v="2.1684000000000001"/>
    <n v="1.5301"/>
    <n v="1.6283000000000001"/>
  </r>
  <r>
    <x v="18"/>
    <x v="5"/>
    <n v="2280077.81"/>
    <n v="531759.96"/>
    <n v="16112678"/>
    <n v="0.141508308550571"/>
    <n v="3.30025809489893E-2"/>
    <n v="2.1743000000000001"/>
    <n v="1.7210000000000001"/>
    <n v="1.5366"/>
  </r>
  <r>
    <x v="18"/>
    <x v="6"/>
    <n v="2470659.3199999998"/>
    <n v="435277.07"/>
    <n v="16231365"/>
    <n v="0.15221512916504501"/>
    <n v="2.6817034180427801E-2"/>
    <n v="2.0689000000000002"/>
    <n v="1.6188"/>
    <n v="1.4881"/>
  </r>
  <r>
    <x v="18"/>
    <x v="7"/>
    <n v="2616821.21"/>
    <n v="583074.86"/>
    <n v="16369179"/>
    <n v="0.15986270356014801"/>
    <n v="3.5620287370551597E-2"/>
    <n v="2.0562999999999998"/>
    <n v="1.5696000000000001"/>
    <n v="1.5559000000000001"/>
  </r>
  <r>
    <x v="18"/>
    <x v="8"/>
    <n v="2861013.38"/>
    <n v="590305.32999999996"/>
    <n v="16461173"/>
    <n v="0.17380373682969"/>
    <n v="3.58604657152925E-2"/>
    <n v="2.0160999999999998"/>
    <n v="1.5781000000000001"/>
    <n v="1.591"/>
  </r>
  <r>
    <x v="18"/>
    <x v="9"/>
    <n v="2733573.24"/>
    <n v="664315.16"/>
    <n v="16550024"/>
    <n v="0.16517034899768099"/>
    <n v="4.0139830612934399E-2"/>
    <n v="2.0661999999999998"/>
    <n v="1.5889"/>
    <n v="1.6296999999999999"/>
  </r>
  <r>
    <x v="18"/>
    <x v="10"/>
    <n v="2684903.52"/>
    <n v="480808.2"/>
    <n v="16635996"/>
    <n v="0.161391209759848"/>
    <n v="2.8901678023966801E-2"/>
    <n v="2.1465000000000001"/>
    <n v="1.7742"/>
    <n v="1.6756"/>
  </r>
  <r>
    <x v="18"/>
    <x v="11"/>
    <n v="2522844.54"/>
    <n v="473762.91"/>
    <n v="16718956"/>
    <n v="0.15089725339309401"/>
    <n v="2.83368716324153E-2"/>
    <n v="2.1861000000000002"/>
    <n v="1.7605999999999999"/>
    <n v="1.7126999999999999"/>
  </r>
  <r>
    <x v="18"/>
    <x v="12"/>
    <n v="2001603.03"/>
    <n v="746351.28"/>
    <n v="17159960"/>
    <n v="0.116643805113764"/>
    <n v="4.3493765719733603E-2"/>
    <n v="2.4864000000000002"/>
    <n v="1.8097000000000001"/>
    <n v="1.8302"/>
  </r>
  <r>
    <x v="18"/>
    <x v="13"/>
    <n v="2033178.94"/>
    <n v="796981.16"/>
    <n v="17264943"/>
    <n v="0.117763431944142"/>
    <n v="4.6161818200036897E-2"/>
    <n v="2.3885999999999998"/>
    <n v="1.8824000000000001"/>
    <n v="1.7644"/>
  </r>
  <r>
    <x v="18"/>
    <x v="14"/>
    <n v="1854930.42"/>
    <n v="563744.29"/>
    <n v="17366189"/>
    <n v="0.10681275091501"/>
    <n v="3.2462176358900599E-2"/>
    <n v="2.2383000000000002"/>
    <n v="1.8291999999999999"/>
    <n v="1.627"/>
  </r>
  <r>
    <x v="18"/>
    <x v="15"/>
    <n v="1852349.68"/>
    <n v="585565.77"/>
    <n v="17463349"/>
    <n v="0.106070701559019"/>
    <n v="3.3531126818802E-2"/>
    <n v="2.6917"/>
    <n v="2.2473000000000001"/>
    <n v="1.9354"/>
  </r>
  <r>
    <x v="18"/>
    <x v="16"/>
    <n v="2093310.86"/>
    <n v="558769.67000000004"/>
    <n v="17463349"/>
    <n v="0.11986880981420001"/>
    <n v="3.1996707504385297E-2"/>
    <n v="2.5928"/>
    <n v="2.1364000000000001"/>
    <n v="2.6292"/>
  </r>
  <r>
    <x v="18"/>
    <x v="17"/>
    <n v="2433867.41"/>
    <n v="707960.96"/>
    <n v="17463349"/>
    <n v="0.13937002633343601"/>
    <n v="4.0539816274644598E-2"/>
    <n v="2.1193"/>
    <n v="1.6329"/>
    <n v="2.2235"/>
  </r>
  <r>
    <x v="19"/>
    <x v="0"/>
    <n v="7041660.7400000002"/>
    <n v="3743678.35"/>
    <n v="41055734"/>
    <n v="0.171514671738666"/>
    <n v="9.1185273901082803E-2"/>
    <n v="2.44"/>
    <n v="1.42"/>
    <n v="1.86"/>
  </r>
  <r>
    <x v="19"/>
    <x v="1"/>
    <n v="7153912.5300000003"/>
    <n v="5545120.1500000004"/>
    <n v="41033686"/>
    <n v="0.174342430022006"/>
    <n v="0.135135804031838"/>
    <n v="2.3071000000000002"/>
    <n v="1.2158"/>
    <n v="1.7709999999999999"/>
  </r>
  <r>
    <x v="19"/>
    <x v="2"/>
    <n v="7020308.3600000003"/>
    <n v="7251252.8899999997"/>
    <n v="41011638"/>
    <n v="0.171178443543269"/>
    <n v="0.17680963852260601"/>
    <n v="2.1695000000000002"/>
    <n v="1.1479999999999999"/>
    <n v="1.8260000000000001"/>
  </r>
  <r>
    <x v="19"/>
    <x v="3"/>
    <n v="6696778.6200000001"/>
    <n v="8609999.2100000009"/>
    <n v="41384039"/>
    <n v="0.161820324497567"/>
    <n v="0.208051205683427"/>
    <n v="2.0798999999999999"/>
    <n v="1.1526000000000001"/>
    <n v="1.7679"/>
  </r>
  <r>
    <x v="19"/>
    <x v="4"/>
    <n v="7436236.6600000001"/>
    <n v="8374256.7000000002"/>
    <n v="41485610"/>
    <n v="0.179248579447186"/>
    <n v="0.20185931218077699"/>
    <n v="2.0129000000000001"/>
    <n v="1.2438"/>
    <n v="1.6120000000000001"/>
  </r>
  <r>
    <x v="19"/>
    <x v="5"/>
    <n v="9461875.4100000001"/>
    <n v="6490307.2800000003"/>
    <n v="41587182"/>
    <n v="0.227519032426866"/>
    <n v="0.15606508947877201"/>
    <n v="2.0284"/>
    <n v="1.4368000000000001"/>
    <n v="1.5213000000000001"/>
  </r>
  <r>
    <x v="19"/>
    <x v="6"/>
    <n v="10305844.77"/>
    <n v="5834459.5300000003"/>
    <n v="41901219"/>
    <n v="0.245955726729573"/>
    <n v="0.13924319313955999"/>
    <n v="1.9164000000000001"/>
    <n v="1.3139000000000001"/>
    <n v="1.4736"/>
  </r>
  <r>
    <x v="19"/>
    <x v="7"/>
    <n v="10476822.09"/>
    <n v="6656752.8700000001"/>
    <n v="43663669"/>
    <n v="0.239943695295051"/>
    <n v="0.15245518808783501"/>
    <n v="1.8712"/>
    <n v="1.2543"/>
    <n v="1.5559000000000001"/>
  </r>
  <r>
    <x v="19"/>
    <x v="8"/>
    <n v="10849785.85"/>
    <n v="7576593.25"/>
    <n v="44035304"/>
    <n v="0.246388348993798"/>
    <n v="0.17205724865666799"/>
    <n v="1.8486"/>
    <n v="1.2366999999999999"/>
    <n v="1.5781000000000001"/>
  </r>
  <r>
    <x v="19"/>
    <x v="9"/>
    <n v="9436733.1899999995"/>
    <n v="9456061.0600000005"/>
    <n v="44396484"/>
    <n v="0.21255586793764999"/>
    <n v="0.21299121479980199"/>
    <n v="1.8567"/>
    <n v="1.2222999999999999"/>
    <n v="1.5948"/>
  </r>
  <r>
    <x v="19"/>
    <x v="10"/>
    <n v="9990516.4600000009"/>
    <n v="8356468.9400000004"/>
    <n v="44749699"/>
    <n v="0.223253266128114"/>
    <n v="0.18673799213710901"/>
    <n v="1.9165000000000001"/>
    <n v="1.3580000000000001"/>
    <n v="1.5934999999999999"/>
  </r>
  <r>
    <x v="19"/>
    <x v="11"/>
    <n v="10472113.33"/>
    <n v="7688115.25"/>
    <n v="45094866"/>
    <n v="0.232224070252254"/>
    <n v="0.170487594973671"/>
    <n v="1.9041999999999999"/>
    <n v="1.335"/>
    <n v="1.6115999999999999"/>
  </r>
  <r>
    <x v="19"/>
    <x v="12"/>
    <n v="8425692.4399999995"/>
    <n v="9956761.3000000007"/>
    <n v="45538936"/>
    <n v="0.18502172382771501"/>
    <n v="0.21864281809307001"/>
    <n v="2.1480999999999999"/>
    <n v="1.3893"/>
    <n v="1.7327999999999999"/>
  </r>
  <r>
    <x v="19"/>
    <x v="13"/>
    <n v="7947691.1299999999"/>
    <n v="11673779.17"/>
    <n v="45919049"/>
    <n v="0.173080481915032"/>
    <n v="0.25422519464634302"/>
    <n v="2.0347"/>
    <n v="1.3319000000000001"/>
    <n v="1.7103999999999999"/>
  </r>
  <r>
    <x v="19"/>
    <x v="14"/>
    <n v="7176931.2999999998"/>
    <n v="10139673.619999999"/>
    <n v="46289333"/>
    <n v="0.15504503596973401"/>
    <n v="0.21904989687364901"/>
    <n v="1.9232"/>
    <n v="1.3025"/>
    <n v="1.5706"/>
  </r>
  <r>
    <x v="19"/>
    <x v="15"/>
    <n v="8848800.9700000007"/>
    <n v="8466774.4299999997"/>
    <n v="46649132"/>
    <n v="0.18968843771841201"/>
    <n v="0.18149907762485201"/>
    <n v="2.3412999999999999"/>
    <n v="1.7687999999999999"/>
    <n v="1.9182999999999999"/>
  </r>
  <r>
    <x v="19"/>
    <x v="16"/>
    <n v="10007241.41"/>
    <n v="7946050.3899999997"/>
    <n v="46649132"/>
    <n v="0.21452149227556899"/>
    <n v="0.17033651108449299"/>
    <n v="2.3746999999999998"/>
    <n v="1.7042999999999999"/>
    <n v="2.6251000000000002"/>
  </r>
  <r>
    <x v="19"/>
    <x v="17"/>
    <n v="10468876.859999999"/>
    <n v="8147577.5800000001"/>
    <n v="46649132"/>
    <n v="0.224417398806048"/>
    <n v="0.17465657410302901"/>
    <n v="2.0691000000000002"/>
    <n v="1.3974"/>
    <n v="2.2120000000000002"/>
  </r>
  <r>
    <x v="20"/>
    <x v="0"/>
    <n v="1645806.4"/>
    <n v="520583.66"/>
    <n v="10387378"/>
    <n v="0.15844291023201401"/>
    <n v="5.0116945777846901E-2"/>
    <n v="2.5"/>
    <n v="1.66"/>
    <n v="1.84"/>
  </r>
  <r>
    <x v="20"/>
    <x v="1"/>
    <n v="1639229.4399999999"/>
    <n v="701253.42"/>
    <n v="10488774"/>
    <n v="0.156284179638154"/>
    <n v="6.6857520240211105E-2"/>
    <n v="2.3357999999999999"/>
    <n v="1.3785000000000001"/>
    <n v="1.7519"/>
  </r>
  <r>
    <x v="20"/>
    <x v="2"/>
    <n v="1699665.49"/>
    <n v="904330.3"/>
    <n v="10590171"/>
    <n v="0.160494621852659"/>
    <n v="8.5393361448082294E-2"/>
    <n v="2.1785999999999999"/>
    <n v="1.2746"/>
    <n v="1.7988999999999999"/>
  </r>
  <r>
    <x v="20"/>
    <x v="3"/>
    <n v="1604062.92"/>
    <n v="1193029.92"/>
    <n v="10686247"/>
    <n v="0.150105356913423"/>
    <n v="0.11164161936365399"/>
    <n v="2.1404999999999998"/>
    <n v="1.2739"/>
    <n v="1.7419"/>
  </r>
  <r>
    <x v="20"/>
    <x v="4"/>
    <n v="1885665.17"/>
    <n v="1347000.53"/>
    <n v="10599298"/>
    <n v="0.17790472255804099"/>
    <n v="0.127083938011743"/>
    <n v="2.0701999999999998"/>
    <n v="1.3338000000000001"/>
    <n v="1.5873999999999999"/>
  </r>
  <r>
    <x v="20"/>
    <x v="5"/>
    <n v="2403005.27"/>
    <n v="811371.73"/>
    <n v="10512349"/>
    <n v="0.22858880255973199"/>
    <n v="7.7182723861241601E-2"/>
    <n v="2.0590999999999999"/>
    <n v="1.5136000000000001"/>
    <n v="1.5136000000000001"/>
  </r>
  <r>
    <x v="20"/>
    <x v="6"/>
    <n v="2771272.22"/>
    <n v="814623.78"/>
    <n v="10577755"/>
    <n v="0.26199058495871702"/>
    <n v="7.7012918147565307E-2"/>
    <n v="1.9527000000000001"/>
    <n v="1.4083000000000001"/>
    <n v="1.4663999999999999"/>
  </r>
  <r>
    <x v="20"/>
    <x v="7"/>
    <n v="2752702.11"/>
    <n v="1128902.48"/>
    <n v="10997465"/>
    <n v="0.25030332990375498"/>
    <n v="0.10265115460699301"/>
    <n v="1.9466000000000001"/>
    <n v="1.3366"/>
    <n v="1.5422"/>
  </r>
  <r>
    <x v="20"/>
    <x v="8"/>
    <n v="2886674.1"/>
    <n v="1235720.77"/>
    <n v="11081692"/>
    <n v="0.26049037457456797"/>
    <n v="0.11151011686663"/>
    <n v="1.9001999999999999"/>
    <n v="1.3140000000000001"/>
    <n v="1.5781000000000001"/>
  </r>
  <r>
    <x v="20"/>
    <x v="9"/>
    <n v="2591179.5099999998"/>
    <n v="1690431.63"/>
    <n v="11163018"/>
    <n v="0.23212177119126701"/>
    <n v="0.15143141666527801"/>
    <n v="1.9149"/>
    <n v="1.3096000000000001"/>
    <n v="1.5889"/>
  </r>
  <r>
    <x v="20"/>
    <x v="10"/>
    <n v="2881573.09"/>
    <n v="1245240.1299999999"/>
    <n v="11242720"/>
    <n v="0.25630568848107899"/>
    <n v="0.110759685378627"/>
    <n v="1.9877"/>
    <n v="1.4784999999999999"/>
    <n v="1.5661"/>
  </r>
  <r>
    <x v="20"/>
    <x v="11"/>
    <n v="3065370.17"/>
    <n v="1067031.32"/>
    <n v="11320892"/>
    <n v="0.27077108146601803"/>
    <n v="9.42532902884331E-2"/>
    <n v="1.968"/>
    <n v="1.4626999999999999"/>
    <n v="1.5478000000000001"/>
  </r>
  <r>
    <x v="20"/>
    <x v="12"/>
    <n v="2535773.94"/>
    <n v="1566082.41"/>
    <n v="11348937"/>
    <n v="0.22343713248209901"/>
    <n v="0.137993753071322"/>
    <n v="2.1890999999999998"/>
    <n v="1.5124"/>
    <n v="1.6815"/>
  </r>
  <r>
    <x v="20"/>
    <x v="13"/>
    <n v="2514962.0299999998"/>
    <n v="1776444.4"/>
    <n v="11433957"/>
    <n v="0.219955526332659"/>
    <n v="0.15536567086967301"/>
    <n v="2.0495000000000001"/>
    <n v="1.44"/>
    <n v="1.6563000000000001"/>
  </r>
  <r>
    <x v="20"/>
    <x v="14"/>
    <n v="2491379.5699999998"/>
    <n v="1329473.3"/>
    <n v="11516840"/>
    <n v="0.21632492680283799"/>
    <n v="0.115437333504676"/>
    <n v="1.8903000000000001"/>
    <n v="1.3966000000000001"/>
    <n v="1.5046999999999999"/>
  </r>
  <r>
    <x v="20"/>
    <x v="15"/>
    <n v="2798206.39"/>
    <n v="1010990.77"/>
    <n v="11597484"/>
    <n v="0.24127702094695699"/>
    <n v="8.7173284308907001E-2"/>
    <n v="2.3626999999999998"/>
    <n v="1.8713"/>
    <n v="1.8543000000000001"/>
  </r>
  <r>
    <x v="20"/>
    <x v="16"/>
    <n v="3185490.6"/>
    <n v="835763.03"/>
    <n v="11597484"/>
    <n v="0.27467083377739498"/>
    <n v="7.20641675384074E-2"/>
    <n v="2.4676"/>
    <n v="1.9021999999999999"/>
    <n v="2.5847000000000002"/>
  </r>
  <r>
    <x v="20"/>
    <x v="17"/>
    <n v="3380217.19"/>
    <n v="913048.67"/>
    <n v="11597484"/>
    <n v="0.291461250560897"/>
    <n v="7.8728168109565802E-2"/>
    <n v="2.1772"/>
    <n v="1.548"/>
    <n v="2.1617999999999999"/>
  </r>
  <r>
    <x v="21"/>
    <x v="0"/>
    <n v="1478528.47"/>
    <n v="193058.54"/>
    <n v="5958266"/>
    <n v="0.248147442561308"/>
    <n v="3.2401799449705601E-2"/>
    <n v="2.57"/>
    <n v="1.82"/>
    <n v="1.9"/>
  </r>
  <r>
    <x v="21"/>
    <x v="1"/>
    <n v="1339062.33"/>
    <n v="242397.14"/>
    <n v="6005426"/>
    <n v="0.222975410903406"/>
    <n v="4.0363021707369301E-2"/>
    <n v="2.4316"/>
    <n v="1.637"/>
    <n v="1.7997000000000001"/>
  </r>
  <r>
    <x v="21"/>
    <x v="2"/>
    <n v="1375977.99"/>
    <n v="376158.48"/>
    <n v="6052587"/>
    <n v="0.22733716838766599"/>
    <n v="6.2148380518941698E-2"/>
    <n v="2.2961"/>
    <n v="1.5367"/>
    <n v="1.8441000000000001"/>
  </r>
  <r>
    <x v="21"/>
    <x v="3"/>
    <n v="1451702.97"/>
    <n v="498649.85"/>
    <n v="6118743"/>
    <n v="0.23725509798336"/>
    <n v="8.14954721909385E-2"/>
    <n v="2.1924999999999999"/>
    <n v="1.4993000000000001"/>
    <n v="1.8026"/>
  </r>
  <r>
    <x v="21"/>
    <x v="4"/>
    <n v="1787184.72"/>
    <n v="290593.44"/>
    <n v="6217898"/>
    <n v="0.28742586642624202"/>
    <n v="4.6734996296175897E-2"/>
    <n v="2.1111"/>
    <n v="1.6037999999999999"/>
    <n v="1.6611"/>
  </r>
  <r>
    <x v="21"/>
    <x v="5"/>
    <n v="2008653.52"/>
    <n v="123082.12"/>
    <n v="6317054"/>
    <n v="0.31797314381038999"/>
    <n v="1.9484101291519701E-2"/>
    <n v="2.0897999999999999"/>
    <n v="1.7979000000000001"/>
    <n v="1.5750999999999999"/>
  </r>
  <r>
    <x v="21"/>
    <x v="6"/>
    <n v="2225459.46"/>
    <n v="94663.11"/>
    <n v="6362734"/>
    <n v="0.34976465462802597"/>
    <n v="1.4877741235135701E-2"/>
    <n v="1.9744999999999999"/>
    <n v="1.7277"/>
    <n v="1.5244"/>
  </r>
  <r>
    <x v="21"/>
    <x v="7"/>
    <n v="2364078.62"/>
    <n v="110495.72"/>
    <n v="6634254"/>
    <n v="0.356344303368547"/>
    <n v="1.6655334571151401E-2"/>
    <n v="1.9534"/>
    <n v="1.645"/>
    <n v="1.5902000000000001"/>
  </r>
  <r>
    <x v="21"/>
    <x v="8"/>
    <n v="2571463.1"/>
    <n v="107772.36"/>
    <n v="6727148"/>
    <n v="0.38225160201618802"/>
    <n v="1.6020512704640898E-2"/>
    <n v="1.9066000000000001"/>
    <n v="1.6039000000000001"/>
    <n v="1.6168"/>
  </r>
  <r>
    <x v="21"/>
    <x v="9"/>
    <n v="2560629.7599999998"/>
    <n v="157132.54"/>
    <n v="6819190"/>
    <n v="0.37550350701476198"/>
    <n v="2.3042698619630701E-2"/>
    <n v="1.8974"/>
    <n v="1.5190999999999999"/>
    <n v="1.6238999999999999"/>
  </r>
  <r>
    <x v="21"/>
    <x v="10"/>
    <n v="2700772.29"/>
    <n v="74866.3"/>
    <n v="6910553"/>
    <n v="0.39081854809593303"/>
    <n v="1.08336192487055E-2"/>
    <n v="1.9275"/>
    <n v="1.7084999999999999"/>
    <n v="1.6153999999999999"/>
  </r>
  <r>
    <x v="21"/>
    <x v="11"/>
    <n v="2807016.35"/>
    <n v="67385.11"/>
    <n v="7001161"/>
    <n v="0.40093583764178498"/>
    <n v="9.6248479359351893E-3"/>
    <n v="1.9467000000000001"/>
    <n v="1.7233000000000001"/>
    <n v="1.617"/>
  </r>
  <r>
    <x v="21"/>
    <x v="12"/>
    <n v="2750212.92"/>
    <n v="96304.71"/>
    <n v="7075494"/>
    <n v="0.38869553419167602"/>
    <n v="1.36110227780562E-2"/>
    <n v="2.1019000000000001"/>
    <n v="1.7841"/>
    <n v="1.7174"/>
  </r>
  <r>
    <x v="21"/>
    <x v="13"/>
    <n v="2885318.42"/>
    <n v="81554.81"/>
    <n v="7164788"/>
    <n v="0.40270813595601102"/>
    <n v="1.13827247924153E-2"/>
    <n v="2.0053000000000001"/>
    <n v="1.7447999999999999"/>
    <n v="1.6956"/>
  </r>
  <r>
    <x v="21"/>
    <x v="14"/>
    <n v="2636645.7999999998"/>
    <n v="77382.63"/>
    <n v="7252502"/>
    <n v="0.36354982046195899"/>
    <n v="1.06697840276362E-2"/>
    <n v="1.9515"/>
    <n v="1.7069000000000001"/>
    <n v="1.58"/>
  </r>
  <r>
    <x v="21"/>
    <x v="15"/>
    <n v="2839222.85"/>
    <n v="61846.720000000001"/>
    <n v="7338473"/>
    <n v="0.38689559122176997"/>
    <n v="8.4277369420041395E-3"/>
    <n v="2.3755000000000002"/>
    <n v="2.1448"/>
    <n v="1.9055"/>
  </r>
  <r>
    <x v="21"/>
    <x v="16"/>
    <n v="2960876.27"/>
    <n v="56621.99"/>
    <n v="7338473"/>
    <n v="0.40347307539320498"/>
    <n v="7.7157727499985304E-3"/>
    <n v="2.4474"/>
    <n v="2.1930000000000001"/>
    <n v="2.617"/>
  </r>
  <r>
    <x v="21"/>
    <x v="17"/>
    <n v="3103228.46"/>
    <n v="101661.22"/>
    <n v="7338473"/>
    <n v="0.422871142266245"/>
    <n v="1.3853184443139601E-2"/>
    <n v="2.1617999999999999"/>
    <n v="1.7448999999999999"/>
    <n v="2.2120000000000002"/>
  </r>
  <r>
    <x v="22"/>
    <x v="0"/>
    <n v="1898189.9"/>
    <n v="158758.98000000001"/>
    <n v="10963219"/>
    <n v="0.17314165666124101"/>
    <n v="1.44810552448145E-2"/>
    <n v="2.72"/>
    <n v="2.17"/>
    <n v="1.96"/>
  </r>
  <r>
    <x v="22"/>
    <x v="1"/>
    <n v="1967365.6"/>
    <n v="220297.42"/>
    <n v="10909224"/>
    <n v="0.18033964652297901"/>
    <n v="2.0193683803724199E-2"/>
    <n v="2.4506999999999999"/>
    <n v="1.6943999999999999"/>
    <n v="1.8667"/>
  </r>
  <r>
    <x v="22"/>
    <x v="2"/>
    <n v="2121884.89"/>
    <n v="324890.40000000002"/>
    <n v="10855228"/>
    <n v="0.195471241138371"/>
    <n v="2.99293943895052E-2"/>
    <n v="2.3231999999999999"/>
    <n v="1.6091"/>
    <n v="1.9074"/>
  </r>
  <r>
    <x v="22"/>
    <x v="3"/>
    <n v="2245512.7999999998"/>
    <n v="403028.33"/>
    <n v="10914128"/>
    <n v="0.205743674620638"/>
    <n v="3.6927213058157202E-2"/>
    <n v="2.2185000000000001"/>
    <n v="1.5599000000000001"/>
    <n v="1.8286"/>
  </r>
  <r>
    <x v="22"/>
    <x v="4"/>
    <n v="2582903.54"/>
    <n v="240893.3"/>
    <n v="10823579"/>
    <n v="0.238636733745834"/>
    <n v="2.2256344227727199E-2"/>
    <n v="2.1274999999999999"/>
    <n v="1.6447000000000001"/>
    <n v="1.6774"/>
  </r>
  <r>
    <x v="22"/>
    <x v="5"/>
    <n v="2813757.28"/>
    <n v="137121.91"/>
    <n v="10733030"/>
    <n v="0.26215870821193998"/>
    <n v="1.2775694282043301E-2"/>
    <n v="2.1128999999999998"/>
    <n v="1.8209"/>
    <n v="1.5981000000000001"/>
  </r>
  <r>
    <x v="22"/>
    <x v="6"/>
    <n v="3081486.6"/>
    <n v="115215.87"/>
    <n v="10768025"/>
    <n v="0.28617008225742402"/>
    <n v="1.0699814497087399E-2"/>
    <n v="2.0036"/>
    <n v="1.7422"/>
    <n v="1.5462"/>
  </r>
  <r>
    <x v="22"/>
    <x v="7"/>
    <n v="3297196.15"/>
    <n v="111449.65"/>
    <n v="11164043"/>
    <n v="0.29534068885259501"/>
    <n v="9.9829112087798204E-3"/>
    <n v="1.9671000000000001"/>
    <n v="1.6656"/>
    <n v="1.597"/>
  </r>
  <r>
    <x v="22"/>
    <x v="8"/>
    <n v="3552611.8"/>
    <n v="114072.73"/>
    <n v="11207274"/>
    <n v="0.31699160741496901"/>
    <n v="1.0178454635801699E-2"/>
    <n v="1.9066000000000001"/>
    <n v="1.5973999999999999"/>
    <n v="1.6103000000000001"/>
  </r>
  <r>
    <x v="22"/>
    <x v="9"/>
    <n v="3494738.69"/>
    <n v="167631.84"/>
    <n v="11247972"/>
    <n v="0.31069944786491199"/>
    <n v="1.49032945672339E-2"/>
    <n v="1.9556"/>
    <n v="1.5598000000000001"/>
    <n v="1.6238999999999999"/>
  </r>
  <r>
    <x v="22"/>
    <x v="10"/>
    <n v="3463356.22"/>
    <n v="68922.759999999995"/>
    <n v="11286500"/>
    <n v="0.30685830151065402"/>
    <n v="6.1066548531431303E-3"/>
    <n v="2.1191"/>
    <n v="1.9383999999999999"/>
    <n v="1.6099000000000001"/>
  </r>
  <r>
    <x v="22"/>
    <x v="11"/>
    <n v="3594255.28"/>
    <n v="54731.47"/>
    <n v="11322895"/>
    <n v="0.317432536467043"/>
    <n v="4.8336993321937503E-3"/>
    <n v="2.0796999999999999"/>
    <n v="1.9308000000000001"/>
    <n v="1.6063000000000001"/>
  </r>
  <r>
    <x v="22"/>
    <x v="12"/>
    <n v="3461000.8"/>
    <n v="69212.42"/>
    <n v="11329605"/>
    <n v="0.30548291842478098"/>
    <n v="6.1089879126412601E-3"/>
    <n v="2.3531"/>
    <n v="2.0507"/>
    <n v="1.7533000000000001"/>
  </r>
  <r>
    <x v="22"/>
    <x v="13"/>
    <n v="3553480.34"/>
    <n v="53036.35"/>
    <n v="11377239"/>
    <n v="0.31233239804490298"/>
    <n v="4.6616186932523698E-3"/>
    <n v="2.2166000000000001"/>
    <n v="1.9954000000000001"/>
    <n v="1.7251000000000001"/>
  </r>
  <r>
    <x v="22"/>
    <x v="14"/>
    <n v="3178280.53"/>
    <n v="34970.559999999998"/>
    <n v="11422973"/>
    <n v="0.27823584368097498"/>
    <n v="3.0614236766558002E-3"/>
    <n v="2.0455000000000001"/>
    <n v="1.9468000000000001"/>
    <n v="1.5847"/>
  </r>
  <r>
    <x v="22"/>
    <x v="15"/>
    <n v="3269749.53"/>
    <n v="34293.31"/>
    <n v="11466630"/>
    <n v="0.28515348711870803"/>
    <n v="2.9907052028364002E-3"/>
    <n v="2.5678000000000001"/>
    <n v="2.4481000000000002"/>
    <n v="1.9013"/>
  </r>
  <r>
    <x v="22"/>
    <x v="16"/>
    <n v="3602295.12"/>
    <n v="32924.160000000003"/>
    <n v="11466630"/>
    <n v="0.31415464875033"/>
    <n v="2.8713022047454199E-3"/>
    <n v="2.3828"/>
    <n v="2.3100999999999998"/>
    <n v="2.5969000000000002"/>
  </r>
  <r>
    <x v="22"/>
    <x v="17"/>
    <n v="3825753.14"/>
    <n v="54927.69"/>
    <n v="11466630"/>
    <n v="0.333642329088843"/>
    <n v="4.7902208408224503E-3"/>
    <n v="2.0960999999999999"/>
    <n v="1.8182"/>
    <n v="2.2042000000000002"/>
  </r>
  <r>
    <x v="23"/>
    <x v="0"/>
    <n v="318707.13"/>
    <n v="65292.34"/>
    <n v="2297981"/>
    <n v="0.13869006314673599"/>
    <n v="2.8412915511485899E-2"/>
    <n v="2.76"/>
    <n v="1.94"/>
    <n v="2.06"/>
  </r>
  <r>
    <x v="23"/>
    <x v="1"/>
    <n v="328961.32"/>
    <n v="105473.42"/>
    <n v="2317020"/>
    <n v="0.14197603818698101"/>
    <n v="4.5521152169597102E-2"/>
    <n v="2.5943000000000001"/>
    <n v="1.6560999999999999"/>
    <n v="1.9529000000000001"/>
  </r>
  <r>
    <x v="23"/>
    <x v="2"/>
    <n v="356358.49"/>
    <n v="166280.15"/>
    <n v="2336060"/>
    <n v="0.152546805304658"/>
    <n v="7.1179742814824906E-2"/>
    <n v="2.4498000000000002"/>
    <n v="1.5729"/>
    <n v="1.9797"/>
  </r>
  <r>
    <x v="23"/>
    <x v="3"/>
    <n v="372538.16"/>
    <n v="207976.53"/>
    <n v="2360498"/>
    <n v="0.15782184945718999"/>
    <n v="8.8107056222881702E-2"/>
    <n v="2.3138999999999998"/>
    <n v="1.5079"/>
    <n v="1.9152"/>
  </r>
  <r>
    <x v="23"/>
    <x v="4"/>
    <n v="451271.24"/>
    <n v="168271.84"/>
    <n v="2419020"/>
    <n v="0.186551264561682"/>
    <n v="6.9561987912460405E-2"/>
    <n v="2.1684000000000001"/>
    <n v="1.4892000000000001"/>
    <n v="1.7593000000000001"/>
  </r>
  <r>
    <x v="23"/>
    <x v="5"/>
    <n v="552064.64"/>
    <n v="105792.03"/>
    <n v="2477542"/>
    <n v="0.22282756054185901"/>
    <n v="4.2700398217265297E-2"/>
    <n v="2.0975000000000001"/>
    <n v="1.5981000000000001"/>
    <n v="1.6673"/>
  </r>
  <r>
    <x v="23"/>
    <x v="6"/>
    <n v="643255.26"/>
    <n v="90758.84"/>
    <n v="2500365"/>
    <n v="0.25726454337666699"/>
    <n v="3.62982364574772E-2"/>
    <n v="2.0181"/>
    <n v="1.5462"/>
    <n v="1.6188"/>
  </r>
  <r>
    <x v="23"/>
    <x v="7"/>
    <n v="671116.67"/>
    <n v="130868.23"/>
    <n v="2587269"/>
    <n v="0.25939191866017702"/>
    <n v="5.0581609411313601E-2"/>
    <n v="2.0562999999999998"/>
    <n v="1.4804999999999999"/>
    <n v="1.6998"/>
  </r>
  <r>
    <x v="23"/>
    <x v="8"/>
    <n v="717740.23"/>
    <n v="156077.91"/>
    <n v="2619657"/>
    <n v="0.27398252137589002"/>
    <n v="5.9579521288473998E-2"/>
    <n v="1.9839"/>
    <n v="1.4106000000000001"/>
    <n v="1.7262999999999999"/>
  </r>
  <r>
    <x v="23"/>
    <x v="9"/>
    <n v="663753.43000000005"/>
    <n v="231696.16"/>
    <n v="2651235"/>
    <n v="0.25035631696171701"/>
    <n v="8.7391785337776501E-2"/>
    <n v="1.9498"/>
    <n v="1.3794"/>
    <n v="1.7519"/>
  </r>
  <r>
    <x v="23"/>
    <x v="10"/>
    <n v="741872.02"/>
    <n v="116193.77"/>
    <n v="2682386"/>
    <n v="0.27657168655070502"/>
    <n v="4.3317318983919502E-2"/>
    <n v="1.9219999999999999"/>
    <n v="1.5550999999999999"/>
    <n v="1.7850999999999999"/>
  </r>
  <r>
    <x v="23"/>
    <x v="11"/>
    <n v="766623.34"/>
    <n v="91062.74"/>
    <n v="2713147"/>
    <n v="0.28255871871299199"/>
    <n v="3.3563511302557497E-2"/>
    <n v="1.968"/>
    <n v="1.6329"/>
    <n v="1.835"/>
  </r>
  <r>
    <x v="23"/>
    <x v="12"/>
    <n v="712686.89"/>
    <n v="133379.73000000001"/>
    <n v="2748023"/>
    <n v="0.25934531479540002"/>
    <n v="4.8536613412624198E-2"/>
    <n v="2.1737000000000002"/>
    <n v="1.7122999999999999"/>
    <n v="1.8815"/>
  </r>
  <r>
    <x v="23"/>
    <x v="13"/>
    <n v="768148.2"/>
    <n v="108582.65"/>
    <n v="2778986"/>
    <n v="0.27641312334786799"/>
    <n v="3.9072758912783202E-2"/>
    <n v="2.0347"/>
    <n v="1.6759999999999999"/>
    <n v="1.7841"/>
  </r>
  <r>
    <x v="23"/>
    <x v="14"/>
    <n v="697962.96"/>
    <n v="145726.60999999999"/>
    <n v="2809394"/>
    <n v="0.248438972960004"/>
    <n v="5.18711900146437E-2"/>
    <n v="2.0314000000000001"/>
    <n v="1.5565"/>
    <n v="1.6411"/>
  </r>
  <r>
    <x v="23"/>
    <x v="15"/>
    <n v="676391.5"/>
    <n v="178373.46"/>
    <n v="2839188"/>
    <n v="0.23823413595718201"/>
    <n v="6.2825519127299695E-2"/>
    <n v="2.4695"/>
    <n v="1.9140999999999999"/>
    <n v="1.9354"/>
  </r>
  <r>
    <x v="23"/>
    <x v="16"/>
    <n v="769521.63"/>
    <n v="147229.32999999999"/>
    <n v="2839188"/>
    <n v="0.27103581376083502"/>
    <n v="5.18561398540709E-2"/>
    <n v="2.3828"/>
    <n v="1.8456999999999999"/>
    <n v="2.613"/>
  </r>
  <r>
    <x v="23"/>
    <x v="17"/>
    <n v="815140.08"/>
    <n v="197069.11"/>
    <n v="2839188"/>
    <n v="0.28710324219459898"/>
    <n v="6.9410377192352102E-2"/>
    <n v="2.0266999999999999"/>
    <n v="1.4359999999999999"/>
    <n v="2.2544"/>
  </r>
  <r>
    <x v="24"/>
    <x v="0"/>
    <n v="364957.36"/>
    <n v="72465.48"/>
    <n v="2856999"/>
    <n v="0.127741507784916"/>
    <n v="2.53641950872226E-2"/>
    <n v="2.95"/>
    <n v="2"/>
    <n v="2.1"/>
  </r>
  <r>
    <x v="24"/>
    <x v="1"/>
    <n v="347660.4"/>
    <n v="107203.41"/>
    <n v="2907367"/>
    <n v="0.119579124341715"/>
    <n v="3.68730229104203E-2"/>
    <n v="2.7761999999999998"/>
    <n v="1.4455"/>
    <n v="2.0103"/>
  </r>
  <r>
    <x v="24"/>
    <x v="2"/>
    <n v="355889.16"/>
    <n v="276849.03999999998"/>
    <n v="2957735"/>
    <n v="0.12032489726091"/>
    <n v="9.3601705358999296E-2"/>
    <n v="2.4859"/>
    <n v="1.2836000000000001"/>
    <n v="2.052"/>
  </r>
  <r>
    <x v="24"/>
    <x v="3"/>
    <n v="354940.57"/>
    <n v="393940.62"/>
    <n v="3001692"/>
    <n v="0.11824683212001701"/>
    <n v="0.13123952091020599"/>
    <n v="2.3572000000000002"/>
    <n v="1.2479"/>
    <n v="1.9932000000000001"/>
  </r>
  <r>
    <x v="24"/>
    <x v="4"/>
    <n v="393806.62"/>
    <n v="416311.03"/>
    <n v="3038814"/>
    <n v="0.12959220932903401"/>
    <n v="0.136997864956525"/>
    <n v="2.2665999999999999"/>
    <n v="1.3992"/>
    <n v="1.8247"/>
  </r>
  <r>
    <x v="24"/>
    <x v="5"/>
    <n v="488407.84"/>
    <n v="338644.59"/>
    <n v="3075936"/>
    <n v="0.158783485742226"/>
    <n v="0.1100948101651"/>
    <n v="2.2204000000000002"/>
    <n v="1.5059"/>
    <n v="1.7363999999999999"/>
  </r>
  <r>
    <x v="24"/>
    <x v="6"/>
    <n v="593011.55000000005"/>
    <n v="371859.1"/>
    <n v="3115336"/>
    <n v="0.19035235685653101"/>
    <n v="0.119364042915435"/>
    <n v="2.1560000000000001"/>
    <n v="1.4373"/>
    <n v="1.6987000000000001"/>
  </r>
  <r>
    <x v="24"/>
    <x v="7"/>
    <n v="586942.4"/>
    <n v="488525.36"/>
    <n v="3182113"/>
    <n v="0.18445052077031801"/>
    <n v="0.15352231677504799"/>
    <n v="2.0699999999999998"/>
    <n v="1.3571"/>
    <n v="1.7615000000000001"/>
  </r>
  <r>
    <x v="24"/>
    <x v="8"/>
    <n v="662409.15"/>
    <n v="514044.56"/>
    <n v="3224357"/>
    <n v="0.20543914647168399"/>
    <n v="0.159425448236656"/>
    <n v="2.0032000000000001"/>
    <n v="1.3462000000000001"/>
    <n v="1.7778"/>
  </r>
  <r>
    <x v="24"/>
    <x v="9"/>
    <n v="565513.12"/>
    <n v="699298.94"/>
    <n v="3265486"/>
    <n v="0.17317885300993399"/>
    <n v="0.21414850346931499"/>
    <n v="1.9731000000000001"/>
    <n v="1.2222999999999999"/>
    <n v="1.7926"/>
  </r>
  <r>
    <x v="24"/>
    <x v="10"/>
    <n v="616554.18000000005"/>
    <n v="599949.57999999996"/>
    <n v="3305531"/>
    <n v="0.18652197786074301"/>
    <n v="0.18149870020883099"/>
    <n v="2.0369999999999999"/>
    <n v="1.4128000000000001"/>
    <n v="1.8015000000000001"/>
  </r>
  <r>
    <x v="24"/>
    <x v="11"/>
    <n v="623823.98"/>
    <n v="674441.99"/>
    <n v="3344544"/>
    <n v="0.18651989030492599"/>
    <n v="0.20165439294564499"/>
    <n v="2.0265"/>
    <n v="1.3138000000000001"/>
    <n v="1.8297000000000001"/>
  </r>
  <r>
    <x v="24"/>
    <x v="12"/>
    <n v="521857.27"/>
    <n v="840622.76"/>
    <n v="3441998"/>
    <n v="0.15161463487195501"/>
    <n v="0.244225231972825"/>
    <n v="2.3069999999999999"/>
    <n v="1.3945000000000001"/>
    <n v="1.9533"/>
  </r>
  <r>
    <x v="24"/>
    <x v="13"/>
    <n v="475309.09"/>
    <n v="1000070.52"/>
    <n v="3484466"/>
    <n v="0.136408014886642"/>
    <n v="0.28700825894125498"/>
    <n v="2.2117"/>
    <n v="1.2827999999999999"/>
    <n v="1.9315"/>
  </r>
  <r>
    <x v="24"/>
    <x v="14"/>
    <n v="501812.77"/>
    <n v="915611.4"/>
    <n v="3526220"/>
    <n v="0.14230897958720601"/>
    <n v="0.25965804742755699"/>
    <n v="2.0407999999999999"/>
    <n v="1.3354999999999999"/>
    <n v="1.7257"/>
  </r>
  <r>
    <x v="24"/>
    <x v="15"/>
    <n v="610110.26"/>
    <n v="845394.53"/>
    <n v="3567234"/>
    <n v="0.171031746165236"/>
    <n v="0.236988807014061"/>
    <n v="2.4695"/>
    <n v="1.7774000000000001"/>
    <n v="2.0764"/>
  </r>
  <r>
    <x v="24"/>
    <x v="16"/>
    <n v="663867.54"/>
    <n v="837740.62"/>
    <n v="3567234"/>
    <n v="0.186101483670541"/>
    <n v="0.23484319223241301"/>
    <n v="2.4352999999999998"/>
    <n v="1.6557999999999999"/>
    <n v="2.7624"/>
  </r>
  <r>
    <x v="24"/>
    <x v="17"/>
    <n v="680386.95"/>
    <n v="942548.1"/>
    <n v="3567234"/>
    <n v="0.190732357339047"/>
    <n v="0.26422379356106102"/>
    <n v="2.1232000000000002"/>
    <n v="1.3241000000000001"/>
    <n v="2.3046000000000002"/>
  </r>
  <r>
    <x v="25"/>
    <x v="0"/>
    <n v="890038.41"/>
    <n v="238581.38"/>
    <n v="5730753"/>
    <n v="0.15530915570781001"/>
    <n v="4.1631768111450598E-2"/>
    <n v="2.58"/>
    <n v="1.69"/>
    <n v="1.85"/>
  </r>
  <r>
    <x v="25"/>
    <x v="1"/>
    <n v="880459.81"/>
    <n v="435305.54"/>
    <n v="5787874"/>
    <n v="0.15212145426800899"/>
    <n v="7.5209919911870898E-2"/>
    <n v="2.4220000000000002"/>
    <n v="1.3976999999999999"/>
    <n v="1.7709999999999999"/>
  </r>
  <r>
    <x v="25"/>
    <x v="2"/>
    <n v="921928.73"/>
    <n v="610591.29"/>
    <n v="5844995"/>
    <n v="0.15772960113738299"/>
    <n v="0.10446395420355301"/>
    <n v="2.2690000000000001"/>
    <n v="1.4012"/>
    <n v="1.7988999999999999"/>
  </r>
  <r>
    <x v="25"/>
    <x v="3"/>
    <n v="951247.64"/>
    <n v="773681.48"/>
    <n v="5926300"/>
    <n v="0.16051290687275299"/>
    <n v="0.13055050874913501"/>
    <n v="2.2444999999999999"/>
    <n v="1.3606"/>
    <n v="1.7332000000000001"/>
  </r>
  <r>
    <x v="25"/>
    <x v="4"/>
    <n v="1083507.32"/>
    <n v="851077.09"/>
    <n v="6003508"/>
    <n v="0.18047903325855399"/>
    <n v="0.14176329739212401"/>
    <n v="2.0865999999999998"/>
    <n v="1.3091999999999999"/>
    <n v="1.5791999999999999"/>
  </r>
  <r>
    <x v="25"/>
    <x v="5"/>
    <n v="1256556.81"/>
    <n v="705069.38"/>
    <n v="6080716"/>
    <n v="0.20664619265231199"/>
    <n v="0.11595170371383801"/>
    <n v="2.1897000000000002"/>
    <n v="1.5136000000000001"/>
    <n v="1.5289999999999999"/>
  </r>
  <r>
    <x v="25"/>
    <x v="6"/>
    <n v="1446209.17"/>
    <n v="688742.69"/>
    <n v="6154996"/>
    <n v="0.234965086898513"/>
    <n v="0.111899778651358"/>
    <n v="2.0108000000000001"/>
    <n v="1.3793"/>
    <n v="1.5099"/>
  </r>
  <r>
    <x v="25"/>
    <x v="7"/>
    <n v="1529630.01"/>
    <n v="852546.53"/>
    <n v="6434048"/>
    <n v="0.23773991272679301"/>
    <n v="0.13250546623214399"/>
    <n v="1.9877"/>
    <n v="1.3366"/>
    <n v="1.5832999999999999"/>
  </r>
  <r>
    <x v="25"/>
    <x v="8"/>
    <n v="1639888.52"/>
    <n v="926225.81"/>
    <n v="6523222"/>
    <n v="0.25139241313571697"/>
    <n v="0.141989006352995"/>
    <n v="1.9967999999999999"/>
    <n v="1.3784000000000001"/>
    <n v="1.6425000000000001"/>
  </r>
  <r>
    <x v="25"/>
    <x v="9"/>
    <n v="1469880.46"/>
    <n v="1240762.2"/>
    <n v="6610681"/>
    <n v="0.22234932528131299"/>
    <n v="0.18769052689125301"/>
    <n v="1.9846999999999999"/>
    <n v="1.3328"/>
    <n v="1.6646000000000001"/>
  </r>
  <r>
    <x v="25"/>
    <x v="10"/>
    <n v="1531089.1"/>
    <n v="1058503.03"/>
    <n v="6695855"/>
    <n v="0.22866222461507901"/>
    <n v="0.158083326177164"/>
    <n v="2.0863"/>
    <n v="1.5167999999999999"/>
    <n v="1.6536999999999999"/>
  </r>
  <r>
    <x v="25"/>
    <x v="11"/>
    <n v="1559199.29"/>
    <n v="1021975.22"/>
    <n v="6778772"/>
    <n v="0.230012056756002"/>
    <n v="0.15076111425491201"/>
    <n v="2.085"/>
    <n v="1.484"/>
    <n v="1.6914"/>
  </r>
  <r>
    <x v="25"/>
    <x v="12"/>
    <n v="1223071.02"/>
    <n v="1516564.95"/>
    <n v="6921161"/>
    <n v="0.17671471881668399"/>
    <n v="0.21912002191539801"/>
    <n v="2.3633999999999999"/>
    <n v="1.5072000000000001"/>
    <n v="1.8352999999999999"/>
  </r>
  <r>
    <x v="25"/>
    <x v="13"/>
    <n v="1141131.3999999999"/>
    <n v="1752876.3"/>
    <n v="7018354"/>
    <n v="0.16259245401414599"/>
    <n v="0.24975603966400101"/>
    <n v="2.2214999999999998"/>
    <n v="1.4645999999999999"/>
    <n v="1.7841"/>
  </r>
  <r>
    <x v="25"/>
    <x v="14"/>
    <n v="1131572.92"/>
    <n v="1557748.92"/>
    <n v="7113540"/>
    <n v="0.159073108466389"/>
    <n v="0.21898364527366099"/>
    <n v="2.0831"/>
    <n v="1.4154"/>
    <n v="1.6316999999999999"/>
  </r>
  <r>
    <x v="25"/>
    <x v="15"/>
    <n v="1278601.23"/>
    <n v="1474010.28"/>
    <n v="7206589"/>
    <n v="0.177421139182489"/>
    <n v="0.20453647072144601"/>
    <n v="2.5933999999999999"/>
    <n v="1.8842000000000001"/>
    <n v="1.9953000000000001"/>
  </r>
  <r>
    <x v="25"/>
    <x v="16"/>
    <n v="1434388.54"/>
    <n v="1382294.29"/>
    <n v="7206589"/>
    <n v="0.19903848269965099"/>
    <n v="0.19180978546161001"/>
    <n v="2.4958999999999998"/>
    <n v="1.7446999999999999"/>
    <n v="2.6615000000000002"/>
  </r>
  <r>
    <x v="25"/>
    <x v="17"/>
    <n v="1638113.9"/>
    <n v="1364285.24"/>
    <n v="7206589"/>
    <n v="0.22730780123578501"/>
    <n v="0.18931081542183101"/>
    <n v="2.1"/>
    <n v="1.4359999999999999"/>
    <n v="2.1926999999999999"/>
  </r>
  <r>
    <x v="26"/>
    <x v="0"/>
    <n v="736015.53"/>
    <n v="80855.56"/>
    <n v="2383784"/>
    <n v="0.30875932131434702"/>
    <n v="3.3918996016417499E-2"/>
    <n v="2.6"/>
    <n v="1.91"/>
    <n v="1.88"/>
  </r>
  <r>
    <x v="26"/>
    <x v="1"/>
    <n v="731690.26"/>
    <n v="150221.38"/>
    <n v="2470472"/>
    <n v="0.29617427762791798"/>
    <n v="6.0806752717699197E-2"/>
    <n v="2.4603000000000002"/>
    <n v="1.6177999999999999"/>
    <n v="1.7902"/>
  </r>
  <r>
    <x v="26"/>
    <x v="2"/>
    <n v="773089.44"/>
    <n v="174775.87"/>
    <n v="2557159"/>
    <n v="0.30232357080650801"/>
    <n v="6.8347674118034898E-2"/>
    <n v="2.3050999999999999"/>
    <n v="1.6543000000000001"/>
    <n v="1.8169999999999999"/>
  </r>
  <r>
    <x v="26"/>
    <x v="3"/>
    <n v="761670.98"/>
    <n v="239353.89"/>
    <n v="2606885"/>
    <n v="0.29217667062413499"/>
    <n v="9.1816052491766997E-2"/>
    <n v="2.3224999999999998"/>
    <n v="1.5946"/>
    <n v="1.7505999999999999"/>
  </r>
  <r>
    <x v="26"/>
    <x v="4"/>
    <n v="899566.91"/>
    <n v="134134.6"/>
    <n v="2608442"/>
    <n v="0.34486751478468702"/>
    <n v="5.1423263388643399E-2"/>
    <n v="2.2174999999999998"/>
    <n v="1.6447000000000001"/>
    <n v="1.6529"/>
  </r>
  <r>
    <x v="26"/>
    <x v="5"/>
    <n v="1002018.08"/>
    <n v="84019.78"/>
    <n v="2609998"/>
    <n v="0.38391526736802001"/>
    <n v="3.2191511257863001E-2"/>
    <n v="2.1743000000000001"/>
    <n v="1.6902999999999999"/>
    <n v="1.5904"/>
  </r>
  <r>
    <x v="26"/>
    <x v="6"/>
    <n v="1079078"/>
    <n v="58133.63"/>
    <n v="2648532"/>
    <n v="0.407424943327095"/>
    <n v="2.1949377995055301E-2"/>
    <n v="2.0615999999999999"/>
    <n v="1.6406000000000001"/>
    <n v="1.5026999999999999"/>
  </r>
  <r>
    <x v="26"/>
    <x v="7"/>
    <n v="1123062.26"/>
    <n v="78017.27"/>
    <n v="2789761"/>
    <n v="0.40256576100963398"/>
    <n v="2.7965574828811499E-2"/>
    <n v="2.0425"/>
    <n v="1.5628"/>
    <n v="1.6380999999999999"/>
  </r>
  <r>
    <x v="26"/>
    <x v="8"/>
    <n v="1172428.68"/>
    <n v="73914.06"/>
    <n v="2852372"/>
    <n v="0.41103638655827401"/>
    <n v="2.5913190846074699E-2"/>
    <n v="2.0097"/>
    <n v="1.5973999999999999"/>
    <n v="1.649"/>
  </r>
  <r>
    <x v="26"/>
    <x v="9"/>
    <n v="1122267.1499999999"/>
    <n v="112377.1"/>
    <n v="2914830"/>
    <n v="0.38501976101522201"/>
    <n v="3.85535691618379E-2"/>
    <n v="2.0604"/>
    <n v="1.6006"/>
    <n v="1.6995"/>
  </r>
  <r>
    <x v="26"/>
    <x v="10"/>
    <n v="1199588.7"/>
    <n v="42982.15"/>
    <n v="2977216"/>
    <n v="0.402922965616199"/>
    <n v="1.44370277467271E-2"/>
    <n v="2.0206"/>
    <n v="1.7194"/>
    <n v="1.7413000000000001"/>
  </r>
  <r>
    <x v="26"/>
    <x v="11"/>
    <n v="1266124.9099999999"/>
    <n v="41289.32"/>
    <n v="3039444"/>
    <n v="0.41656464471791499"/>
    <n v="1.3584497691025E-2"/>
    <n v="1.9945999999999999"/>
    <n v="1.7285999999999999"/>
    <n v="1.7712000000000001"/>
  </r>
  <r>
    <x v="26"/>
    <x v="12"/>
    <n v="1090790.6299999999"/>
    <n v="167629.38"/>
    <n v="2974703"/>
    <n v="0.366688919868638"/>
    <n v="5.63516357767481E-2"/>
    <n v="2.2814000000000001"/>
    <n v="1.7533000000000001"/>
    <n v="1.8764000000000001"/>
  </r>
  <r>
    <x v="26"/>
    <x v="13"/>
    <n v="1123114.42"/>
    <n v="177843.81"/>
    <n v="3015268"/>
    <n v="0.37247581972812999"/>
    <n v="5.89810955444093E-2"/>
    <n v="2.1084999999999998"/>
    <n v="1.5924"/>
    <n v="1.8283"/>
  </r>
  <r>
    <x v="26"/>
    <x v="14"/>
    <n v="946625.38"/>
    <n v="149771.1"/>
    <n v="3055149"/>
    <n v="0.30984589622306402"/>
    <n v="4.9022519032623203E-2"/>
    <n v="1.9750000000000001"/>
    <n v="1.5328999999999999"/>
    <n v="1.6411"/>
  </r>
  <r>
    <x v="26"/>
    <x v="15"/>
    <n v="985314.35"/>
    <n v="115540.94"/>
    <n v="3094325"/>
    <n v="0.31842626420948"/>
    <n v="3.7339626574454797E-2"/>
    <n v="2.5592000000000001"/>
    <n v="2.1149"/>
    <n v="1.9866999999999999"/>
  </r>
  <r>
    <x v="26"/>
    <x v="16"/>
    <n v="1045611.31"/>
    <n v="86799.4"/>
    <n v="3094325"/>
    <n v="0.337912568977079"/>
    <n v="2.80511581685828E-2"/>
    <n v="2.5160999999999998"/>
    <n v="2.0192999999999999"/>
    <n v="2.6736"/>
  </r>
  <r>
    <x v="26"/>
    <x v="17"/>
    <n v="1056571.76"/>
    <n v="187717.5"/>
    <n v="3094325"/>
    <n v="0.341454682362066"/>
    <n v="6.0665088508802402E-2"/>
    <n v="2.1038999999999999"/>
    <n v="1.4823999999999999"/>
    <n v="2.2158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9D56E-96AB-4EF9-8243-75FD63B2E4C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22" firstHeaderRow="0" firstDataRow="1" firstDataCol="1"/>
  <pivotFields count="10">
    <pivotField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Gasoline" fld="2" baseField="1" baseItem="0"/>
    <dataField name="Ethanol" fld="3" baseField="1" baseItem="0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265EDE-A639-4E6C-8F7F-5FF044676B02}" autoFormatId="16" applyNumberFormats="0" applyBorderFormats="0" applyFontFormats="0" applyPatternFormats="0" applyAlignmentFormats="0" applyWidthHeightFormats="0">
  <queryTableRefresh nextId="7">
    <queryTableFields count="6">
      <queryTableField id="1" name="Ano" tableColumnId="1"/>
      <queryTableField id="2" name="Frota_Gasoline" tableColumnId="2"/>
      <queryTableField id="3" name="Frota_Ethanol" tableColumnId="3"/>
      <queryTableField id="4" name="Frota_Flex" tableColumnId="4"/>
      <queryTableField id="5" name="Frota_Electric" tableColumnId="5"/>
      <queryTableField id="6" name="Frota_Tota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0255B-848F-49F7-BA0C-B6841E0A3EB2}" name="frota_circulante" displayName="frota_circulante" ref="A1:F67" tableType="queryTable" totalsRowShown="0">
  <autoFilter ref="A1:F67" xr:uid="{AAD0255B-848F-49F7-BA0C-B6841E0A3EB2}"/>
  <tableColumns count="6">
    <tableColumn id="1" xr3:uid="{E7F6141E-7EEC-452D-A416-25B7C1CC8EBB}" uniqueName="1" name="Ano" queryTableFieldId="1"/>
    <tableColumn id="2" xr3:uid="{93B9C631-BE3B-4BA0-B9E8-B4596E8B2846}" uniqueName="2" name="Gasoline" queryTableFieldId="2"/>
    <tableColumn id="3" xr3:uid="{E1599D8B-8BEF-4825-85A3-D8F96563931B}" uniqueName="3" name="Ethanol" queryTableFieldId="3"/>
    <tableColumn id="4" xr3:uid="{275B95CF-1AF5-42BE-88AE-7BBB4DC1F59B}" uniqueName="4" name="Flex" queryTableFieldId="4"/>
    <tableColumn id="5" xr3:uid="{5066AB73-9725-40BE-A493-839F19606B53}" uniqueName="5" name="Electric" queryTableFieldId="5"/>
    <tableColumn id="6" xr3:uid="{02E0016D-C2EB-40CE-80D4-7E70F45A2D11}" uniqueName="6" name="Total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A433-4E41-41CE-ABAF-0CDF20FBAF0F}">
  <dimension ref="A3:K22"/>
  <sheetViews>
    <sheetView workbookViewId="0">
      <selection activeCell="C3" sqref="C3"/>
    </sheetView>
  </sheetViews>
  <sheetFormatPr defaultRowHeight="15" x14ac:dyDescent="0.25"/>
  <cols>
    <col min="1" max="1" width="13.42578125" bestFit="1" customWidth="1"/>
    <col min="2" max="3" width="12" bestFit="1" customWidth="1"/>
    <col min="4" max="4" width="14.140625" bestFit="1" customWidth="1"/>
    <col min="5" max="5" width="12.85546875" bestFit="1" customWidth="1"/>
  </cols>
  <sheetData>
    <row r="3" spans="1:11" x14ac:dyDescent="0.25">
      <c r="A3" s="1" t="s">
        <v>10</v>
      </c>
      <c r="B3" t="s">
        <v>12</v>
      </c>
      <c r="C3" t="s">
        <v>13</v>
      </c>
      <c r="I3">
        <v>658772852.46000016</v>
      </c>
      <c r="J3">
        <v>261134764.84000012</v>
      </c>
    </row>
    <row r="4" spans="1:11" x14ac:dyDescent="0.25">
      <c r="A4" s="2">
        <v>2006</v>
      </c>
      <c r="B4" s="5">
        <v>24007633.499999996</v>
      </c>
      <c r="C4" s="5">
        <v>6186552.8000000007</v>
      </c>
      <c r="I4">
        <f>J3/(I3+J3)</f>
        <v>0.28387064084375208</v>
      </c>
    </row>
    <row r="5" spans="1:11" x14ac:dyDescent="0.25">
      <c r="A5" s="2">
        <v>2007</v>
      </c>
      <c r="B5" s="5">
        <v>24325448.640000001</v>
      </c>
      <c r="C5" s="5">
        <v>9366835.6799999997</v>
      </c>
    </row>
    <row r="6" spans="1:11" x14ac:dyDescent="0.25">
      <c r="A6" s="2">
        <v>2008</v>
      </c>
      <c r="B6" s="5">
        <v>25174782.619999997</v>
      </c>
      <c r="C6" s="5">
        <v>13290095.839999998</v>
      </c>
    </row>
    <row r="7" spans="1:11" x14ac:dyDescent="0.25">
      <c r="A7" s="2">
        <v>2009</v>
      </c>
      <c r="B7" s="5">
        <v>25409089.750000004</v>
      </c>
      <c r="C7" s="5">
        <v>16470948.17</v>
      </c>
      <c r="I7">
        <f>MAX(D7:D21)</f>
        <v>0</v>
      </c>
      <c r="J7">
        <f>MIN(D7:D21)</f>
        <v>0</v>
      </c>
      <c r="K7" t="e">
        <f>AVERAGE(D4:D21)</f>
        <v>#DIV/0!</v>
      </c>
    </row>
    <row r="8" spans="1:11" x14ac:dyDescent="0.25">
      <c r="A8" s="2">
        <v>2010</v>
      </c>
      <c r="B8" s="5">
        <v>29843665.009999994</v>
      </c>
      <c r="C8" s="5">
        <v>15074300.479999999</v>
      </c>
      <c r="I8" t="e">
        <f>(I7-K7)/K7</f>
        <v>#DIV/0!</v>
      </c>
      <c r="J8" t="e">
        <f>(K7-J7)/K7</f>
        <v>#DIV/0!</v>
      </c>
    </row>
    <row r="9" spans="1:11" x14ac:dyDescent="0.25">
      <c r="A9" s="2">
        <v>2011</v>
      </c>
      <c r="B9" s="5">
        <v>35491255.699999996</v>
      </c>
      <c r="C9" s="5">
        <v>10899220.539999999</v>
      </c>
    </row>
    <row r="10" spans="1:11" x14ac:dyDescent="0.25">
      <c r="A10" s="2">
        <v>2012</v>
      </c>
      <c r="B10" s="5">
        <v>39697714.699999996</v>
      </c>
      <c r="C10" s="5">
        <v>9850180.2899999991</v>
      </c>
    </row>
    <row r="11" spans="1:11" x14ac:dyDescent="0.25">
      <c r="A11" s="2">
        <v>2013</v>
      </c>
      <c r="B11" s="5">
        <v>41426236.589999989</v>
      </c>
      <c r="C11" s="5">
        <v>11754962.98</v>
      </c>
    </row>
    <row r="12" spans="1:11" x14ac:dyDescent="0.25">
      <c r="A12" s="2">
        <v>2014</v>
      </c>
      <c r="B12" s="5">
        <v>44364246.809999995</v>
      </c>
      <c r="C12" s="5">
        <v>12994115.140000001</v>
      </c>
    </row>
    <row r="13" spans="1:11" x14ac:dyDescent="0.25">
      <c r="A13" s="2">
        <v>2015</v>
      </c>
      <c r="B13" s="5">
        <v>41137401.559999987</v>
      </c>
      <c r="C13" s="5">
        <v>17862739.520000003</v>
      </c>
    </row>
    <row r="14" spans="1:11" x14ac:dyDescent="0.25">
      <c r="A14" s="2">
        <v>2016</v>
      </c>
      <c r="B14" s="5">
        <v>43019081.860000007</v>
      </c>
      <c r="C14" s="5">
        <v>14585844.16</v>
      </c>
    </row>
    <row r="15" spans="1:11" x14ac:dyDescent="0.25">
      <c r="A15" s="2">
        <v>2017</v>
      </c>
      <c r="B15" s="5">
        <v>44149532.009999998</v>
      </c>
      <c r="C15" s="5">
        <v>13644445.460000001</v>
      </c>
    </row>
    <row r="16" spans="1:11" x14ac:dyDescent="0.25">
      <c r="A16" s="2">
        <v>2018</v>
      </c>
      <c r="B16" s="5">
        <v>38351779.260000005</v>
      </c>
      <c r="C16" s="5">
        <v>19384719.150000002</v>
      </c>
    </row>
    <row r="17" spans="1:3" x14ac:dyDescent="0.25">
      <c r="A17" s="2">
        <v>2019</v>
      </c>
      <c r="B17" s="5">
        <v>38165036.760000013</v>
      </c>
      <c r="C17" s="5">
        <v>22544050.099999998</v>
      </c>
    </row>
    <row r="18" spans="1:3" x14ac:dyDescent="0.25">
      <c r="A18" s="2">
        <v>2020</v>
      </c>
      <c r="B18" s="5">
        <v>35823614.180000007</v>
      </c>
      <c r="C18" s="5">
        <v>19256205.520000003</v>
      </c>
    </row>
    <row r="19" spans="1:3" x14ac:dyDescent="0.25">
      <c r="A19" s="2">
        <v>2021</v>
      </c>
      <c r="B19" s="5">
        <v>39317347.130000003</v>
      </c>
      <c r="C19" s="5">
        <v>16682287.08</v>
      </c>
    </row>
    <row r="20" spans="1:3" x14ac:dyDescent="0.25">
      <c r="A20" s="2">
        <v>2022</v>
      </c>
      <c r="B20" s="5">
        <v>43039272.100000001</v>
      </c>
      <c r="C20" s="5">
        <v>15252361.74</v>
      </c>
    </row>
    <row r="21" spans="1:3" x14ac:dyDescent="0.25">
      <c r="A21" s="2">
        <v>2023</v>
      </c>
      <c r="B21" s="5">
        <v>46029714.280000001</v>
      </c>
      <c r="C21" s="5">
        <v>16034900.189999999</v>
      </c>
    </row>
    <row r="22" spans="1:3" x14ac:dyDescent="0.25">
      <c r="A22" s="2" t="s">
        <v>11</v>
      </c>
      <c r="B22" s="5">
        <v>658772852.45999992</v>
      </c>
      <c r="C22" s="5">
        <v>261134764.84000003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64E4-B6E8-41EF-AE61-E99ED1F7F7DA}">
  <dimension ref="A1:J487"/>
  <sheetViews>
    <sheetView workbookViewId="0">
      <selection sqref="A1:J48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11</v>
      </c>
      <c r="B2">
        <v>2006</v>
      </c>
      <c r="C2">
        <v>180781.71</v>
      </c>
      <c r="D2">
        <v>10618.08</v>
      </c>
      <c r="E2">
        <v>1562417</v>
      </c>
      <c r="F2">
        <v>0.115706440726131</v>
      </c>
      <c r="G2">
        <v>6.7959321999184596E-3</v>
      </c>
      <c r="H2">
        <v>2.73</v>
      </c>
      <c r="I2">
        <v>2.14</v>
      </c>
      <c r="J2">
        <v>2.08</v>
      </c>
    </row>
    <row r="3" spans="1:10" x14ac:dyDescent="0.25">
      <c r="A3">
        <v>11</v>
      </c>
      <c r="B3">
        <v>2007</v>
      </c>
      <c r="C3">
        <v>192110.87</v>
      </c>
      <c r="D3">
        <v>21534.12</v>
      </c>
      <c r="E3">
        <v>1527991</v>
      </c>
      <c r="F3">
        <v>0.12572774970533199</v>
      </c>
      <c r="G3">
        <v>1.40930934802626E-2</v>
      </c>
      <c r="H3">
        <v>2.5655999999999999</v>
      </c>
      <c r="I3">
        <v>1.8189</v>
      </c>
      <c r="J3">
        <v>1.9816</v>
      </c>
    </row>
    <row r="4" spans="1:10" x14ac:dyDescent="0.25">
      <c r="A4">
        <v>11</v>
      </c>
      <c r="B4">
        <v>2008</v>
      </c>
      <c r="C4">
        <v>211211.34</v>
      </c>
      <c r="D4">
        <v>40583.800000000003</v>
      </c>
      <c r="E4">
        <v>1493565</v>
      </c>
      <c r="F4">
        <v>0.14141422703397499</v>
      </c>
      <c r="G4">
        <v>2.7172436418903701E-2</v>
      </c>
      <c r="H4">
        <v>2.4498000000000002</v>
      </c>
      <c r="I4">
        <v>1.6814</v>
      </c>
      <c r="J4">
        <v>2.0068000000000001</v>
      </c>
    </row>
    <row r="5" spans="1:10" x14ac:dyDescent="0.25">
      <c r="A5">
        <v>11</v>
      </c>
      <c r="B5">
        <v>2009</v>
      </c>
      <c r="C5">
        <v>233616.64000000001</v>
      </c>
      <c r="D5">
        <v>57187.67</v>
      </c>
      <c r="E5">
        <v>1503928</v>
      </c>
      <c r="F5">
        <v>0.15533764914277801</v>
      </c>
      <c r="G5">
        <v>3.8025537126777302E-2</v>
      </c>
      <c r="H5">
        <v>2.3224999999999998</v>
      </c>
      <c r="I5">
        <v>1.6119000000000001</v>
      </c>
      <c r="J5">
        <v>1.9672000000000001</v>
      </c>
    </row>
    <row r="6" spans="1:10" x14ac:dyDescent="0.25">
      <c r="A6">
        <v>11</v>
      </c>
      <c r="B6">
        <v>2010</v>
      </c>
      <c r="C6">
        <v>286145.90000000002</v>
      </c>
      <c r="D6">
        <v>40080.720000000001</v>
      </c>
      <c r="E6">
        <v>1540192</v>
      </c>
      <c r="F6">
        <v>0.18578586306122799</v>
      </c>
      <c r="G6">
        <v>2.6023197107893001E-2</v>
      </c>
      <c r="H6">
        <v>2.2665999999999999</v>
      </c>
      <c r="I6">
        <v>1.6856</v>
      </c>
      <c r="J6">
        <v>1.8247</v>
      </c>
    </row>
    <row r="7" spans="1:10" x14ac:dyDescent="0.25">
      <c r="A7">
        <v>11</v>
      </c>
      <c r="B7">
        <v>2011</v>
      </c>
      <c r="C7">
        <v>325210.12</v>
      </c>
      <c r="D7">
        <v>26509.16</v>
      </c>
      <c r="E7">
        <v>1576455</v>
      </c>
      <c r="F7">
        <v>0.20629204132055701</v>
      </c>
      <c r="G7">
        <v>1.68156782147286E-2</v>
      </c>
      <c r="H7">
        <v>2.2742</v>
      </c>
      <c r="I7">
        <v>1.8209</v>
      </c>
      <c r="J7">
        <v>1.7134</v>
      </c>
    </row>
    <row r="8" spans="1:10" x14ac:dyDescent="0.25">
      <c r="A8">
        <v>11</v>
      </c>
      <c r="B8">
        <v>2012</v>
      </c>
      <c r="C8">
        <v>365370.29</v>
      </c>
      <c r="D8">
        <v>19696.68</v>
      </c>
      <c r="E8">
        <v>1590011</v>
      </c>
      <c r="F8">
        <v>0.22979104547075399</v>
      </c>
      <c r="G8">
        <v>1.23877633550962E-2</v>
      </c>
      <c r="H8">
        <v>2.1415000000000002</v>
      </c>
      <c r="I8">
        <v>1.7495000000000001</v>
      </c>
      <c r="J8">
        <v>1.6261000000000001</v>
      </c>
    </row>
    <row r="9" spans="1:10" x14ac:dyDescent="0.25">
      <c r="A9">
        <v>11</v>
      </c>
      <c r="B9">
        <v>2013</v>
      </c>
      <c r="C9">
        <v>378462.95</v>
      </c>
      <c r="D9">
        <v>20747.509999999998</v>
      </c>
      <c r="E9">
        <v>1728214</v>
      </c>
      <c r="F9">
        <v>0.21899079049238099</v>
      </c>
      <c r="G9">
        <v>1.2005174127741099E-2</v>
      </c>
      <c r="H9">
        <v>2.0973999999999999</v>
      </c>
      <c r="I9">
        <v>1.6793</v>
      </c>
      <c r="J9">
        <v>1.7067000000000001</v>
      </c>
    </row>
    <row r="10" spans="1:10" x14ac:dyDescent="0.25">
      <c r="A10">
        <v>11</v>
      </c>
      <c r="B10">
        <v>2014</v>
      </c>
      <c r="C10">
        <v>406947.37</v>
      </c>
      <c r="D10">
        <v>18135.060000000001</v>
      </c>
      <c r="E10">
        <v>1748531</v>
      </c>
      <c r="F10">
        <v>0.232736720138218</v>
      </c>
      <c r="G10">
        <v>1.03715976439651E-2</v>
      </c>
      <c r="H10">
        <v>2.0611999999999999</v>
      </c>
      <c r="I10">
        <v>1.6940999999999999</v>
      </c>
      <c r="J10">
        <v>1.7778</v>
      </c>
    </row>
    <row r="11" spans="1:10" x14ac:dyDescent="0.25">
      <c r="A11">
        <v>11</v>
      </c>
      <c r="B11">
        <v>2015</v>
      </c>
      <c r="C11">
        <v>416855.03</v>
      </c>
      <c r="D11">
        <v>29194.54</v>
      </c>
      <c r="E11">
        <v>1768204</v>
      </c>
      <c r="F11">
        <v>0.23575052991623099</v>
      </c>
      <c r="G11">
        <v>1.6510843771420002E-2</v>
      </c>
      <c r="H11">
        <v>2.0895000000000001</v>
      </c>
      <c r="I11">
        <v>1.6122000000000001</v>
      </c>
      <c r="J11">
        <v>1.8101</v>
      </c>
    </row>
    <row r="12" spans="1:10" x14ac:dyDescent="0.25">
      <c r="A12">
        <v>11</v>
      </c>
      <c r="B12">
        <v>2016</v>
      </c>
      <c r="C12">
        <v>431573.74</v>
      </c>
      <c r="D12">
        <v>14528.65</v>
      </c>
      <c r="E12">
        <v>1787279</v>
      </c>
      <c r="F12">
        <v>0.24146970898220099</v>
      </c>
      <c r="G12">
        <v>8.1289211141629195E-3</v>
      </c>
      <c r="H12">
        <v>2.1246</v>
      </c>
      <c r="I12">
        <v>1.8563000000000001</v>
      </c>
      <c r="J12">
        <v>1.8069999999999999</v>
      </c>
    </row>
    <row r="13" spans="1:10" x14ac:dyDescent="0.25">
      <c r="A13">
        <v>11</v>
      </c>
      <c r="B13">
        <v>2017</v>
      </c>
      <c r="C13">
        <v>436154.44</v>
      </c>
      <c r="D13">
        <v>11331.85</v>
      </c>
      <c r="E13">
        <v>1805788</v>
      </c>
      <c r="F13">
        <v>0.24153136470061801</v>
      </c>
      <c r="G13">
        <v>6.2752936668091699E-3</v>
      </c>
      <c r="H13">
        <v>2.101</v>
      </c>
      <c r="I13">
        <v>1.835</v>
      </c>
      <c r="J13">
        <v>1.7659</v>
      </c>
    </row>
    <row r="14" spans="1:10" x14ac:dyDescent="0.25">
      <c r="A14">
        <v>11</v>
      </c>
      <c r="B14">
        <v>2018</v>
      </c>
      <c r="C14">
        <v>427769.57</v>
      </c>
      <c r="D14">
        <v>15640.01</v>
      </c>
      <c r="E14">
        <v>1757589</v>
      </c>
      <c r="F14">
        <v>0.24338430088035301</v>
      </c>
      <c r="G14">
        <v>8.8985593332684704E-3</v>
      </c>
      <c r="H14">
        <v>2.3018999999999998</v>
      </c>
      <c r="I14">
        <v>1.9121999999999999</v>
      </c>
      <c r="J14">
        <v>1.9019999999999999</v>
      </c>
    </row>
    <row r="15" spans="1:10" x14ac:dyDescent="0.25">
      <c r="A15">
        <v>11</v>
      </c>
      <c r="B15">
        <v>2019</v>
      </c>
      <c r="C15">
        <v>440066.88</v>
      </c>
      <c r="D15">
        <v>15469.21</v>
      </c>
      <c r="E15">
        <v>1777225</v>
      </c>
      <c r="F15">
        <v>0.247614612668626</v>
      </c>
      <c r="G15">
        <v>8.7041370676194593E-3</v>
      </c>
      <c r="H15">
        <v>2.2166000000000001</v>
      </c>
      <c r="I15">
        <v>1.8577999999999999</v>
      </c>
      <c r="J15">
        <v>1.8873</v>
      </c>
    </row>
    <row r="16" spans="1:10" x14ac:dyDescent="0.25">
      <c r="A16">
        <v>11</v>
      </c>
      <c r="B16">
        <v>2020</v>
      </c>
      <c r="C16">
        <v>430076.78</v>
      </c>
      <c r="D16">
        <v>12244.93</v>
      </c>
      <c r="E16">
        <v>1796460</v>
      </c>
      <c r="F16">
        <v>0.23940236910368101</v>
      </c>
      <c r="G16">
        <v>6.8161439720338798E-3</v>
      </c>
      <c r="H16">
        <v>2.0596000000000001</v>
      </c>
      <c r="I16">
        <v>1.7257</v>
      </c>
      <c r="J16">
        <v>1.7116</v>
      </c>
    </row>
    <row r="17" spans="1:10" x14ac:dyDescent="0.25">
      <c r="A17">
        <v>11</v>
      </c>
      <c r="B17">
        <v>2021</v>
      </c>
      <c r="C17">
        <v>439880.44</v>
      </c>
      <c r="D17">
        <v>12567.02</v>
      </c>
      <c r="E17">
        <v>1815278</v>
      </c>
      <c r="F17">
        <v>0.24232125327360299</v>
      </c>
      <c r="G17">
        <v>6.9229175916856803E-3</v>
      </c>
      <c r="H17">
        <v>2.5036999999999998</v>
      </c>
      <c r="I17">
        <v>2.1362000000000001</v>
      </c>
      <c r="J17">
        <v>2.0636000000000001</v>
      </c>
    </row>
    <row r="18" spans="1:10" x14ac:dyDescent="0.25">
      <c r="A18">
        <v>11</v>
      </c>
      <c r="B18">
        <v>2022</v>
      </c>
      <c r="C18">
        <v>461219.1</v>
      </c>
      <c r="D18">
        <v>8114.32</v>
      </c>
      <c r="E18">
        <v>1815278</v>
      </c>
      <c r="F18">
        <v>0.25407629024314698</v>
      </c>
      <c r="G18">
        <v>4.4700150610540003E-3</v>
      </c>
      <c r="H18">
        <v>2.508</v>
      </c>
      <c r="I18">
        <v>2.2132000000000001</v>
      </c>
      <c r="J18">
        <v>2.8069000000000002</v>
      </c>
    </row>
    <row r="19" spans="1:10" x14ac:dyDescent="0.25">
      <c r="A19">
        <v>11</v>
      </c>
      <c r="B19">
        <v>2023</v>
      </c>
      <c r="C19">
        <v>478218.96</v>
      </c>
      <c r="D19">
        <v>12757.61</v>
      </c>
      <c r="E19">
        <v>1815278</v>
      </c>
      <c r="F19">
        <v>0.26344116989243499</v>
      </c>
      <c r="G19">
        <v>7.0279097747011701E-3</v>
      </c>
      <c r="H19">
        <v>2.3355000000000001</v>
      </c>
      <c r="I19">
        <v>1.8761000000000001</v>
      </c>
      <c r="J19">
        <v>2.4281000000000001</v>
      </c>
    </row>
    <row r="20" spans="1:10" x14ac:dyDescent="0.25">
      <c r="A20">
        <v>12</v>
      </c>
      <c r="B20">
        <v>2006</v>
      </c>
      <c r="C20">
        <v>54125.47</v>
      </c>
      <c r="D20">
        <v>4135.93</v>
      </c>
      <c r="E20">
        <v>686652</v>
      </c>
      <c r="F20">
        <v>7.8825183644699204E-2</v>
      </c>
      <c r="G20">
        <v>6.0233276827271996E-3</v>
      </c>
      <c r="H20">
        <v>2.94</v>
      </c>
      <c r="I20">
        <v>2.2599999999999998</v>
      </c>
      <c r="J20">
        <v>2.29</v>
      </c>
    </row>
    <row r="21" spans="1:10" x14ac:dyDescent="0.25">
      <c r="A21">
        <v>12</v>
      </c>
      <c r="B21">
        <v>2007</v>
      </c>
      <c r="C21">
        <v>59986.73</v>
      </c>
      <c r="D21">
        <v>6373.69</v>
      </c>
      <c r="E21">
        <v>683364</v>
      </c>
      <c r="F21">
        <v>8.7781519073290307E-2</v>
      </c>
      <c r="G21">
        <v>9.3269326449739801E-3</v>
      </c>
      <c r="H21">
        <v>2.7953000000000001</v>
      </c>
      <c r="I21">
        <v>1.9816</v>
      </c>
      <c r="J21">
        <v>2.1730999999999998</v>
      </c>
    </row>
    <row r="22" spans="1:10" x14ac:dyDescent="0.25">
      <c r="A22">
        <v>12</v>
      </c>
      <c r="B22">
        <v>2008</v>
      </c>
      <c r="C22">
        <v>69961.95</v>
      </c>
      <c r="D22">
        <v>9511.65</v>
      </c>
      <c r="E22">
        <v>680075</v>
      </c>
      <c r="F22">
        <v>0.10287387420504999</v>
      </c>
      <c r="G22">
        <v>1.3986177995074E-2</v>
      </c>
      <c r="H22">
        <v>2.6848000000000001</v>
      </c>
      <c r="I22">
        <v>1.8983000000000001</v>
      </c>
      <c r="J22">
        <v>2.1876000000000002</v>
      </c>
    </row>
    <row r="23" spans="1:10" x14ac:dyDescent="0.25">
      <c r="A23">
        <v>12</v>
      </c>
      <c r="B23">
        <v>2009</v>
      </c>
      <c r="C23">
        <v>75724.2</v>
      </c>
      <c r="D23">
        <v>11952.01</v>
      </c>
      <c r="E23">
        <v>691132</v>
      </c>
      <c r="F23">
        <v>0.109565466510015</v>
      </c>
      <c r="G23">
        <v>1.7293382450819801E-2</v>
      </c>
      <c r="H23">
        <v>2.5739000000000001</v>
      </c>
      <c r="I23">
        <v>1.8286</v>
      </c>
      <c r="J23">
        <v>2.1318999999999999</v>
      </c>
    </row>
    <row r="24" spans="1:10" x14ac:dyDescent="0.25">
      <c r="A24">
        <v>12</v>
      </c>
      <c r="B24">
        <v>2010</v>
      </c>
      <c r="C24">
        <v>94983.8</v>
      </c>
      <c r="D24">
        <v>9494.5300000000007</v>
      </c>
      <c r="E24">
        <v>718759</v>
      </c>
      <c r="F24">
        <v>0.132149719168733</v>
      </c>
      <c r="G24">
        <v>1.32096154622063E-2</v>
      </c>
      <c r="H24">
        <v>2.4466000000000001</v>
      </c>
      <c r="I24">
        <v>1.972</v>
      </c>
      <c r="J24">
        <v>1.9802</v>
      </c>
    </row>
    <row r="25" spans="1:10" x14ac:dyDescent="0.25">
      <c r="A25">
        <v>12</v>
      </c>
      <c r="B25">
        <v>2011</v>
      </c>
      <c r="C25">
        <v>106948.78</v>
      </c>
      <c r="D25">
        <v>8584.56</v>
      </c>
      <c r="E25">
        <v>746386</v>
      </c>
      <c r="F25">
        <v>0.143288834463668</v>
      </c>
      <c r="G25">
        <v>1.15015019038406E-2</v>
      </c>
      <c r="H25">
        <v>2.3895</v>
      </c>
      <c r="I25">
        <v>1.9131</v>
      </c>
      <c r="J25">
        <v>1.9285000000000001</v>
      </c>
    </row>
    <row r="26" spans="1:10" x14ac:dyDescent="0.25">
      <c r="A26">
        <v>12</v>
      </c>
      <c r="B26">
        <v>2012</v>
      </c>
      <c r="C26">
        <v>118891.75</v>
      </c>
      <c r="D26">
        <v>5745.5</v>
      </c>
      <c r="E26">
        <v>758786</v>
      </c>
      <c r="F26">
        <v>0.156686799703737</v>
      </c>
      <c r="G26">
        <v>7.5719636366511703E-3</v>
      </c>
      <c r="H26">
        <v>2.2721</v>
      </c>
      <c r="I26">
        <v>1.8292999999999999</v>
      </c>
      <c r="J26">
        <v>1.8874</v>
      </c>
    </row>
    <row r="27" spans="1:10" x14ac:dyDescent="0.25">
      <c r="A27">
        <v>12</v>
      </c>
      <c r="B27">
        <v>2013</v>
      </c>
      <c r="C27">
        <v>125329.99</v>
      </c>
      <c r="D27">
        <v>6024.83</v>
      </c>
      <c r="E27">
        <v>776463</v>
      </c>
      <c r="F27">
        <v>0.161411413035778</v>
      </c>
      <c r="G27">
        <v>7.75932658735831E-3</v>
      </c>
      <c r="H27">
        <v>2.2275999999999998</v>
      </c>
      <c r="I27">
        <v>1.8095000000000001</v>
      </c>
      <c r="J27">
        <v>1.9329000000000001</v>
      </c>
    </row>
    <row r="28" spans="1:10" x14ac:dyDescent="0.25">
      <c r="A28">
        <v>12</v>
      </c>
      <c r="B28">
        <v>2014</v>
      </c>
      <c r="C28">
        <v>138151.75</v>
      </c>
      <c r="D28">
        <v>3699.01</v>
      </c>
      <c r="E28">
        <v>790101</v>
      </c>
      <c r="F28">
        <v>0.174853278251767</v>
      </c>
      <c r="G28">
        <v>4.6816925937316796E-3</v>
      </c>
      <c r="H28">
        <v>2.1964999999999999</v>
      </c>
      <c r="I28">
        <v>1.8358000000000001</v>
      </c>
      <c r="J28">
        <v>1.9775</v>
      </c>
    </row>
    <row r="29" spans="1:10" x14ac:dyDescent="0.25">
      <c r="A29">
        <v>12</v>
      </c>
      <c r="B29">
        <v>2015</v>
      </c>
      <c r="C29">
        <v>140258.84</v>
      </c>
      <c r="D29">
        <v>7384.5</v>
      </c>
      <c r="E29">
        <v>803513</v>
      </c>
      <c r="F29">
        <v>0.17455702645756799</v>
      </c>
      <c r="G29">
        <v>9.1902682346147405E-3</v>
      </c>
      <c r="H29">
        <v>2.2349999999999999</v>
      </c>
      <c r="I29">
        <v>1.7809999999999999</v>
      </c>
      <c r="J29">
        <v>1.9731000000000001</v>
      </c>
    </row>
    <row r="30" spans="1:10" x14ac:dyDescent="0.25">
      <c r="A30">
        <v>12</v>
      </c>
      <c r="B30">
        <v>2016</v>
      </c>
      <c r="C30">
        <v>136817.74</v>
      </c>
      <c r="D30">
        <v>7603.71</v>
      </c>
      <c r="E30">
        <v>816687</v>
      </c>
      <c r="F30">
        <v>0.167527755431395</v>
      </c>
      <c r="G30">
        <v>9.3104334953293E-3</v>
      </c>
      <c r="H30">
        <v>2.2395999999999998</v>
      </c>
      <c r="I30">
        <v>1.8344</v>
      </c>
      <c r="J30">
        <v>1.9658</v>
      </c>
    </row>
    <row r="31" spans="1:10" x14ac:dyDescent="0.25">
      <c r="A31">
        <v>12</v>
      </c>
      <c r="B31">
        <v>2017</v>
      </c>
      <c r="C31">
        <v>136592.56</v>
      </c>
      <c r="D31">
        <v>6748.5</v>
      </c>
      <c r="E31">
        <v>829619</v>
      </c>
      <c r="F31">
        <v>0.164644927370274</v>
      </c>
      <c r="G31">
        <v>8.13445690130047E-3</v>
      </c>
      <c r="H31">
        <v>2.3243999999999998</v>
      </c>
      <c r="I31">
        <v>1.9414</v>
      </c>
      <c r="J31">
        <v>2.0318000000000001</v>
      </c>
    </row>
    <row r="32" spans="1:10" x14ac:dyDescent="0.25">
      <c r="A32">
        <v>12</v>
      </c>
      <c r="B32">
        <v>2018</v>
      </c>
      <c r="C32">
        <v>133872.32000000001</v>
      </c>
      <c r="D32">
        <v>8533.39</v>
      </c>
      <c r="E32">
        <v>869265</v>
      </c>
      <c r="F32">
        <v>0.154006338688432</v>
      </c>
      <c r="G32">
        <v>9.8167877459692902E-3</v>
      </c>
      <c r="H32">
        <v>2.5531000000000001</v>
      </c>
      <c r="I32">
        <v>2.0148000000000001</v>
      </c>
      <c r="J32">
        <v>2.2454999999999998</v>
      </c>
    </row>
    <row r="33" spans="1:10" x14ac:dyDescent="0.25">
      <c r="A33">
        <v>12</v>
      </c>
      <c r="B33">
        <v>2019</v>
      </c>
      <c r="C33">
        <v>138001.4</v>
      </c>
      <c r="D33">
        <v>7903.02</v>
      </c>
      <c r="E33">
        <v>881935</v>
      </c>
      <c r="F33">
        <v>0.15647570399179</v>
      </c>
      <c r="G33">
        <v>8.9610005272497406E-3</v>
      </c>
      <c r="H33">
        <v>2.3837000000000002</v>
      </c>
      <c r="I33">
        <v>1.9414</v>
      </c>
      <c r="J33">
        <v>2.2656999999999998</v>
      </c>
    </row>
    <row r="34" spans="1:10" x14ac:dyDescent="0.25">
      <c r="A34">
        <v>12</v>
      </c>
      <c r="B34">
        <v>2020</v>
      </c>
      <c r="C34">
        <v>136417.72</v>
      </c>
      <c r="D34">
        <v>6541.79</v>
      </c>
      <c r="E34">
        <v>894470</v>
      </c>
      <c r="F34">
        <v>0.15251234809440201</v>
      </c>
      <c r="G34">
        <v>7.3135935246570498E-3</v>
      </c>
      <c r="H34">
        <v>2.2665000000000002</v>
      </c>
      <c r="I34">
        <v>1.8573999999999999</v>
      </c>
      <c r="J34">
        <v>2.1160000000000001</v>
      </c>
    </row>
    <row r="35" spans="1:10" x14ac:dyDescent="0.25">
      <c r="A35">
        <v>12</v>
      </c>
      <c r="B35">
        <v>2021</v>
      </c>
      <c r="C35">
        <v>138568.1</v>
      </c>
      <c r="D35">
        <v>6970.54</v>
      </c>
      <c r="E35">
        <v>906876</v>
      </c>
      <c r="F35">
        <v>0.15279718506168399</v>
      </c>
      <c r="G35">
        <v>7.6863209523683499E-3</v>
      </c>
      <c r="H35">
        <v>2.7002000000000002</v>
      </c>
      <c r="I35">
        <v>2.2644000000000002</v>
      </c>
      <c r="J35">
        <v>2.5036999999999998</v>
      </c>
    </row>
    <row r="36" spans="1:10" x14ac:dyDescent="0.25">
      <c r="A36">
        <v>12</v>
      </c>
      <c r="B36">
        <v>2022</v>
      </c>
      <c r="C36">
        <v>149349.85</v>
      </c>
      <c r="D36">
        <v>6101.56</v>
      </c>
      <c r="E36">
        <v>906876</v>
      </c>
      <c r="F36">
        <v>0.16468607615594599</v>
      </c>
      <c r="G36">
        <v>6.7281083632161403E-3</v>
      </c>
      <c r="H36">
        <v>2.6292</v>
      </c>
      <c r="I36">
        <v>2.1768000000000001</v>
      </c>
      <c r="J36">
        <v>3.0935999999999999</v>
      </c>
    </row>
    <row r="37" spans="1:10" x14ac:dyDescent="0.25">
      <c r="A37">
        <v>12</v>
      </c>
      <c r="B37">
        <v>2023</v>
      </c>
      <c r="C37">
        <v>155529.5</v>
      </c>
      <c r="D37">
        <v>9226.0400000000009</v>
      </c>
      <c r="E37">
        <v>906876</v>
      </c>
      <c r="F37">
        <v>0.17150029331463101</v>
      </c>
      <c r="G37">
        <v>1.01734305461827E-2</v>
      </c>
      <c r="H37">
        <v>2.4165000000000001</v>
      </c>
      <c r="I37">
        <v>1.7873000000000001</v>
      </c>
      <c r="J37">
        <v>2.7254</v>
      </c>
    </row>
    <row r="38" spans="1:10" x14ac:dyDescent="0.25">
      <c r="A38">
        <v>13</v>
      </c>
      <c r="B38">
        <v>2006</v>
      </c>
      <c r="C38">
        <v>332061.53000000003</v>
      </c>
      <c r="D38">
        <v>16265.73</v>
      </c>
      <c r="E38">
        <v>3311026</v>
      </c>
      <c r="F38">
        <v>0.10028961717606499</v>
      </c>
      <c r="G38">
        <v>4.91259506871888E-3</v>
      </c>
      <c r="H38">
        <v>2.56</v>
      </c>
      <c r="I38">
        <v>2.0499999999999998</v>
      </c>
      <c r="J38">
        <v>1.99</v>
      </c>
    </row>
    <row r="39" spans="1:10" x14ac:dyDescent="0.25">
      <c r="A39">
        <v>13</v>
      </c>
      <c r="B39">
        <v>2007</v>
      </c>
      <c r="C39">
        <v>354301.33</v>
      </c>
      <c r="D39">
        <v>32504.39</v>
      </c>
      <c r="E39">
        <v>3326060</v>
      </c>
      <c r="F39">
        <v>0.106522831819029</v>
      </c>
      <c r="G39">
        <v>9.7726409024491406E-3</v>
      </c>
      <c r="H39">
        <v>2.3645</v>
      </c>
      <c r="I39">
        <v>1.6943999999999999</v>
      </c>
      <c r="J39">
        <v>1.8955</v>
      </c>
    </row>
    <row r="40" spans="1:10" x14ac:dyDescent="0.25">
      <c r="A40">
        <v>13</v>
      </c>
      <c r="B40">
        <v>2008</v>
      </c>
      <c r="C40">
        <v>388553.26</v>
      </c>
      <c r="D40">
        <v>54703.03</v>
      </c>
      <c r="E40">
        <v>3341094</v>
      </c>
      <c r="F40">
        <v>0.11629521947002899</v>
      </c>
      <c r="G40">
        <v>1.6372789870623201E-2</v>
      </c>
      <c r="H40">
        <v>2.2057000000000002</v>
      </c>
      <c r="I40">
        <v>1.6091</v>
      </c>
      <c r="J40">
        <v>1.9255</v>
      </c>
    </row>
    <row r="41" spans="1:10" x14ac:dyDescent="0.25">
      <c r="A41">
        <v>13</v>
      </c>
      <c r="B41">
        <v>2009</v>
      </c>
      <c r="C41">
        <v>403312.31</v>
      </c>
      <c r="D41">
        <v>79600.73</v>
      </c>
      <c r="E41">
        <v>3393369</v>
      </c>
      <c r="F41">
        <v>0.118853066082704</v>
      </c>
      <c r="G41">
        <v>2.34577288824174E-2</v>
      </c>
      <c r="H41">
        <v>2.2271999999999998</v>
      </c>
      <c r="I41">
        <v>1.5686</v>
      </c>
      <c r="J41">
        <v>1.8806</v>
      </c>
    </row>
    <row r="42" spans="1:10" x14ac:dyDescent="0.25">
      <c r="A42">
        <v>13</v>
      </c>
      <c r="B42">
        <v>2010</v>
      </c>
      <c r="C42">
        <v>468688.2</v>
      </c>
      <c r="D42">
        <v>54875.69</v>
      </c>
      <c r="E42">
        <v>3465878</v>
      </c>
      <c r="F42">
        <v>0.13522928389285399</v>
      </c>
      <c r="G42">
        <v>1.5833127998158E-2</v>
      </c>
      <c r="H42">
        <v>2.1356999999999999</v>
      </c>
      <c r="I42">
        <v>1.6611</v>
      </c>
      <c r="J42">
        <v>1.7428999999999999</v>
      </c>
    </row>
    <row r="43" spans="1:10" x14ac:dyDescent="0.25">
      <c r="A43">
        <v>13</v>
      </c>
      <c r="B43">
        <v>2011</v>
      </c>
      <c r="C43">
        <v>521355.1</v>
      </c>
      <c r="D43">
        <v>40517.31</v>
      </c>
      <c r="E43">
        <v>3538387</v>
      </c>
      <c r="F43">
        <v>0.147342588586268</v>
      </c>
      <c r="G43">
        <v>1.1450785343717299E-2</v>
      </c>
      <c r="H43">
        <v>2.1358999999999999</v>
      </c>
      <c r="I43">
        <v>1.7595000000000001</v>
      </c>
      <c r="J43">
        <v>1.6596</v>
      </c>
    </row>
    <row r="44" spans="1:10" x14ac:dyDescent="0.25">
      <c r="A44">
        <v>13</v>
      </c>
      <c r="B44">
        <v>2012</v>
      </c>
      <c r="C44">
        <v>569396.75</v>
      </c>
      <c r="D44">
        <v>40069.26</v>
      </c>
      <c r="E44">
        <v>3590985</v>
      </c>
      <c r="F44">
        <v>0.15856283164647</v>
      </c>
      <c r="G44">
        <v>1.1158292223442799E-2</v>
      </c>
      <c r="H44">
        <v>2.0979000000000001</v>
      </c>
      <c r="I44">
        <v>1.6914</v>
      </c>
      <c r="J44">
        <v>1.5825</v>
      </c>
    </row>
    <row r="45" spans="1:10" x14ac:dyDescent="0.25">
      <c r="A45">
        <v>13</v>
      </c>
      <c r="B45">
        <v>2013</v>
      </c>
      <c r="C45">
        <v>590749.21</v>
      </c>
      <c r="D45">
        <v>47011.25</v>
      </c>
      <c r="E45">
        <v>3807921</v>
      </c>
      <c r="F45">
        <v>0.15513693955310501</v>
      </c>
      <c r="G45">
        <v>1.2345647401823701E-2</v>
      </c>
      <c r="H45">
        <v>2.0493999999999999</v>
      </c>
      <c r="I45">
        <v>1.6656</v>
      </c>
      <c r="J45">
        <v>1.6244000000000001</v>
      </c>
    </row>
    <row r="46" spans="1:10" x14ac:dyDescent="0.25">
      <c r="A46">
        <v>13</v>
      </c>
      <c r="B46">
        <v>2014</v>
      </c>
      <c r="C46">
        <v>627353.97</v>
      </c>
      <c r="D46">
        <v>50438.879999999997</v>
      </c>
      <c r="E46">
        <v>3873743</v>
      </c>
      <c r="F46">
        <v>0.16195033330812</v>
      </c>
      <c r="G46">
        <v>1.3020708911251899E-2</v>
      </c>
      <c r="H46">
        <v>2.0354000000000001</v>
      </c>
      <c r="I46">
        <v>1.6361000000000001</v>
      </c>
      <c r="J46">
        <v>1.6747000000000001</v>
      </c>
    </row>
    <row r="47" spans="1:10" x14ac:dyDescent="0.25">
      <c r="A47">
        <v>13</v>
      </c>
      <c r="B47">
        <v>2015</v>
      </c>
      <c r="C47">
        <v>617203.43000000005</v>
      </c>
      <c r="D47">
        <v>78600.59</v>
      </c>
      <c r="E47">
        <v>3938336</v>
      </c>
      <c r="F47">
        <v>0.156716803746556</v>
      </c>
      <c r="G47">
        <v>1.9957817210111001E-2</v>
      </c>
      <c r="H47">
        <v>2.1011000000000002</v>
      </c>
      <c r="I47">
        <v>1.6238999999999999</v>
      </c>
      <c r="J47">
        <v>1.7403</v>
      </c>
    </row>
    <row r="48" spans="1:10" x14ac:dyDescent="0.25">
      <c r="A48">
        <v>13</v>
      </c>
      <c r="B48">
        <v>2016</v>
      </c>
      <c r="C48">
        <v>634172.72</v>
      </c>
      <c r="D48">
        <v>38370.910000000003</v>
      </c>
      <c r="E48">
        <v>4001667</v>
      </c>
      <c r="F48">
        <v>0.15847713465413199</v>
      </c>
      <c r="G48">
        <v>9.5887313961906303E-3</v>
      </c>
      <c r="H48">
        <v>2.0425</v>
      </c>
      <c r="I48">
        <v>1.8015000000000001</v>
      </c>
      <c r="J48">
        <v>1.7358</v>
      </c>
    </row>
    <row r="49" spans="1:10" x14ac:dyDescent="0.25">
      <c r="A49">
        <v>13</v>
      </c>
      <c r="B49">
        <v>2017</v>
      </c>
      <c r="C49">
        <v>644424.52</v>
      </c>
      <c r="D49">
        <v>38859.03</v>
      </c>
      <c r="E49">
        <v>4063614</v>
      </c>
      <c r="F49">
        <v>0.15858408795717299</v>
      </c>
      <c r="G49">
        <v>9.5626774590303106E-3</v>
      </c>
      <c r="H49">
        <v>2.0265</v>
      </c>
      <c r="I49">
        <v>1.7445999999999999</v>
      </c>
      <c r="J49">
        <v>1.7074</v>
      </c>
    </row>
    <row r="50" spans="1:10" x14ac:dyDescent="0.25">
      <c r="A50">
        <v>13</v>
      </c>
      <c r="B50">
        <v>2018</v>
      </c>
      <c r="C50">
        <v>614179.32999999996</v>
      </c>
      <c r="D50">
        <v>90530.92</v>
      </c>
      <c r="E50">
        <v>4080611</v>
      </c>
      <c r="F50">
        <v>0.150511609658455</v>
      </c>
      <c r="G50">
        <v>2.2185628573760101E-2</v>
      </c>
      <c r="H50">
        <v>2.3069999999999999</v>
      </c>
      <c r="I50">
        <v>1.8046</v>
      </c>
      <c r="J50">
        <v>1.82</v>
      </c>
    </row>
    <row r="51" spans="1:10" x14ac:dyDescent="0.25">
      <c r="A51">
        <v>13</v>
      </c>
      <c r="B51">
        <v>2019</v>
      </c>
      <c r="C51">
        <v>647740.53</v>
      </c>
      <c r="D51">
        <v>102044.67</v>
      </c>
      <c r="E51">
        <v>4144597</v>
      </c>
      <c r="F51">
        <v>0.15628552788123901</v>
      </c>
      <c r="G51">
        <v>2.4621132042512199E-2</v>
      </c>
      <c r="H51">
        <v>2.0741000000000001</v>
      </c>
      <c r="I51">
        <v>1.6514</v>
      </c>
      <c r="J51">
        <v>1.8185</v>
      </c>
    </row>
    <row r="52" spans="1:10" x14ac:dyDescent="0.25">
      <c r="A52">
        <v>13</v>
      </c>
      <c r="B52">
        <v>2020</v>
      </c>
      <c r="C52">
        <v>625946.68000000005</v>
      </c>
      <c r="D52">
        <v>112895.73</v>
      </c>
      <c r="E52">
        <v>4207714</v>
      </c>
      <c r="F52">
        <v>0.148761698157241</v>
      </c>
      <c r="G52">
        <v>2.6830656741403999E-2</v>
      </c>
      <c r="H52">
        <v>2.0078999999999998</v>
      </c>
      <c r="I52">
        <v>1.5893999999999999</v>
      </c>
      <c r="J52">
        <v>1.6411</v>
      </c>
    </row>
    <row r="53" spans="1:10" x14ac:dyDescent="0.25">
      <c r="A53">
        <v>13</v>
      </c>
      <c r="B53">
        <v>2021</v>
      </c>
      <c r="C53">
        <v>608234.64</v>
      </c>
      <c r="D53">
        <v>130812.71</v>
      </c>
      <c r="E53">
        <v>4269995</v>
      </c>
      <c r="F53">
        <v>0.14244387639798101</v>
      </c>
      <c r="G53">
        <v>3.063533095472E-2</v>
      </c>
      <c r="H53">
        <v>2.4097</v>
      </c>
      <c r="I53">
        <v>1.9097999999999999</v>
      </c>
      <c r="J53">
        <v>1.9482999999999999</v>
      </c>
    </row>
    <row r="54" spans="1:10" x14ac:dyDescent="0.25">
      <c r="A54">
        <v>13</v>
      </c>
      <c r="B54">
        <v>2022</v>
      </c>
      <c r="C54">
        <v>643995.49</v>
      </c>
      <c r="D54">
        <v>123819.64</v>
      </c>
      <c r="E54">
        <v>4269995</v>
      </c>
      <c r="F54">
        <v>0.15081879252786001</v>
      </c>
      <c r="G54">
        <v>2.89976077255359E-2</v>
      </c>
      <c r="H54">
        <v>2.504</v>
      </c>
      <c r="I54">
        <v>1.9587000000000001</v>
      </c>
      <c r="J54">
        <v>2.6655000000000002</v>
      </c>
    </row>
    <row r="55" spans="1:10" x14ac:dyDescent="0.25">
      <c r="A55">
        <v>13</v>
      </c>
      <c r="B55">
        <v>2023</v>
      </c>
      <c r="C55">
        <v>619234.77</v>
      </c>
      <c r="D55">
        <v>167462.42000000001</v>
      </c>
      <c r="E55">
        <v>4269995</v>
      </c>
      <c r="F55">
        <v>0.145020022271688</v>
      </c>
      <c r="G55">
        <v>3.9218411262776601E-2</v>
      </c>
      <c r="H55">
        <v>2.4011</v>
      </c>
      <c r="I55">
        <v>1.7333000000000001</v>
      </c>
      <c r="J55">
        <v>2.2892000000000001</v>
      </c>
    </row>
    <row r="56" spans="1:10" x14ac:dyDescent="0.25">
      <c r="A56">
        <v>14</v>
      </c>
      <c r="B56">
        <v>2006</v>
      </c>
      <c r="C56">
        <v>48344.95</v>
      </c>
      <c r="D56">
        <v>1299</v>
      </c>
      <c r="E56">
        <v>403344</v>
      </c>
      <c r="F56">
        <v>0.11986034253639501</v>
      </c>
      <c r="G56">
        <v>3.22057598476734E-3</v>
      </c>
      <c r="H56">
        <v>2.86</v>
      </c>
      <c r="I56">
        <v>2.23</v>
      </c>
      <c r="J56">
        <v>2.25</v>
      </c>
    </row>
    <row r="57" spans="1:10" x14ac:dyDescent="0.25">
      <c r="A57">
        <v>14</v>
      </c>
      <c r="B57">
        <v>2007</v>
      </c>
      <c r="C57">
        <v>52591.94</v>
      </c>
      <c r="D57">
        <v>2256.27</v>
      </c>
      <c r="E57">
        <v>408064</v>
      </c>
      <c r="F57">
        <v>0.128881597004391</v>
      </c>
      <c r="G57">
        <v>5.5292062029485504E-3</v>
      </c>
      <c r="H57">
        <v>2.5272999999999999</v>
      </c>
      <c r="I57">
        <v>1.972</v>
      </c>
      <c r="J57">
        <v>2.1061000000000001</v>
      </c>
    </row>
    <row r="58" spans="1:10" x14ac:dyDescent="0.25">
      <c r="A58">
        <v>14</v>
      </c>
      <c r="B58">
        <v>2008</v>
      </c>
      <c r="C58">
        <v>62254.19</v>
      </c>
      <c r="D58">
        <v>2865.82</v>
      </c>
      <c r="E58">
        <v>412783</v>
      </c>
      <c r="F58">
        <v>0.15081577971960999</v>
      </c>
      <c r="G58">
        <v>6.9426793254567104E-3</v>
      </c>
      <c r="H58">
        <v>2.4317000000000002</v>
      </c>
      <c r="I58">
        <v>1.9345000000000001</v>
      </c>
      <c r="J58">
        <v>2.1695000000000002</v>
      </c>
    </row>
    <row r="59" spans="1:10" x14ac:dyDescent="0.25">
      <c r="A59">
        <v>14</v>
      </c>
      <c r="B59">
        <v>2009</v>
      </c>
      <c r="C59">
        <v>74627.009999999995</v>
      </c>
      <c r="D59">
        <v>2908.07</v>
      </c>
      <c r="E59">
        <v>421499</v>
      </c>
      <c r="F59">
        <v>0.17705145207936401</v>
      </c>
      <c r="G59">
        <v>6.8993520743821403E-3</v>
      </c>
      <c r="H59">
        <v>2.3399000000000001</v>
      </c>
      <c r="I59">
        <v>1.8718999999999999</v>
      </c>
      <c r="J59">
        <v>2.1145</v>
      </c>
    </row>
    <row r="60" spans="1:10" x14ac:dyDescent="0.25">
      <c r="A60">
        <v>14</v>
      </c>
      <c r="B60">
        <v>2010</v>
      </c>
      <c r="C60">
        <v>85768.4</v>
      </c>
      <c r="D60">
        <v>2756.32</v>
      </c>
      <c r="E60">
        <v>440832</v>
      </c>
      <c r="F60">
        <v>0.19456028600464501</v>
      </c>
      <c r="G60">
        <v>6.2525406504065004E-3</v>
      </c>
      <c r="H60">
        <v>2.3157000000000001</v>
      </c>
      <c r="I60">
        <v>1.8902000000000001</v>
      </c>
      <c r="J60">
        <v>1.9556</v>
      </c>
    </row>
    <row r="61" spans="1:10" x14ac:dyDescent="0.25">
      <c r="A61">
        <v>14</v>
      </c>
      <c r="B61">
        <v>2011</v>
      </c>
      <c r="C61">
        <v>88273.25</v>
      </c>
      <c r="D61">
        <v>2486.8200000000002</v>
      </c>
      <c r="E61">
        <v>460165</v>
      </c>
      <c r="F61">
        <v>0.19182956113567901</v>
      </c>
      <c r="G61">
        <v>5.4041919746177997E-3</v>
      </c>
      <c r="H61">
        <v>2.1819999999999999</v>
      </c>
      <c r="I61">
        <v>1.8824000000000001</v>
      </c>
      <c r="J61">
        <v>1.8055000000000001</v>
      </c>
    </row>
    <row r="62" spans="1:10" x14ac:dyDescent="0.25">
      <c r="A62">
        <v>14</v>
      </c>
      <c r="B62">
        <v>2012</v>
      </c>
      <c r="C62">
        <v>99430</v>
      </c>
      <c r="D62">
        <v>1928.8</v>
      </c>
      <c r="E62">
        <v>469524</v>
      </c>
      <c r="F62">
        <v>0.21176766256889901</v>
      </c>
      <c r="G62">
        <v>4.1079902198822597E-3</v>
      </c>
      <c r="H62">
        <v>2.0834000000000001</v>
      </c>
      <c r="I62">
        <v>1.8584000000000001</v>
      </c>
      <c r="J62">
        <v>1.7350000000000001</v>
      </c>
    </row>
    <row r="63" spans="1:10" x14ac:dyDescent="0.25">
      <c r="A63">
        <v>14</v>
      </c>
      <c r="B63">
        <v>2013</v>
      </c>
      <c r="C63">
        <v>108861.3</v>
      </c>
      <c r="D63">
        <v>1822.8</v>
      </c>
      <c r="E63">
        <v>488072</v>
      </c>
      <c r="F63">
        <v>0.223043526364962</v>
      </c>
      <c r="G63">
        <v>3.7346948810831099E-3</v>
      </c>
      <c r="H63">
        <v>2.0630999999999999</v>
      </c>
      <c r="I63">
        <v>1.8506</v>
      </c>
      <c r="J63">
        <v>1.7958000000000001</v>
      </c>
    </row>
    <row r="64" spans="1:10" x14ac:dyDescent="0.25">
      <c r="A64">
        <v>14</v>
      </c>
      <c r="B64">
        <v>2014</v>
      </c>
      <c r="C64">
        <v>122815.08</v>
      </c>
      <c r="D64">
        <v>1953.6</v>
      </c>
      <c r="E64">
        <v>496936</v>
      </c>
      <c r="F64">
        <v>0.24714466249174899</v>
      </c>
      <c r="G64">
        <v>3.9312909509474003E-3</v>
      </c>
      <c r="H64">
        <v>1.9967999999999999</v>
      </c>
      <c r="I64">
        <v>1.7778</v>
      </c>
      <c r="J64">
        <v>1.7970999999999999</v>
      </c>
    </row>
    <row r="65" spans="1:10" x14ac:dyDescent="0.25">
      <c r="A65">
        <v>14</v>
      </c>
      <c r="B65">
        <v>2015</v>
      </c>
      <c r="C65">
        <v>123890.24000000001</v>
      </c>
      <c r="D65">
        <v>2902.4</v>
      </c>
      <c r="E65">
        <v>505665</v>
      </c>
      <c r="F65">
        <v>0.24500457812978901</v>
      </c>
      <c r="G65">
        <v>5.7397684237588103E-3</v>
      </c>
      <c r="H65">
        <v>2.0720000000000001</v>
      </c>
      <c r="I65">
        <v>1.7751999999999999</v>
      </c>
      <c r="J65">
        <v>1.7985</v>
      </c>
    </row>
    <row r="66" spans="1:10" x14ac:dyDescent="0.25">
      <c r="A66">
        <v>14</v>
      </c>
      <c r="B66">
        <v>2016</v>
      </c>
      <c r="C66">
        <v>129943.6</v>
      </c>
      <c r="D66">
        <v>1448.4</v>
      </c>
      <c r="E66">
        <v>514229</v>
      </c>
      <c r="F66">
        <v>0.25269597786200299</v>
      </c>
      <c r="G66">
        <v>2.8166439465685499E-3</v>
      </c>
      <c r="H66">
        <v>2.1246</v>
      </c>
      <c r="I66">
        <v>2.0150999999999999</v>
      </c>
      <c r="J66">
        <v>1.7796000000000001</v>
      </c>
    </row>
    <row r="67" spans="1:10" x14ac:dyDescent="0.25">
      <c r="A67">
        <v>14</v>
      </c>
      <c r="B67">
        <v>2017</v>
      </c>
      <c r="C67">
        <v>137423.76999999999</v>
      </c>
      <c r="D67">
        <v>1016.6</v>
      </c>
      <c r="E67">
        <v>522636</v>
      </c>
      <c r="F67">
        <v>0.26294355918842099</v>
      </c>
      <c r="G67">
        <v>1.9451396382951E-3</v>
      </c>
      <c r="H67">
        <v>1.9999</v>
      </c>
      <c r="I67">
        <v>1.9467000000000001</v>
      </c>
      <c r="J67">
        <v>1.734</v>
      </c>
    </row>
    <row r="68" spans="1:10" x14ac:dyDescent="0.25">
      <c r="A68">
        <v>14</v>
      </c>
      <c r="B68">
        <v>2018</v>
      </c>
      <c r="C68">
        <v>140968.56</v>
      </c>
      <c r="D68">
        <v>2000</v>
      </c>
      <c r="E68">
        <v>576568</v>
      </c>
      <c r="F68">
        <v>0.24449598312774901</v>
      </c>
      <c r="G68">
        <v>3.4688015984237698E-3</v>
      </c>
      <c r="H68">
        <v>2.1840000000000002</v>
      </c>
      <c r="I68">
        <v>1.9276</v>
      </c>
      <c r="J68">
        <v>1.8455999999999999</v>
      </c>
    </row>
    <row r="69" spans="1:10" x14ac:dyDescent="0.25">
      <c r="A69">
        <v>14</v>
      </c>
      <c r="B69">
        <v>2019</v>
      </c>
      <c r="C69">
        <v>153676.13</v>
      </c>
      <c r="D69">
        <v>1663.2</v>
      </c>
      <c r="E69">
        <v>605761</v>
      </c>
      <c r="F69">
        <v>0.25369102665902798</v>
      </c>
      <c r="G69">
        <v>2.7456373058021202E-3</v>
      </c>
      <c r="H69">
        <v>2.02</v>
      </c>
      <c r="I69">
        <v>1.8627</v>
      </c>
      <c r="J69">
        <v>1.8037000000000001</v>
      </c>
    </row>
    <row r="70" spans="1:10" x14ac:dyDescent="0.25">
      <c r="A70">
        <v>14</v>
      </c>
      <c r="B70">
        <v>2020</v>
      </c>
      <c r="C70">
        <v>156555.17000000001</v>
      </c>
      <c r="D70">
        <v>1555.8</v>
      </c>
      <c r="E70">
        <v>631181</v>
      </c>
      <c r="F70">
        <v>0.248035302076583</v>
      </c>
      <c r="G70">
        <v>2.4649030943580301E-3</v>
      </c>
      <c r="H70">
        <v>1.8762000000000001</v>
      </c>
      <c r="I70">
        <v>1.7399</v>
      </c>
      <c r="J70">
        <v>1.6787000000000001</v>
      </c>
    </row>
    <row r="71" spans="1:10" x14ac:dyDescent="0.25">
      <c r="A71">
        <v>14</v>
      </c>
      <c r="B71">
        <v>2021</v>
      </c>
      <c r="C71">
        <v>167862</v>
      </c>
      <c r="D71">
        <v>2564.15</v>
      </c>
      <c r="E71">
        <v>652713</v>
      </c>
      <c r="F71">
        <v>0.257175818468454</v>
      </c>
      <c r="G71">
        <v>3.9284494103840398E-3</v>
      </c>
      <c r="H71">
        <v>2.3498999999999999</v>
      </c>
      <c r="I71">
        <v>2.1021000000000001</v>
      </c>
      <c r="J71">
        <v>2.0550999999999999</v>
      </c>
    </row>
    <row r="72" spans="1:10" x14ac:dyDescent="0.25">
      <c r="A72">
        <v>14</v>
      </c>
      <c r="B72">
        <v>2022</v>
      </c>
      <c r="C72">
        <v>185867.56</v>
      </c>
      <c r="D72">
        <v>2350.36</v>
      </c>
      <c r="E72">
        <v>652713</v>
      </c>
      <c r="F72">
        <v>0.284761541443176</v>
      </c>
      <c r="G72">
        <v>3.6009088221009801E-3</v>
      </c>
      <c r="H72">
        <v>2.4998999999999998</v>
      </c>
      <c r="I72">
        <v>2.2898999999999998</v>
      </c>
      <c r="J72">
        <v>2.8069000000000002</v>
      </c>
    </row>
    <row r="73" spans="1:10" x14ac:dyDescent="0.25">
      <c r="A73">
        <v>14</v>
      </c>
      <c r="B73">
        <v>2023</v>
      </c>
      <c r="C73">
        <v>183252.1</v>
      </c>
      <c r="D73">
        <v>3098.51</v>
      </c>
      <c r="E73">
        <v>652713</v>
      </c>
      <c r="F73">
        <v>0.28075448167877698</v>
      </c>
      <c r="G73">
        <v>4.7471246933951002E-3</v>
      </c>
      <c r="H73">
        <v>2.266</v>
      </c>
      <c r="I73">
        <v>1.9108000000000001</v>
      </c>
      <c r="J73">
        <v>2.4975999999999998</v>
      </c>
    </row>
    <row r="74" spans="1:10" x14ac:dyDescent="0.25">
      <c r="A74">
        <v>15</v>
      </c>
      <c r="B74">
        <v>2006</v>
      </c>
      <c r="C74">
        <v>435939.38</v>
      </c>
      <c r="D74">
        <v>10367</v>
      </c>
      <c r="E74">
        <v>7110465</v>
      </c>
      <c r="F74">
        <v>6.1309545859518297E-2</v>
      </c>
      <c r="G74">
        <v>1.4579918472279901E-3</v>
      </c>
      <c r="H74">
        <v>2.66</v>
      </c>
      <c r="I74">
        <v>2.3199999999999998</v>
      </c>
      <c r="J74">
        <v>1.94</v>
      </c>
    </row>
    <row r="75" spans="1:10" x14ac:dyDescent="0.25">
      <c r="A75">
        <v>15</v>
      </c>
      <c r="B75">
        <v>2007</v>
      </c>
      <c r="C75">
        <v>493385.98</v>
      </c>
      <c r="D75">
        <v>17748.830000000002</v>
      </c>
      <c r="E75">
        <v>7215978</v>
      </c>
      <c r="F75">
        <v>6.8374097038544093E-2</v>
      </c>
      <c r="G75">
        <v>2.4596568891978301E-3</v>
      </c>
      <c r="H75">
        <v>2.5177</v>
      </c>
      <c r="I75">
        <v>2.0390999999999999</v>
      </c>
      <c r="J75">
        <v>1.8285</v>
      </c>
    </row>
    <row r="76" spans="1:10" x14ac:dyDescent="0.25">
      <c r="A76">
        <v>15</v>
      </c>
      <c r="B76">
        <v>2008</v>
      </c>
      <c r="C76">
        <v>559079.29</v>
      </c>
      <c r="D76">
        <v>31548.27</v>
      </c>
      <c r="E76">
        <v>7321490</v>
      </c>
      <c r="F76">
        <v>7.6361408675010095E-2</v>
      </c>
      <c r="G76">
        <v>4.3089958464738697E-3</v>
      </c>
      <c r="H76">
        <v>2.4859</v>
      </c>
      <c r="I76">
        <v>1.9435</v>
      </c>
      <c r="J76">
        <v>1.8893</v>
      </c>
    </row>
    <row r="77" spans="1:10" x14ac:dyDescent="0.25">
      <c r="A77">
        <v>15</v>
      </c>
      <c r="B77">
        <v>2009</v>
      </c>
      <c r="C77">
        <v>585376.66</v>
      </c>
      <c r="D77">
        <v>46192.34</v>
      </c>
      <c r="E77">
        <v>7431020</v>
      </c>
      <c r="F77">
        <v>7.8774738864920299E-2</v>
      </c>
      <c r="G77">
        <v>6.2161506764885502E-3</v>
      </c>
      <c r="H77">
        <v>2.3919000000000001</v>
      </c>
      <c r="I77">
        <v>1.8199000000000001</v>
      </c>
      <c r="J77">
        <v>1.8459000000000001</v>
      </c>
    </row>
    <row r="78" spans="1:10" x14ac:dyDescent="0.25">
      <c r="A78">
        <v>15</v>
      </c>
      <c r="B78">
        <v>2010</v>
      </c>
      <c r="C78">
        <v>674940.64</v>
      </c>
      <c r="D78">
        <v>46966.6</v>
      </c>
      <c r="E78">
        <v>7559806</v>
      </c>
      <c r="F78">
        <v>8.9280153485420094E-2</v>
      </c>
      <c r="G78">
        <v>6.21267265324004E-3</v>
      </c>
      <c r="H78">
        <v>2.2665999999999999</v>
      </c>
      <c r="I78">
        <v>1.7428999999999999</v>
      </c>
      <c r="J78">
        <v>1.6938</v>
      </c>
    </row>
    <row r="79" spans="1:10" x14ac:dyDescent="0.25">
      <c r="A79">
        <v>15</v>
      </c>
      <c r="B79">
        <v>2011</v>
      </c>
      <c r="C79">
        <v>768592.56</v>
      </c>
      <c r="D79">
        <v>33566.53</v>
      </c>
      <c r="E79">
        <v>7688593</v>
      </c>
      <c r="F79">
        <v>9.9965307046425797E-2</v>
      </c>
      <c r="G79">
        <v>4.3657571677938904E-3</v>
      </c>
      <c r="H79">
        <v>2.1667000000000001</v>
      </c>
      <c r="I79">
        <v>1.7979000000000001</v>
      </c>
      <c r="J79">
        <v>1.6212</v>
      </c>
    </row>
    <row r="80" spans="1:10" x14ac:dyDescent="0.25">
      <c r="A80">
        <v>15</v>
      </c>
      <c r="B80">
        <v>2012</v>
      </c>
      <c r="C80">
        <v>909505.43</v>
      </c>
      <c r="D80">
        <v>30715.07</v>
      </c>
      <c r="E80">
        <v>7777543</v>
      </c>
      <c r="F80">
        <v>0.116939942344259</v>
      </c>
      <c r="G80">
        <v>3.9491996379833498E-3</v>
      </c>
      <c r="H80">
        <v>2.0615999999999999</v>
      </c>
      <c r="I80">
        <v>1.6987000000000001</v>
      </c>
      <c r="J80">
        <v>1.6043000000000001</v>
      </c>
    </row>
    <row r="81" spans="1:10" x14ac:dyDescent="0.25">
      <c r="A81">
        <v>15</v>
      </c>
      <c r="B81">
        <v>2013</v>
      </c>
      <c r="C81">
        <v>996173.28</v>
      </c>
      <c r="D81">
        <v>32956.050000000003</v>
      </c>
      <c r="E81">
        <v>7969654</v>
      </c>
      <c r="F81">
        <v>0.12499580031956201</v>
      </c>
      <c r="G81">
        <v>4.1351920673093198E-3</v>
      </c>
      <c r="H81">
        <v>2.0425</v>
      </c>
      <c r="I81">
        <v>1.7341</v>
      </c>
      <c r="J81">
        <v>1.6998</v>
      </c>
    </row>
    <row r="82" spans="1:10" x14ac:dyDescent="0.25">
      <c r="A82">
        <v>15</v>
      </c>
      <c r="B82">
        <v>2014</v>
      </c>
      <c r="C82">
        <v>1098714.3500000001</v>
      </c>
      <c r="D82">
        <v>33477.43</v>
      </c>
      <c r="E82">
        <v>8073924</v>
      </c>
      <c r="F82">
        <v>0.136081829603548</v>
      </c>
      <c r="G82">
        <v>4.1463642709542404E-3</v>
      </c>
      <c r="H82">
        <v>2.0097</v>
      </c>
      <c r="I82">
        <v>1.7326999999999999</v>
      </c>
      <c r="J82">
        <v>1.7326999999999999</v>
      </c>
    </row>
    <row r="83" spans="1:10" x14ac:dyDescent="0.25">
      <c r="A83">
        <v>15</v>
      </c>
      <c r="B83">
        <v>2015</v>
      </c>
      <c r="C83">
        <v>1131966.26</v>
      </c>
      <c r="D83">
        <v>52965.81</v>
      </c>
      <c r="E83">
        <v>8175113</v>
      </c>
      <c r="F83">
        <v>0.13846490684593499</v>
      </c>
      <c r="G83">
        <v>6.4789086095812902E-3</v>
      </c>
      <c r="H83">
        <v>2.0604</v>
      </c>
      <c r="I83">
        <v>1.7112000000000001</v>
      </c>
      <c r="J83">
        <v>1.7694000000000001</v>
      </c>
    </row>
    <row r="84" spans="1:10" x14ac:dyDescent="0.25">
      <c r="A84">
        <v>15</v>
      </c>
      <c r="B84">
        <v>2016</v>
      </c>
      <c r="C84">
        <v>1154585.46</v>
      </c>
      <c r="D84">
        <v>36912.839999999997</v>
      </c>
      <c r="E84">
        <v>8272724</v>
      </c>
      <c r="F84">
        <v>0.139565330597273</v>
      </c>
      <c r="G84">
        <v>4.4619934135358497E-3</v>
      </c>
      <c r="H84">
        <v>2.1793999999999998</v>
      </c>
      <c r="I84">
        <v>1.9383999999999999</v>
      </c>
      <c r="J84">
        <v>1.7961</v>
      </c>
    </row>
    <row r="85" spans="1:10" x14ac:dyDescent="0.25">
      <c r="A85">
        <v>15</v>
      </c>
      <c r="B85">
        <v>2017</v>
      </c>
      <c r="C85">
        <v>1154058.1599999999</v>
      </c>
      <c r="D85">
        <v>27253.95</v>
      </c>
      <c r="E85">
        <v>8366628</v>
      </c>
      <c r="F85">
        <v>0.13793587571958499</v>
      </c>
      <c r="G85">
        <v>3.2574592775010398E-3</v>
      </c>
      <c r="H85">
        <v>2.1381999999999999</v>
      </c>
      <c r="I85">
        <v>1.9148000000000001</v>
      </c>
      <c r="J85">
        <v>1.7925</v>
      </c>
    </row>
    <row r="86" spans="1:10" x14ac:dyDescent="0.25">
      <c r="A86">
        <v>15</v>
      </c>
      <c r="B86">
        <v>2018</v>
      </c>
      <c r="C86">
        <v>1136547.74</v>
      </c>
      <c r="D86">
        <v>53647.42</v>
      </c>
      <c r="E86">
        <v>8513497</v>
      </c>
      <c r="F86">
        <v>0.13349951729588899</v>
      </c>
      <c r="G86">
        <v>6.3014552069496198E-3</v>
      </c>
      <c r="H86">
        <v>2.3018999999999998</v>
      </c>
      <c r="I86">
        <v>1.8916999999999999</v>
      </c>
      <c r="J86">
        <v>1.9071</v>
      </c>
    </row>
    <row r="87" spans="1:10" x14ac:dyDescent="0.25">
      <c r="A87">
        <v>15</v>
      </c>
      <c r="B87">
        <v>2019</v>
      </c>
      <c r="C87">
        <v>1176565.93</v>
      </c>
      <c r="D87">
        <v>58377.72</v>
      </c>
      <c r="E87">
        <v>8602865</v>
      </c>
      <c r="F87">
        <v>0.13676443022179199</v>
      </c>
      <c r="G87">
        <v>6.7858463430496702E-3</v>
      </c>
      <c r="H87">
        <v>2.2313000000000001</v>
      </c>
      <c r="I87">
        <v>1.8480000000000001</v>
      </c>
      <c r="J87">
        <v>1.9315</v>
      </c>
    </row>
    <row r="88" spans="1:10" x14ac:dyDescent="0.25">
      <c r="A88">
        <v>15</v>
      </c>
      <c r="B88">
        <v>2020</v>
      </c>
      <c r="C88">
        <v>1208775.1599999999</v>
      </c>
      <c r="D88">
        <v>44085.35</v>
      </c>
      <c r="E88">
        <v>8690745</v>
      </c>
      <c r="F88">
        <v>0.13908763402907301</v>
      </c>
      <c r="G88">
        <v>5.0726778889496798E-3</v>
      </c>
      <c r="H88">
        <v>2.0596000000000001</v>
      </c>
      <c r="I88">
        <v>1.8057000000000001</v>
      </c>
      <c r="J88">
        <v>1.7822</v>
      </c>
    </row>
    <row r="89" spans="1:10" x14ac:dyDescent="0.25">
      <c r="A89">
        <v>15</v>
      </c>
      <c r="B89">
        <v>2021</v>
      </c>
      <c r="C89">
        <v>1244976.24</v>
      </c>
      <c r="D89">
        <v>45158.35</v>
      </c>
      <c r="E89">
        <v>8777124</v>
      </c>
      <c r="F89">
        <v>0.14184330083521601</v>
      </c>
      <c r="G89">
        <v>5.14500535710786E-3</v>
      </c>
      <c r="H89">
        <v>2.4950999999999999</v>
      </c>
      <c r="I89">
        <v>2.2302</v>
      </c>
      <c r="J89">
        <v>2.1105999999999998</v>
      </c>
    </row>
    <row r="90" spans="1:10" x14ac:dyDescent="0.25">
      <c r="A90">
        <v>15</v>
      </c>
      <c r="B90">
        <v>2022</v>
      </c>
      <c r="C90">
        <v>1301558.19</v>
      </c>
      <c r="D90">
        <v>36721.29</v>
      </c>
      <c r="E90">
        <v>8777124</v>
      </c>
      <c r="F90">
        <v>0.14828982591564099</v>
      </c>
      <c r="G90">
        <v>4.18374971118102E-3</v>
      </c>
      <c r="H90">
        <v>2.4958999999999998</v>
      </c>
      <c r="I90">
        <v>2.2132000000000001</v>
      </c>
      <c r="J90">
        <v>2.823</v>
      </c>
    </row>
    <row r="91" spans="1:10" x14ac:dyDescent="0.25">
      <c r="A91">
        <v>15</v>
      </c>
      <c r="B91">
        <v>2023</v>
      </c>
      <c r="C91">
        <v>1384124.36</v>
      </c>
      <c r="D91">
        <v>49268.49</v>
      </c>
      <c r="E91">
        <v>8777124</v>
      </c>
      <c r="F91">
        <v>0.15769679908817499</v>
      </c>
      <c r="G91">
        <v>5.61328403244616E-3</v>
      </c>
      <c r="H91">
        <v>2.1347</v>
      </c>
      <c r="I91">
        <v>1.7564</v>
      </c>
      <c r="J91">
        <v>2.3895</v>
      </c>
    </row>
    <row r="92" spans="1:10" x14ac:dyDescent="0.25">
      <c r="A92">
        <v>16</v>
      </c>
      <c r="B92">
        <v>2006</v>
      </c>
      <c r="C92">
        <v>64644.76</v>
      </c>
      <c r="D92">
        <v>925.3</v>
      </c>
      <c r="E92">
        <v>615715</v>
      </c>
      <c r="F92">
        <v>0.104991367759434</v>
      </c>
      <c r="G92">
        <v>1.5028056811998999E-3</v>
      </c>
      <c r="H92">
        <v>2.58</v>
      </c>
      <c r="I92">
        <v>2.19</v>
      </c>
      <c r="J92">
        <v>2</v>
      </c>
    </row>
    <row r="93" spans="1:10" x14ac:dyDescent="0.25">
      <c r="A93">
        <v>16</v>
      </c>
      <c r="B93">
        <v>2007</v>
      </c>
      <c r="C93">
        <v>72340.09</v>
      </c>
      <c r="D93">
        <v>1452.37</v>
      </c>
      <c r="E93">
        <v>614440</v>
      </c>
      <c r="F93">
        <v>0.117733366968296</v>
      </c>
      <c r="G93">
        <v>2.3637295748974601E-3</v>
      </c>
      <c r="H93">
        <v>2.3357999999999999</v>
      </c>
      <c r="I93">
        <v>1.9146000000000001</v>
      </c>
      <c r="J93">
        <v>1.905</v>
      </c>
    </row>
    <row r="94" spans="1:10" x14ac:dyDescent="0.25">
      <c r="A94">
        <v>16</v>
      </c>
      <c r="B94">
        <v>2008</v>
      </c>
      <c r="C94">
        <v>82509.63</v>
      </c>
      <c r="D94">
        <v>2771.45</v>
      </c>
      <c r="E94">
        <v>613166</v>
      </c>
      <c r="F94">
        <v>0.13456328302612899</v>
      </c>
      <c r="G94">
        <v>4.51990162533473E-3</v>
      </c>
      <c r="H94">
        <v>2.3593999999999999</v>
      </c>
      <c r="I94">
        <v>1.9345000000000001</v>
      </c>
      <c r="J94">
        <v>1.9525999999999999</v>
      </c>
    </row>
    <row r="95" spans="1:10" x14ac:dyDescent="0.25">
      <c r="A95">
        <v>16</v>
      </c>
      <c r="B95">
        <v>2009</v>
      </c>
      <c r="C95">
        <v>86003.95</v>
      </c>
      <c r="D95">
        <v>8297.1</v>
      </c>
      <c r="E95">
        <v>626609</v>
      </c>
      <c r="F95">
        <v>0.137252975938743</v>
      </c>
      <c r="G95">
        <v>1.3241271670212201E-2</v>
      </c>
      <c r="H95">
        <v>2.3485</v>
      </c>
      <c r="I95">
        <v>1.7505999999999999</v>
      </c>
      <c r="J95">
        <v>1.9412</v>
      </c>
    </row>
    <row r="96" spans="1:10" x14ac:dyDescent="0.25">
      <c r="A96">
        <v>16</v>
      </c>
      <c r="B96">
        <v>2010</v>
      </c>
      <c r="C96">
        <v>99396.5</v>
      </c>
      <c r="D96">
        <v>6721.64</v>
      </c>
      <c r="E96">
        <v>655459</v>
      </c>
      <c r="F96">
        <v>0.151644115039994</v>
      </c>
      <c r="G96">
        <v>1.0254859571689401E-2</v>
      </c>
      <c r="H96">
        <v>2.3319999999999999</v>
      </c>
      <c r="I96">
        <v>1.7838000000000001</v>
      </c>
      <c r="J96">
        <v>1.8329</v>
      </c>
    </row>
    <row r="97" spans="1:10" x14ac:dyDescent="0.25">
      <c r="A97">
        <v>16</v>
      </c>
      <c r="B97">
        <v>2011</v>
      </c>
      <c r="C97">
        <v>109515.6</v>
      </c>
      <c r="D97">
        <v>4933.6400000000003</v>
      </c>
      <c r="E97">
        <v>684309</v>
      </c>
      <c r="F97">
        <v>0.160038228344212</v>
      </c>
      <c r="G97">
        <v>7.2096669779295602E-3</v>
      </c>
      <c r="H97">
        <v>2.1513</v>
      </c>
      <c r="I97">
        <v>1.7518</v>
      </c>
      <c r="J97">
        <v>1.7210000000000001</v>
      </c>
    </row>
    <row r="98" spans="1:10" x14ac:dyDescent="0.25">
      <c r="A98">
        <v>16</v>
      </c>
      <c r="B98">
        <v>2012</v>
      </c>
      <c r="C98">
        <v>127984.5</v>
      </c>
      <c r="D98">
        <v>3311.01</v>
      </c>
      <c r="E98">
        <v>698602</v>
      </c>
      <c r="F98">
        <v>0.18320087832557</v>
      </c>
      <c r="G98">
        <v>4.7394797037512001E-3</v>
      </c>
      <c r="H98">
        <v>1.9673</v>
      </c>
      <c r="I98">
        <v>1.6551</v>
      </c>
      <c r="J98">
        <v>1.5898000000000001</v>
      </c>
    </row>
    <row r="99" spans="1:10" x14ac:dyDescent="0.25">
      <c r="A99">
        <v>16</v>
      </c>
      <c r="B99">
        <v>2013</v>
      </c>
      <c r="C99">
        <v>137899.79999999999</v>
      </c>
      <c r="D99">
        <v>1458.8</v>
      </c>
      <c r="E99">
        <v>734996</v>
      </c>
      <c r="F99">
        <v>0.18761979657032099</v>
      </c>
      <c r="G99">
        <v>1.9847727062460201E-3</v>
      </c>
      <c r="H99">
        <v>1.9534</v>
      </c>
      <c r="I99">
        <v>1.6587000000000001</v>
      </c>
      <c r="J99">
        <v>1.6039000000000001</v>
      </c>
    </row>
    <row r="100" spans="1:10" x14ac:dyDescent="0.25">
      <c r="A100">
        <v>16</v>
      </c>
      <c r="B100">
        <v>2014</v>
      </c>
      <c r="C100">
        <v>154417.4</v>
      </c>
      <c r="D100">
        <v>1176.5999999999999</v>
      </c>
      <c r="E100">
        <v>750912</v>
      </c>
      <c r="F100">
        <v>0.20563980865933601</v>
      </c>
      <c r="G100">
        <v>1.56689465609818E-3</v>
      </c>
      <c r="H100">
        <v>1.9066000000000001</v>
      </c>
      <c r="I100">
        <v>1.8036000000000001</v>
      </c>
      <c r="J100">
        <v>1.6682999999999999</v>
      </c>
    </row>
    <row r="101" spans="1:10" x14ac:dyDescent="0.25">
      <c r="A101">
        <v>16</v>
      </c>
      <c r="B101">
        <v>2015</v>
      </c>
      <c r="C101">
        <v>153753.22</v>
      </c>
      <c r="D101">
        <v>2193</v>
      </c>
      <c r="E101">
        <v>766679</v>
      </c>
      <c r="F101">
        <v>0.20054445211098701</v>
      </c>
      <c r="G101">
        <v>2.86038876765895E-3</v>
      </c>
      <c r="H101">
        <v>1.944</v>
      </c>
      <c r="I101">
        <v>1.6588000000000001</v>
      </c>
      <c r="J101">
        <v>1.7403</v>
      </c>
    </row>
    <row r="102" spans="1:10" x14ac:dyDescent="0.25">
      <c r="A102">
        <v>16</v>
      </c>
      <c r="B102">
        <v>2016</v>
      </c>
      <c r="C102">
        <v>151537.69</v>
      </c>
      <c r="D102">
        <v>539</v>
      </c>
      <c r="E102">
        <v>782295</v>
      </c>
      <c r="F102">
        <v>0.19370913785720201</v>
      </c>
      <c r="G102">
        <v>6.8899839574584996E-4</v>
      </c>
      <c r="H102">
        <v>1.9986999999999999</v>
      </c>
      <c r="I102">
        <v>2.0042</v>
      </c>
      <c r="J102">
        <v>1.9330000000000001</v>
      </c>
    </row>
    <row r="103" spans="1:10" x14ac:dyDescent="0.25">
      <c r="A103">
        <v>16</v>
      </c>
      <c r="B103">
        <v>2017</v>
      </c>
      <c r="C103">
        <v>154728.34</v>
      </c>
      <c r="D103">
        <v>394.31</v>
      </c>
      <c r="E103">
        <v>797722</v>
      </c>
      <c r="F103">
        <v>0.193962733884736</v>
      </c>
      <c r="G103">
        <v>4.9429500502681301E-4</v>
      </c>
      <c r="H103">
        <v>1.968</v>
      </c>
      <c r="I103">
        <v>1.9893000000000001</v>
      </c>
      <c r="J103">
        <v>1.9041999999999999</v>
      </c>
    </row>
    <row r="104" spans="1:10" x14ac:dyDescent="0.25">
      <c r="A104">
        <v>16</v>
      </c>
      <c r="B104">
        <v>2018</v>
      </c>
      <c r="C104">
        <v>158010.20000000001</v>
      </c>
      <c r="D104">
        <v>928.48</v>
      </c>
      <c r="E104">
        <v>829494</v>
      </c>
      <c r="F104">
        <v>0.190489864905593</v>
      </c>
      <c r="G104">
        <v>1.11933299095593E-3</v>
      </c>
      <c r="H104">
        <v>2.0865999999999998</v>
      </c>
      <c r="I104">
        <v>1.9685999999999999</v>
      </c>
      <c r="J104">
        <v>1.9943</v>
      </c>
    </row>
    <row r="105" spans="1:10" x14ac:dyDescent="0.25">
      <c r="A105">
        <v>16</v>
      </c>
      <c r="B105">
        <v>2019</v>
      </c>
      <c r="C105">
        <v>170073.11</v>
      </c>
      <c r="D105">
        <v>862.15</v>
      </c>
      <c r="E105">
        <v>845731</v>
      </c>
      <c r="F105">
        <v>0.201095986785396</v>
      </c>
      <c r="G105">
        <v>1.01941397441976E-3</v>
      </c>
      <c r="H105">
        <v>1.9414</v>
      </c>
      <c r="I105">
        <v>1.8233999999999999</v>
      </c>
      <c r="J105">
        <v>2.0446</v>
      </c>
    </row>
    <row r="106" spans="1:10" x14ac:dyDescent="0.25">
      <c r="A106">
        <v>16</v>
      </c>
      <c r="B106">
        <v>2020</v>
      </c>
      <c r="C106">
        <v>173347.57</v>
      </c>
      <c r="D106">
        <v>382.68</v>
      </c>
      <c r="E106">
        <v>861773</v>
      </c>
      <c r="F106">
        <v>0.20115224078730701</v>
      </c>
      <c r="G106">
        <v>4.4406125511010398E-4</v>
      </c>
      <c r="H106">
        <v>1.6598999999999999</v>
      </c>
      <c r="I106">
        <v>1.7822</v>
      </c>
      <c r="J106">
        <v>1.7303999999999999</v>
      </c>
    </row>
    <row r="107" spans="1:10" x14ac:dyDescent="0.25">
      <c r="A107">
        <v>16</v>
      </c>
      <c r="B107">
        <v>2021</v>
      </c>
      <c r="C107">
        <v>190356.68</v>
      </c>
      <c r="D107">
        <v>322.83</v>
      </c>
      <c r="E107">
        <v>877613</v>
      </c>
      <c r="F107">
        <v>0.21690275782149901</v>
      </c>
      <c r="G107">
        <v>3.6785006603138199E-4</v>
      </c>
      <c r="H107">
        <v>2.1490999999999998</v>
      </c>
      <c r="I107">
        <v>2.2686999999999999</v>
      </c>
      <c r="J107">
        <v>2.0123000000000002</v>
      </c>
    </row>
    <row r="108" spans="1:10" x14ac:dyDescent="0.25">
      <c r="A108">
        <v>16</v>
      </c>
      <c r="B108">
        <v>2022</v>
      </c>
      <c r="C108">
        <v>195870.69</v>
      </c>
      <c r="D108">
        <v>378.23</v>
      </c>
      <c r="E108">
        <v>877613</v>
      </c>
      <c r="F108">
        <v>0.22318572081315999</v>
      </c>
      <c r="G108">
        <v>4.3097584014821998E-4</v>
      </c>
      <c r="H108">
        <v>2.2172000000000001</v>
      </c>
      <c r="I108">
        <v>2.3504999999999998</v>
      </c>
      <c r="J108">
        <v>2.6574</v>
      </c>
    </row>
    <row r="109" spans="1:10" x14ac:dyDescent="0.25">
      <c r="A109">
        <v>16</v>
      </c>
      <c r="B109">
        <v>2023</v>
      </c>
      <c r="C109">
        <v>199283.31</v>
      </c>
      <c r="D109">
        <v>463.9</v>
      </c>
      <c r="E109">
        <v>877613</v>
      </c>
      <c r="F109">
        <v>0.227074245709669</v>
      </c>
      <c r="G109">
        <v>5.2859289914802896E-4</v>
      </c>
      <c r="H109">
        <v>2.0188999999999999</v>
      </c>
      <c r="I109">
        <v>2.0613999999999999</v>
      </c>
      <c r="J109">
        <v>2.3046000000000002</v>
      </c>
    </row>
    <row r="110" spans="1:10" x14ac:dyDescent="0.25">
      <c r="A110">
        <v>17</v>
      </c>
      <c r="B110">
        <v>2006</v>
      </c>
      <c r="C110">
        <v>133259.67000000001</v>
      </c>
      <c r="D110">
        <v>14161.15</v>
      </c>
      <c r="E110">
        <v>1332441</v>
      </c>
      <c r="F110">
        <v>0.1000116853204</v>
      </c>
      <c r="G110">
        <v>1.0627975272451001E-2</v>
      </c>
      <c r="H110">
        <v>2.75</v>
      </c>
      <c r="I110">
        <v>2.02</v>
      </c>
      <c r="J110">
        <v>1.88</v>
      </c>
    </row>
    <row r="111" spans="1:10" x14ac:dyDescent="0.25">
      <c r="A111">
        <v>17</v>
      </c>
      <c r="B111">
        <v>2007</v>
      </c>
      <c r="C111">
        <v>157048.59</v>
      </c>
      <c r="D111">
        <v>31757.23</v>
      </c>
      <c r="E111">
        <v>1306477</v>
      </c>
      <c r="F111">
        <v>0.120207695964031</v>
      </c>
      <c r="G111">
        <v>2.4307530863536E-2</v>
      </c>
      <c r="H111">
        <v>2.6133999999999999</v>
      </c>
      <c r="I111">
        <v>1.6657</v>
      </c>
      <c r="J111">
        <v>1.7806</v>
      </c>
    </row>
    <row r="112" spans="1:10" x14ac:dyDescent="0.25">
      <c r="A112">
        <v>17</v>
      </c>
      <c r="B112">
        <v>2008</v>
      </c>
      <c r="C112">
        <v>174092.44</v>
      </c>
      <c r="D112">
        <v>55781.19</v>
      </c>
      <c r="E112">
        <v>1280513</v>
      </c>
      <c r="F112">
        <v>0.135955230442799</v>
      </c>
      <c r="G112">
        <v>4.3561596016596399E-2</v>
      </c>
      <c r="H112">
        <v>2.4769000000000001</v>
      </c>
      <c r="I112">
        <v>1.5729</v>
      </c>
      <c r="J112">
        <v>1.8260000000000001</v>
      </c>
    </row>
    <row r="113" spans="1:10" x14ac:dyDescent="0.25">
      <c r="A113">
        <v>17</v>
      </c>
      <c r="B113">
        <v>2009</v>
      </c>
      <c r="C113">
        <v>177626.18</v>
      </c>
      <c r="D113">
        <v>69709.149999999994</v>
      </c>
      <c r="E113">
        <v>1292051</v>
      </c>
      <c r="F113">
        <v>0.13747613677788201</v>
      </c>
      <c r="G113">
        <v>5.39523207675238E-2</v>
      </c>
      <c r="H113">
        <v>2.3744999999999998</v>
      </c>
      <c r="I113">
        <v>1.4993000000000001</v>
      </c>
      <c r="J113">
        <v>1.7851999999999999</v>
      </c>
    </row>
    <row r="114" spans="1:10" x14ac:dyDescent="0.25">
      <c r="A114">
        <v>17</v>
      </c>
      <c r="B114">
        <v>2010</v>
      </c>
      <c r="C114">
        <v>217260.88</v>
      </c>
      <c r="D114">
        <v>60459.83</v>
      </c>
      <c r="E114">
        <v>1346472</v>
      </c>
      <c r="F114">
        <v>0.161355661313417</v>
      </c>
      <c r="G114">
        <v>4.4902404208925203E-2</v>
      </c>
      <c r="H114">
        <v>2.3075000000000001</v>
      </c>
      <c r="I114">
        <v>1.5465</v>
      </c>
      <c r="J114">
        <v>1.7182999999999999</v>
      </c>
    </row>
    <row r="115" spans="1:10" x14ac:dyDescent="0.25">
      <c r="A115">
        <v>17</v>
      </c>
      <c r="B115">
        <v>2011</v>
      </c>
      <c r="C115">
        <v>249674.17</v>
      </c>
      <c r="D115">
        <v>37472.85</v>
      </c>
      <c r="E115">
        <v>1400892</v>
      </c>
      <c r="F115">
        <v>0.178225137983513</v>
      </c>
      <c r="G115">
        <v>2.6749278316957999E-2</v>
      </c>
      <c r="H115">
        <v>2.2357999999999998</v>
      </c>
      <c r="I115">
        <v>1.6212</v>
      </c>
      <c r="J115">
        <v>1.552</v>
      </c>
    </row>
    <row r="116" spans="1:10" x14ac:dyDescent="0.25">
      <c r="A116">
        <v>17</v>
      </c>
      <c r="B116">
        <v>2012</v>
      </c>
      <c r="C116">
        <v>296202.18</v>
      </c>
      <c r="D116">
        <v>27882.1</v>
      </c>
      <c r="E116">
        <v>1417694</v>
      </c>
      <c r="F116">
        <v>0.20893237891956901</v>
      </c>
      <c r="G116">
        <v>1.9667220147648198E-2</v>
      </c>
      <c r="H116">
        <v>2.1124000000000001</v>
      </c>
      <c r="I116">
        <v>1.5752999999999999</v>
      </c>
      <c r="J116">
        <v>1.4881</v>
      </c>
    </row>
    <row r="117" spans="1:10" x14ac:dyDescent="0.25">
      <c r="A117">
        <v>17</v>
      </c>
      <c r="B117">
        <v>2013</v>
      </c>
      <c r="C117">
        <v>312274.28999999998</v>
      </c>
      <c r="D117">
        <v>35772.300000000003</v>
      </c>
      <c r="E117">
        <v>1478164</v>
      </c>
      <c r="F117">
        <v>0.211258216273701</v>
      </c>
      <c r="G117">
        <v>2.4200494667709401E-2</v>
      </c>
      <c r="H117">
        <v>2.0836999999999999</v>
      </c>
      <c r="I117">
        <v>1.5422</v>
      </c>
      <c r="J117">
        <v>1.5559000000000001</v>
      </c>
    </row>
    <row r="118" spans="1:10" x14ac:dyDescent="0.25">
      <c r="A118">
        <v>17</v>
      </c>
      <c r="B118">
        <v>2014</v>
      </c>
      <c r="C118">
        <v>350345.44</v>
      </c>
      <c r="D118">
        <v>35286.18</v>
      </c>
      <c r="E118">
        <v>1496880</v>
      </c>
      <c r="F118">
        <v>0.23405045160600699</v>
      </c>
      <c r="G118">
        <v>2.3573152156485401E-2</v>
      </c>
      <c r="H118">
        <v>2.0097</v>
      </c>
      <c r="I118">
        <v>1.5073000000000001</v>
      </c>
      <c r="J118">
        <v>1.591</v>
      </c>
    </row>
    <row r="119" spans="1:10" x14ac:dyDescent="0.25">
      <c r="A119">
        <v>17</v>
      </c>
      <c r="B119">
        <v>2015</v>
      </c>
      <c r="C119">
        <v>348183.44</v>
      </c>
      <c r="D119">
        <v>56692.45</v>
      </c>
      <c r="E119">
        <v>1515126</v>
      </c>
      <c r="F119">
        <v>0.229804940315194</v>
      </c>
      <c r="G119">
        <v>3.7417647113177299E-2</v>
      </c>
      <c r="H119">
        <v>2.0487000000000002</v>
      </c>
      <c r="I119">
        <v>1.5365</v>
      </c>
      <c r="J119">
        <v>1.653</v>
      </c>
    </row>
    <row r="120" spans="1:10" x14ac:dyDescent="0.25">
      <c r="A120">
        <v>17</v>
      </c>
      <c r="B120">
        <v>2016</v>
      </c>
      <c r="C120">
        <v>363558.29</v>
      </c>
      <c r="D120">
        <v>30666.32</v>
      </c>
      <c r="E120">
        <v>1532902</v>
      </c>
      <c r="F120">
        <v>0.237169949546676</v>
      </c>
      <c r="G120">
        <v>2.0005401519470899E-2</v>
      </c>
      <c r="H120">
        <v>2.1137000000000001</v>
      </c>
      <c r="I120">
        <v>1.7742</v>
      </c>
      <c r="J120">
        <v>1.6592</v>
      </c>
    </row>
    <row r="121" spans="1:10" x14ac:dyDescent="0.25">
      <c r="A121">
        <v>17</v>
      </c>
      <c r="B121">
        <v>2017</v>
      </c>
      <c r="C121">
        <v>379334.98</v>
      </c>
      <c r="D121">
        <v>16890.64</v>
      </c>
      <c r="E121">
        <v>1550194</v>
      </c>
      <c r="F121">
        <v>0.24470161799103801</v>
      </c>
      <c r="G121">
        <v>1.08958233614631E-2</v>
      </c>
      <c r="H121">
        <v>2.0636999999999999</v>
      </c>
      <c r="I121">
        <v>1.8030999999999999</v>
      </c>
      <c r="J121">
        <v>1.6275999999999999</v>
      </c>
    </row>
    <row r="122" spans="1:10" x14ac:dyDescent="0.25">
      <c r="A122">
        <v>17</v>
      </c>
      <c r="B122">
        <v>2018</v>
      </c>
      <c r="C122">
        <v>348974.01</v>
      </c>
      <c r="D122">
        <v>34121.71</v>
      </c>
      <c r="E122">
        <v>1555229</v>
      </c>
      <c r="F122">
        <v>0.224387540355793</v>
      </c>
      <c r="G122">
        <v>2.1939990830932201E-2</v>
      </c>
      <c r="H122">
        <v>2.3839000000000001</v>
      </c>
      <c r="I122">
        <v>1.8815</v>
      </c>
      <c r="J122">
        <v>1.7995000000000001</v>
      </c>
    </row>
    <row r="123" spans="1:10" x14ac:dyDescent="0.25">
      <c r="A123">
        <v>17</v>
      </c>
      <c r="B123">
        <v>2019</v>
      </c>
      <c r="C123">
        <v>365402.2</v>
      </c>
      <c r="D123">
        <v>33215.4</v>
      </c>
      <c r="E123">
        <v>1572866</v>
      </c>
      <c r="F123">
        <v>0.232316166793611</v>
      </c>
      <c r="G123">
        <v>2.1117755740158398E-2</v>
      </c>
      <c r="H123">
        <v>2.2461000000000002</v>
      </c>
      <c r="I123">
        <v>1.8087</v>
      </c>
      <c r="J123">
        <v>1.7791999999999999</v>
      </c>
    </row>
    <row r="124" spans="1:10" x14ac:dyDescent="0.25">
      <c r="A124">
        <v>17</v>
      </c>
      <c r="B124">
        <v>2020</v>
      </c>
      <c r="C124">
        <v>352986.1</v>
      </c>
      <c r="D124">
        <v>38226.92</v>
      </c>
      <c r="E124">
        <v>1590248</v>
      </c>
      <c r="F124">
        <v>0.221969214864599</v>
      </c>
      <c r="G124">
        <v>2.4038338674219301E-2</v>
      </c>
      <c r="H124">
        <v>2.1395</v>
      </c>
      <c r="I124">
        <v>1.6975</v>
      </c>
      <c r="J124">
        <v>1.6082000000000001</v>
      </c>
    </row>
    <row r="125" spans="1:10" x14ac:dyDescent="0.25">
      <c r="A125">
        <v>17</v>
      </c>
      <c r="B125">
        <v>2021</v>
      </c>
      <c r="C125">
        <v>368813.5</v>
      </c>
      <c r="D125">
        <v>31372.71</v>
      </c>
      <c r="E125">
        <v>1607363</v>
      </c>
      <c r="F125">
        <v>0.22945252565848501</v>
      </c>
      <c r="G125">
        <v>1.95181237841109E-2</v>
      </c>
      <c r="H125">
        <v>2.5720000000000001</v>
      </c>
      <c r="I125">
        <v>2.1362000000000001</v>
      </c>
      <c r="J125">
        <v>1.9653</v>
      </c>
    </row>
    <row r="126" spans="1:10" x14ac:dyDescent="0.25">
      <c r="A126">
        <v>17</v>
      </c>
      <c r="B126">
        <v>2022</v>
      </c>
      <c r="C126">
        <v>396133.55</v>
      </c>
      <c r="D126">
        <v>26815.3</v>
      </c>
      <c r="E126">
        <v>1607363</v>
      </c>
      <c r="F126">
        <v>0.246449339694891</v>
      </c>
      <c r="G126">
        <v>1.6682790384001601E-2</v>
      </c>
      <c r="H126">
        <v>2.5726</v>
      </c>
      <c r="I126">
        <v>2.1202999999999999</v>
      </c>
      <c r="J126">
        <v>2.6615000000000002</v>
      </c>
    </row>
    <row r="127" spans="1:10" x14ac:dyDescent="0.25">
      <c r="A127">
        <v>17</v>
      </c>
      <c r="B127">
        <v>2023</v>
      </c>
      <c r="C127">
        <v>428409.98</v>
      </c>
      <c r="D127">
        <v>31329.99</v>
      </c>
      <c r="E127">
        <v>1607363</v>
      </c>
      <c r="F127">
        <v>0.26652970113160401</v>
      </c>
      <c r="G127">
        <v>1.94915460913309E-2</v>
      </c>
      <c r="H127">
        <v>2.2235</v>
      </c>
      <c r="I127">
        <v>1.714</v>
      </c>
      <c r="J127">
        <v>2.1772</v>
      </c>
    </row>
    <row r="128" spans="1:10" x14ac:dyDescent="0.25">
      <c r="A128">
        <v>21</v>
      </c>
      <c r="B128">
        <v>2006</v>
      </c>
      <c r="C128">
        <v>306351.74</v>
      </c>
      <c r="D128">
        <v>16591.650000000001</v>
      </c>
      <c r="E128">
        <v>6184538</v>
      </c>
      <c r="F128">
        <v>4.9535105128305397E-2</v>
      </c>
      <c r="G128">
        <v>2.6827630455177002E-3</v>
      </c>
      <c r="H128">
        <v>2.73</v>
      </c>
      <c r="I128">
        <v>2.0699999999999998</v>
      </c>
      <c r="J128">
        <v>1.89</v>
      </c>
    </row>
    <row r="129" spans="1:10" x14ac:dyDescent="0.25">
      <c r="A129">
        <v>21</v>
      </c>
      <c r="B129">
        <v>2007</v>
      </c>
      <c r="C129">
        <v>327629.24</v>
      </c>
      <c r="D129">
        <v>49095.93</v>
      </c>
      <c r="E129">
        <v>6245038</v>
      </c>
      <c r="F129">
        <v>5.2462329292471799E-2</v>
      </c>
      <c r="G129">
        <v>7.8615902737501301E-3</v>
      </c>
      <c r="H129">
        <v>2.6133999999999999</v>
      </c>
      <c r="I129">
        <v>1.7902</v>
      </c>
      <c r="J129">
        <v>1.7902</v>
      </c>
    </row>
    <row r="130" spans="1:10" x14ac:dyDescent="0.25">
      <c r="A130">
        <v>21</v>
      </c>
      <c r="B130">
        <v>2008</v>
      </c>
      <c r="C130">
        <v>371604.66</v>
      </c>
      <c r="D130">
        <v>107358.39999999999</v>
      </c>
      <c r="E130">
        <v>6305537</v>
      </c>
      <c r="F130">
        <v>5.89330710453368E-2</v>
      </c>
      <c r="G130">
        <v>1.70260518652098E-2</v>
      </c>
      <c r="H130">
        <v>2.3955000000000002</v>
      </c>
      <c r="I130">
        <v>1.6271</v>
      </c>
      <c r="J130">
        <v>1.8169999999999999</v>
      </c>
    </row>
    <row r="131" spans="1:10" x14ac:dyDescent="0.25">
      <c r="A131">
        <v>21</v>
      </c>
      <c r="B131">
        <v>2009</v>
      </c>
      <c r="C131">
        <v>392331.05</v>
      </c>
      <c r="D131">
        <v>142648.18</v>
      </c>
      <c r="E131">
        <v>6367138</v>
      </c>
      <c r="F131">
        <v>6.1618116334214802E-2</v>
      </c>
      <c r="G131">
        <v>2.24038147123558E-2</v>
      </c>
      <c r="H131">
        <v>2.2532000000000001</v>
      </c>
      <c r="I131">
        <v>1.5426</v>
      </c>
      <c r="J131">
        <v>1.7766</v>
      </c>
    </row>
    <row r="132" spans="1:10" x14ac:dyDescent="0.25">
      <c r="A132">
        <v>21</v>
      </c>
      <c r="B132">
        <v>2010</v>
      </c>
      <c r="C132">
        <v>522287.34</v>
      </c>
      <c r="D132">
        <v>88457.55</v>
      </c>
      <c r="E132">
        <v>6506450</v>
      </c>
      <c r="F132">
        <v>8.0272243696639406E-2</v>
      </c>
      <c r="G132">
        <v>1.35953630628069E-2</v>
      </c>
      <c r="H132">
        <v>2.1111</v>
      </c>
      <c r="I132">
        <v>1.5629</v>
      </c>
      <c r="J132">
        <v>1.6202000000000001</v>
      </c>
    </row>
    <row r="133" spans="1:10" x14ac:dyDescent="0.25">
      <c r="A133">
        <v>21</v>
      </c>
      <c r="B133">
        <v>2011</v>
      </c>
      <c r="C133">
        <v>628889.23</v>
      </c>
      <c r="D133">
        <v>35199.519999999997</v>
      </c>
      <c r="E133">
        <v>6645761</v>
      </c>
      <c r="F133">
        <v>9.4630130394397202E-2</v>
      </c>
      <c r="G133">
        <v>5.2965371460093101E-3</v>
      </c>
      <c r="H133">
        <v>2.036</v>
      </c>
      <c r="I133">
        <v>1.6826000000000001</v>
      </c>
      <c r="J133">
        <v>1.552</v>
      </c>
    </row>
    <row r="134" spans="1:10" x14ac:dyDescent="0.25">
      <c r="A134">
        <v>21</v>
      </c>
      <c r="B134">
        <v>2012</v>
      </c>
      <c r="C134">
        <v>750762.9</v>
      </c>
      <c r="D134">
        <v>23838.05</v>
      </c>
      <c r="E134">
        <v>6714314</v>
      </c>
      <c r="F134">
        <v>0.111815280012224</v>
      </c>
      <c r="G134">
        <v>3.5503329156187798E-3</v>
      </c>
      <c r="H134">
        <v>1.9164000000000001</v>
      </c>
      <c r="I134">
        <v>1.5898000000000001</v>
      </c>
      <c r="J134">
        <v>1.4881</v>
      </c>
    </row>
    <row r="135" spans="1:10" x14ac:dyDescent="0.25">
      <c r="A135">
        <v>21</v>
      </c>
      <c r="B135">
        <v>2013</v>
      </c>
      <c r="C135">
        <v>803208.64</v>
      </c>
      <c r="D135">
        <v>26444.720000000001</v>
      </c>
      <c r="E135">
        <v>6794301</v>
      </c>
      <c r="F135">
        <v>0.11821799475766499</v>
      </c>
      <c r="G135">
        <v>3.8921914115962698E-3</v>
      </c>
      <c r="H135">
        <v>1.9329000000000001</v>
      </c>
      <c r="I135">
        <v>1.6107</v>
      </c>
      <c r="J135">
        <v>1.5489999999999999</v>
      </c>
    </row>
    <row r="136" spans="1:10" x14ac:dyDescent="0.25">
      <c r="A136">
        <v>21</v>
      </c>
      <c r="B136">
        <v>2014</v>
      </c>
      <c r="C136">
        <v>887026.28</v>
      </c>
      <c r="D136">
        <v>42643.3</v>
      </c>
      <c r="E136">
        <v>6850884</v>
      </c>
      <c r="F136">
        <v>0.129476178548636</v>
      </c>
      <c r="G136">
        <v>6.2244959920500697E-3</v>
      </c>
      <c r="H136">
        <v>1.9258999999999999</v>
      </c>
      <c r="I136">
        <v>1.6361000000000001</v>
      </c>
      <c r="J136">
        <v>1.5717000000000001</v>
      </c>
    </row>
    <row r="137" spans="1:10" x14ac:dyDescent="0.25">
      <c r="A137">
        <v>21</v>
      </c>
      <c r="B137">
        <v>2015</v>
      </c>
      <c r="C137">
        <v>889941.82</v>
      </c>
      <c r="D137">
        <v>57212.42</v>
      </c>
      <c r="E137">
        <v>6904241</v>
      </c>
      <c r="F137">
        <v>0.12889784988675801</v>
      </c>
      <c r="G137">
        <v>8.2865618393100707E-3</v>
      </c>
      <c r="H137">
        <v>1.9265000000000001</v>
      </c>
      <c r="I137">
        <v>1.5889</v>
      </c>
      <c r="J137">
        <v>1.6238999999999999</v>
      </c>
    </row>
    <row r="138" spans="1:10" x14ac:dyDescent="0.25">
      <c r="A138">
        <v>21</v>
      </c>
      <c r="B138">
        <v>2016</v>
      </c>
      <c r="C138">
        <v>928346.35</v>
      </c>
      <c r="D138">
        <v>35476.36</v>
      </c>
      <c r="E138">
        <v>6954036</v>
      </c>
      <c r="F138">
        <v>0.13349748980304299</v>
      </c>
      <c r="G138">
        <v>5.1015496612327E-3</v>
      </c>
      <c r="H138">
        <v>1.9602999999999999</v>
      </c>
      <c r="I138">
        <v>1.7632000000000001</v>
      </c>
      <c r="J138">
        <v>1.6700999999999999</v>
      </c>
    </row>
    <row r="139" spans="1:10" x14ac:dyDescent="0.25">
      <c r="A139">
        <v>21</v>
      </c>
      <c r="B139">
        <v>2017</v>
      </c>
      <c r="C139">
        <v>955006.37</v>
      </c>
      <c r="D139">
        <v>25618.07</v>
      </c>
      <c r="E139">
        <v>7000229</v>
      </c>
      <c r="F139">
        <v>0.136425018381541</v>
      </c>
      <c r="G139">
        <v>3.65960456436496E-3</v>
      </c>
      <c r="H139">
        <v>1.9095</v>
      </c>
      <c r="I139">
        <v>1.7445999999999999</v>
      </c>
      <c r="J139">
        <v>1.6275999999999999</v>
      </c>
    </row>
    <row r="140" spans="1:10" x14ac:dyDescent="0.25">
      <c r="A140">
        <v>21</v>
      </c>
      <c r="B140">
        <v>2018</v>
      </c>
      <c r="C140">
        <v>943358.35</v>
      </c>
      <c r="D140">
        <v>37299.22</v>
      </c>
      <c r="E140">
        <v>7035055</v>
      </c>
      <c r="F140">
        <v>0.13409395520006501</v>
      </c>
      <c r="G140">
        <v>5.3019087981543804E-3</v>
      </c>
      <c r="H140">
        <v>2.1326999999999998</v>
      </c>
      <c r="I140">
        <v>1.8148</v>
      </c>
      <c r="J140">
        <v>1.7584</v>
      </c>
    </row>
    <row r="141" spans="1:10" x14ac:dyDescent="0.25">
      <c r="A141">
        <v>21</v>
      </c>
      <c r="B141">
        <v>2019</v>
      </c>
      <c r="C141">
        <v>949378.15</v>
      </c>
      <c r="D141">
        <v>47002.09</v>
      </c>
      <c r="E141">
        <v>7075181</v>
      </c>
      <c r="F141">
        <v>0.13418429153967901</v>
      </c>
      <c r="G141">
        <v>6.64323499285742E-3</v>
      </c>
      <c r="H141">
        <v>2.1429</v>
      </c>
      <c r="I141">
        <v>1.7939000000000001</v>
      </c>
      <c r="J141">
        <v>1.7743</v>
      </c>
    </row>
    <row r="142" spans="1:10" x14ac:dyDescent="0.25">
      <c r="A142">
        <v>21</v>
      </c>
      <c r="B142">
        <v>2020</v>
      </c>
      <c r="C142">
        <v>926654.67</v>
      </c>
      <c r="D142">
        <v>39181.08</v>
      </c>
      <c r="E142">
        <v>7114598</v>
      </c>
      <c r="F142">
        <v>0.13024694719223701</v>
      </c>
      <c r="G142">
        <v>5.5071389838188996E-3</v>
      </c>
      <c r="H142">
        <v>1.9702999999999999</v>
      </c>
      <c r="I142">
        <v>1.7021999999999999</v>
      </c>
      <c r="J142">
        <v>1.5988</v>
      </c>
    </row>
    <row r="143" spans="1:10" x14ac:dyDescent="0.25">
      <c r="A143">
        <v>21</v>
      </c>
      <c r="B143">
        <v>2021</v>
      </c>
      <c r="C143">
        <v>961286.85</v>
      </c>
      <c r="D143">
        <v>53908.94</v>
      </c>
      <c r="E143">
        <v>7153262</v>
      </c>
      <c r="F143">
        <v>0.13438440392648801</v>
      </c>
      <c r="G143">
        <v>7.5362736608836599E-3</v>
      </c>
      <c r="H143">
        <v>2.4054000000000002</v>
      </c>
      <c r="I143">
        <v>2.085</v>
      </c>
      <c r="J143">
        <v>1.9611000000000001</v>
      </c>
    </row>
    <row r="144" spans="1:10" x14ac:dyDescent="0.25">
      <c r="A144">
        <v>21</v>
      </c>
      <c r="B144">
        <v>2022</v>
      </c>
      <c r="C144">
        <v>1003775.94</v>
      </c>
      <c r="D144">
        <v>42153.84</v>
      </c>
      <c r="E144">
        <v>7153262</v>
      </c>
      <c r="F144">
        <v>0.14032422410922399</v>
      </c>
      <c r="G144">
        <v>5.8929534525647099E-3</v>
      </c>
      <c r="H144">
        <v>2.4474</v>
      </c>
      <c r="I144">
        <v>2.1202999999999999</v>
      </c>
      <c r="J144">
        <v>2.6857000000000002</v>
      </c>
    </row>
    <row r="145" spans="1:10" x14ac:dyDescent="0.25">
      <c r="A145">
        <v>21</v>
      </c>
      <c r="B145">
        <v>2023</v>
      </c>
      <c r="C145">
        <v>1077536.98</v>
      </c>
      <c r="D145">
        <v>42065.08</v>
      </c>
      <c r="E145">
        <v>7153262</v>
      </c>
      <c r="F145">
        <v>0.150635749116976</v>
      </c>
      <c r="G145">
        <v>5.8805451275236297E-3</v>
      </c>
      <c r="H145">
        <v>2.0421</v>
      </c>
      <c r="I145">
        <v>1.714</v>
      </c>
      <c r="J145">
        <v>2.1579000000000002</v>
      </c>
    </row>
    <row r="146" spans="1:10" x14ac:dyDescent="0.25">
      <c r="A146">
        <v>22</v>
      </c>
      <c r="B146">
        <v>2006</v>
      </c>
      <c r="C146">
        <v>195720.65</v>
      </c>
      <c r="D146">
        <v>14037.54</v>
      </c>
      <c r="E146">
        <v>3036290</v>
      </c>
      <c r="F146">
        <v>6.4460459969238701E-2</v>
      </c>
      <c r="G146">
        <v>4.6232540369991002E-3</v>
      </c>
      <c r="H146">
        <v>2.52</v>
      </c>
      <c r="I146">
        <v>2.12</v>
      </c>
      <c r="J146">
        <v>1.91</v>
      </c>
    </row>
    <row r="147" spans="1:10" x14ac:dyDescent="0.25">
      <c r="A147">
        <v>22</v>
      </c>
      <c r="B147">
        <v>2007</v>
      </c>
      <c r="C147">
        <v>213323.77</v>
      </c>
      <c r="D147">
        <v>19439.830000000002</v>
      </c>
      <c r="E147">
        <v>3074086</v>
      </c>
      <c r="F147">
        <v>6.9394210181497801E-2</v>
      </c>
      <c r="G147">
        <v>6.3237755872802498E-3</v>
      </c>
      <c r="H147">
        <v>2.4506999999999999</v>
      </c>
      <c r="I147">
        <v>1.8380000000000001</v>
      </c>
      <c r="J147">
        <v>1.8189</v>
      </c>
    </row>
    <row r="148" spans="1:10" x14ac:dyDescent="0.25">
      <c r="A148">
        <v>22</v>
      </c>
      <c r="B148">
        <v>2008</v>
      </c>
      <c r="C148">
        <v>246146.29</v>
      </c>
      <c r="D148">
        <v>28274.62</v>
      </c>
      <c r="E148">
        <v>3111881</v>
      </c>
      <c r="F148">
        <v>7.9098876210240601E-2</v>
      </c>
      <c r="G148">
        <v>9.0860222482800502E-3</v>
      </c>
      <c r="H148">
        <v>2.3502999999999998</v>
      </c>
      <c r="I148">
        <v>1.7265999999999999</v>
      </c>
      <c r="J148">
        <v>1.8441000000000001</v>
      </c>
    </row>
    <row r="149" spans="1:10" x14ac:dyDescent="0.25">
      <c r="A149">
        <v>22</v>
      </c>
      <c r="B149">
        <v>2009</v>
      </c>
      <c r="C149">
        <v>279290.03999999998</v>
      </c>
      <c r="D149">
        <v>33108.089999999997</v>
      </c>
      <c r="E149">
        <v>3145325</v>
      </c>
      <c r="F149">
        <v>8.8795288245252804E-2</v>
      </c>
      <c r="G149">
        <v>1.0526126870832099E-2</v>
      </c>
      <c r="H149">
        <v>2.2271999999999998</v>
      </c>
      <c r="I149">
        <v>1.6378999999999999</v>
      </c>
      <c r="J149">
        <v>1.8026</v>
      </c>
    </row>
    <row r="150" spans="1:10" x14ac:dyDescent="0.25">
      <c r="A150">
        <v>22</v>
      </c>
      <c r="B150">
        <v>2010</v>
      </c>
      <c r="C150">
        <v>345390.95</v>
      </c>
      <c r="D150">
        <v>19251.82</v>
      </c>
      <c r="E150">
        <v>3142826</v>
      </c>
      <c r="F150">
        <v>0.109898209445893</v>
      </c>
      <c r="G150">
        <v>6.1256397904306502E-3</v>
      </c>
      <c r="H150">
        <v>2.0619999999999998</v>
      </c>
      <c r="I150">
        <v>1.6365000000000001</v>
      </c>
      <c r="J150">
        <v>1.6611</v>
      </c>
    </row>
    <row r="151" spans="1:10" x14ac:dyDescent="0.25">
      <c r="A151">
        <v>22</v>
      </c>
      <c r="B151">
        <v>2011</v>
      </c>
      <c r="C151">
        <v>373985.9</v>
      </c>
      <c r="D151">
        <v>13860.12</v>
      </c>
      <c r="E151">
        <v>3140328</v>
      </c>
      <c r="F151">
        <v>0.119091349693407</v>
      </c>
      <c r="G151">
        <v>4.4135899179958199E-3</v>
      </c>
      <c r="H151">
        <v>2.0436999999999999</v>
      </c>
      <c r="I151">
        <v>1.7518</v>
      </c>
      <c r="J151">
        <v>1.5673999999999999</v>
      </c>
    </row>
    <row r="152" spans="1:10" x14ac:dyDescent="0.25">
      <c r="A152">
        <v>22</v>
      </c>
      <c r="B152">
        <v>2012</v>
      </c>
      <c r="C152">
        <v>454910.23</v>
      </c>
      <c r="D152">
        <v>15980.71</v>
      </c>
      <c r="E152">
        <v>3160748</v>
      </c>
      <c r="F152">
        <v>0.143924865253414</v>
      </c>
      <c r="G152">
        <v>5.0559899112488501E-3</v>
      </c>
      <c r="H152">
        <v>1.8729</v>
      </c>
      <c r="I152">
        <v>1.6551</v>
      </c>
      <c r="J152">
        <v>1.5099</v>
      </c>
    </row>
    <row r="153" spans="1:10" x14ac:dyDescent="0.25">
      <c r="A153">
        <v>22</v>
      </c>
      <c r="B153">
        <v>2013</v>
      </c>
      <c r="C153">
        <v>500001.49</v>
      </c>
      <c r="D153">
        <v>17938.349999999999</v>
      </c>
      <c r="E153">
        <v>3184166</v>
      </c>
      <c r="F153">
        <v>0.15702745711121799</v>
      </c>
      <c r="G153">
        <v>5.6336101823837E-3</v>
      </c>
      <c r="H153">
        <v>1.8643000000000001</v>
      </c>
      <c r="I153">
        <v>1.6518999999999999</v>
      </c>
      <c r="J153">
        <v>1.5765</v>
      </c>
    </row>
    <row r="154" spans="1:10" x14ac:dyDescent="0.25">
      <c r="A154">
        <v>22</v>
      </c>
      <c r="B154">
        <v>2014</v>
      </c>
      <c r="C154">
        <v>569210.18999999994</v>
      </c>
      <c r="D154">
        <v>21837.99</v>
      </c>
      <c r="E154">
        <v>3194718</v>
      </c>
      <c r="F154">
        <v>0.17817227999466601</v>
      </c>
      <c r="G154">
        <v>6.8356549779980498E-3</v>
      </c>
      <c r="H154">
        <v>1.8229</v>
      </c>
      <c r="I154">
        <v>1.6425000000000001</v>
      </c>
      <c r="J154">
        <v>1.5973999999999999</v>
      </c>
    </row>
    <row r="155" spans="1:10" x14ac:dyDescent="0.25">
      <c r="A155">
        <v>22</v>
      </c>
      <c r="B155">
        <v>2015</v>
      </c>
      <c r="C155">
        <v>579918.42000000004</v>
      </c>
      <c r="D155">
        <v>38396.910000000003</v>
      </c>
      <c r="E155">
        <v>3204028</v>
      </c>
      <c r="F155">
        <v>0.180996676683225</v>
      </c>
      <c r="G155">
        <v>1.19839495784681E-2</v>
      </c>
      <c r="H155">
        <v>1.8974</v>
      </c>
      <c r="I155">
        <v>1.5889</v>
      </c>
      <c r="J155">
        <v>1.6761999999999999</v>
      </c>
    </row>
    <row r="156" spans="1:10" x14ac:dyDescent="0.25">
      <c r="A156">
        <v>22</v>
      </c>
      <c r="B156">
        <v>2016</v>
      </c>
      <c r="C156">
        <v>596027.06000000006</v>
      </c>
      <c r="D156">
        <v>35913.72</v>
      </c>
      <c r="E156">
        <v>3212180</v>
      </c>
      <c r="F156">
        <v>0.185552198195617</v>
      </c>
      <c r="G156">
        <v>1.1180481791182299E-2</v>
      </c>
      <c r="H156">
        <v>2.0042</v>
      </c>
      <c r="I156">
        <v>1.6919999999999999</v>
      </c>
      <c r="J156">
        <v>1.7194</v>
      </c>
    </row>
    <row r="157" spans="1:10" x14ac:dyDescent="0.25">
      <c r="A157">
        <v>22</v>
      </c>
      <c r="B157">
        <v>2017</v>
      </c>
      <c r="C157">
        <v>607778.96</v>
      </c>
      <c r="D157">
        <v>37183.78</v>
      </c>
      <c r="E157">
        <v>3219257</v>
      </c>
      <c r="F157">
        <v>0.18879479333274701</v>
      </c>
      <c r="G157">
        <v>1.1550422970269199E-2</v>
      </c>
      <c r="H157">
        <v>1.9414</v>
      </c>
      <c r="I157">
        <v>1.6329</v>
      </c>
      <c r="J157">
        <v>1.6755</v>
      </c>
    </row>
    <row r="158" spans="1:10" x14ac:dyDescent="0.25">
      <c r="A158">
        <v>22</v>
      </c>
      <c r="B158">
        <v>2018</v>
      </c>
      <c r="C158">
        <v>557661.82999999996</v>
      </c>
      <c r="D158">
        <v>72283.06</v>
      </c>
      <c r="E158">
        <v>3264531</v>
      </c>
      <c r="F158">
        <v>0.17082448596750899</v>
      </c>
      <c r="G158">
        <v>2.2141943207155901E-2</v>
      </c>
      <c r="H158">
        <v>2.266</v>
      </c>
      <c r="I158">
        <v>1.7431000000000001</v>
      </c>
      <c r="J158">
        <v>1.8352999999999999</v>
      </c>
    </row>
    <row r="159" spans="1:10" x14ac:dyDescent="0.25">
      <c r="A159">
        <v>22</v>
      </c>
      <c r="B159">
        <v>2019</v>
      </c>
      <c r="C159">
        <v>560883.72</v>
      </c>
      <c r="D159">
        <v>91343.81</v>
      </c>
      <c r="E159">
        <v>3273227</v>
      </c>
      <c r="F159">
        <v>0.17135497171445699</v>
      </c>
      <c r="G159">
        <v>2.7906347466888099E-2</v>
      </c>
      <c r="H159">
        <v>2.2313000000000001</v>
      </c>
      <c r="I159">
        <v>1.6907000000000001</v>
      </c>
      <c r="J159">
        <v>1.8136000000000001</v>
      </c>
    </row>
    <row r="160" spans="1:10" x14ac:dyDescent="0.25">
      <c r="A160">
        <v>22</v>
      </c>
      <c r="B160">
        <v>2020</v>
      </c>
      <c r="C160">
        <v>519740.88</v>
      </c>
      <c r="D160">
        <v>71251.61</v>
      </c>
      <c r="E160">
        <v>3281480</v>
      </c>
      <c r="F160">
        <v>0.15838611845874401</v>
      </c>
      <c r="G160">
        <v>2.1713254385216402E-2</v>
      </c>
      <c r="H160">
        <v>2.0642999999999998</v>
      </c>
      <c r="I160">
        <v>1.6129</v>
      </c>
      <c r="J160">
        <v>1.6505000000000001</v>
      </c>
    </row>
    <row r="161" spans="1:10" x14ac:dyDescent="0.25">
      <c r="A161">
        <v>22</v>
      </c>
      <c r="B161">
        <v>2021</v>
      </c>
      <c r="C161">
        <v>535982.11</v>
      </c>
      <c r="D161">
        <v>84391.58</v>
      </c>
      <c r="E161">
        <v>3289290</v>
      </c>
      <c r="F161">
        <v>0.16294766043735801</v>
      </c>
      <c r="G161">
        <v>2.5656472977451002E-2</v>
      </c>
      <c r="H161">
        <v>2.6061999999999999</v>
      </c>
      <c r="I161">
        <v>2.0977999999999999</v>
      </c>
      <c r="J161">
        <v>2.0337000000000001</v>
      </c>
    </row>
    <row r="162" spans="1:10" x14ac:dyDescent="0.25">
      <c r="A162">
        <v>22</v>
      </c>
      <c r="B162">
        <v>2022</v>
      </c>
      <c r="C162">
        <v>552387.27</v>
      </c>
      <c r="D162">
        <v>76858.59</v>
      </c>
      <c r="E162">
        <v>3289290</v>
      </c>
      <c r="F162">
        <v>0.16793510757640701</v>
      </c>
      <c r="G162">
        <v>2.33663161350929E-2</v>
      </c>
      <c r="H162">
        <v>2.6332</v>
      </c>
      <c r="I162">
        <v>2.0354999999999999</v>
      </c>
      <c r="J162">
        <v>2.7503000000000002</v>
      </c>
    </row>
    <row r="163" spans="1:10" x14ac:dyDescent="0.25">
      <c r="A163">
        <v>22</v>
      </c>
      <c r="B163">
        <v>2023</v>
      </c>
      <c r="C163">
        <v>621774.47</v>
      </c>
      <c r="D163">
        <v>59753.599999999999</v>
      </c>
      <c r="E163">
        <v>3289290</v>
      </c>
      <c r="F163">
        <v>0.18902999431488199</v>
      </c>
      <c r="G163">
        <v>1.8166108795515098E-2</v>
      </c>
      <c r="H163">
        <v>2.1038999999999999</v>
      </c>
      <c r="I163">
        <v>1.6445000000000001</v>
      </c>
      <c r="J163">
        <v>2.2427999999999999</v>
      </c>
    </row>
    <row r="164" spans="1:10" x14ac:dyDescent="0.25">
      <c r="A164">
        <v>23</v>
      </c>
      <c r="B164">
        <v>2006</v>
      </c>
      <c r="C164">
        <v>530568.07999999996</v>
      </c>
      <c r="D164">
        <v>66099.39</v>
      </c>
      <c r="E164">
        <v>8217085</v>
      </c>
      <c r="F164">
        <v>6.4568892739943595E-2</v>
      </c>
      <c r="G164">
        <v>8.0441409575293405E-3</v>
      </c>
      <c r="H164">
        <v>2.7</v>
      </c>
      <c r="I164">
        <v>1.92</v>
      </c>
      <c r="J164">
        <v>1.86</v>
      </c>
    </row>
    <row r="165" spans="1:10" x14ac:dyDescent="0.25">
      <c r="A165">
        <v>23</v>
      </c>
      <c r="B165">
        <v>2007</v>
      </c>
      <c r="C165">
        <v>552584.76</v>
      </c>
      <c r="D165">
        <v>107878.08</v>
      </c>
      <c r="E165">
        <v>8333806</v>
      </c>
      <c r="F165">
        <v>6.6306410300407695E-2</v>
      </c>
      <c r="G165">
        <v>1.29446353802812E-2</v>
      </c>
      <c r="H165">
        <v>2.4986000000000002</v>
      </c>
      <c r="I165">
        <v>1.6560999999999999</v>
      </c>
      <c r="J165">
        <v>1.7709999999999999</v>
      </c>
    </row>
    <row r="166" spans="1:10" x14ac:dyDescent="0.25">
      <c r="A166">
        <v>23</v>
      </c>
      <c r="B166">
        <v>2008</v>
      </c>
      <c r="C166">
        <v>615539.66</v>
      </c>
      <c r="D166">
        <v>152940.75</v>
      </c>
      <c r="E166">
        <v>8450528</v>
      </c>
      <c r="F166">
        <v>7.2840378731364397E-2</v>
      </c>
      <c r="G166">
        <v>1.80983661612623E-2</v>
      </c>
      <c r="H166">
        <v>2.3231999999999999</v>
      </c>
      <c r="I166">
        <v>1.6452</v>
      </c>
      <c r="J166">
        <v>1.8351</v>
      </c>
    </row>
    <row r="167" spans="1:10" x14ac:dyDescent="0.25">
      <c r="A167">
        <v>23</v>
      </c>
      <c r="B167">
        <v>2009</v>
      </c>
      <c r="C167">
        <v>665907.71</v>
      </c>
      <c r="D167">
        <v>174591.73</v>
      </c>
      <c r="E167">
        <v>8547809</v>
      </c>
      <c r="F167">
        <v>7.7903906135478596E-2</v>
      </c>
      <c r="G167">
        <v>2.0425319517551201E-2</v>
      </c>
      <c r="H167">
        <v>2.2012</v>
      </c>
      <c r="I167">
        <v>1.5599000000000001</v>
      </c>
      <c r="J167">
        <v>1.7766</v>
      </c>
    </row>
    <row r="168" spans="1:10" x14ac:dyDescent="0.25">
      <c r="A168">
        <v>23</v>
      </c>
      <c r="B168">
        <v>2010</v>
      </c>
      <c r="C168">
        <v>820165.03</v>
      </c>
      <c r="D168">
        <v>157505.96</v>
      </c>
      <c r="E168">
        <v>8538982</v>
      </c>
      <c r="F168">
        <v>9.6049509180368295E-2</v>
      </c>
      <c r="G168">
        <v>1.84455196181465E-2</v>
      </c>
      <c r="H168">
        <v>2.1520000000000001</v>
      </c>
      <c r="I168">
        <v>1.5629</v>
      </c>
      <c r="J168">
        <v>1.6202000000000001</v>
      </c>
    </row>
    <row r="169" spans="1:10" x14ac:dyDescent="0.25">
      <c r="A169">
        <v>23</v>
      </c>
      <c r="B169">
        <v>2011</v>
      </c>
      <c r="C169">
        <v>943328.05</v>
      </c>
      <c r="D169">
        <v>113605.2</v>
      </c>
      <c r="E169">
        <v>8530155</v>
      </c>
      <c r="F169">
        <v>0.11058744536295</v>
      </c>
      <c r="G169">
        <v>1.33180698357767E-2</v>
      </c>
      <c r="H169">
        <v>2.0897999999999999</v>
      </c>
      <c r="I169">
        <v>1.6365000000000001</v>
      </c>
      <c r="J169">
        <v>1.5366</v>
      </c>
    </row>
    <row r="170" spans="1:10" x14ac:dyDescent="0.25">
      <c r="A170">
        <v>23</v>
      </c>
      <c r="B170">
        <v>2012</v>
      </c>
      <c r="C170">
        <v>1120767.7</v>
      </c>
      <c r="D170">
        <v>93417.91</v>
      </c>
      <c r="E170">
        <v>8606005</v>
      </c>
      <c r="F170">
        <v>0.13023089110452499</v>
      </c>
      <c r="G170">
        <v>1.08549681298116E-2</v>
      </c>
      <c r="H170">
        <v>1.9673</v>
      </c>
      <c r="I170">
        <v>1.5680000000000001</v>
      </c>
      <c r="J170">
        <v>1.5244</v>
      </c>
    </row>
    <row r="171" spans="1:10" x14ac:dyDescent="0.25">
      <c r="A171">
        <v>23</v>
      </c>
      <c r="B171">
        <v>2013</v>
      </c>
      <c r="C171">
        <v>1216335.29</v>
      </c>
      <c r="D171">
        <v>97864.95</v>
      </c>
      <c r="E171">
        <v>8778576</v>
      </c>
      <c r="F171">
        <v>0.13855724322486901</v>
      </c>
      <c r="G171">
        <v>1.11481577422124E-2</v>
      </c>
      <c r="H171">
        <v>1.9466000000000001</v>
      </c>
      <c r="I171">
        <v>1.597</v>
      </c>
      <c r="J171">
        <v>1.6244000000000001</v>
      </c>
    </row>
    <row r="172" spans="1:10" x14ac:dyDescent="0.25">
      <c r="A172">
        <v>23</v>
      </c>
      <c r="B172">
        <v>2014</v>
      </c>
      <c r="C172">
        <v>1348677.04</v>
      </c>
      <c r="D172">
        <v>109934.44</v>
      </c>
      <c r="E172">
        <v>8842791</v>
      </c>
      <c r="F172">
        <v>0.15251712270481099</v>
      </c>
      <c r="G172">
        <v>1.24320975131041E-2</v>
      </c>
      <c r="H172">
        <v>1.9258999999999999</v>
      </c>
      <c r="I172">
        <v>1.5846</v>
      </c>
      <c r="J172">
        <v>1.6554</v>
      </c>
    </row>
    <row r="173" spans="1:10" x14ac:dyDescent="0.25">
      <c r="A173">
        <v>23</v>
      </c>
      <c r="B173">
        <v>2015</v>
      </c>
      <c r="C173">
        <v>1331394.4099999999</v>
      </c>
      <c r="D173">
        <v>172587.82</v>
      </c>
      <c r="E173">
        <v>8904459</v>
      </c>
      <c r="F173">
        <v>0.14951996634495099</v>
      </c>
      <c r="G173">
        <v>1.9382179198084899E-2</v>
      </c>
      <c r="H173">
        <v>2.008</v>
      </c>
      <c r="I173">
        <v>1.5598000000000001</v>
      </c>
      <c r="J173">
        <v>1.6995</v>
      </c>
    </row>
    <row r="174" spans="1:10" x14ac:dyDescent="0.25">
      <c r="A174">
        <v>23</v>
      </c>
      <c r="B174">
        <v>2016</v>
      </c>
      <c r="C174">
        <v>1372176.49</v>
      </c>
      <c r="D174">
        <v>143299.5</v>
      </c>
      <c r="E174">
        <v>8963663</v>
      </c>
      <c r="F174">
        <v>0.15308211497911001</v>
      </c>
      <c r="G174">
        <v>1.5986712128735699E-2</v>
      </c>
      <c r="H174">
        <v>2.141</v>
      </c>
      <c r="I174">
        <v>1.7632000000000001</v>
      </c>
      <c r="J174">
        <v>1.7413000000000001</v>
      </c>
    </row>
    <row r="175" spans="1:10" x14ac:dyDescent="0.25">
      <c r="A175">
        <v>23</v>
      </c>
      <c r="B175">
        <v>2017</v>
      </c>
      <c r="C175">
        <v>1381639.09</v>
      </c>
      <c r="D175">
        <v>122849.55</v>
      </c>
      <c r="E175">
        <v>9020460</v>
      </c>
      <c r="F175">
        <v>0.153167254219851</v>
      </c>
      <c r="G175">
        <v>1.36189894972096E-2</v>
      </c>
      <c r="H175">
        <v>2.0903</v>
      </c>
      <c r="I175">
        <v>1.7393000000000001</v>
      </c>
      <c r="J175">
        <v>1.718</v>
      </c>
    </row>
    <row r="176" spans="1:10" x14ac:dyDescent="0.25">
      <c r="A176">
        <v>23</v>
      </c>
      <c r="B176">
        <v>2018</v>
      </c>
      <c r="C176">
        <v>1329769.1100000001</v>
      </c>
      <c r="D176">
        <v>169711.04</v>
      </c>
      <c r="E176">
        <v>9075649</v>
      </c>
      <c r="F176">
        <v>0.146520552965413</v>
      </c>
      <c r="G176">
        <v>1.8699603741837E-2</v>
      </c>
      <c r="H176">
        <v>2.3069999999999999</v>
      </c>
      <c r="I176">
        <v>1.8405</v>
      </c>
      <c r="J176">
        <v>1.8815</v>
      </c>
    </row>
    <row r="177" spans="1:10" x14ac:dyDescent="0.25">
      <c r="A177">
        <v>23</v>
      </c>
      <c r="B177">
        <v>2019</v>
      </c>
      <c r="C177">
        <v>1385259.81</v>
      </c>
      <c r="D177">
        <v>166507.5</v>
      </c>
      <c r="E177">
        <v>9132078</v>
      </c>
      <c r="F177">
        <v>0.15169163141182099</v>
      </c>
      <c r="G177">
        <v>1.82332542494709E-2</v>
      </c>
      <c r="H177">
        <v>2.2214999999999998</v>
      </c>
      <c r="I177">
        <v>1.8185</v>
      </c>
      <c r="J177">
        <v>1.8675999999999999</v>
      </c>
    </row>
    <row r="178" spans="1:10" x14ac:dyDescent="0.25">
      <c r="A178">
        <v>23</v>
      </c>
      <c r="B178">
        <v>2020</v>
      </c>
      <c r="C178">
        <v>1278277.44</v>
      </c>
      <c r="D178">
        <v>144948.24</v>
      </c>
      <c r="E178">
        <v>9187103</v>
      </c>
      <c r="F178">
        <v>0.13913825065420499</v>
      </c>
      <c r="G178">
        <v>1.57773609373923E-2</v>
      </c>
      <c r="H178">
        <v>2.069</v>
      </c>
      <c r="I178">
        <v>1.7069000000000001</v>
      </c>
      <c r="J178">
        <v>1.6928000000000001</v>
      </c>
    </row>
    <row r="179" spans="1:10" x14ac:dyDescent="0.25">
      <c r="A179">
        <v>23</v>
      </c>
      <c r="B179">
        <v>2021</v>
      </c>
      <c r="C179">
        <v>1326330.25</v>
      </c>
      <c r="D179">
        <v>136555.46</v>
      </c>
      <c r="E179">
        <v>9240580</v>
      </c>
      <c r="F179">
        <v>0.14353322518716299</v>
      </c>
      <c r="G179">
        <v>1.47778018262922E-2</v>
      </c>
      <c r="H179">
        <v>2.5036999999999998</v>
      </c>
      <c r="I179">
        <v>2.1362000000000001</v>
      </c>
      <c r="J179">
        <v>2.0421999999999998</v>
      </c>
    </row>
    <row r="180" spans="1:10" x14ac:dyDescent="0.25">
      <c r="A180">
        <v>23</v>
      </c>
      <c r="B180">
        <v>2022</v>
      </c>
      <c r="C180">
        <v>1430938.9</v>
      </c>
      <c r="D180">
        <v>117807.51</v>
      </c>
      <c r="E180">
        <v>9240580</v>
      </c>
      <c r="F180">
        <v>0.154853797056028</v>
      </c>
      <c r="G180">
        <v>1.2748930261953201E-2</v>
      </c>
      <c r="H180">
        <v>2.5160999999999998</v>
      </c>
      <c r="I180">
        <v>2.1324000000000001</v>
      </c>
      <c r="J180">
        <v>2.7826</v>
      </c>
    </row>
    <row r="181" spans="1:10" x14ac:dyDescent="0.25">
      <c r="A181">
        <v>23</v>
      </c>
      <c r="B181">
        <v>2023</v>
      </c>
      <c r="C181">
        <v>1526127.76</v>
      </c>
      <c r="D181">
        <v>147080.22</v>
      </c>
      <c r="E181">
        <v>9240580</v>
      </c>
      <c r="F181">
        <v>0.165154975120609</v>
      </c>
      <c r="G181">
        <v>1.5916773622434901E-2</v>
      </c>
      <c r="H181">
        <v>2.2235</v>
      </c>
      <c r="I181">
        <v>1.768</v>
      </c>
      <c r="J181">
        <v>2.3199999999999998</v>
      </c>
    </row>
    <row r="182" spans="1:10" x14ac:dyDescent="0.25">
      <c r="A182">
        <v>24</v>
      </c>
      <c r="B182">
        <v>2006</v>
      </c>
      <c r="C182">
        <v>266639.71999999997</v>
      </c>
      <c r="D182">
        <v>33372.57</v>
      </c>
      <c r="E182">
        <v>3043760</v>
      </c>
      <c r="F182">
        <v>8.7602084264199506E-2</v>
      </c>
      <c r="G182">
        <v>1.0964258022971501E-2</v>
      </c>
      <c r="H182">
        <v>2.62</v>
      </c>
      <c r="I182">
        <v>1.89</v>
      </c>
      <c r="J182">
        <v>1.83</v>
      </c>
    </row>
    <row r="183" spans="1:10" x14ac:dyDescent="0.25">
      <c r="A183">
        <v>24</v>
      </c>
      <c r="B183">
        <v>2007</v>
      </c>
      <c r="C183">
        <v>272333.34000000003</v>
      </c>
      <c r="D183">
        <v>67384.429999999993</v>
      </c>
      <c r="E183">
        <v>3075098</v>
      </c>
      <c r="F183">
        <v>8.8560865377298501E-2</v>
      </c>
      <c r="G183">
        <v>2.1912937408823999E-2</v>
      </c>
      <c r="H183">
        <v>2.4411</v>
      </c>
      <c r="I183">
        <v>1.5795999999999999</v>
      </c>
      <c r="J183">
        <v>1.7423</v>
      </c>
    </row>
    <row r="184" spans="1:10" x14ac:dyDescent="0.25">
      <c r="A184">
        <v>24</v>
      </c>
      <c r="B184">
        <v>2008</v>
      </c>
      <c r="C184">
        <v>304051.81</v>
      </c>
      <c r="D184">
        <v>94711.93</v>
      </c>
      <c r="E184">
        <v>3106436</v>
      </c>
      <c r="F184">
        <v>9.7878021629932102E-2</v>
      </c>
      <c r="G184">
        <v>3.0488936517603999E-2</v>
      </c>
      <c r="H184">
        <v>2.3412999999999999</v>
      </c>
      <c r="I184">
        <v>1.6362000000000001</v>
      </c>
      <c r="J184">
        <v>1.7899</v>
      </c>
    </row>
    <row r="185" spans="1:10" x14ac:dyDescent="0.25">
      <c r="A185">
        <v>24</v>
      </c>
      <c r="B185">
        <v>2009</v>
      </c>
      <c r="C185">
        <v>334293.33</v>
      </c>
      <c r="D185">
        <v>98373.7</v>
      </c>
      <c r="E185">
        <v>3137541</v>
      </c>
      <c r="F185">
        <v>0.106546282582442</v>
      </c>
      <c r="G185">
        <v>3.1353757608267099E-2</v>
      </c>
      <c r="H185">
        <v>2.2444999999999999</v>
      </c>
      <c r="I185">
        <v>1.5859000000000001</v>
      </c>
      <c r="J185">
        <v>1.7419</v>
      </c>
    </row>
    <row r="186" spans="1:10" x14ac:dyDescent="0.25">
      <c r="A186">
        <v>24</v>
      </c>
      <c r="B186">
        <v>2010</v>
      </c>
      <c r="C186">
        <v>403549.73</v>
      </c>
      <c r="D186">
        <v>79156.039999999994</v>
      </c>
      <c r="E186">
        <v>3168099</v>
      </c>
      <c r="F186">
        <v>0.12737914124527</v>
      </c>
      <c r="G186">
        <v>2.4985342945406601E-2</v>
      </c>
      <c r="H186">
        <v>2.1928999999999998</v>
      </c>
      <c r="I186">
        <v>1.6037999999999999</v>
      </c>
      <c r="J186">
        <v>1.6037999999999999</v>
      </c>
    </row>
    <row r="187" spans="1:10" x14ac:dyDescent="0.25">
      <c r="A187">
        <v>24</v>
      </c>
      <c r="B187">
        <v>2011</v>
      </c>
      <c r="C187">
        <v>484517.1</v>
      </c>
      <c r="D187">
        <v>55271.14</v>
      </c>
      <c r="E187">
        <v>3198657</v>
      </c>
      <c r="F187">
        <v>0.15147516598372299</v>
      </c>
      <c r="G187">
        <v>1.7279483233119401E-2</v>
      </c>
      <c r="H187">
        <v>2.0897999999999999</v>
      </c>
      <c r="I187">
        <v>1.7057</v>
      </c>
      <c r="J187">
        <v>1.5366</v>
      </c>
    </row>
    <row r="188" spans="1:10" x14ac:dyDescent="0.25">
      <c r="A188">
        <v>24</v>
      </c>
      <c r="B188">
        <v>2012</v>
      </c>
      <c r="C188">
        <v>561903.62</v>
      </c>
      <c r="D188">
        <v>46051.01</v>
      </c>
      <c r="E188">
        <v>3228198</v>
      </c>
      <c r="F188">
        <v>0.174061076798882</v>
      </c>
      <c r="G188">
        <v>1.42652371384902E-2</v>
      </c>
      <c r="H188">
        <v>1.96</v>
      </c>
      <c r="I188">
        <v>1.6188</v>
      </c>
      <c r="J188">
        <v>1.4881</v>
      </c>
    </row>
    <row r="189" spans="1:10" x14ac:dyDescent="0.25">
      <c r="A189">
        <v>24</v>
      </c>
      <c r="B189">
        <v>2013</v>
      </c>
      <c r="C189">
        <v>605600.68999999994</v>
      </c>
      <c r="D189">
        <v>48016.98</v>
      </c>
      <c r="E189">
        <v>3373959</v>
      </c>
      <c r="F189">
        <v>0.17949260497830499</v>
      </c>
      <c r="G189">
        <v>1.42316430045534E-2</v>
      </c>
      <c r="H189">
        <v>1.974</v>
      </c>
      <c r="I189">
        <v>1.6587000000000001</v>
      </c>
      <c r="J189">
        <v>1.5489999999999999</v>
      </c>
    </row>
    <row r="190" spans="1:10" x14ac:dyDescent="0.25">
      <c r="A190">
        <v>24</v>
      </c>
      <c r="B190">
        <v>2014</v>
      </c>
      <c r="C190">
        <v>652345.85</v>
      </c>
      <c r="D190">
        <v>42656.94</v>
      </c>
      <c r="E190">
        <v>3408510</v>
      </c>
      <c r="F190">
        <v>0.19138739507878799</v>
      </c>
      <c r="G190">
        <v>1.25148349278717E-2</v>
      </c>
      <c r="H190">
        <v>1.9517</v>
      </c>
      <c r="I190">
        <v>1.6876</v>
      </c>
      <c r="J190">
        <v>1.6103000000000001</v>
      </c>
    </row>
    <row r="191" spans="1:10" x14ac:dyDescent="0.25">
      <c r="A191">
        <v>24</v>
      </c>
      <c r="B191">
        <v>2015</v>
      </c>
      <c r="C191">
        <v>644783.75</v>
      </c>
      <c r="D191">
        <v>68898.98</v>
      </c>
      <c r="E191">
        <v>3442175</v>
      </c>
      <c r="F191">
        <v>0.18731870111194199</v>
      </c>
      <c r="G191">
        <v>2.0016117716269499E-2</v>
      </c>
      <c r="H191">
        <v>1.9614</v>
      </c>
      <c r="I191">
        <v>1.5714999999999999</v>
      </c>
      <c r="J191">
        <v>1.6296999999999999</v>
      </c>
    </row>
    <row r="192" spans="1:10" x14ac:dyDescent="0.25">
      <c r="A192">
        <v>24</v>
      </c>
      <c r="B192">
        <v>2016</v>
      </c>
      <c r="C192">
        <v>651680.24</v>
      </c>
      <c r="D192">
        <v>54800.4</v>
      </c>
      <c r="E192">
        <v>3474998</v>
      </c>
      <c r="F192">
        <v>0.18753398994761999</v>
      </c>
      <c r="G192">
        <v>1.5769908356781701E-2</v>
      </c>
      <c r="H192">
        <v>2.0972</v>
      </c>
      <c r="I192">
        <v>1.7467999999999999</v>
      </c>
      <c r="J192">
        <v>1.6919999999999999</v>
      </c>
    </row>
    <row r="193" spans="1:10" x14ac:dyDescent="0.25">
      <c r="A193">
        <v>24</v>
      </c>
      <c r="B193">
        <v>2017</v>
      </c>
      <c r="C193">
        <v>661020.14</v>
      </c>
      <c r="D193">
        <v>54338.48</v>
      </c>
      <c r="E193">
        <v>3507003</v>
      </c>
      <c r="F193">
        <v>0.18848576405551901</v>
      </c>
      <c r="G193">
        <v>1.5494278162864399E-2</v>
      </c>
      <c r="H193">
        <v>2.0531000000000001</v>
      </c>
      <c r="I193">
        <v>1.7126999999999999</v>
      </c>
      <c r="J193">
        <v>1.6755</v>
      </c>
    </row>
    <row r="194" spans="1:10" x14ac:dyDescent="0.25">
      <c r="A194">
        <v>24</v>
      </c>
      <c r="B194">
        <v>2018</v>
      </c>
      <c r="C194">
        <v>608089.12</v>
      </c>
      <c r="D194">
        <v>100968.47</v>
      </c>
      <c r="E194">
        <v>3479010</v>
      </c>
      <c r="F194">
        <v>0.17478797703944501</v>
      </c>
      <c r="G194">
        <v>2.9022184472019302E-2</v>
      </c>
      <c r="H194">
        <v>2.266</v>
      </c>
      <c r="I194">
        <v>1.7789999999999999</v>
      </c>
      <c r="J194">
        <v>1.82</v>
      </c>
    </row>
    <row r="195" spans="1:10" x14ac:dyDescent="0.25">
      <c r="A195">
        <v>24</v>
      </c>
      <c r="B195">
        <v>2019</v>
      </c>
      <c r="C195">
        <v>620525.15</v>
      </c>
      <c r="D195">
        <v>98042.81</v>
      </c>
      <c r="E195">
        <v>3506853</v>
      </c>
      <c r="F195">
        <v>0.17694643887268699</v>
      </c>
      <c r="G195">
        <v>2.7957490661855499E-2</v>
      </c>
      <c r="H195">
        <v>2.2067999999999999</v>
      </c>
      <c r="I195">
        <v>1.7743</v>
      </c>
      <c r="J195">
        <v>1.8087</v>
      </c>
    </row>
    <row r="196" spans="1:10" x14ac:dyDescent="0.25">
      <c r="A196">
        <v>24</v>
      </c>
      <c r="B196">
        <v>2020</v>
      </c>
      <c r="C196">
        <v>577782.81000000006</v>
      </c>
      <c r="D196">
        <v>76160</v>
      </c>
      <c r="E196">
        <v>3534165</v>
      </c>
      <c r="F196">
        <v>0.16348495613532399</v>
      </c>
      <c r="G196">
        <v>2.1549644682690199E-2</v>
      </c>
      <c r="H196">
        <v>2.1065999999999998</v>
      </c>
      <c r="I196">
        <v>1.6975</v>
      </c>
      <c r="J196">
        <v>1.6457999999999999</v>
      </c>
    </row>
    <row r="197" spans="1:10" x14ac:dyDescent="0.25">
      <c r="A197">
        <v>24</v>
      </c>
      <c r="B197">
        <v>2021</v>
      </c>
      <c r="C197">
        <v>595237.02</v>
      </c>
      <c r="D197">
        <v>76950</v>
      </c>
      <c r="E197">
        <v>3560903</v>
      </c>
      <c r="F197">
        <v>0.16715900994775701</v>
      </c>
      <c r="G197">
        <v>2.1609687205745201E-2</v>
      </c>
      <c r="H197">
        <v>2.6019000000000001</v>
      </c>
      <c r="I197">
        <v>2.1918000000000002</v>
      </c>
      <c r="J197">
        <v>2.0421999999999998</v>
      </c>
    </row>
    <row r="198" spans="1:10" x14ac:dyDescent="0.25">
      <c r="A198">
        <v>24</v>
      </c>
      <c r="B198">
        <v>2022</v>
      </c>
      <c r="C198">
        <v>617546.06999999995</v>
      </c>
      <c r="D198">
        <v>63235.97</v>
      </c>
      <c r="E198">
        <v>3560903</v>
      </c>
      <c r="F198">
        <v>0.17342400789911899</v>
      </c>
      <c r="G198">
        <v>1.77584084711097E-2</v>
      </c>
      <c r="H198">
        <v>2.609</v>
      </c>
      <c r="I198">
        <v>2.1364000000000001</v>
      </c>
      <c r="J198">
        <v>2.718</v>
      </c>
    </row>
    <row r="199" spans="1:10" x14ac:dyDescent="0.25">
      <c r="A199">
        <v>24</v>
      </c>
      <c r="B199">
        <v>2023</v>
      </c>
      <c r="C199">
        <v>671883.03</v>
      </c>
      <c r="D199">
        <v>53939.51</v>
      </c>
      <c r="E199">
        <v>3560903</v>
      </c>
      <c r="F199">
        <v>0.188683328358003</v>
      </c>
      <c r="G199">
        <v>1.5147705511775999E-2</v>
      </c>
      <c r="H199">
        <v>2.2120000000000002</v>
      </c>
      <c r="I199">
        <v>1.7564</v>
      </c>
      <c r="J199">
        <v>2.2736999999999998</v>
      </c>
    </row>
    <row r="200" spans="1:10" x14ac:dyDescent="0.25">
      <c r="A200">
        <v>25</v>
      </c>
      <c r="B200">
        <v>2006</v>
      </c>
      <c r="C200">
        <v>281008.49</v>
      </c>
      <c r="D200">
        <v>36596.949999999997</v>
      </c>
      <c r="E200">
        <v>3623215</v>
      </c>
      <c r="F200">
        <v>7.7557773965939006E-2</v>
      </c>
      <c r="G200">
        <v>1.0100684060978899E-2</v>
      </c>
      <c r="H200">
        <v>2.59</v>
      </c>
      <c r="I200">
        <v>1.89</v>
      </c>
      <c r="J200">
        <v>1.83</v>
      </c>
    </row>
    <row r="201" spans="1:10" x14ac:dyDescent="0.25">
      <c r="A201">
        <v>25</v>
      </c>
      <c r="B201">
        <v>2007</v>
      </c>
      <c r="C201">
        <v>301021.96000000002</v>
      </c>
      <c r="D201">
        <v>63588.61</v>
      </c>
      <c r="E201">
        <v>3682910</v>
      </c>
      <c r="F201">
        <v>8.1734812960403594E-2</v>
      </c>
      <c r="G201">
        <v>1.7265860420156799E-2</v>
      </c>
      <c r="H201">
        <v>2.4220000000000002</v>
      </c>
      <c r="I201">
        <v>1.6560999999999999</v>
      </c>
      <c r="J201">
        <v>1.7519</v>
      </c>
    </row>
    <row r="202" spans="1:10" x14ac:dyDescent="0.25">
      <c r="A202">
        <v>25</v>
      </c>
      <c r="B202">
        <v>2008</v>
      </c>
      <c r="C202">
        <v>341331.35</v>
      </c>
      <c r="D202">
        <v>89659.66</v>
      </c>
      <c r="E202">
        <v>3742604</v>
      </c>
      <c r="F202">
        <v>9.1201567144159501E-2</v>
      </c>
      <c r="G202">
        <v>2.3956491255820798E-2</v>
      </c>
      <c r="H202">
        <v>2.2147000000000001</v>
      </c>
      <c r="I202">
        <v>1.591</v>
      </c>
      <c r="J202">
        <v>1.7899</v>
      </c>
    </row>
    <row r="203" spans="1:10" x14ac:dyDescent="0.25">
      <c r="A203">
        <v>25</v>
      </c>
      <c r="B203">
        <v>2009</v>
      </c>
      <c r="C203">
        <v>359084.68</v>
      </c>
      <c r="D203">
        <v>112976.62</v>
      </c>
      <c r="E203">
        <v>3769977</v>
      </c>
      <c r="F203">
        <v>9.5248506821129106E-2</v>
      </c>
      <c r="G203">
        <v>2.9967456034877601E-2</v>
      </c>
      <c r="H203">
        <v>2.0972</v>
      </c>
      <c r="I203">
        <v>1.4645999999999999</v>
      </c>
      <c r="J203">
        <v>1.7592000000000001</v>
      </c>
    </row>
    <row r="204" spans="1:10" x14ac:dyDescent="0.25">
      <c r="A204">
        <v>25</v>
      </c>
      <c r="B204">
        <v>2010</v>
      </c>
      <c r="C204">
        <v>444825.64</v>
      </c>
      <c r="D204">
        <v>86559.83</v>
      </c>
      <c r="E204">
        <v>3780646</v>
      </c>
      <c r="F204">
        <v>0.11765863294262401</v>
      </c>
      <c r="G204">
        <v>2.2895513094852001E-2</v>
      </c>
      <c r="H204">
        <v>2.0047000000000001</v>
      </c>
      <c r="I204">
        <v>1.5138</v>
      </c>
      <c r="J204">
        <v>1.6120000000000001</v>
      </c>
    </row>
    <row r="205" spans="1:10" x14ac:dyDescent="0.25">
      <c r="A205">
        <v>25</v>
      </c>
      <c r="B205">
        <v>2011</v>
      </c>
      <c r="C205">
        <v>511689.33</v>
      </c>
      <c r="D205">
        <v>58018.8</v>
      </c>
      <c r="E205">
        <v>3791315</v>
      </c>
      <c r="F205">
        <v>0.13496354958635701</v>
      </c>
      <c r="G205">
        <v>1.5303080857169599E-2</v>
      </c>
      <c r="H205">
        <v>1.9669000000000001</v>
      </c>
      <c r="I205">
        <v>1.6134999999999999</v>
      </c>
      <c r="J205">
        <v>1.5213000000000001</v>
      </c>
    </row>
    <row r="206" spans="1:10" x14ac:dyDescent="0.25">
      <c r="A206">
        <v>25</v>
      </c>
      <c r="B206">
        <v>2012</v>
      </c>
      <c r="C206">
        <v>588349.21</v>
      </c>
      <c r="D206">
        <v>44717.21</v>
      </c>
      <c r="E206">
        <v>3815171</v>
      </c>
      <c r="F206">
        <v>0.15421306410643101</v>
      </c>
      <c r="G206">
        <v>1.17208927201428E-2</v>
      </c>
      <c r="H206">
        <v>1.8874</v>
      </c>
      <c r="I206">
        <v>1.5752999999999999</v>
      </c>
      <c r="J206">
        <v>1.4663999999999999</v>
      </c>
    </row>
    <row r="207" spans="1:10" x14ac:dyDescent="0.25">
      <c r="A207">
        <v>25</v>
      </c>
      <c r="B207">
        <v>2013</v>
      </c>
      <c r="C207">
        <v>625181.68999999994</v>
      </c>
      <c r="D207">
        <v>54253.8</v>
      </c>
      <c r="E207">
        <v>3914421</v>
      </c>
      <c r="F207">
        <v>0.159712430011999</v>
      </c>
      <c r="G207">
        <v>1.38599808247503E-2</v>
      </c>
      <c r="H207">
        <v>1.9055</v>
      </c>
      <c r="I207">
        <v>1.5489999999999999</v>
      </c>
      <c r="J207">
        <v>1.5489999999999999</v>
      </c>
    </row>
    <row r="208" spans="1:10" x14ac:dyDescent="0.25">
      <c r="A208">
        <v>25</v>
      </c>
      <c r="B208">
        <v>2014</v>
      </c>
      <c r="C208">
        <v>686269.95</v>
      </c>
      <c r="D208">
        <v>69928.45</v>
      </c>
      <c r="E208">
        <v>3943885</v>
      </c>
      <c r="F208">
        <v>0.174008610798742</v>
      </c>
      <c r="G208">
        <v>1.7730854221155001E-2</v>
      </c>
      <c r="H208">
        <v>1.8422000000000001</v>
      </c>
      <c r="I208">
        <v>1.4751000000000001</v>
      </c>
      <c r="J208">
        <v>1.5651999999999999</v>
      </c>
    </row>
    <row r="209" spans="1:10" x14ac:dyDescent="0.25">
      <c r="A209">
        <v>25</v>
      </c>
      <c r="B209">
        <v>2015</v>
      </c>
      <c r="C209">
        <v>662396.75</v>
      </c>
      <c r="D209">
        <v>131568.57</v>
      </c>
      <c r="E209">
        <v>3972202</v>
      </c>
      <c r="F209">
        <v>0.16675807272641199</v>
      </c>
      <c r="G209">
        <v>3.3122326105268503E-2</v>
      </c>
      <c r="H209">
        <v>1.8567</v>
      </c>
      <c r="I209">
        <v>1.3969</v>
      </c>
      <c r="J209">
        <v>1.6064000000000001</v>
      </c>
    </row>
    <row r="210" spans="1:10" x14ac:dyDescent="0.25">
      <c r="A210">
        <v>25</v>
      </c>
      <c r="B210">
        <v>2016</v>
      </c>
      <c r="C210">
        <v>694589.7</v>
      </c>
      <c r="D210">
        <v>85045.440000000002</v>
      </c>
      <c r="E210">
        <v>3999415</v>
      </c>
      <c r="F210">
        <v>0.17367282465060499</v>
      </c>
      <c r="G210">
        <v>2.1264469928726999E-2</v>
      </c>
      <c r="H210">
        <v>2.0042</v>
      </c>
      <c r="I210">
        <v>1.6536999999999999</v>
      </c>
      <c r="J210">
        <v>1.6373</v>
      </c>
    </row>
    <row r="211" spans="1:10" x14ac:dyDescent="0.25">
      <c r="A211">
        <v>25</v>
      </c>
      <c r="B211">
        <v>2017</v>
      </c>
      <c r="C211">
        <v>713021.85</v>
      </c>
      <c r="D211">
        <v>76998.350000000006</v>
      </c>
      <c r="E211">
        <v>4025558</v>
      </c>
      <c r="F211">
        <v>0.17712373042445201</v>
      </c>
      <c r="G211">
        <v>1.9127373149262699E-2</v>
      </c>
      <c r="H211">
        <v>1.9414</v>
      </c>
      <c r="I211">
        <v>1.5956999999999999</v>
      </c>
      <c r="J211">
        <v>1.617</v>
      </c>
    </row>
    <row r="212" spans="1:10" x14ac:dyDescent="0.25">
      <c r="A212">
        <v>25</v>
      </c>
      <c r="B212">
        <v>2018</v>
      </c>
      <c r="C212">
        <v>637788.09</v>
      </c>
      <c r="D212">
        <v>165184.07999999999</v>
      </c>
      <c r="E212">
        <v>3996496</v>
      </c>
      <c r="F212">
        <v>0.159586820554806</v>
      </c>
      <c r="G212">
        <v>4.1332227030879E-2</v>
      </c>
      <c r="H212">
        <v>2.1686000000000001</v>
      </c>
      <c r="I212">
        <v>1.6252</v>
      </c>
      <c r="J212">
        <v>1.7636000000000001</v>
      </c>
    </row>
    <row r="213" spans="1:10" x14ac:dyDescent="0.25">
      <c r="A213">
        <v>25</v>
      </c>
      <c r="B213">
        <v>2019</v>
      </c>
      <c r="C213">
        <v>653092.79</v>
      </c>
      <c r="D213">
        <v>176961.58</v>
      </c>
      <c r="E213">
        <v>4018127</v>
      </c>
      <c r="F213">
        <v>0.16253662216251499</v>
      </c>
      <c r="G213">
        <v>4.4040813045481103E-2</v>
      </c>
      <c r="H213">
        <v>2.0985999999999998</v>
      </c>
      <c r="I213">
        <v>1.6121000000000001</v>
      </c>
      <c r="J213">
        <v>1.7595000000000001</v>
      </c>
    </row>
    <row r="214" spans="1:10" x14ac:dyDescent="0.25">
      <c r="A214">
        <v>25</v>
      </c>
      <c r="B214">
        <v>2020</v>
      </c>
      <c r="C214">
        <v>621657.74</v>
      </c>
      <c r="D214">
        <v>146229.6</v>
      </c>
      <c r="E214">
        <v>4039277</v>
      </c>
      <c r="F214">
        <v>0.15390322079916699</v>
      </c>
      <c r="G214">
        <v>3.62019242552565E-2</v>
      </c>
      <c r="H214">
        <v>1.9137999999999999</v>
      </c>
      <c r="I214">
        <v>1.4671000000000001</v>
      </c>
      <c r="J214">
        <v>1.5847</v>
      </c>
    </row>
    <row r="215" spans="1:10" x14ac:dyDescent="0.25">
      <c r="A215">
        <v>25</v>
      </c>
      <c r="B215">
        <v>2021</v>
      </c>
      <c r="C215">
        <v>663078.18000000005</v>
      </c>
      <c r="D215">
        <v>128742.35</v>
      </c>
      <c r="E215">
        <v>4059905</v>
      </c>
      <c r="F215">
        <v>0.163323570379109</v>
      </c>
      <c r="G215">
        <v>3.1710680422325097E-2</v>
      </c>
      <c r="H215">
        <v>2.3925999999999998</v>
      </c>
      <c r="I215">
        <v>1.9739</v>
      </c>
      <c r="J215">
        <v>1.9269000000000001</v>
      </c>
    </row>
    <row r="216" spans="1:10" x14ac:dyDescent="0.25">
      <c r="A216">
        <v>25</v>
      </c>
      <c r="B216">
        <v>2022</v>
      </c>
      <c r="C216">
        <v>698823.66</v>
      </c>
      <c r="D216">
        <v>124006.86</v>
      </c>
      <c r="E216">
        <v>4059905</v>
      </c>
      <c r="F216">
        <v>0.172128081814722</v>
      </c>
      <c r="G216">
        <v>3.05442762823268E-2</v>
      </c>
      <c r="H216">
        <v>2.4232</v>
      </c>
      <c r="I216">
        <v>1.8900999999999999</v>
      </c>
      <c r="J216">
        <v>2.6332</v>
      </c>
    </row>
    <row r="217" spans="1:10" x14ac:dyDescent="0.25">
      <c r="A217">
        <v>25</v>
      </c>
      <c r="B217">
        <v>2023</v>
      </c>
      <c r="C217">
        <v>760013.56</v>
      </c>
      <c r="D217">
        <v>126411.4</v>
      </c>
      <c r="E217">
        <v>4059905</v>
      </c>
      <c r="F217">
        <v>0.18719983841986401</v>
      </c>
      <c r="G217">
        <v>3.11365413722734E-2</v>
      </c>
      <c r="H217">
        <v>2.073</v>
      </c>
      <c r="I217">
        <v>1.5557000000000001</v>
      </c>
      <c r="J217">
        <v>2.1810999999999998</v>
      </c>
    </row>
    <row r="218" spans="1:10" x14ac:dyDescent="0.25">
      <c r="A218">
        <v>26</v>
      </c>
      <c r="B218">
        <v>2006</v>
      </c>
      <c r="C218">
        <v>637645.56999999995</v>
      </c>
      <c r="D218">
        <v>107508.49</v>
      </c>
      <c r="E218">
        <v>8502603</v>
      </c>
      <c r="F218">
        <v>7.4994160023700907E-2</v>
      </c>
      <c r="G218">
        <v>1.2644185551177601E-2</v>
      </c>
      <c r="H218">
        <v>2.64</v>
      </c>
      <c r="I218">
        <v>1.85</v>
      </c>
      <c r="J218">
        <v>1.84</v>
      </c>
    </row>
    <row r="219" spans="1:10" x14ac:dyDescent="0.25">
      <c r="A219">
        <v>26</v>
      </c>
      <c r="B219">
        <v>2007</v>
      </c>
      <c r="C219">
        <v>621960.22</v>
      </c>
      <c r="D219">
        <v>163306.06</v>
      </c>
      <c r="E219">
        <v>8618400</v>
      </c>
      <c r="F219">
        <v>7.2166552956465194E-2</v>
      </c>
      <c r="G219">
        <v>1.8948535691079502E-2</v>
      </c>
      <c r="H219">
        <v>2.4889999999999999</v>
      </c>
      <c r="I219">
        <v>1.5508</v>
      </c>
      <c r="J219">
        <v>1.7614000000000001</v>
      </c>
    </row>
    <row r="220" spans="1:10" x14ac:dyDescent="0.25">
      <c r="A220">
        <v>26</v>
      </c>
      <c r="B220">
        <v>2008</v>
      </c>
      <c r="C220">
        <v>676940.04</v>
      </c>
      <c r="D220">
        <v>280705.40999999997</v>
      </c>
      <c r="E220">
        <v>8734196</v>
      </c>
      <c r="F220">
        <v>7.7504562526419102E-2</v>
      </c>
      <c r="G220">
        <v>3.2138666226404801E-2</v>
      </c>
      <c r="H220">
        <v>2.3502999999999998</v>
      </c>
      <c r="I220">
        <v>1.5367</v>
      </c>
      <c r="J220">
        <v>1.8079000000000001</v>
      </c>
    </row>
    <row r="221" spans="1:10" x14ac:dyDescent="0.25">
      <c r="A221">
        <v>26</v>
      </c>
      <c r="B221">
        <v>2009</v>
      </c>
      <c r="C221">
        <v>701324.89</v>
      </c>
      <c r="D221">
        <v>365487.16</v>
      </c>
      <c r="E221">
        <v>8810256</v>
      </c>
      <c r="F221">
        <v>7.9603236273724606E-2</v>
      </c>
      <c r="G221">
        <v>4.1484283771095802E-2</v>
      </c>
      <c r="H221">
        <v>2.2271999999999998</v>
      </c>
      <c r="I221">
        <v>1.4559</v>
      </c>
      <c r="J221">
        <v>1.7679</v>
      </c>
    </row>
    <row r="222" spans="1:10" x14ac:dyDescent="0.25">
      <c r="A222">
        <v>26</v>
      </c>
      <c r="B222">
        <v>2010</v>
      </c>
      <c r="C222">
        <v>898932.82</v>
      </c>
      <c r="D222">
        <v>315407.46999999997</v>
      </c>
      <c r="E222">
        <v>8837581</v>
      </c>
      <c r="F222">
        <v>0.10171706714767299</v>
      </c>
      <c r="G222">
        <v>3.5689344176873701E-2</v>
      </c>
      <c r="H222">
        <v>2.1438000000000001</v>
      </c>
      <c r="I222">
        <v>1.522</v>
      </c>
      <c r="J222">
        <v>1.6365000000000001</v>
      </c>
    </row>
    <row r="223" spans="1:10" x14ac:dyDescent="0.25">
      <c r="A223">
        <v>26</v>
      </c>
      <c r="B223">
        <v>2011</v>
      </c>
      <c r="C223">
        <v>1106865.97</v>
      </c>
      <c r="D223">
        <v>184815.72</v>
      </c>
      <c r="E223">
        <v>8864906</v>
      </c>
      <c r="F223">
        <v>0.124859301384583</v>
      </c>
      <c r="G223">
        <v>2.0848018016208999E-2</v>
      </c>
      <c r="H223">
        <v>2.0514000000000001</v>
      </c>
      <c r="I223">
        <v>1.6212</v>
      </c>
      <c r="J223">
        <v>1.5443</v>
      </c>
    </row>
    <row r="224" spans="1:10" x14ac:dyDescent="0.25">
      <c r="A224">
        <v>26</v>
      </c>
      <c r="B224">
        <v>2012</v>
      </c>
      <c r="C224">
        <v>1290226.1599999999</v>
      </c>
      <c r="D224">
        <v>163341.85</v>
      </c>
      <c r="E224">
        <v>8931028</v>
      </c>
      <c r="F224">
        <v>0.144465582237565</v>
      </c>
      <c r="G224">
        <v>1.82892551674902E-2</v>
      </c>
      <c r="H224">
        <v>1.9744999999999999</v>
      </c>
      <c r="I224">
        <v>1.5535000000000001</v>
      </c>
      <c r="J224">
        <v>1.5026999999999999</v>
      </c>
    </row>
    <row r="225" spans="1:10" x14ac:dyDescent="0.25">
      <c r="A225">
        <v>26</v>
      </c>
      <c r="B225">
        <v>2013</v>
      </c>
      <c r="C225">
        <v>1379495.06</v>
      </c>
      <c r="D225">
        <v>153903.01</v>
      </c>
      <c r="E225">
        <v>9208550</v>
      </c>
      <c r="F225">
        <v>0.14980589343599099</v>
      </c>
      <c r="G225">
        <v>1.6713055801401901E-2</v>
      </c>
      <c r="H225">
        <v>1.9397</v>
      </c>
      <c r="I225">
        <v>1.5559000000000001</v>
      </c>
      <c r="J225">
        <v>1.5559000000000001</v>
      </c>
    </row>
    <row r="226" spans="1:10" x14ac:dyDescent="0.25">
      <c r="A226">
        <v>26</v>
      </c>
      <c r="B226">
        <v>2014</v>
      </c>
      <c r="C226">
        <v>1497221.78</v>
      </c>
      <c r="D226">
        <v>148197.51999999999</v>
      </c>
      <c r="E226">
        <v>9277727</v>
      </c>
      <c r="F226">
        <v>0.16137808107524601</v>
      </c>
      <c r="G226">
        <v>1.5973472812899101E-2</v>
      </c>
      <c r="H226">
        <v>1.8873</v>
      </c>
      <c r="I226">
        <v>1.5395000000000001</v>
      </c>
      <c r="J226">
        <v>1.5846</v>
      </c>
    </row>
    <row r="227" spans="1:10" x14ac:dyDescent="0.25">
      <c r="A227">
        <v>26</v>
      </c>
      <c r="B227">
        <v>2015</v>
      </c>
      <c r="C227">
        <v>1377723.97</v>
      </c>
      <c r="D227">
        <v>278681.34000000003</v>
      </c>
      <c r="E227">
        <v>9345173</v>
      </c>
      <c r="F227">
        <v>0.147426267015067</v>
      </c>
      <c r="G227">
        <v>2.98208861408986E-2</v>
      </c>
      <c r="H227">
        <v>1.9672000000000001</v>
      </c>
      <c r="I227">
        <v>1.4492</v>
      </c>
      <c r="J227">
        <v>1.6296999999999999</v>
      </c>
    </row>
    <row r="228" spans="1:10" x14ac:dyDescent="0.25">
      <c r="A228">
        <v>26</v>
      </c>
      <c r="B228">
        <v>2016</v>
      </c>
      <c r="C228">
        <v>1441149.79</v>
      </c>
      <c r="D228">
        <v>205719.9</v>
      </c>
      <c r="E228">
        <v>9410336</v>
      </c>
      <c r="F228">
        <v>0.15314541266114101</v>
      </c>
      <c r="G228">
        <v>2.18610578835867E-2</v>
      </c>
      <c r="H228">
        <v>2.0261</v>
      </c>
      <c r="I228">
        <v>1.6208</v>
      </c>
      <c r="J228">
        <v>1.6482000000000001</v>
      </c>
    </row>
    <row r="229" spans="1:10" x14ac:dyDescent="0.25">
      <c r="A229">
        <v>26</v>
      </c>
      <c r="B229">
        <v>2017</v>
      </c>
      <c r="C229">
        <v>1494982.01</v>
      </c>
      <c r="D229">
        <v>208027.6</v>
      </c>
      <c r="E229">
        <v>9473266</v>
      </c>
      <c r="F229">
        <v>0.157810623073394</v>
      </c>
      <c r="G229">
        <v>2.1959438276091901E-2</v>
      </c>
      <c r="H229">
        <v>1.952</v>
      </c>
      <c r="I229">
        <v>1.5744</v>
      </c>
      <c r="J229">
        <v>1.5956999999999999</v>
      </c>
    </row>
    <row r="230" spans="1:10" x14ac:dyDescent="0.25">
      <c r="A230">
        <v>26</v>
      </c>
      <c r="B230">
        <v>2018</v>
      </c>
      <c r="C230">
        <v>1311137.67</v>
      </c>
      <c r="D230">
        <v>372304.88</v>
      </c>
      <c r="E230">
        <v>9496294</v>
      </c>
      <c r="F230">
        <v>0.13806835277003801</v>
      </c>
      <c r="G230">
        <v>3.9205281555099197E-2</v>
      </c>
      <c r="H230">
        <v>2.2044999999999999</v>
      </c>
      <c r="I230">
        <v>1.6508</v>
      </c>
      <c r="J230">
        <v>1.7943</v>
      </c>
    </row>
    <row r="231" spans="1:10" x14ac:dyDescent="0.25">
      <c r="A231">
        <v>26</v>
      </c>
      <c r="B231">
        <v>2019</v>
      </c>
      <c r="C231">
        <v>1367866.54</v>
      </c>
      <c r="D231">
        <v>347933.94</v>
      </c>
      <c r="E231">
        <v>9557071</v>
      </c>
      <c r="F231">
        <v>0.14312612514859399</v>
      </c>
      <c r="G231">
        <v>3.6405917670801001E-2</v>
      </c>
      <c r="H231">
        <v>2.1232000000000002</v>
      </c>
      <c r="I231">
        <v>1.6563000000000001</v>
      </c>
      <c r="J231">
        <v>1.8185</v>
      </c>
    </row>
    <row r="232" spans="1:10" x14ac:dyDescent="0.25">
      <c r="A232">
        <v>26</v>
      </c>
      <c r="B232">
        <v>2020</v>
      </c>
      <c r="C232">
        <v>1273074.01</v>
      </c>
      <c r="D232">
        <v>264071.08</v>
      </c>
      <c r="E232">
        <v>9616621</v>
      </c>
      <c r="F232">
        <v>0.13238267474615001</v>
      </c>
      <c r="G232">
        <v>2.7459861421179E-2</v>
      </c>
      <c r="H232">
        <v>2.0078999999999998</v>
      </c>
      <c r="I232">
        <v>1.5893999999999999</v>
      </c>
      <c r="J232">
        <v>1.6880999999999999</v>
      </c>
    </row>
    <row r="233" spans="1:10" x14ac:dyDescent="0.25">
      <c r="A233">
        <v>26</v>
      </c>
      <c r="B233">
        <v>2021</v>
      </c>
      <c r="C233">
        <v>1317326.97</v>
      </c>
      <c r="D233">
        <v>241918.95</v>
      </c>
      <c r="E233">
        <v>9674793</v>
      </c>
      <c r="F233">
        <v>0.13616073956311001</v>
      </c>
      <c r="G233">
        <v>2.5005077628017399E-2</v>
      </c>
      <c r="H233">
        <v>2.4567000000000001</v>
      </c>
      <c r="I233">
        <v>2.0337000000000001</v>
      </c>
      <c r="J233">
        <v>2.0081000000000002</v>
      </c>
    </row>
    <row r="234" spans="1:10" x14ac:dyDescent="0.25">
      <c r="A234">
        <v>26</v>
      </c>
      <c r="B234">
        <v>2022</v>
      </c>
      <c r="C234">
        <v>1354426.64</v>
      </c>
      <c r="D234">
        <v>216191.71</v>
      </c>
      <c r="E234">
        <v>9674793</v>
      </c>
      <c r="F234">
        <v>0.13999541282175201</v>
      </c>
      <c r="G234">
        <v>2.23458744802085E-2</v>
      </c>
      <c r="H234">
        <v>2.4716999999999998</v>
      </c>
      <c r="I234">
        <v>1.9709000000000001</v>
      </c>
      <c r="J234">
        <v>2.7624</v>
      </c>
    </row>
    <row r="235" spans="1:10" x14ac:dyDescent="0.25">
      <c r="A235">
        <v>26</v>
      </c>
      <c r="B235">
        <v>2023</v>
      </c>
      <c r="C235">
        <v>1464095.65</v>
      </c>
      <c r="D235">
        <v>214221.41</v>
      </c>
      <c r="E235">
        <v>9674793</v>
      </c>
      <c r="F235">
        <v>0.15133095354081399</v>
      </c>
      <c r="G235">
        <v>2.21422215441715E-2</v>
      </c>
      <c r="H235">
        <v>2.0960999999999999</v>
      </c>
      <c r="I235">
        <v>1.6096999999999999</v>
      </c>
      <c r="J235">
        <v>2.2544</v>
      </c>
    </row>
    <row r="236" spans="1:10" x14ac:dyDescent="0.25">
      <c r="A236">
        <v>27</v>
      </c>
      <c r="B236">
        <v>2006</v>
      </c>
      <c r="C236">
        <v>168899.39</v>
      </c>
      <c r="D236">
        <v>34903.25</v>
      </c>
      <c r="E236">
        <v>3050652</v>
      </c>
      <c r="F236">
        <v>5.5365013774104598E-2</v>
      </c>
      <c r="G236">
        <v>1.14412427245061E-2</v>
      </c>
      <c r="H236">
        <v>2.8</v>
      </c>
      <c r="I236">
        <v>1.95</v>
      </c>
      <c r="J236">
        <v>1.87</v>
      </c>
    </row>
    <row r="237" spans="1:10" x14ac:dyDescent="0.25">
      <c r="A237">
        <v>27</v>
      </c>
      <c r="B237">
        <v>2007</v>
      </c>
      <c r="C237">
        <v>163490.35</v>
      </c>
      <c r="D237">
        <v>51462.02</v>
      </c>
      <c r="E237">
        <v>3089106</v>
      </c>
      <c r="F237">
        <v>5.2924810608635603E-2</v>
      </c>
      <c r="G237">
        <v>1.6659195249369801E-2</v>
      </c>
      <c r="H237">
        <v>2.6804999999999999</v>
      </c>
      <c r="I237">
        <v>1.6943999999999999</v>
      </c>
      <c r="J237">
        <v>1.7806</v>
      </c>
    </row>
    <row r="238" spans="1:10" x14ac:dyDescent="0.25">
      <c r="A238">
        <v>27</v>
      </c>
      <c r="B238">
        <v>2008</v>
      </c>
      <c r="C238">
        <v>172374.63</v>
      </c>
      <c r="D238">
        <v>83104.320000000007</v>
      </c>
      <c r="E238">
        <v>3127560</v>
      </c>
      <c r="F238">
        <v>5.5114731611863498E-2</v>
      </c>
      <c r="G238">
        <v>2.65716149330468E-2</v>
      </c>
      <c r="H238">
        <v>2.4950000000000001</v>
      </c>
      <c r="I238">
        <v>1.6271</v>
      </c>
      <c r="J238">
        <v>1.8169999999999999</v>
      </c>
    </row>
    <row r="239" spans="1:10" x14ac:dyDescent="0.25">
      <c r="A239">
        <v>27</v>
      </c>
      <c r="B239">
        <v>2009</v>
      </c>
      <c r="C239">
        <v>179400.47</v>
      </c>
      <c r="D239">
        <v>104514.39</v>
      </c>
      <c r="E239">
        <v>3156108</v>
      </c>
      <c r="F239">
        <v>5.6842310212451501E-2</v>
      </c>
      <c r="G239">
        <v>3.3114959944336497E-2</v>
      </c>
      <c r="H239">
        <v>2.3311999999999999</v>
      </c>
      <c r="I239">
        <v>1.5339</v>
      </c>
      <c r="J239">
        <v>1.7679</v>
      </c>
    </row>
    <row r="240" spans="1:10" x14ac:dyDescent="0.25">
      <c r="A240">
        <v>27</v>
      </c>
      <c r="B240">
        <v>2010</v>
      </c>
      <c r="C240">
        <v>245327.83</v>
      </c>
      <c r="D240">
        <v>76100.45</v>
      </c>
      <c r="E240">
        <v>3149746</v>
      </c>
      <c r="F240">
        <v>7.7888131296936294E-2</v>
      </c>
      <c r="G240">
        <v>2.4160821221774698E-2</v>
      </c>
      <c r="H240">
        <v>2.2338</v>
      </c>
      <c r="I240">
        <v>1.6037999999999999</v>
      </c>
      <c r="J240">
        <v>1.6365000000000001</v>
      </c>
    </row>
    <row r="241" spans="1:10" x14ac:dyDescent="0.25">
      <c r="A241">
        <v>27</v>
      </c>
      <c r="B241">
        <v>2011</v>
      </c>
      <c r="C241">
        <v>303096.08</v>
      </c>
      <c r="D241">
        <v>53238.36</v>
      </c>
      <c r="E241">
        <v>3143384</v>
      </c>
      <c r="F241">
        <v>9.6423497733652594E-2</v>
      </c>
      <c r="G241">
        <v>1.6936638985246399E-2</v>
      </c>
      <c r="H241">
        <v>2.1667000000000001</v>
      </c>
      <c r="I241">
        <v>1.7363999999999999</v>
      </c>
      <c r="J241">
        <v>1.5366</v>
      </c>
    </row>
    <row r="242" spans="1:10" x14ac:dyDescent="0.25">
      <c r="A242">
        <v>27</v>
      </c>
      <c r="B242">
        <v>2012</v>
      </c>
      <c r="C242">
        <v>363832.65</v>
      </c>
      <c r="D242">
        <v>39553.57</v>
      </c>
      <c r="E242">
        <v>3165472</v>
      </c>
      <c r="F242">
        <v>0.11493788288128901</v>
      </c>
      <c r="G242">
        <v>1.24953150746555E-2</v>
      </c>
      <c r="H242">
        <v>2.0036</v>
      </c>
      <c r="I242">
        <v>1.6477999999999999</v>
      </c>
      <c r="J242">
        <v>1.4881</v>
      </c>
    </row>
    <row r="243" spans="1:10" x14ac:dyDescent="0.25">
      <c r="A243">
        <v>27</v>
      </c>
      <c r="B243">
        <v>2013</v>
      </c>
      <c r="C243">
        <v>400517.97</v>
      </c>
      <c r="D243">
        <v>34967.08</v>
      </c>
      <c r="E243">
        <v>3300935</v>
      </c>
      <c r="F243">
        <v>0.12133470365214701</v>
      </c>
      <c r="G243">
        <v>1.0593083474833599E-2</v>
      </c>
      <c r="H243">
        <v>1.9809000000000001</v>
      </c>
      <c r="I243">
        <v>1.6656</v>
      </c>
      <c r="J243">
        <v>1.5628</v>
      </c>
    </row>
    <row r="244" spans="1:10" x14ac:dyDescent="0.25">
      <c r="A244">
        <v>27</v>
      </c>
      <c r="B244">
        <v>2014</v>
      </c>
      <c r="C244">
        <v>441612.03</v>
      </c>
      <c r="D244">
        <v>35657.589999999997</v>
      </c>
      <c r="E244">
        <v>3321730</v>
      </c>
      <c r="F244">
        <v>0.132946395402395</v>
      </c>
      <c r="G244">
        <v>1.0734644296797101E-2</v>
      </c>
      <c r="H244">
        <v>1.9323999999999999</v>
      </c>
      <c r="I244">
        <v>1.6295999999999999</v>
      </c>
      <c r="J244">
        <v>1.5846</v>
      </c>
    </row>
    <row r="245" spans="1:10" x14ac:dyDescent="0.25">
      <c r="A245">
        <v>27</v>
      </c>
      <c r="B245">
        <v>2015</v>
      </c>
      <c r="C245">
        <v>425872.69</v>
      </c>
      <c r="D245">
        <v>58705</v>
      </c>
      <c r="E245">
        <v>3340932</v>
      </c>
      <c r="F245">
        <v>0.12747122359868401</v>
      </c>
      <c r="G245">
        <v>1.7571444135947599E-2</v>
      </c>
      <c r="H245">
        <v>1.9672000000000001</v>
      </c>
      <c r="I245">
        <v>1.5365</v>
      </c>
      <c r="J245">
        <v>1.6238999999999999</v>
      </c>
    </row>
    <row r="246" spans="1:10" x14ac:dyDescent="0.25">
      <c r="A246">
        <v>27</v>
      </c>
      <c r="B246">
        <v>2016</v>
      </c>
      <c r="C246">
        <v>453962.27</v>
      </c>
      <c r="D246">
        <v>31762</v>
      </c>
      <c r="E246">
        <v>3358963</v>
      </c>
      <c r="F246">
        <v>0.13514952978047001</v>
      </c>
      <c r="G246">
        <v>9.4558945722236203E-3</v>
      </c>
      <c r="H246">
        <v>2.0699000000000001</v>
      </c>
      <c r="I246">
        <v>1.7632000000000001</v>
      </c>
      <c r="J246">
        <v>1.6482000000000001</v>
      </c>
    </row>
    <row r="247" spans="1:10" x14ac:dyDescent="0.25">
      <c r="A247">
        <v>27</v>
      </c>
      <c r="B247">
        <v>2017</v>
      </c>
      <c r="C247">
        <v>455660.7</v>
      </c>
      <c r="D247">
        <v>35056.879999999997</v>
      </c>
      <c r="E247">
        <v>3375823</v>
      </c>
      <c r="F247">
        <v>0.134977663224641</v>
      </c>
      <c r="G247">
        <v>1.03846913774803E-2</v>
      </c>
      <c r="H247">
        <v>2.0636999999999999</v>
      </c>
      <c r="I247">
        <v>1.7126999999999999</v>
      </c>
      <c r="J247">
        <v>1.6700999999999999</v>
      </c>
    </row>
    <row r="248" spans="1:10" x14ac:dyDescent="0.25">
      <c r="A248">
        <v>27</v>
      </c>
      <c r="B248">
        <v>2018</v>
      </c>
      <c r="C248">
        <v>417718.71</v>
      </c>
      <c r="D248">
        <v>77575.13</v>
      </c>
      <c r="E248">
        <v>3322820</v>
      </c>
      <c r="F248">
        <v>0.12571210899176</v>
      </c>
      <c r="G248">
        <v>2.3346172829102899E-2</v>
      </c>
      <c r="H248">
        <v>2.3275000000000001</v>
      </c>
      <c r="I248">
        <v>1.7789999999999999</v>
      </c>
      <c r="J248">
        <v>1.8405</v>
      </c>
    </row>
    <row r="249" spans="1:10" x14ac:dyDescent="0.25">
      <c r="A249">
        <v>27</v>
      </c>
      <c r="B249">
        <v>2019</v>
      </c>
      <c r="C249">
        <v>437071.22</v>
      </c>
      <c r="D249">
        <v>73609.02</v>
      </c>
      <c r="E249">
        <v>3337357</v>
      </c>
      <c r="F249">
        <v>0.13096328022444101</v>
      </c>
      <c r="G249">
        <v>2.2056082103293101E-2</v>
      </c>
      <c r="H249">
        <v>2.2214999999999998</v>
      </c>
      <c r="I249">
        <v>1.7399</v>
      </c>
      <c r="J249">
        <v>1.8431</v>
      </c>
    </row>
    <row r="250" spans="1:10" x14ac:dyDescent="0.25">
      <c r="A250">
        <v>27</v>
      </c>
      <c r="B250">
        <v>2020</v>
      </c>
      <c r="C250">
        <v>423867.37</v>
      </c>
      <c r="D250">
        <v>64922.41</v>
      </c>
      <c r="E250">
        <v>3351543</v>
      </c>
      <c r="F250">
        <v>0.126469321742254</v>
      </c>
      <c r="G250">
        <v>1.9370901701096999E-2</v>
      </c>
      <c r="H250">
        <v>2.0737000000000001</v>
      </c>
      <c r="I250">
        <v>1.6364000000000001</v>
      </c>
      <c r="J250">
        <v>1.6834</v>
      </c>
    </row>
    <row r="251" spans="1:10" x14ac:dyDescent="0.25">
      <c r="A251">
        <v>27</v>
      </c>
      <c r="B251">
        <v>2021</v>
      </c>
      <c r="C251">
        <v>439772.33</v>
      </c>
      <c r="D251">
        <v>69661.78</v>
      </c>
      <c r="E251">
        <v>3365351</v>
      </c>
      <c r="F251">
        <v>0.13067651190024401</v>
      </c>
      <c r="G251">
        <v>2.0699707103359999E-2</v>
      </c>
      <c r="H251">
        <v>2.5036999999999998</v>
      </c>
      <c r="I251">
        <v>2.0636000000000001</v>
      </c>
      <c r="J251">
        <v>2.0550999999999999</v>
      </c>
    </row>
    <row r="252" spans="1:10" x14ac:dyDescent="0.25">
      <c r="A252">
        <v>27</v>
      </c>
      <c r="B252">
        <v>2022</v>
      </c>
      <c r="C252">
        <v>466946.34</v>
      </c>
      <c r="D252">
        <v>67536.72</v>
      </c>
      <c r="E252">
        <v>3365351</v>
      </c>
      <c r="F252">
        <v>0.13875115552582701</v>
      </c>
      <c r="G252">
        <v>2.00682543960496E-2</v>
      </c>
      <c r="H252">
        <v>2.4756999999999998</v>
      </c>
      <c r="I252">
        <v>1.9547000000000001</v>
      </c>
      <c r="J252">
        <v>2.6938</v>
      </c>
    </row>
    <row r="253" spans="1:10" x14ac:dyDescent="0.25">
      <c r="A253">
        <v>27</v>
      </c>
      <c r="B253">
        <v>2023</v>
      </c>
      <c r="C253">
        <v>505126.35</v>
      </c>
      <c r="D253">
        <v>64380.85</v>
      </c>
      <c r="E253">
        <v>3365351</v>
      </c>
      <c r="F253">
        <v>0.150096186103618</v>
      </c>
      <c r="G253">
        <v>1.9130500800659402E-2</v>
      </c>
      <c r="H253">
        <v>2.1425000000000001</v>
      </c>
      <c r="I253">
        <v>1.629</v>
      </c>
      <c r="J253">
        <v>2.2698999999999998</v>
      </c>
    </row>
    <row r="254" spans="1:10" x14ac:dyDescent="0.25">
      <c r="A254">
        <v>28</v>
      </c>
      <c r="B254">
        <v>2006</v>
      </c>
      <c r="C254">
        <v>170814.53</v>
      </c>
      <c r="D254">
        <v>12774.68</v>
      </c>
      <c r="E254">
        <v>2000738</v>
      </c>
      <c r="F254">
        <v>8.5375761344063994E-2</v>
      </c>
      <c r="G254">
        <v>6.3849839409257899E-3</v>
      </c>
      <c r="H254">
        <v>2.5499999999999998</v>
      </c>
      <c r="I254">
        <v>2.0499999999999998</v>
      </c>
      <c r="J254">
        <v>1.86</v>
      </c>
    </row>
    <row r="255" spans="1:10" x14ac:dyDescent="0.25">
      <c r="A255">
        <v>28</v>
      </c>
      <c r="B255">
        <v>2007</v>
      </c>
      <c r="C255">
        <v>176382.29</v>
      </c>
      <c r="D255">
        <v>16849.14</v>
      </c>
      <c r="E255">
        <v>2000056</v>
      </c>
      <c r="F255">
        <v>8.8188675717079903E-2</v>
      </c>
      <c r="G255">
        <v>8.4243341186446708E-3</v>
      </c>
      <c r="H255">
        <v>2.4123999999999999</v>
      </c>
      <c r="I255">
        <v>1.8189</v>
      </c>
      <c r="J255">
        <v>1.7806</v>
      </c>
    </row>
    <row r="256" spans="1:10" x14ac:dyDescent="0.25">
      <c r="A256">
        <v>28</v>
      </c>
      <c r="B256">
        <v>2008</v>
      </c>
      <c r="C256">
        <v>197333.27</v>
      </c>
      <c r="D256">
        <v>29434.48</v>
      </c>
      <c r="E256">
        <v>1999374</v>
      </c>
      <c r="F256">
        <v>9.8697527326052997E-2</v>
      </c>
      <c r="G256">
        <v>1.4721847938404699E-2</v>
      </c>
      <c r="H256">
        <v>2.278</v>
      </c>
      <c r="I256">
        <v>1.6543000000000001</v>
      </c>
      <c r="J256">
        <v>1.8260000000000001</v>
      </c>
    </row>
    <row r="257" spans="1:10" x14ac:dyDescent="0.25">
      <c r="A257">
        <v>28</v>
      </c>
      <c r="B257">
        <v>2009</v>
      </c>
      <c r="C257">
        <v>210071.2</v>
      </c>
      <c r="D257">
        <v>52496.42</v>
      </c>
      <c r="E257">
        <v>2019679</v>
      </c>
      <c r="F257">
        <v>0.104012172231329</v>
      </c>
      <c r="G257">
        <v>2.59924572172112E-2</v>
      </c>
      <c r="H257">
        <v>2.2099000000000002</v>
      </c>
      <c r="I257">
        <v>1.5339</v>
      </c>
      <c r="J257">
        <v>1.7679</v>
      </c>
    </row>
    <row r="258" spans="1:10" x14ac:dyDescent="0.25">
      <c r="A258">
        <v>28</v>
      </c>
      <c r="B258">
        <v>2010</v>
      </c>
      <c r="C258">
        <v>259063.29</v>
      </c>
      <c r="D258">
        <v>39229.339999999997</v>
      </c>
      <c r="E258">
        <v>2054749</v>
      </c>
      <c r="F258">
        <v>0.126080260898046</v>
      </c>
      <c r="G258">
        <v>1.9092035085550501E-2</v>
      </c>
      <c r="H258">
        <v>2.1356999999999999</v>
      </c>
      <c r="I258">
        <v>1.5791999999999999</v>
      </c>
      <c r="J258">
        <v>1.6202000000000001</v>
      </c>
    </row>
    <row r="259" spans="1:10" x14ac:dyDescent="0.25">
      <c r="A259">
        <v>28</v>
      </c>
      <c r="B259">
        <v>2011</v>
      </c>
      <c r="C259">
        <v>298401.15000000002</v>
      </c>
      <c r="D259">
        <v>25245.97</v>
      </c>
      <c r="E259">
        <v>2089819</v>
      </c>
      <c r="F259">
        <v>0.14278803571026899</v>
      </c>
      <c r="G259">
        <v>1.20804576855698E-2</v>
      </c>
      <c r="H259">
        <v>2.0975000000000001</v>
      </c>
      <c r="I259">
        <v>1.7057</v>
      </c>
      <c r="J259">
        <v>1.5597000000000001</v>
      </c>
    </row>
    <row r="260" spans="1:10" x14ac:dyDescent="0.25">
      <c r="A260">
        <v>28</v>
      </c>
      <c r="B260">
        <v>2012</v>
      </c>
      <c r="C260">
        <v>340092.12</v>
      </c>
      <c r="D260">
        <v>21122.42</v>
      </c>
      <c r="E260">
        <v>2110867</v>
      </c>
      <c r="F260">
        <v>0.16111489733839199</v>
      </c>
      <c r="G260">
        <v>1.0006513911108499E-2</v>
      </c>
      <c r="H260">
        <v>1.9963</v>
      </c>
      <c r="I260">
        <v>1.6624000000000001</v>
      </c>
      <c r="J260">
        <v>1.5244</v>
      </c>
    </row>
    <row r="261" spans="1:10" x14ac:dyDescent="0.25">
      <c r="A261">
        <v>28</v>
      </c>
      <c r="B261">
        <v>2013</v>
      </c>
      <c r="C261">
        <v>366897.07</v>
      </c>
      <c r="D261">
        <v>20763.23</v>
      </c>
      <c r="E261">
        <v>2195662</v>
      </c>
      <c r="F261">
        <v>0.16710088802374801</v>
      </c>
      <c r="G261">
        <v>9.4564782739784102E-3</v>
      </c>
      <c r="H261">
        <v>1.974</v>
      </c>
      <c r="I261">
        <v>1.6998</v>
      </c>
      <c r="J261">
        <v>1.6039000000000001</v>
      </c>
    </row>
    <row r="262" spans="1:10" x14ac:dyDescent="0.25">
      <c r="A262">
        <v>28</v>
      </c>
      <c r="B262">
        <v>2014</v>
      </c>
      <c r="C262">
        <v>403098.47</v>
      </c>
      <c r="D262">
        <v>21510.9</v>
      </c>
      <c r="E262">
        <v>2219574</v>
      </c>
      <c r="F262">
        <v>0.181610737015301</v>
      </c>
      <c r="G262">
        <v>9.6914543060965704E-3</v>
      </c>
      <c r="H262">
        <v>1.8936999999999999</v>
      </c>
      <c r="I262">
        <v>1.6103000000000001</v>
      </c>
      <c r="J262">
        <v>1.5973999999999999</v>
      </c>
    </row>
    <row r="263" spans="1:10" x14ac:dyDescent="0.25">
      <c r="A263">
        <v>28</v>
      </c>
      <c r="B263">
        <v>2015</v>
      </c>
      <c r="C263">
        <v>390746.96</v>
      </c>
      <c r="D263">
        <v>45478.3</v>
      </c>
      <c r="E263">
        <v>2242937</v>
      </c>
      <c r="F263">
        <v>0.17421218696735499</v>
      </c>
      <c r="G263">
        <v>2.02762271075826E-2</v>
      </c>
      <c r="H263">
        <v>1.9614</v>
      </c>
      <c r="I263">
        <v>1.5424</v>
      </c>
      <c r="J263">
        <v>1.6238999999999999</v>
      </c>
    </row>
    <row r="264" spans="1:10" x14ac:dyDescent="0.25">
      <c r="A264">
        <v>28</v>
      </c>
      <c r="B264">
        <v>2016</v>
      </c>
      <c r="C264">
        <v>398251.99</v>
      </c>
      <c r="D264">
        <v>25192.3</v>
      </c>
      <c r="E264">
        <v>2265779</v>
      </c>
      <c r="F264">
        <v>0.17576824129802501</v>
      </c>
      <c r="G264">
        <v>1.1118604241631601E-2</v>
      </c>
      <c r="H264">
        <v>2.0150999999999999</v>
      </c>
      <c r="I264">
        <v>1.7194</v>
      </c>
      <c r="J264">
        <v>1.6427</v>
      </c>
    </row>
    <row r="265" spans="1:10" x14ac:dyDescent="0.25">
      <c r="A265">
        <v>28</v>
      </c>
      <c r="B265">
        <v>2017</v>
      </c>
      <c r="C265">
        <v>401427.9</v>
      </c>
      <c r="D265">
        <v>22413.35</v>
      </c>
      <c r="E265">
        <v>2288116</v>
      </c>
      <c r="F265">
        <v>0.175440362289324</v>
      </c>
      <c r="G265">
        <v>9.7955479529883895E-3</v>
      </c>
      <c r="H265">
        <v>1.9733000000000001</v>
      </c>
      <c r="I265">
        <v>1.6808000000000001</v>
      </c>
      <c r="J265">
        <v>1.6435</v>
      </c>
    </row>
    <row r="266" spans="1:10" x14ac:dyDescent="0.25">
      <c r="A266">
        <v>28</v>
      </c>
      <c r="B266">
        <v>2018</v>
      </c>
      <c r="C266">
        <v>370116.04</v>
      </c>
      <c r="D266">
        <v>48435.7</v>
      </c>
      <c r="E266">
        <v>2278308</v>
      </c>
      <c r="F266">
        <v>0.16245215308904601</v>
      </c>
      <c r="G266">
        <v>2.1259504860624601E-2</v>
      </c>
      <c r="H266">
        <v>2.266</v>
      </c>
      <c r="I266">
        <v>1.7995000000000001</v>
      </c>
      <c r="J266">
        <v>1.8046</v>
      </c>
    </row>
    <row r="267" spans="1:10" x14ac:dyDescent="0.25">
      <c r="A267">
        <v>28</v>
      </c>
      <c r="B267">
        <v>2019</v>
      </c>
      <c r="C267">
        <v>380080.42</v>
      </c>
      <c r="D267">
        <v>54119.38</v>
      </c>
      <c r="E267">
        <v>2298696</v>
      </c>
      <c r="F267">
        <v>0.16534610057180199</v>
      </c>
      <c r="G267">
        <v>2.3543513365838702E-2</v>
      </c>
      <c r="H267">
        <v>2.1576</v>
      </c>
      <c r="I267">
        <v>1.7103999999999999</v>
      </c>
      <c r="J267">
        <v>1.7791999999999999</v>
      </c>
    </row>
    <row r="268" spans="1:10" x14ac:dyDescent="0.25">
      <c r="A268">
        <v>28</v>
      </c>
      <c r="B268">
        <v>2020</v>
      </c>
      <c r="C268">
        <v>357524.12</v>
      </c>
      <c r="D268">
        <v>40584.870000000003</v>
      </c>
      <c r="E268">
        <v>2318822</v>
      </c>
      <c r="F268">
        <v>0.154183512145391</v>
      </c>
      <c r="G268">
        <v>1.75023654252029E-2</v>
      </c>
      <c r="H268">
        <v>2.0783999999999998</v>
      </c>
      <c r="I268">
        <v>1.6598999999999999</v>
      </c>
      <c r="J268">
        <v>1.6457999999999999</v>
      </c>
    </row>
    <row r="269" spans="1:10" x14ac:dyDescent="0.25">
      <c r="A269">
        <v>28</v>
      </c>
      <c r="B269">
        <v>2021</v>
      </c>
      <c r="C269">
        <v>366043.71</v>
      </c>
      <c r="D269">
        <v>36890.18</v>
      </c>
      <c r="E269">
        <v>2338474</v>
      </c>
      <c r="F269">
        <v>0.15653101552550899</v>
      </c>
      <c r="G269">
        <v>1.57753218551927E-2</v>
      </c>
      <c r="H269">
        <v>2.4866000000000001</v>
      </c>
      <c r="I269">
        <v>2.0764</v>
      </c>
      <c r="J269">
        <v>2.0209000000000001</v>
      </c>
    </row>
    <row r="270" spans="1:10" x14ac:dyDescent="0.25">
      <c r="A270">
        <v>28</v>
      </c>
      <c r="B270">
        <v>2022</v>
      </c>
      <c r="C270">
        <v>381713.74</v>
      </c>
      <c r="D270">
        <v>32982.17</v>
      </c>
      <c r="E270">
        <v>2338474</v>
      </c>
      <c r="F270">
        <v>0.163231979487477</v>
      </c>
      <c r="G270">
        <v>1.41041422739786E-2</v>
      </c>
      <c r="H270">
        <v>2.4554999999999998</v>
      </c>
      <c r="I270">
        <v>1.9911000000000001</v>
      </c>
      <c r="J270">
        <v>2.6453000000000002</v>
      </c>
    </row>
    <row r="271" spans="1:10" x14ac:dyDescent="0.25">
      <c r="A271">
        <v>28</v>
      </c>
      <c r="B271">
        <v>2023</v>
      </c>
      <c r="C271">
        <v>418885.73</v>
      </c>
      <c r="D271">
        <v>33878.36</v>
      </c>
      <c r="E271">
        <v>2338474</v>
      </c>
      <c r="F271">
        <v>0.17912781155574101</v>
      </c>
      <c r="G271">
        <v>1.44873793764651E-2</v>
      </c>
      <c r="H271">
        <v>2.1617999999999999</v>
      </c>
      <c r="I271">
        <v>1.7023999999999999</v>
      </c>
      <c r="J271">
        <v>2.1232000000000002</v>
      </c>
    </row>
    <row r="272" spans="1:10" x14ac:dyDescent="0.25">
      <c r="A272">
        <v>29</v>
      </c>
      <c r="B272">
        <v>2006</v>
      </c>
      <c r="C272">
        <v>1006425.23</v>
      </c>
      <c r="D272">
        <v>95525.759999999995</v>
      </c>
      <c r="E272">
        <v>13950146</v>
      </c>
      <c r="F272">
        <v>7.2144422717869694E-2</v>
      </c>
      <c r="G272">
        <v>6.8476530639894296E-3</v>
      </c>
      <c r="H272">
        <v>2.64</v>
      </c>
      <c r="I272">
        <v>1.86</v>
      </c>
      <c r="J272">
        <v>1.84</v>
      </c>
    </row>
    <row r="273" spans="1:10" x14ac:dyDescent="0.25">
      <c r="A273">
        <v>29</v>
      </c>
      <c r="B273">
        <v>2007</v>
      </c>
      <c r="C273">
        <v>988911.79</v>
      </c>
      <c r="D273">
        <v>173953.49</v>
      </c>
      <c r="E273">
        <v>14226354</v>
      </c>
      <c r="F273">
        <v>6.9512665718848204E-2</v>
      </c>
      <c r="G273">
        <v>1.22275524705767E-2</v>
      </c>
      <c r="H273">
        <v>2.4986000000000002</v>
      </c>
      <c r="I273">
        <v>1.6177999999999999</v>
      </c>
      <c r="J273">
        <v>1.7519</v>
      </c>
    </row>
    <row r="274" spans="1:10" x14ac:dyDescent="0.25">
      <c r="A274">
        <v>29</v>
      </c>
      <c r="B274">
        <v>2008</v>
      </c>
      <c r="C274">
        <v>1050094.3999999999</v>
      </c>
      <c r="D274">
        <v>369506.46</v>
      </c>
      <c r="E274">
        <v>14502563</v>
      </c>
      <c r="F274">
        <v>7.2407504797600206E-2</v>
      </c>
      <c r="G274">
        <v>2.5478700557963401E-2</v>
      </c>
      <c r="H274">
        <v>2.3683999999999998</v>
      </c>
      <c r="I274">
        <v>1.5367</v>
      </c>
      <c r="J274">
        <v>1.8079000000000001</v>
      </c>
    </row>
    <row r="275" spans="1:10" x14ac:dyDescent="0.25">
      <c r="A275">
        <v>29</v>
      </c>
      <c r="B275">
        <v>2009</v>
      </c>
      <c r="C275">
        <v>1056462.81</v>
      </c>
      <c r="D275">
        <v>541169.67000000004</v>
      </c>
      <c r="E275">
        <v>14637364</v>
      </c>
      <c r="F275">
        <v>7.2175755825980695E-2</v>
      </c>
      <c r="G275">
        <v>3.6971798337460199E-2</v>
      </c>
      <c r="H275">
        <v>2.2879</v>
      </c>
      <c r="I275">
        <v>1.4993000000000001</v>
      </c>
      <c r="J275">
        <v>1.7419</v>
      </c>
    </row>
    <row r="276" spans="1:10" x14ac:dyDescent="0.25">
      <c r="A276">
        <v>29</v>
      </c>
      <c r="B276">
        <v>2010</v>
      </c>
      <c r="C276">
        <v>1273406.05</v>
      </c>
      <c r="D276">
        <v>498360.45</v>
      </c>
      <c r="E276">
        <v>14367449</v>
      </c>
      <c r="F276">
        <v>8.8631325574915903E-2</v>
      </c>
      <c r="G276">
        <v>3.4686773553189498E-2</v>
      </c>
      <c r="H276">
        <v>2.2174999999999998</v>
      </c>
      <c r="I276">
        <v>1.5383</v>
      </c>
      <c r="J276">
        <v>1.5873999999999999</v>
      </c>
    </row>
    <row r="277" spans="1:10" x14ac:dyDescent="0.25">
      <c r="A277">
        <v>29</v>
      </c>
      <c r="B277">
        <v>2011</v>
      </c>
      <c r="C277">
        <v>1588825.7</v>
      </c>
      <c r="D277">
        <v>254228.59</v>
      </c>
      <c r="E277">
        <v>14097534</v>
      </c>
      <c r="F277">
        <v>0.11270238468657</v>
      </c>
      <c r="G277">
        <v>1.8033550406759E-2</v>
      </c>
      <c r="H277">
        <v>2.1128999999999998</v>
      </c>
      <c r="I277">
        <v>1.6134999999999999</v>
      </c>
      <c r="J277">
        <v>1.4904999999999999</v>
      </c>
    </row>
    <row r="278" spans="1:10" x14ac:dyDescent="0.25">
      <c r="A278">
        <v>29</v>
      </c>
      <c r="B278">
        <v>2012</v>
      </c>
      <c r="C278">
        <v>1842729.92</v>
      </c>
      <c r="D278">
        <v>197612.31</v>
      </c>
      <c r="E278">
        <v>14175341</v>
      </c>
      <c r="F278">
        <v>0.12999545619396299</v>
      </c>
      <c r="G278">
        <v>1.39405683432941E-2</v>
      </c>
      <c r="H278">
        <v>1.9818</v>
      </c>
      <c r="I278">
        <v>1.5317000000000001</v>
      </c>
      <c r="J278">
        <v>1.4518</v>
      </c>
    </row>
    <row r="279" spans="1:10" x14ac:dyDescent="0.25">
      <c r="A279">
        <v>29</v>
      </c>
      <c r="B279">
        <v>2013</v>
      </c>
      <c r="C279">
        <v>1943731.38</v>
      </c>
      <c r="D279">
        <v>245539.53</v>
      </c>
      <c r="E279">
        <v>15044137</v>
      </c>
      <c r="F279">
        <v>0.12920191965813599</v>
      </c>
      <c r="G279">
        <v>1.6321277185922901E-2</v>
      </c>
      <c r="H279">
        <v>1.9877</v>
      </c>
      <c r="I279">
        <v>1.5353000000000001</v>
      </c>
      <c r="J279">
        <v>1.5628</v>
      </c>
    </row>
    <row r="280" spans="1:10" x14ac:dyDescent="0.25">
      <c r="A280">
        <v>29</v>
      </c>
      <c r="B280">
        <v>2014</v>
      </c>
      <c r="C280">
        <v>2145017.1800000002</v>
      </c>
      <c r="D280">
        <v>271186.74</v>
      </c>
      <c r="E280">
        <v>15126371</v>
      </c>
      <c r="F280">
        <v>0.14180646369178701</v>
      </c>
      <c r="G280">
        <v>1.7928076734333699E-2</v>
      </c>
      <c r="H280">
        <v>1.9453</v>
      </c>
      <c r="I280">
        <v>1.5266</v>
      </c>
      <c r="J280">
        <v>1.5781000000000001</v>
      </c>
    </row>
    <row r="281" spans="1:10" x14ac:dyDescent="0.25">
      <c r="A281">
        <v>29</v>
      </c>
      <c r="B281">
        <v>2015</v>
      </c>
      <c r="C281">
        <v>2050793.53</v>
      </c>
      <c r="D281">
        <v>508118.76</v>
      </c>
      <c r="E281">
        <v>15203334</v>
      </c>
      <c r="F281">
        <v>0.134891039689057</v>
      </c>
      <c r="G281">
        <v>3.3421535039616902E-2</v>
      </c>
      <c r="H281">
        <v>2.0487000000000002</v>
      </c>
      <c r="I281">
        <v>1.5016</v>
      </c>
      <c r="J281">
        <v>1.6180000000000001</v>
      </c>
    </row>
    <row r="282" spans="1:10" x14ac:dyDescent="0.25">
      <c r="A282">
        <v>29</v>
      </c>
      <c r="B282">
        <v>2016</v>
      </c>
      <c r="C282">
        <v>2210592.7599999998</v>
      </c>
      <c r="D282">
        <v>306047.15000000002</v>
      </c>
      <c r="E282">
        <v>15276566</v>
      </c>
      <c r="F282">
        <v>0.144704821751171</v>
      </c>
      <c r="G282">
        <v>2.00337660963858E-2</v>
      </c>
      <c r="H282">
        <v>2.0699000000000001</v>
      </c>
      <c r="I282">
        <v>1.6482000000000001</v>
      </c>
      <c r="J282">
        <v>1.6317999999999999</v>
      </c>
    </row>
    <row r="283" spans="1:10" x14ac:dyDescent="0.25">
      <c r="A283">
        <v>29</v>
      </c>
      <c r="B283">
        <v>2017</v>
      </c>
      <c r="C283">
        <v>2251135.71</v>
      </c>
      <c r="D283">
        <v>277356.95</v>
      </c>
      <c r="E283">
        <v>15344447</v>
      </c>
      <c r="F283">
        <v>0.14670686470486599</v>
      </c>
      <c r="G283">
        <v>1.8075395613800799E-2</v>
      </c>
      <c r="H283">
        <v>2.0318000000000001</v>
      </c>
      <c r="I283">
        <v>1.6063000000000001</v>
      </c>
      <c r="J283">
        <v>1.6329</v>
      </c>
    </row>
    <row r="284" spans="1:10" x14ac:dyDescent="0.25">
      <c r="A284">
        <v>29</v>
      </c>
      <c r="B284">
        <v>2018</v>
      </c>
      <c r="C284">
        <v>2010769.64</v>
      </c>
      <c r="D284">
        <v>501277.13</v>
      </c>
      <c r="E284">
        <v>14812617</v>
      </c>
      <c r="F284">
        <v>0.13574708912003799</v>
      </c>
      <c r="G284">
        <v>3.3841226705584801E-2</v>
      </c>
      <c r="H284">
        <v>2.3121</v>
      </c>
      <c r="I284">
        <v>1.7379</v>
      </c>
      <c r="J284">
        <v>1.7841</v>
      </c>
    </row>
    <row r="285" spans="1:10" x14ac:dyDescent="0.25">
      <c r="A285">
        <v>29</v>
      </c>
      <c r="B285">
        <v>2019</v>
      </c>
      <c r="C285">
        <v>2043682.94</v>
      </c>
      <c r="D285">
        <v>594999.6</v>
      </c>
      <c r="E285">
        <v>14873064</v>
      </c>
      <c r="F285">
        <v>0.13740833361572299</v>
      </c>
      <c r="G285">
        <v>4.0005179833825698E-2</v>
      </c>
      <c r="H285">
        <v>2.2363</v>
      </c>
      <c r="I285">
        <v>1.6907000000000001</v>
      </c>
      <c r="J285">
        <v>1.7595000000000001</v>
      </c>
    </row>
    <row r="286" spans="1:10" x14ac:dyDescent="0.25">
      <c r="A286">
        <v>29</v>
      </c>
      <c r="B286">
        <v>2020</v>
      </c>
      <c r="C286">
        <v>2001075.8</v>
      </c>
      <c r="D286">
        <v>494275.91</v>
      </c>
      <c r="E286">
        <v>14930634</v>
      </c>
      <c r="F286">
        <v>0.13402483779322399</v>
      </c>
      <c r="G286">
        <v>3.3104817250225203E-2</v>
      </c>
      <c r="H286">
        <v>2.0455000000000001</v>
      </c>
      <c r="I286">
        <v>1.5659000000000001</v>
      </c>
      <c r="J286">
        <v>1.5941000000000001</v>
      </c>
    </row>
    <row r="287" spans="1:10" x14ac:dyDescent="0.25">
      <c r="A287">
        <v>29</v>
      </c>
      <c r="B287">
        <v>2021</v>
      </c>
      <c r="C287">
        <v>2064159.04</v>
      </c>
      <c r="D287">
        <v>465818.99</v>
      </c>
      <c r="E287">
        <v>14985284</v>
      </c>
      <c r="F287">
        <v>0.13774574042106899</v>
      </c>
      <c r="G287">
        <v>3.1085095884735899E-2</v>
      </c>
      <c r="H287">
        <v>2.5122</v>
      </c>
      <c r="I287">
        <v>2.0421999999999998</v>
      </c>
      <c r="J287">
        <v>1.9568000000000001</v>
      </c>
    </row>
    <row r="288" spans="1:10" x14ac:dyDescent="0.25">
      <c r="A288">
        <v>29</v>
      </c>
      <c r="B288">
        <v>2022</v>
      </c>
      <c r="C288">
        <v>2148656.52</v>
      </c>
      <c r="D288">
        <v>465908.84</v>
      </c>
      <c r="E288">
        <v>14985284</v>
      </c>
      <c r="F288">
        <v>0.143384437692338</v>
      </c>
      <c r="G288">
        <v>3.1091091767096301E-2</v>
      </c>
      <c r="H288">
        <v>2.617</v>
      </c>
      <c r="I288">
        <v>2.0274000000000001</v>
      </c>
      <c r="J288">
        <v>2.7342</v>
      </c>
    </row>
    <row r="289" spans="1:10" x14ac:dyDescent="0.25">
      <c r="A289">
        <v>29</v>
      </c>
      <c r="B289">
        <v>2023</v>
      </c>
      <c r="C289">
        <v>2336946.25</v>
      </c>
      <c r="D289">
        <v>472202.86</v>
      </c>
      <c r="E289">
        <v>14985284</v>
      </c>
      <c r="F289">
        <v>0.15594941343787599</v>
      </c>
      <c r="G289">
        <v>3.1511105161570498E-2</v>
      </c>
      <c r="H289">
        <v>2.2273999999999998</v>
      </c>
      <c r="I289">
        <v>1.6831</v>
      </c>
      <c r="J289">
        <v>2.2081</v>
      </c>
    </row>
    <row r="290" spans="1:10" x14ac:dyDescent="0.25">
      <c r="A290">
        <v>31</v>
      </c>
      <c r="B290">
        <v>2006</v>
      </c>
      <c r="C290">
        <v>2698050.56</v>
      </c>
      <c r="D290">
        <v>371414.32</v>
      </c>
      <c r="E290">
        <v>19479356</v>
      </c>
      <c r="F290">
        <v>0.138508201195152</v>
      </c>
      <c r="G290">
        <v>1.9067073880676501E-2</v>
      </c>
      <c r="H290">
        <v>2.4900000000000002</v>
      </c>
      <c r="I290">
        <v>1.91</v>
      </c>
      <c r="J290">
        <v>1.83</v>
      </c>
    </row>
    <row r="291" spans="1:10" x14ac:dyDescent="0.25">
      <c r="A291">
        <v>31</v>
      </c>
      <c r="B291">
        <v>2007</v>
      </c>
      <c r="C291">
        <v>2827568.22</v>
      </c>
      <c r="D291">
        <v>602743.94999999995</v>
      </c>
      <c r="E291">
        <v>19664708</v>
      </c>
      <c r="F291">
        <v>0.143788975661372</v>
      </c>
      <c r="G291">
        <v>3.0651050094412699E-2</v>
      </c>
      <c r="H291">
        <v>2.355</v>
      </c>
      <c r="I291">
        <v>1.6177999999999999</v>
      </c>
      <c r="J291">
        <v>1.7423</v>
      </c>
    </row>
    <row r="292" spans="1:10" x14ac:dyDescent="0.25">
      <c r="A292">
        <v>31</v>
      </c>
      <c r="B292">
        <v>2008</v>
      </c>
      <c r="C292">
        <v>2924880.57</v>
      </c>
      <c r="D292">
        <v>957199.81</v>
      </c>
      <c r="E292">
        <v>19850060</v>
      </c>
      <c r="F292">
        <v>0.14734870171677</v>
      </c>
      <c r="G292">
        <v>4.8221507139021201E-2</v>
      </c>
      <c r="H292">
        <v>2.2147000000000001</v>
      </c>
      <c r="I292">
        <v>1.4735</v>
      </c>
      <c r="J292">
        <v>1.7899</v>
      </c>
    </row>
    <row r="293" spans="1:10" x14ac:dyDescent="0.25">
      <c r="A293">
        <v>31</v>
      </c>
      <c r="B293">
        <v>2009</v>
      </c>
      <c r="C293">
        <v>3008093.69</v>
      </c>
      <c r="D293">
        <v>1204429.53</v>
      </c>
      <c r="E293">
        <v>20033665</v>
      </c>
      <c r="F293">
        <v>0.150151941244899</v>
      </c>
      <c r="G293">
        <v>6.0120279040305397E-2</v>
      </c>
      <c r="H293">
        <v>2.1145</v>
      </c>
      <c r="I293">
        <v>1.4298999999999999</v>
      </c>
      <c r="J293">
        <v>1.7332000000000001</v>
      </c>
    </row>
    <row r="294" spans="1:10" x14ac:dyDescent="0.25">
      <c r="A294">
        <v>31</v>
      </c>
      <c r="B294">
        <v>2010</v>
      </c>
      <c r="C294">
        <v>3677903.76</v>
      </c>
      <c r="D294">
        <v>838161.04</v>
      </c>
      <c r="E294">
        <v>19881183</v>
      </c>
      <c r="F294">
        <v>0.184994210857573</v>
      </c>
      <c r="G294">
        <v>4.2158509380452798E-2</v>
      </c>
      <c r="H294">
        <v>2.0619999999999998</v>
      </c>
      <c r="I294">
        <v>1.5138</v>
      </c>
      <c r="J294">
        <v>1.5955999999999999</v>
      </c>
    </row>
    <row r="295" spans="1:10" x14ac:dyDescent="0.25">
      <c r="A295">
        <v>31</v>
      </c>
      <c r="B295">
        <v>2011</v>
      </c>
      <c r="C295">
        <v>4099918.36</v>
      </c>
      <c r="D295">
        <v>568764.81999999995</v>
      </c>
      <c r="E295">
        <v>19728701</v>
      </c>
      <c r="F295">
        <v>0.20781491695778601</v>
      </c>
      <c r="G295">
        <v>2.88293091369776E-2</v>
      </c>
      <c r="H295">
        <v>2.1436000000000002</v>
      </c>
      <c r="I295">
        <v>1.6518999999999999</v>
      </c>
      <c r="J295">
        <v>1.5213000000000001</v>
      </c>
    </row>
    <row r="296" spans="1:10" x14ac:dyDescent="0.25">
      <c r="A296">
        <v>31</v>
      </c>
      <c r="B296">
        <v>2012</v>
      </c>
      <c r="C296">
        <v>4459305.49</v>
      </c>
      <c r="D296">
        <v>524092.21</v>
      </c>
      <c r="E296">
        <v>19855332</v>
      </c>
      <c r="F296">
        <v>0.224589822522232</v>
      </c>
      <c r="G296">
        <v>2.63955399990289E-2</v>
      </c>
      <c r="H296">
        <v>2.0398000000000001</v>
      </c>
      <c r="I296">
        <v>1.5462</v>
      </c>
      <c r="J296">
        <v>1.5244</v>
      </c>
    </row>
    <row r="297" spans="1:10" x14ac:dyDescent="0.25">
      <c r="A297">
        <v>31</v>
      </c>
      <c r="B297">
        <v>2013</v>
      </c>
      <c r="C297">
        <v>4655426.5199999996</v>
      </c>
      <c r="D297">
        <v>726896.12</v>
      </c>
      <c r="E297">
        <v>20593356</v>
      </c>
      <c r="F297">
        <v>0.22606448992577899</v>
      </c>
      <c r="G297">
        <v>3.5297603751423497E-2</v>
      </c>
      <c r="H297">
        <v>1.9809000000000001</v>
      </c>
      <c r="I297">
        <v>1.4325000000000001</v>
      </c>
      <c r="J297">
        <v>1.6039000000000001</v>
      </c>
    </row>
    <row r="298" spans="1:10" x14ac:dyDescent="0.25">
      <c r="A298">
        <v>31</v>
      </c>
      <c r="B298">
        <v>2014</v>
      </c>
      <c r="C298">
        <v>4986074.28</v>
      </c>
      <c r="D298">
        <v>749658.98</v>
      </c>
      <c r="E298">
        <v>20734097</v>
      </c>
      <c r="F298">
        <v>0.240477040307084</v>
      </c>
      <c r="G298">
        <v>3.6155853809307401E-2</v>
      </c>
      <c r="H298">
        <v>1.9195</v>
      </c>
      <c r="I298">
        <v>1.4171</v>
      </c>
      <c r="J298">
        <v>1.6295999999999999</v>
      </c>
    </row>
    <row r="299" spans="1:10" x14ac:dyDescent="0.25">
      <c r="A299">
        <v>31</v>
      </c>
      <c r="B299">
        <v>2015</v>
      </c>
      <c r="C299">
        <v>4296429.03</v>
      </c>
      <c r="D299">
        <v>1789938.3</v>
      </c>
      <c r="E299">
        <v>20869101</v>
      </c>
      <c r="F299">
        <v>0.20587513712258099</v>
      </c>
      <c r="G299">
        <v>8.5769784716648798E-2</v>
      </c>
      <c r="H299">
        <v>1.9614</v>
      </c>
      <c r="I299">
        <v>1.3503000000000001</v>
      </c>
      <c r="J299">
        <v>1.6471</v>
      </c>
    </row>
    <row r="300" spans="1:10" x14ac:dyDescent="0.25">
      <c r="A300">
        <v>31</v>
      </c>
      <c r="B300">
        <v>2016</v>
      </c>
      <c r="C300">
        <v>4512741.38</v>
      </c>
      <c r="D300">
        <v>1447289.1</v>
      </c>
      <c r="E300">
        <v>20997560</v>
      </c>
      <c r="F300">
        <v>0.21491741802380801</v>
      </c>
      <c r="G300">
        <v>6.8926537178605501E-2</v>
      </c>
      <c r="H300">
        <v>2.0314999999999999</v>
      </c>
      <c r="I300">
        <v>1.4839</v>
      </c>
      <c r="J300">
        <v>1.6427</v>
      </c>
    </row>
    <row r="301" spans="1:10" x14ac:dyDescent="0.25">
      <c r="A301">
        <v>31</v>
      </c>
      <c r="B301">
        <v>2017</v>
      </c>
      <c r="C301">
        <v>4570210.88</v>
      </c>
      <c r="D301">
        <v>1468581.61</v>
      </c>
      <c r="E301">
        <v>21119536</v>
      </c>
      <c r="F301">
        <v>0.21639731478949101</v>
      </c>
      <c r="G301">
        <v>6.9536641808797303E-2</v>
      </c>
      <c r="H301">
        <v>2.0478000000000001</v>
      </c>
      <c r="I301">
        <v>1.4626999999999999</v>
      </c>
      <c r="J301">
        <v>1.6648000000000001</v>
      </c>
    </row>
    <row r="302" spans="1:10" x14ac:dyDescent="0.25">
      <c r="A302">
        <v>31</v>
      </c>
      <c r="B302">
        <v>2018</v>
      </c>
      <c r="C302">
        <v>3572714.95</v>
      </c>
      <c r="D302">
        <v>2488314.9500000002</v>
      </c>
      <c r="E302">
        <v>21040662</v>
      </c>
      <c r="F302">
        <v>0.16980050104887301</v>
      </c>
      <c r="G302">
        <v>0.118262198689375</v>
      </c>
      <c r="H302">
        <v>2.3942000000000001</v>
      </c>
      <c r="I302">
        <v>1.5688</v>
      </c>
      <c r="J302">
        <v>1.8250999999999999</v>
      </c>
    </row>
    <row r="303" spans="1:10" x14ac:dyDescent="0.25">
      <c r="A303">
        <v>31</v>
      </c>
      <c r="B303">
        <v>2019</v>
      </c>
      <c r="C303">
        <v>3300671.72</v>
      </c>
      <c r="D303">
        <v>3190914.71</v>
      </c>
      <c r="E303">
        <v>21168791</v>
      </c>
      <c r="F303">
        <v>0.15592159797883501</v>
      </c>
      <c r="G303">
        <v>0.15073674779064999</v>
      </c>
      <c r="H303">
        <v>2.2902999999999998</v>
      </c>
      <c r="I303">
        <v>1.4744999999999999</v>
      </c>
      <c r="J303">
        <v>1.7841</v>
      </c>
    </row>
    <row r="304" spans="1:10" x14ac:dyDescent="0.25">
      <c r="A304">
        <v>31</v>
      </c>
      <c r="B304">
        <v>2020</v>
      </c>
      <c r="C304">
        <v>3239443.27</v>
      </c>
      <c r="D304">
        <v>2743683.85</v>
      </c>
      <c r="E304">
        <v>21292666</v>
      </c>
      <c r="F304">
        <v>0.152138922857288</v>
      </c>
      <c r="G304">
        <v>0.12885581589454301</v>
      </c>
      <c r="H304">
        <v>2.0924999999999998</v>
      </c>
      <c r="I304">
        <v>1.4059999999999999</v>
      </c>
      <c r="J304">
        <v>1.6411</v>
      </c>
    </row>
    <row r="305" spans="1:10" x14ac:dyDescent="0.25">
      <c r="A305">
        <v>31</v>
      </c>
      <c r="B305">
        <v>2021</v>
      </c>
      <c r="C305">
        <v>3690060.85</v>
      </c>
      <c r="D305">
        <v>2331020.92</v>
      </c>
      <c r="E305">
        <v>21411923</v>
      </c>
      <c r="F305">
        <v>0.172336732669924</v>
      </c>
      <c r="G305">
        <v>0.10886555682084199</v>
      </c>
      <c r="H305">
        <v>2.5634999999999999</v>
      </c>
      <c r="I305">
        <v>1.8842000000000001</v>
      </c>
      <c r="J305">
        <v>1.9653</v>
      </c>
    </row>
    <row r="306" spans="1:10" x14ac:dyDescent="0.25">
      <c r="A306">
        <v>31</v>
      </c>
      <c r="B306">
        <v>2022</v>
      </c>
      <c r="C306">
        <v>4282417.37</v>
      </c>
      <c r="D306">
        <v>1913184.37</v>
      </c>
      <c r="E306">
        <v>21411923</v>
      </c>
      <c r="F306">
        <v>0.200001530455718</v>
      </c>
      <c r="G306">
        <v>8.9351356718403996E-2</v>
      </c>
      <c r="H306">
        <v>2.512</v>
      </c>
      <c r="I306">
        <v>1.8213999999999999</v>
      </c>
      <c r="J306">
        <v>2.6494</v>
      </c>
    </row>
    <row r="307" spans="1:10" x14ac:dyDescent="0.25">
      <c r="A307">
        <v>31</v>
      </c>
      <c r="B307">
        <v>2023</v>
      </c>
      <c r="C307">
        <v>4793983.96</v>
      </c>
      <c r="D307">
        <v>1864915.59</v>
      </c>
      <c r="E307">
        <v>21411923</v>
      </c>
      <c r="F307">
        <v>0.22389320006428101</v>
      </c>
      <c r="G307">
        <v>8.7097062230235001E-2</v>
      </c>
      <c r="H307">
        <v>2.0575000000000001</v>
      </c>
      <c r="I307">
        <v>1.4206000000000001</v>
      </c>
      <c r="J307">
        <v>2.1772</v>
      </c>
    </row>
    <row r="308" spans="1:10" x14ac:dyDescent="0.25">
      <c r="A308">
        <v>32</v>
      </c>
      <c r="B308">
        <v>2006</v>
      </c>
      <c r="C308">
        <v>461645.14</v>
      </c>
      <c r="D308">
        <v>42426.78</v>
      </c>
      <c r="E308">
        <v>3464285</v>
      </c>
      <c r="F308">
        <v>0.13325841840379701</v>
      </c>
      <c r="G308">
        <v>1.2246908092145899E-2</v>
      </c>
      <c r="H308">
        <v>2.62</v>
      </c>
      <c r="I308">
        <v>1.97</v>
      </c>
      <c r="J308">
        <v>1.87</v>
      </c>
    </row>
    <row r="309" spans="1:10" x14ac:dyDescent="0.25">
      <c r="A309">
        <v>32</v>
      </c>
      <c r="B309">
        <v>2007</v>
      </c>
      <c r="C309">
        <v>474983.77</v>
      </c>
      <c r="D309">
        <v>70831.09</v>
      </c>
      <c r="E309">
        <v>3458966</v>
      </c>
      <c r="F309">
        <v>0.13731958336682101</v>
      </c>
      <c r="G309">
        <v>2.0477532881213598E-2</v>
      </c>
      <c r="H309">
        <v>2.5081000000000002</v>
      </c>
      <c r="I309">
        <v>1.7231000000000001</v>
      </c>
      <c r="J309">
        <v>1.7806</v>
      </c>
    </row>
    <row r="310" spans="1:10" x14ac:dyDescent="0.25">
      <c r="A310">
        <v>32</v>
      </c>
      <c r="B310">
        <v>2008</v>
      </c>
      <c r="C310">
        <v>485291.81</v>
      </c>
      <c r="D310">
        <v>137246.76999999999</v>
      </c>
      <c r="E310">
        <v>3453646</v>
      </c>
      <c r="F310">
        <v>0.14051579403332001</v>
      </c>
      <c r="G310">
        <v>3.9739675114357401E-2</v>
      </c>
      <c r="H310">
        <v>2.3774000000000002</v>
      </c>
      <c r="I310">
        <v>1.6</v>
      </c>
      <c r="J310">
        <v>1.8351</v>
      </c>
    </row>
    <row r="311" spans="1:10" x14ac:dyDescent="0.25">
      <c r="A311">
        <v>32</v>
      </c>
      <c r="B311">
        <v>2009</v>
      </c>
      <c r="C311">
        <v>511197.59</v>
      </c>
      <c r="D311">
        <v>172831.93</v>
      </c>
      <c r="E311">
        <v>3487199</v>
      </c>
      <c r="F311">
        <v>0.14659260627225401</v>
      </c>
      <c r="G311">
        <v>4.9561820245991102E-2</v>
      </c>
      <c r="H311">
        <v>2.2791999999999999</v>
      </c>
      <c r="I311">
        <v>1.5946</v>
      </c>
      <c r="J311">
        <v>1.7939000000000001</v>
      </c>
    </row>
    <row r="312" spans="1:10" x14ac:dyDescent="0.25">
      <c r="A312">
        <v>32</v>
      </c>
      <c r="B312">
        <v>2010</v>
      </c>
      <c r="C312">
        <v>638223.62</v>
      </c>
      <c r="D312">
        <v>85759.13</v>
      </c>
      <c r="E312">
        <v>3517127</v>
      </c>
      <c r="F312">
        <v>0.18146163615928501</v>
      </c>
      <c r="G312">
        <v>2.43832906801488E-2</v>
      </c>
      <c r="H312">
        <v>2.2010999999999998</v>
      </c>
      <c r="I312">
        <v>1.6611</v>
      </c>
      <c r="J312">
        <v>1.6529</v>
      </c>
    </row>
    <row r="313" spans="1:10" x14ac:dyDescent="0.25">
      <c r="A313">
        <v>32</v>
      </c>
      <c r="B313">
        <v>2011</v>
      </c>
      <c r="C313">
        <v>715752.59</v>
      </c>
      <c r="D313">
        <v>55732.65</v>
      </c>
      <c r="E313">
        <v>3547055</v>
      </c>
      <c r="F313">
        <v>0.201787846537479</v>
      </c>
      <c r="G313">
        <v>1.5712372658444801E-2</v>
      </c>
      <c r="H313">
        <v>2.2050999999999998</v>
      </c>
      <c r="I313">
        <v>1.8286</v>
      </c>
      <c r="J313">
        <v>1.5827</v>
      </c>
    </row>
    <row r="314" spans="1:10" x14ac:dyDescent="0.25">
      <c r="A314">
        <v>32</v>
      </c>
      <c r="B314">
        <v>2012</v>
      </c>
      <c r="C314">
        <v>821777.45</v>
      </c>
      <c r="D314">
        <v>47371</v>
      </c>
      <c r="E314">
        <v>3578067</v>
      </c>
      <c r="F314">
        <v>0.229670783135139</v>
      </c>
      <c r="G314">
        <v>1.32392713719446E-2</v>
      </c>
      <c r="H314">
        <v>2.0543999999999998</v>
      </c>
      <c r="I314">
        <v>1.7858000000000001</v>
      </c>
      <c r="J314">
        <v>1.5317000000000001</v>
      </c>
    </row>
    <row r="315" spans="1:10" x14ac:dyDescent="0.25">
      <c r="A315">
        <v>32</v>
      </c>
      <c r="B315">
        <v>2013</v>
      </c>
      <c r="C315">
        <v>861718.45</v>
      </c>
      <c r="D315">
        <v>41948.7</v>
      </c>
      <c r="E315">
        <v>3839366</v>
      </c>
      <c r="F315">
        <v>0.22444290281259899</v>
      </c>
      <c r="G315">
        <v>1.0925944543968899E-2</v>
      </c>
      <c r="H315">
        <v>1.9809000000000001</v>
      </c>
      <c r="I315">
        <v>1.7067000000000001</v>
      </c>
      <c r="J315">
        <v>1.597</v>
      </c>
    </row>
    <row r="316" spans="1:10" x14ac:dyDescent="0.25">
      <c r="A316">
        <v>32</v>
      </c>
      <c r="B316">
        <v>2014</v>
      </c>
      <c r="C316">
        <v>934933.59</v>
      </c>
      <c r="D316">
        <v>42008.75</v>
      </c>
      <c r="E316">
        <v>3885049</v>
      </c>
      <c r="F316">
        <v>0.24064911150412699</v>
      </c>
      <c r="G316">
        <v>1.0812926683807501E-2</v>
      </c>
      <c r="H316">
        <v>1.9323999999999999</v>
      </c>
      <c r="I316">
        <v>1.6812</v>
      </c>
      <c r="J316">
        <v>1.6039000000000001</v>
      </c>
    </row>
    <row r="317" spans="1:10" x14ac:dyDescent="0.25">
      <c r="A317">
        <v>32</v>
      </c>
      <c r="B317">
        <v>2015</v>
      </c>
      <c r="C317">
        <v>917021.22</v>
      </c>
      <c r="D317">
        <v>63513.2</v>
      </c>
      <c r="E317">
        <v>3929911</v>
      </c>
      <c r="F317">
        <v>0.23334401720547801</v>
      </c>
      <c r="G317">
        <v>1.6161485590894999E-2</v>
      </c>
      <c r="H317">
        <v>1.9672000000000001</v>
      </c>
      <c r="I317">
        <v>1.6296999999999999</v>
      </c>
      <c r="J317">
        <v>1.6296999999999999</v>
      </c>
    </row>
    <row r="318" spans="1:10" x14ac:dyDescent="0.25">
      <c r="A318">
        <v>32</v>
      </c>
      <c r="B318">
        <v>2016</v>
      </c>
      <c r="C318">
        <v>947149.01</v>
      </c>
      <c r="D318">
        <v>41293.599999999999</v>
      </c>
      <c r="E318">
        <v>3973697</v>
      </c>
      <c r="F318">
        <v>0.23835461284541801</v>
      </c>
      <c r="G318">
        <v>1.0391733441175799E-2</v>
      </c>
      <c r="H318">
        <v>2.0150999999999999</v>
      </c>
      <c r="I318">
        <v>1.7523</v>
      </c>
      <c r="J318">
        <v>1.6373</v>
      </c>
    </row>
    <row r="319" spans="1:10" x14ac:dyDescent="0.25">
      <c r="A319">
        <v>32</v>
      </c>
      <c r="B319">
        <v>2017</v>
      </c>
      <c r="C319">
        <v>937560.44</v>
      </c>
      <c r="D319">
        <v>33730.629999999997</v>
      </c>
      <c r="E319">
        <v>4016356</v>
      </c>
      <c r="F319">
        <v>0.23343559186486401</v>
      </c>
      <c r="G319">
        <v>8.3983167826756303E-3</v>
      </c>
      <c r="H319">
        <v>2.0051999999999999</v>
      </c>
      <c r="I319">
        <v>1.7765</v>
      </c>
      <c r="J319">
        <v>1.6808000000000001</v>
      </c>
    </row>
    <row r="320" spans="1:10" x14ac:dyDescent="0.25">
      <c r="A320">
        <v>32</v>
      </c>
      <c r="B320">
        <v>2018</v>
      </c>
      <c r="C320">
        <v>909645.08</v>
      </c>
      <c r="D320">
        <v>53054.62</v>
      </c>
      <c r="E320">
        <v>3972388</v>
      </c>
      <c r="F320">
        <v>0.228992001788344</v>
      </c>
      <c r="G320">
        <v>1.33558504355566E-2</v>
      </c>
      <c r="H320">
        <v>2.2454999999999998</v>
      </c>
      <c r="I320">
        <v>1.8250999999999999</v>
      </c>
      <c r="J320">
        <v>1.7482</v>
      </c>
    </row>
    <row r="321" spans="1:10" x14ac:dyDescent="0.25">
      <c r="A321">
        <v>32</v>
      </c>
      <c r="B321">
        <v>2019</v>
      </c>
      <c r="C321">
        <v>932664.15</v>
      </c>
      <c r="D321">
        <v>61911.12</v>
      </c>
      <c r="E321">
        <v>4018650</v>
      </c>
      <c r="F321">
        <v>0.23208394610130201</v>
      </c>
      <c r="G321">
        <v>1.54059497592475E-2</v>
      </c>
      <c r="H321">
        <v>2.1920000000000002</v>
      </c>
      <c r="I321">
        <v>1.7644</v>
      </c>
      <c r="J321">
        <v>1.7545999999999999</v>
      </c>
    </row>
    <row r="322" spans="1:10" x14ac:dyDescent="0.25">
      <c r="A322">
        <v>32</v>
      </c>
      <c r="B322">
        <v>2020</v>
      </c>
      <c r="C322">
        <v>904269.24</v>
      </c>
      <c r="D322">
        <v>40861.24</v>
      </c>
      <c r="E322">
        <v>4064052</v>
      </c>
      <c r="F322">
        <v>0.222504347877438</v>
      </c>
      <c r="G322">
        <v>1.0054310328706399E-2</v>
      </c>
      <c r="H322">
        <v>1.9750000000000001</v>
      </c>
      <c r="I322">
        <v>1.6880999999999999</v>
      </c>
      <c r="J322">
        <v>1.5470999999999999</v>
      </c>
    </row>
    <row r="323" spans="1:10" x14ac:dyDescent="0.25">
      <c r="A323">
        <v>32</v>
      </c>
      <c r="B323">
        <v>2021</v>
      </c>
      <c r="C323">
        <v>1040631.46</v>
      </c>
      <c r="D323">
        <v>53869.41</v>
      </c>
      <c r="E323">
        <v>4108508</v>
      </c>
      <c r="F323">
        <v>0.253286949909796</v>
      </c>
      <c r="G323">
        <v>1.31116721690696E-2</v>
      </c>
      <c r="H323">
        <v>2.4994000000000001</v>
      </c>
      <c r="I323">
        <v>2.1234000000000002</v>
      </c>
      <c r="J323">
        <v>1.8755999999999999</v>
      </c>
    </row>
    <row r="324" spans="1:10" x14ac:dyDescent="0.25">
      <c r="A324">
        <v>32</v>
      </c>
      <c r="B324">
        <v>2022</v>
      </c>
      <c r="C324">
        <v>1005041.94</v>
      </c>
      <c r="D324">
        <v>44001.58</v>
      </c>
      <c r="E324">
        <v>4108508</v>
      </c>
      <c r="F324">
        <v>0.24462455470453001</v>
      </c>
      <c r="G324">
        <v>1.07098683999154E-2</v>
      </c>
      <c r="H324">
        <v>2.508</v>
      </c>
      <c r="I324">
        <v>2.0880000000000001</v>
      </c>
      <c r="J324">
        <v>2.5767000000000002</v>
      </c>
    </row>
    <row r="325" spans="1:10" x14ac:dyDescent="0.25">
      <c r="A325">
        <v>32</v>
      </c>
      <c r="B325">
        <v>2023</v>
      </c>
      <c r="C325">
        <v>1003131.81</v>
      </c>
      <c r="D325">
        <v>65648.28</v>
      </c>
      <c r="E325">
        <v>4108508</v>
      </c>
      <c r="F325">
        <v>0.244159634105616</v>
      </c>
      <c r="G325">
        <v>1.5978618028734501E-2</v>
      </c>
      <c r="H325">
        <v>2.1617999999999999</v>
      </c>
      <c r="I325">
        <v>1.6715</v>
      </c>
      <c r="J325">
        <v>2.1848999999999998</v>
      </c>
    </row>
    <row r="326" spans="1:10" x14ac:dyDescent="0.25">
      <c r="A326">
        <v>33</v>
      </c>
      <c r="B326">
        <v>2006</v>
      </c>
      <c r="C326">
        <v>1660802.99</v>
      </c>
      <c r="D326">
        <v>224254.94</v>
      </c>
      <c r="E326">
        <v>15561720</v>
      </c>
      <c r="F326">
        <v>0.10672361345660999</v>
      </c>
      <c r="G326">
        <v>1.44106782540747E-2</v>
      </c>
      <c r="H326">
        <v>2.56</v>
      </c>
      <c r="I326">
        <v>1.88</v>
      </c>
      <c r="J326">
        <v>1.82</v>
      </c>
    </row>
    <row r="327" spans="1:10" x14ac:dyDescent="0.25">
      <c r="A327">
        <v>33</v>
      </c>
      <c r="B327">
        <v>2007</v>
      </c>
      <c r="C327">
        <v>1635151.71</v>
      </c>
      <c r="D327">
        <v>359404.27</v>
      </c>
      <c r="E327">
        <v>15717041</v>
      </c>
      <c r="F327">
        <v>0.10403686737217201</v>
      </c>
      <c r="G327">
        <v>2.28671713715068E-2</v>
      </c>
      <c r="H327">
        <v>2.4220000000000002</v>
      </c>
      <c r="I327">
        <v>1.6274</v>
      </c>
      <c r="J327">
        <v>1.7326999999999999</v>
      </c>
    </row>
    <row r="328" spans="1:10" x14ac:dyDescent="0.25">
      <c r="A328">
        <v>33</v>
      </c>
      <c r="B328">
        <v>2008</v>
      </c>
      <c r="C328">
        <v>1616429.48</v>
      </c>
      <c r="D328">
        <v>677059.6</v>
      </c>
      <c r="E328">
        <v>15872362</v>
      </c>
      <c r="F328">
        <v>0.101839252406163</v>
      </c>
      <c r="G328">
        <v>4.2656511992354998E-2</v>
      </c>
      <c r="H328">
        <v>2.3050999999999999</v>
      </c>
      <c r="I328">
        <v>1.5186999999999999</v>
      </c>
      <c r="J328">
        <v>1.7988999999999999</v>
      </c>
    </row>
    <row r="329" spans="1:10" x14ac:dyDescent="0.25">
      <c r="A329">
        <v>33</v>
      </c>
      <c r="B329">
        <v>2009</v>
      </c>
      <c r="C329">
        <v>1636890.68</v>
      </c>
      <c r="D329">
        <v>872813.85</v>
      </c>
      <c r="E329">
        <v>16010429</v>
      </c>
      <c r="F329">
        <v>0.10223902682432801</v>
      </c>
      <c r="G329">
        <v>5.4515331850258301E-2</v>
      </c>
      <c r="H329">
        <v>2.2271999999999998</v>
      </c>
      <c r="I329">
        <v>1.4819</v>
      </c>
      <c r="J329">
        <v>1.7592000000000001</v>
      </c>
    </row>
    <row r="330" spans="1:10" x14ac:dyDescent="0.25">
      <c r="A330">
        <v>33</v>
      </c>
      <c r="B330">
        <v>2010</v>
      </c>
      <c r="C330">
        <v>1867262.45</v>
      </c>
      <c r="D330">
        <v>746457.54</v>
      </c>
      <c r="E330">
        <v>16061554</v>
      </c>
      <c r="F330">
        <v>0.116256649263203</v>
      </c>
      <c r="G330">
        <v>4.6474801877825697E-2</v>
      </c>
      <c r="H330">
        <v>2.1684000000000001</v>
      </c>
      <c r="I330">
        <v>1.5301</v>
      </c>
      <c r="J330">
        <v>1.6283000000000001</v>
      </c>
    </row>
    <row r="331" spans="1:10" x14ac:dyDescent="0.25">
      <c r="A331">
        <v>33</v>
      </c>
      <c r="B331">
        <v>2011</v>
      </c>
      <c r="C331">
        <v>2280077.81</v>
      </c>
      <c r="D331">
        <v>531759.96</v>
      </c>
      <c r="E331">
        <v>16112678</v>
      </c>
      <c r="F331">
        <v>0.141508308550571</v>
      </c>
      <c r="G331">
        <v>3.30025809489893E-2</v>
      </c>
      <c r="H331">
        <v>2.1743000000000001</v>
      </c>
      <c r="I331">
        <v>1.7210000000000001</v>
      </c>
      <c r="J331">
        <v>1.5366</v>
      </c>
    </row>
    <row r="332" spans="1:10" x14ac:dyDescent="0.25">
      <c r="A332">
        <v>33</v>
      </c>
      <c r="B332">
        <v>2012</v>
      </c>
      <c r="C332">
        <v>2470659.3199999998</v>
      </c>
      <c r="D332">
        <v>435277.07</v>
      </c>
      <c r="E332">
        <v>16231365</v>
      </c>
      <c r="F332">
        <v>0.15221512916504501</v>
      </c>
      <c r="G332">
        <v>2.6817034180427801E-2</v>
      </c>
      <c r="H332">
        <v>2.0689000000000002</v>
      </c>
      <c r="I332">
        <v>1.6188</v>
      </c>
      <c r="J332">
        <v>1.4881</v>
      </c>
    </row>
    <row r="333" spans="1:10" x14ac:dyDescent="0.25">
      <c r="A333">
        <v>33</v>
      </c>
      <c r="B333">
        <v>2013</v>
      </c>
      <c r="C333">
        <v>2616821.21</v>
      </c>
      <c r="D333">
        <v>583074.86</v>
      </c>
      <c r="E333">
        <v>16369179</v>
      </c>
      <c r="F333">
        <v>0.15986270356014801</v>
      </c>
      <c r="G333">
        <v>3.5620287370551597E-2</v>
      </c>
      <c r="H333">
        <v>2.0562999999999998</v>
      </c>
      <c r="I333">
        <v>1.5696000000000001</v>
      </c>
      <c r="J333">
        <v>1.5559000000000001</v>
      </c>
    </row>
    <row r="334" spans="1:10" x14ac:dyDescent="0.25">
      <c r="A334">
        <v>33</v>
      </c>
      <c r="B334">
        <v>2014</v>
      </c>
      <c r="C334">
        <v>2861013.38</v>
      </c>
      <c r="D334">
        <v>590305.32999999996</v>
      </c>
      <c r="E334">
        <v>16461173</v>
      </c>
      <c r="F334">
        <v>0.17380373682969</v>
      </c>
      <c r="G334">
        <v>3.58604657152925E-2</v>
      </c>
      <c r="H334">
        <v>2.0160999999999998</v>
      </c>
      <c r="I334">
        <v>1.5781000000000001</v>
      </c>
      <c r="J334">
        <v>1.591</v>
      </c>
    </row>
    <row r="335" spans="1:10" x14ac:dyDescent="0.25">
      <c r="A335">
        <v>33</v>
      </c>
      <c r="B335">
        <v>2015</v>
      </c>
      <c r="C335">
        <v>2733573.24</v>
      </c>
      <c r="D335">
        <v>664315.16</v>
      </c>
      <c r="E335">
        <v>16550024</v>
      </c>
      <c r="F335">
        <v>0.16517034899768099</v>
      </c>
      <c r="G335">
        <v>4.0139830612934399E-2</v>
      </c>
      <c r="H335">
        <v>2.0661999999999998</v>
      </c>
      <c r="I335">
        <v>1.5889</v>
      </c>
      <c r="J335">
        <v>1.6296999999999999</v>
      </c>
    </row>
    <row r="336" spans="1:10" x14ac:dyDescent="0.25">
      <c r="A336">
        <v>33</v>
      </c>
      <c r="B336">
        <v>2016</v>
      </c>
      <c r="C336">
        <v>2684903.52</v>
      </c>
      <c r="D336">
        <v>480808.2</v>
      </c>
      <c r="E336">
        <v>16635996</v>
      </c>
      <c r="F336">
        <v>0.161391209759848</v>
      </c>
      <c r="G336">
        <v>2.8901678023966801E-2</v>
      </c>
      <c r="H336">
        <v>2.1465000000000001</v>
      </c>
      <c r="I336">
        <v>1.7742</v>
      </c>
      <c r="J336">
        <v>1.6756</v>
      </c>
    </row>
    <row r="337" spans="1:10" x14ac:dyDescent="0.25">
      <c r="A337">
        <v>33</v>
      </c>
      <c r="B337">
        <v>2017</v>
      </c>
      <c r="C337">
        <v>2522844.54</v>
      </c>
      <c r="D337">
        <v>473762.91</v>
      </c>
      <c r="E337">
        <v>16718956</v>
      </c>
      <c r="F337">
        <v>0.15089725339309401</v>
      </c>
      <c r="G337">
        <v>2.83368716324153E-2</v>
      </c>
      <c r="H337">
        <v>2.1861000000000002</v>
      </c>
      <c r="I337">
        <v>1.7605999999999999</v>
      </c>
      <c r="J337">
        <v>1.7126999999999999</v>
      </c>
    </row>
    <row r="338" spans="1:10" x14ac:dyDescent="0.25">
      <c r="A338">
        <v>33</v>
      </c>
      <c r="B338">
        <v>2018</v>
      </c>
      <c r="C338">
        <v>2001603.03</v>
      </c>
      <c r="D338">
        <v>746351.28</v>
      </c>
      <c r="E338">
        <v>17159960</v>
      </c>
      <c r="F338">
        <v>0.116643805113764</v>
      </c>
      <c r="G338">
        <v>4.3493765719733603E-2</v>
      </c>
      <c r="H338">
        <v>2.4864000000000002</v>
      </c>
      <c r="I338">
        <v>1.8097000000000001</v>
      </c>
      <c r="J338">
        <v>1.8302</v>
      </c>
    </row>
    <row r="339" spans="1:10" x14ac:dyDescent="0.25">
      <c r="A339">
        <v>33</v>
      </c>
      <c r="B339">
        <v>2019</v>
      </c>
      <c r="C339">
        <v>2033178.94</v>
      </c>
      <c r="D339">
        <v>796981.16</v>
      </c>
      <c r="E339">
        <v>17264943</v>
      </c>
      <c r="F339">
        <v>0.117763431944142</v>
      </c>
      <c r="G339">
        <v>4.6161818200036897E-2</v>
      </c>
      <c r="H339">
        <v>2.3885999999999998</v>
      </c>
      <c r="I339">
        <v>1.8824000000000001</v>
      </c>
      <c r="J339">
        <v>1.7644</v>
      </c>
    </row>
    <row r="340" spans="1:10" x14ac:dyDescent="0.25">
      <c r="A340">
        <v>33</v>
      </c>
      <c r="B340">
        <v>2020</v>
      </c>
      <c r="C340">
        <v>1854930.42</v>
      </c>
      <c r="D340">
        <v>563744.29</v>
      </c>
      <c r="E340">
        <v>17366189</v>
      </c>
      <c r="F340">
        <v>0.10681275091501</v>
      </c>
      <c r="G340">
        <v>3.2462176358900599E-2</v>
      </c>
      <c r="H340">
        <v>2.2383000000000002</v>
      </c>
      <c r="I340">
        <v>1.8291999999999999</v>
      </c>
      <c r="J340">
        <v>1.627</v>
      </c>
    </row>
    <row r="341" spans="1:10" x14ac:dyDescent="0.25">
      <c r="A341">
        <v>33</v>
      </c>
      <c r="B341">
        <v>2021</v>
      </c>
      <c r="C341">
        <v>1852349.68</v>
      </c>
      <c r="D341">
        <v>585565.77</v>
      </c>
      <c r="E341">
        <v>17463349</v>
      </c>
      <c r="F341">
        <v>0.106070701559019</v>
      </c>
      <c r="G341">
        <v>3.3531126818802E-2</v>
      </c>
      <c r="H341">
        <v>2.6917</v>
      </c>
      <c r="I341">
        <v>2.2473000000000001</v>
      </c>
      <c r="J341">
        <v>1.9354</v>
      </c>
    </row>
    <row r="342" spans="1:10" x14ac:dyDescent="0.25">
      <c r="A342">
        <v>33</v>
      </c>
      <c r="B342">
        <v>2022</v>
      </c>
      <c r="C342">
        <v>2093310.86</v>
      </c>
      <c r="D342">
        <v>558769.67000000004</v>
      </c>
      <c r="E342">
        <v>17463349</v>
      </c>
      <c r="F342">
        <v>0.11986880981420001</v>
      </c>
      <c r="G342">
        <v>3.1996707504385297E-2</v>
      </c>
      <c r="H342">
        <v>2.5928</v>
      </c>
      <c r="I342">
        <v>2.1364000000000001</v>
      </c>
      <c r="J342">
        <v>2.6292</v>
      </c>
    </row>
    <row r="343" spans="1:10" x14ac:dyDescent="0.25">
      <c r="A343">
        <v>33</v>
      </c>
      <c r="B343">
        <v>2023</v>
      </c>
      <c r="C343">
        <v>2433867.41</v>
      </c>
      <c r="D343">
        <v>707960.96</v>
      </c>
      <c r="E343">
        <v>17463349</v>
      </c>
      <c r="F343">
        <v>0.13937002633343601</v>
      </c>
      <c r="G343">
        <v>4.0539816274644598E-2</v>
      </c>
      <c r="H343">
        <v>2.1193</v>
      </c>
      <c r="I343">
        <v>1.6329</v>
      </c>
      <c r="J343">
        <v>2.2235</v>
      </c>
    </row>
    <row r="344" spans="1:10" x14ac:dyDescent="0.25">
      <c r="A344">
        <v>35</v>
      </c>
      <c r="B344">
        <v>2006</v>
      </c>
      <c r="C344">
        <v>7041660.7400000002</v>
      </c>
      <c r="D344">
        <v>3743678.35</v>
      </c>
      <c r="E344">
        <v>41055734</v>
      </c>
      <c r="F344">
        <v>0.171514671738666</v>
      </c>
      <c r="G344">
        <v>9.1185273901082803E-2</v>
      </c>
      <c r="H344">
        <v>2.44</v>
      </c>
      <c r="I344">
        <v>1.42</v>
      </c>
      <c r="J344">
        <v>1.86</v>
      </c>
    </row>
    <row r="345" spans="1:10" x14ac:dyDescent="0.25">
      <c r="A345">
        <v>35</v>
      </c>
      <c r="B345">
        <v>2007</v>
      </c>
      <c r="C345">
        <v>7153912.5300000003</v>
      </c>
      <c r="D345">
        <v>5545120.1500000004</v>
      </c>
      <c r="E345">
        <v>41033686</v>
      </c>
      <c r="F345">
        <v>0.174342430022006</v>
      </c>
      <c r="G345">
        <v>0.135135804031838</v>
      </c>
      <c r="H345">
        <v>2.3071000000000002</v>
      </c>
      <c r="I345">
        <v>1.2158</v>
      </c>
      <c r="J345">
        <v>1.7709999999999999</v>
      </c>
    </row>
    <row r="346" spans="1:10" x14ac:dyDescent="0.25">
      <c r="A346">
        <v>35</v>
      </c>
      <c r="B346">
        <v>2008</v>
      </c>
      <c r="C346">
        <v>7020308.3600000003</v>
      </c>
      <c r="D346">
        <v>7251252.8899999997</v>
      </c>
      <c r="E346">
        <v>41011638</v>
      </c>
      <c r="F346">
        <v>0.171178443543269</v>
      </c>
      <c r="G346">
        <v>0.17680963852260601</v>
      </c>
      <c r="H346">
        <v>2.1695000000000002</v>
      </c>
      <c r="I346">
        <v>1.1479999999999999</v>
      </c>
      <c r="J346">
        <v>1.8260000000000001</v>
      </c>
    </row>
    <row r="347" spans="1:10" x14ac:dyDescent="0.25">
      <c r="A347">
        <v>35</v>
      </c>
      <c r="B347">
        <v>2009</v>
      </c>
      <c r="C347">
        <v>6696778.6200000001</v>
      </c>
      <c r="D347">
        <v>8609999.2100000009</v>
      </c>
      <c r="E347">
        <v>41384039</v>
      </c>
      <c r="F347">
        <v>0.161820324497567</v>
      </c>
      <c r="G347">
        <v>0.208051205683427</v>
      </c>
      <c r="H347">
        <v>2.0798999999999999</v>
      </c>
      <c r="I347">
        <v>1.1526000000000001</v>
      </c>
      <c r="J347">
        <v>1.7679</v>
      </c>
    </row>
    <row r="348" spans="1:10" x14ac:dyDescent="0.25">
      <c r="A348">
        <v>35</v>
      </c>
      <c r="B348">
        <v>2010</v>
      </c>
      <c r="C348">
        <v>7436236.6600000001</v>
      </c>
      <c r="D348">
        <v>8374256.7000000002</v>
      </c>
      <c r="E348">
        <v>41485610</v>
      </c>
      <c r="F348">
        <v>0.179248579447186</v>
      </c>
      <c r="G348">
        <v>0.20185931218077699</v>
      </c>
      <c r="H348">
        <v>2.0129000000000001</v>
      </c>
      <c r="I348">
        <v>1.2438</v>
      </c>
      <c r="J348">
        <v>1.6120000000000001</v>
      </c>
    </row>
    <row r="349" spans="1:10" x14ac:dyDescent="0.25">
      <c r="A349">
        <v>35</v>
      </c>
      <c r="B349">
        <v>2011</v>
      </c>
      <c r="C349">
        <v>9461875.4100000001</v>
      </c>
      <c r="D349">
        <v>6490307.2800000003</v>
      </c>
      <c r="E349">
        <v>41587182</v>
      </c>
      <c r="F349">
        <v>0.227519032426866</v>
      </c>
      <c r="G349">
        <v>0.15606508947877201</v>
      </c>
      <c r="H349">
        <v>2.0284</v>
      </c>
      <c r="I349">
        <v>1.4368000000000001</v>
      </c>
      <c r="J349">
        <v>1.5213000000000001</v>
      </c>
    </row>
    <row r="350" spans="1:10" x14ac:dyDescent="0.25">
      <c r="A350">
        <v>35</v>
      </c>
      <c r="B350">
        <v>2012</v>
      </c>
      <c r="C350">
        <v>10305844.77</v>
      </c>
      <c r="D350">
        <v>5834459.5300000003</v>
      </c>
      <c r="E350">
        <v>41901219</v>
      </c>
      <c r="F350">
        <v>0.245955726729573</v>
      </c>
      <c r="G350">
        <v>0.13924319313955999</v>
      </c>
      <c r="H350">
        <v>1.9164000000000001</v>
      </c>
      <c r="I350">
        <v>1.3139000000000001</v>
      </c>
      <c r="J350">
        <v>1.4736</v>
      </c>
    </row>
    <row r="351" spans="1:10" x14ac:dyDescent="0.25">
      <c r="A351">
        <v>35</v>
      </c>
      <c r="B351">
        <v>2013</v>
      </c>
      <c r="C351">
        <v>10476822.09</v>
      </c>
      <c r="D351">
        <v>6656752.8700000001</v>
      </c>
      <c r="E351">
        <v>43663669</v>
      </c>
      <c r="F351">
        <v>0.239943695295051</v>
      </c>
      <c r="G351">
        <v>0.15245518808783501</v>
      </c>
      <c r="H351">
        <v>1.8712</v>
      </c>
      <c r="I351">
        <v>1.2543</v>
      </c>
      <c r="J351">
        <v>1.5559000000000001</v>
      </c>
    </row>
    <row r="352" spans="1:10" x14ac:dyDescent="0.25">
      <c r="A352">
        <v>35</v>
      </c>
      <c r="B352">
        <v>2014</v>
      </c>
      <c r="C352">
        <v>10849785.85</v>
      </c>
      <c r="D352">
        <v>7576593.25</v>
      </c>
      <c r="E352">
        <v>44035304</v>
      </c>
      <c r="F352">
        <v>0.246388348993798</v>
      </c>
      <c r="G352">
        <v>0.17205724865666799</v>
      </c>
      <c r="H352">
        <v>1.8486</v>
      </c>
      <c r="I352">
        <v>1.2366999999999999</v>
      </c>
      <c r="J352">
        <v>1.5781000000000001</v>
      </c>
    </row>
    <row r="353" spans="1:10" x14ac:dyDescent="0.25">
      <c r="A353">
        <v>35</v>
      </c>
      <c r="B353">
        <v>2015</v>
      </c>
      <c r="C353">
        <v>9436733.1899999995</v>
      </c>
      <c r="D353">
        <v>9456061.0600000005</v>
      </c>
      <c r="E353">
        <v>44396484</v>
      </c>
      <c r="F353">
        <v>0.21255586793764999</v>
      </c>
      <c r="G353">
        <v>0.21299121479980199</v>
      </c>
      <c r="H353">
        <v>1.8567</v>
      </c>
      <c r="I353">
        <v>1.2222999999999999</v>
      </c>
      <c r="J353">
        <v>1.5948</v>
      </c>
    </row>
    <row r="354" spans="1:10" x14ac:dyDescent="0.25">
      <c r="A354">
        <v>35</v>
      </c>
      <c r="B354">
        <v>2016</v>
      </c>
      <c r="C354">
        <v>9990516.4600000009</v>
      </c>
      <c r="D354">
        <v>8356468.9400000004</v>
      </c>
      <c r="E354">
        <v>44749699</v>
      </c>
      <c r="F354">
        <v>0.223253266128114</v>
      </c>
      <c r="G354">
        <v>0.18673799213710901</v>
      </c>
      <c r="H354">
        <v>1.9165000000000001</v>
      </c>
      <c r="I354">
        <v>1.3580000000000001</v>
      </c>
      <c r="J354">
        <v>1.5934999999999999</v>
      </c>
    </row>
    <row r="355" spans="1:10" x14ac:dyDescent="0.25">
      <c r="A355">
        <v>35</v>
      </c>
      <c r="B355">
        <v>2017</v>
      </c>
      <c r="C355">
        <v>10472113.33</v>
      </c>
      <c r="D355">
        <v>7688115.25</v>
      </c>
      <c r="E355">
        <v>45094866</v>
      </c>
      <c r="F355">
        <v>0.232224070252254</v>
      </c>
      <c r="G355">
        <v>0.170487594973671</v>
      </c>
      <c r="H355">
        <v>1.9041999999999999</v>
      </c>
      <c r="I355">
        <v>1.335</v>
      </c>
      <c r="J355">
        <v>1.6115999999999999</v>
      </c>
    </row>
    <row r="356" spans="1:10" x14ac:dyDescent="0.25">
      <c r="A356">
        <v>35</v>
      </c>
      <c r="B356">
        <v>2018</v>
      </c>
      <c r="C356">
        <v>8425692.4399999995</v>
      </c>
      <c r="D356">
        <v>9956761.3000000007</v>
      </c>
      <c r="E356">
        <v>45538936</v>
      </c>
      <c r="F356">
        <v>0.18502172382771501</v>
      </c>
      <c r="G356">
        <v>0.21864281809307001</v>
      </c>
      <c r="H356">
        <v>2.1480999999999999</v>
      </c>
      <c r="I356">
        <v>1.3893</v>
      </c>
      <c r="J356">
        <v>1.7327999999999999</v>
      </c>
    </row>
    <row r="357" spans="1:10" x14ac:dyDescent="0.25">
      <c r="A357">
        <v>35</v>
      </c>
      <c r="B357">
        <v>2019</v>
      </c>
      <c r="C357">
        <v>7947691.1299999999</v>
      </c>
      <c r="D357">
        <v>11673779.17</v>
      </c>
      <c r="E357">
        <v>45919049</v>
      </c>
      <c r="F357">
        <v>0.173080481915032</v>
      </c>
      <c r="G357">
        <v>0.25422519464634302</v>
      </c>
      <c r="H357">
        <v>2.0347</v>
      </c>
      <c r="I357">
        <v>1.3319000000000001</v>
      </c>
      <c r="J357">
        <v>1.7103999999999999</v>
      </c>
    </row>
    <row r="358" spans="1:10" x14ac:dyDescent="0.25">
      <c r="A358">
        <v>35</v>
      </c>
      <c r="B358">
        <v>2020</v>
      </c>
      <c r="C358">
        <v>7176931.2999999998</v>
      </c>
      <c r="D358">
        <v>10139673.619999999</v>
      </c>
      <c r="E358">
        <v>46289333</v>
      </c>
      <c r="F358">
        <v>0.15504503596973401</v>
      </c>
      <c r="G358">
        <v>0.21904989687364901</v>
      </c>
      <c r="H358">
        <v>1.9232</v>
      </c>
      <c r="I358">
        <v>1.3025</v>
      </c>
      <c r="J358">
        <v>1.5706</v>
      </c>
    </row>
    <row r="359" spans="1:10" x14ac:dyDescent="0.25">
      <c r="A359">
        <v>35</v>
      </c>
      <c r="B359">
        <v>2021</v>
      </c>
      <c r="C359">
        <v>8848800.9700000007</v>
      </c>
      <c r="D359">
        <v>8466774.4299999997</v>
      </c>
      <c r="E359">
        <v>46649132</v>
      </c>
      <c r="F359">
        <v>0.18968843771841201</v>
      </c>
      <c r="G359">
        <v>0.18149907762485201</v>
      </c>
      <c r="H359">
        <v>2.3412999999999999</v>
      </c>
      <c r="I359">
        <v>1.7687999999999999</v>
      </c>
      <c r="J359">
        <v>1.9182999999999999</v>
      </c>
    </row>
    <row r="360" spans="1:10" x14ac:dyDescent="0.25">
      <c r="A360">
        <v>35</v>
      </c>
      <c r="B360">
        <v>2022</v>
      </c>
      <c r="C360">
        <v>10007241.41</v>
      </c>
      <c r="D360">
        <v>7946050.3899999997</v>
      </c>
      <c r="E360">
        <v>46649132</v>
      </c>
      <c r="F360">
        <v>0.21452149227556899</v>
      </c>
      <c r="G360">
        <v>0.17033651108449299</v>
      </c>
      <c r="H360">
        <v>2.3746999999999998</v>
      </c>
      <c r="I360">
        <v>1.7042999999999999</v>
      </c>
      <c r="J360">
        <v>2.6251000000000002</v>
      </c>
    </row>
    <row r="361" spans="1:10" x14ac:dyDescent="0.25">
      <c r="A361">
        <v>35</v>
      </c>
      <c r="B361">
        <v>2023</v>
      </c>
      <c r="C361">
        <v>10468876.859999999</v>
      </c>
      <c r="D361">
        <v>8147577.5800000001</v>
      </c>
      <c r="E361">
        <v>46649132</v>
      </c>
      <c r="F361">
        <v>0.224417398806048</v>
      </c>
      <c r="G361">
        <v>0.17465657410302901</v>
      </c>
      <c r="H361">
        <v>2.0691000000000002</v>
      </c>
      <c r="I361">
        <v>1.3974</v>
      </c>
      <c r="J361">
        <v>2.2120000000000002</v>
      </c>
    </row>
    <row r="362" spans="1:10" x14ac:dyDescent="0.25">
      <c r="A362">
        <v>41</v>
      </c>
      <c r="B362">
        <v>2006</v>
      </c>
      <c r="C362">
        <v>1645806.4</v>
      </c>
      <c r="D362">
        <v>520583.66</v>
      </c>
      <c r="E362">
        <v>10387378</v>
      </c>
      <c r="F362">
        <v>0.15844291023201401</v>
      </c>
      <c r="G362">
        <v>5.0116945777846901E-2</v>
      </c>
      <c r="H362">
        <v>2.5</v>
      </c>
      <c r="I362">
        <v>1.66</v>
      </c>
      <c r="J362">
        <v>1.84</v>
      </c>
    </row>
    <row r="363" spans="1:10" x14ac:dyDescent="0.25">
      <c r="A363">
        <v>41</v>
      </c>
      <c r="B363">
        <v>2007</v>
      </c>
      <c r="C363">
        <v>1639229.4399999999</v>
      </c>
      <c r="D363">
        <v>701253.42</v>
      </c>
      <c r="E363">
        <v>10488774</v>
      </c>
      <c r="F363">
        <v>0.156284179638154</v>
      </c>
      <c r="G363">
        <v>6.6857520240211105E-2</v>
      </c>
      <c r="H363">
        <v>2.3357999999999999</v>
      </c>
      <c r="I363">
        <v>1.3785000000000001</v>
      </c>
      <c r="J363">
        <v>1.7519</v>
      </c>
    </row>
    <row r="364" spans="1:10" x14ac:dyDescent="0.25">
      <c r="A364">
        <v>41</v>
      </c>
      <c r="B364">
        <v>2008</v>
      </c>
      <c r="C364">
        <v>1699665.49</v>
      </c>
      <c r="D364">
        <v>904330.3</v>
      </c>
      <c r="E364">
        <v>10590171</v>
      </c>
      <c r="F364">
        <v>0.160494621852659</v>
      </c>
      <c r="G364">
        <v>8.5393361448082294E-2</v>
      </c>
      <c r="H364">
        <v>2.1785999999999999</v>
      </c>
      <c r="I364">
        <v>1.2746</v>
      </c>
      <c r="J364">
        <v>1.7988999999999999</v>
      </c>
    </row>
    <row r="365" spans="1:10" x14ac:dyDescent="0.25">
      <c r="A365">
        <v>41</v>
      </c>
      <c r="B365">
        <v>2009</v>
      </c>
      <c r="C365">
        <v>1604062.92</v>
      </c>
      <c r="D365">
        <v>1193029.92</v>
      </c>
      <c r="E365">
        <v>10686247</v>
      </c>
      <c r="F365">
        <v>0.150105356913423</v>
      </c>
      <c r="G365">
        <v>0.11164161936365399</v>
      </c>
      <c r="H365">
        <v>2.1404999999999998</v>
      </c>
      <c r="I365">
        <v>1.2739</v>
      </c>
      <c r="J365">
        <v>1.7419</v>
      </c>
    </row>
    <row r="366" spans="1:10" x14ac:dyDescent="0.25">
      <c r="A366">
        <v>41</v>
      </c>
      <c r="B366">
        <v>2010</v>
      </c>
      <c r="C366">
        <v>1885665.17</v>
      </c>
      <c r="D366">
        <v>1347000.53</v>
      </c>
      <c r="E366">
        <v>10599298</v>
      </c>
      <c r="F366">
        <v>0.17790472255804099</v>
      </c>
      <c r="G366">
        <v>0.127083938011743</v>
      </c>
      <c r="H366">
        <v>2.0701999999999998</v>
      </c>
      <c r="I366">
        <v>1.3338000000000001</v>
      </c>
      <c r="J366">
        <v>1.5873999999999999</v>
      </c>
    </row>
    <row r="367" spans="1:10" x14ac:dyDescent="0.25">
      <c r="A367">
        <v>41</v>
      </c>
      <c r="B367">
        <v>2011</v>
      </c>
      <c r="C367">
        <v>2403005.27</v>
      </c>
      <c r="D367">
        <v>811371.73</v>
      </c>
      <c r="E367">
        <v>10512349</v>
      </c>
      <c r="F367">
        <v>0.22858880255973199</v>
      </c>
      <c r="G367">
        <v>7.7182723861241601E-2</v>
      </c>
      <c r="H367">
        <v>2.0590999999999999</v>
      </c>
      <c r="I367">
        <v>1.5136000000000001</v>
      </c>
      <c r="J367">
        <v>1.5136000000000001</v>
      </c>
    </row>
    <row r="368" spans="1:10" x14ac:dyDescent="0.25">
      <c r="A368">
        <v>41</v>
      </c>
      <c r="B368">
        <v>2012</v>
      </c>
      <c r="C368">
        <v>2771272.22</v>
      </c>
      <c r="D368">
        <v>814623.78</v>
      </c>
      <c r="E368">
        <v>10577755</v>
      </c>
      <c r="F368">
        <v>0.26199058495871702</v>
      </c>
      <c r="G368">
        <v>7.7012918147565307E-2</v>
      </c>
      <c r="H368">
        <v>1.9527000000000001</v>
      </c>
      <c r="I368">
        <v>1.4083000000000001</v>
      </c>
      <c r="J368">
        <v>1.4663999999999999</v>
      </c>
    </row>
    <row r="369" spans="1:10" x14ac:dyDescent="0.25">
      <c r="A369">
        <v>41</v>
      </c>
      <c r="B369">
        <v>2013</v>
      </c>
      <c r="C369">
        <v>2752702.11</v>
      </c>
      <c r="D369">
        <v>1128902.48</v>
      </c>
      <c r="E369">
        <v>10997465</v>
      </c>
      <c r="F369">
        <v>0.25030332990375498</v>
      </c>
      <c r="G369">
        <v>0.10265115460699301</v>
      </c>
      <c r="H369">
        <v>1.9466000000000001</v>
      </c>
      <c r="I369">
        <v>1.3366</v>
      </c>
      <c r="J369">
        <v>1.5422</v>
      </c>
    </row>
    <row r="370" spans="1:10" x14ac:dyDescent="0.25">
      <c r="A370">
        <v>41</v>
      </c>
      <c r="B370">
        <v>2014</v>
      </c>
      <c r="C370">
        <v>2886674.1</v>
      </c>
      <c r="D370">
        <v>1235720.77</v>
      </c>
      <c r="E370">
        <v>11081692</v>
      </c>
      <c r="F370">
        <v>0.26049037457456797</v>
      </c>
      <c r="G370">
        <v>0.11151011686663</v>
      </c>
      <c r="H370">
        <v>1.9001999999999999</v>
      </c>
      <c r="I370">
        <v>1.3140000000000001</v>
      </c>
      <c r="J370">
        <v>1.5781000000000001</v>
      </c>
    </row>
    <row r="371" spans="1:10" x14ac:dyDescent="0.25">
      <c r="A371">
        <v>41</v>
      </c>
      <c r="B371">
        <v>2015</v>
      </c>
      <c r="C371">
        <v>2591179.5099999998</v>
      </c>
      <c r="D371">
        <v>1690431.63</v>
      </c>
      <c r="E371">
        <v>11163018</v>
      </c>
      <c r="F371">
        <v>0.23212177119126701</v>
      </c>
      <c r="G371">
        <v>0.15143141666527801</v>
      </c>
      <c r="H371">
        <v>1.9149</v>
      </c>
      <c r="I371">
        <v>1.3096000000000001</v>
      </c>
      <c r="J371">
        <v>1.5889</v>
      </c>
    </row>
    <row r="372" spans="1:10" x14ac:dyDescent="0.25">
      <c r="A372">
        <v>41</v>
      </c>
      <c r="B372">
        <v>2016</v>
      </c>
      <c r="C372">
        <v>2881573.09</v>
      </c>
      <c r="D372">
        <v>1245240.1299999999</v>
      </c>
      <c r="E372">
        <v>11242720</v>
      </c>
      <c r="F372">
        <v>0.25630568848107899</v>
      </c>
      <c r="G372">
        <v>0.110759685378627</v>
      </c>
      <c r="H372">
        <v>1.9877</v>
      </c>
      <c r="I372">
        <v>1.4784999999999999</v>
      </c>
      <c r="J372">
        <v>1.5661</v>
      </c>
    </row>
    <row r="373" spans="1:10" x14ac:dyDescent="0.25">
      <c r="A373">
        <v>41</v>
      </c>
      <c r="B373">
        <v>2017</v>
      </c>
      <c r="C373">
        <v>3065370.17</v>
      </c>
      <c r="D373">
        <v>1067031.32</v>
      </c>
      <c r="E373">
        <v>11320892</v>
      </c>
      <c r="F373">
        <v>0.27077108146601803</v>
      </c>
      <c r="G373">
        <v>9.42532902884331E-2</v>
      </c>
      <c r="H373">
        <v>1.968</v>
      </c>
      <c r="I373">
        <v>1.4626999999999999</v>
      </c>
      <c r="J373">
        <v>1.5478000000000001</v>
      </c>
    </row>
    <row r="374" spans="1:10" x14ac:dyDescent="0.25">
      <c r="A374">
        <v>41</v>
      </c>
      <c r="B374">
        <v>2018</v>
      </c>
      <c r="C374">
        <v>2535773.94</v>
      </c>
      <c r="D374">
        <v>1566082.41</v>
      </c>
      <c r="E374">
        <v>11348937</v>
      </c>
      <c r="F374">
        <v>0.22343713248209901</v>
      </c>
      <c r="G374">
        <v>0.137993753071322</v>
      </c>
      <c r="H374">
        <v>2.1890999999999998</v>
      </c>
      <c r="I374">
        <v>1.5124</v>
      </c>
      <c r="J374">
        <v>1.6815</v>
      </c>
    </row>
    <row r="375" spans="1:10" x14ac:dyDescent="0.25">
      <c r="A375">
        <v>41</v>
      </c>
      <c r="B375">
        <v>2019</v>
      </c>
      <c r="C375">
        <v>2514962.0299999998</v>
      </c>
      <c r="D375">
        <v>1776444.4</v>
      </c>
      <c r="E375">
        <v>11433957</v>
      </c>
      <c r="F375">
        <v>0.219955526332659</v>
      </c>
      <c r="G375">
        <v>0.15536567086967301</v>
      </c>
      <c r="H375">
        <v>2.0495000000000001</v>
      </c>
      <c r="I375">
        <v>1.44</v>
      </c>
      <c r="J375">
        <v>1.6563000000000001</v>
      </c>
    </row>
    <row r="376" spans="1:10" x14ac:dyDescent="0.25">
      <c r="A376">
        <v>41</v>
      </c>
      <c r="B376">
        <v>2020</v>
      </c>
      <c r="C376">
        <v>2491379.5699999998</v>
      </c>
      <c r="D376">
        <v>1329473.3</v>
      </c>
      <c r="E376">
        <v>11516840</v>
      </c>
      <c r="F376">
        <v>0.21632492680283799</v>
      </c>
      <c r="G376">
        <v>0.115437333504676</v>
      </c>
      <c r="H376">
        <v>1.8903000000000001</v>
      </c>
      <c r="I376">
        <v>1.3966000000000001</v>
      </c>
      <c r="J376">
        <v>1.5046999999999999</v>
      </c>
    </row>
    <row r="377" spans="1:10" x14ac:dyDescent="0.25">
      <c r="A377">
        <v>41</v>
      </c>
      <c r="B377">
        <v>2021</v>
      </c>
      <c r="C377">
        <v>2798206.39</v>
      </c>
      <c r="D377">
        <v>1010990.77</v>
      </c>
      <c r="E377">
        <v>11597484</v>
      </c>
      <c r="F377">
        <v>0.24127702094695699</v>
      </c>
      <c r="G377">
        <v>8.7173284308907001E-2</v>
      </c>
      <c r="H377">
        <v>2.3626999999999998</v>
      </c>
      <c r="I377">
        <v>1.8713</v>
      </c>
      <c r="J377">
        <v>1.8543000000000001</v>
      </c>
    </row>
    <row r="378" spans="1:10" x14ac:dyDescent="0.25">
      <c r="A378">
        <v>41</v>
      </c>
      <c r="B378">
        <v>2022</v>
      </c>
      <c r="C378">
        <v>3185490.6</v>
      </c>
      <c r="D378">
        <v>835763.03</v>
      </c>
      <c r="E378">
        <v>11597484</v>
      </c>
      <c r="F378">
        <v>0.27467083377739498</v>
      </c>
      <c r="G378">
        <v>7.20641675384074E-2</v>
      </c>
      <c r="H378">
        <v>2.4676</v>
      </c>
      <c r="I378">
        <v>1.9021999999999999</v>
      </c>
      <c r="J378">
        <v>2.5847000000000002</v>
      </c>
    </row>
    <row r="379" spans="1:10" x14ac:dyDescent="0.25">
      <c r="A379">
        <v>41</v>
      </c>
      <c r="B379">
        <v>2023</v>
      </c>
      <c r="C379">
        <v>3380217.19</v>
      </c>
      <c r="D379">
        <v>913048.67</v>
      </c>
      <c r="E379">
        <v>11597484</v>
      </c>
      <c r="F379">
        <v>0.291461250560897</v>
      </c>
      <c r="G379">
        <v>7.8728168109565802E-2</v>
      </c>
      <c r="H379">
        <v>2.1772</v>
      </c>
      <c r="I379">
        <v>1.548</v>
      </c>
      <c r="J379">
        <v>2.1617999999999999</v>
      </c>
    </row>
    <row r="380" spans="1:10" x14ac:dyDescent="0.25">
      <c r="A380">
        <v>42</v>
      </c>
      <c r="B380">
        <v>2006</v>
      </c>
      <c r="C380">
        <v>1478528.47</v>
      </c>
      <c r="D380">
        <v>193058.54</v>
      </c>
      <c r="E380">
        <v>5958266</v>
      </c>
      <c r="F380">
        <v>0.248147442561308</v>
      </c>
      <c r="G380">
        <v>3.2401799449705601E-2</v>
      </c>
      <c r="H380">
        <v>2.57</v>
      </c>
      <c r="I380">
        <v>1.82</v>
      </c>
      <c r="J380">
        <v>1.9</v>
      </c>
    </row>
    <row r="381" spans="1:10" x14ac:dyDescent="0.25">
      <c r="A381">
        <v>42</v>
      </c>
      <c r="B381">
        <v>2007</v>
      </c>
      <c r="C381">
        <v>1339062.33</v>
      </c>
      <c r="D381">
        <v>242397.14</v>
      </c>
      <c r="E381">
        <v>6005426</v>
      </c>
      <c r="F381">
        <v>0.222975410903406</v>
      </c>
      <c r="G381">
        <v>4.0363021707369301E-2</v>
      </c>
      <c r="H381">
        <v>2.4316</v>
      </c>
      <c r="I381">
        <v>1.637</v>
      </c>
      <c r="J381">
        <v>1.7997000000000001</v>
      </c>
    </row>
    <row r="382" spans="1:10" x14ac:dyDescent="0.25">
      <c r="A382">
        <v>42</v>
      </c>
      <c r="B382">
        <v>2008</v>
      </c>
      <c r="C382">
        <v>1375977.99</v>
      </c>
      <c r="D382">
        <v>376158.48</v>
      </c>
      <c r="E382">
        <v>6052587</v>
      </c>
      <c r="F382">
        <v>0.22733716838766599</v>
      </c>
      <c r="G382">
        <v>6.2148380518941698E-2</v>
      </c>
      <c r="H382">
        <v>2.2961</v>
      </c>
      <c r="I382">
        <v>1.5367</v>
      </c>
      <c r="J382">
        <v>1.8441000000000001</v>
      </c>
    </row>
    <row r="383" spans="1:10" x14ac:dyDescent="0.25">
      <c r="A383">
        <v>42</v>
      </c>
      <c r="B383">
        <v>2009</v>
      </c>
      <c r="C383">
        <v>1451702.97</v>
      </c>
      <c r="D383">
        <v>498649.85</v>
      </c>
      <c r="E383">
        <v>6118743</v>
      </c>
      <c r="F383">
        <v>0.23725509798336</v>
      </c>
      <c r="G383">
        <v>8.14954721909385E-2</v>
      </c>
      <c r="H383">
        <v>2.1924999999999999</v>
      </c>
      <c r="I383">
        <v>1.4993000000000001</v>
      </c>
      <c r="J383">
        <v>1.8026</v>
      </c>
    </row>
    <row r="384" spans="1:10" x14ac:dyDescent="0.25">
      <c r="A384">
        <v>42</v>
      </c>
      <c r="B384">
        <v>2010</v>
      </c>
      <c r="C384">
        <v>1787184.72</v>
      </c>
      <c r="D384">
        <v>290593.44</v>
      </c>
      <c r="E384">
        <v>6217898</v>
      </c>
      <c r="F384">
        <v>0.28742586642624202</v>
      </c>
      <c r="G384">
        <v>4.6734996296175897E-2</v>
      </c>
      <c r="H384">
        <v>2.1111</v>
      </c>
      <c r="I384">
        <v>1.6037999999999999</v>
      </c>
      <c r="J384">
        <v>1.6611</v>
      </c>
    </row>
    <row r="385" spans="1:10" x14ac:dyDescent="0.25">
      <c r="A385">
        <v>42</v>
      </c>
      <c r="B385">
        <v>2011</v>
      </c>
      <c r="C385">
        <v>2008653.52</v>
      </c>
      <c r="D385">
        <v>123082.12</v>
      </c>
      <c r="E385">
        <v>6317054</v>
      </c>
      <c r="F385">
        <v>0.31797314381038999</v>
      </c>
      <c r="G385">
        <v>1.9484101291519701E-2</v>
      </c>
      <c r="H385">
        <v>2.0897999999999999</v>
      </c>
      <c r="I385">
        <v>1.7979000000000001</v>
      </c>
      <c r="J385">
        <v>1.5750999999999999</v>
      </c>
    </row>
    <row r="386" spans="1:10" x14ac:dyDescent="0.25">
      <c r="A386">
        <v>42</v>
      </c>
      <c r="B386">
        <v>2012</v>
      </c>
      <c r="C386">
        <v>2225459.46</v>
      </c>
      <c r="D386">
        <v>94663.11</v>
      </c>
      <c r="E386">
        <v>6362734</v>
      </c>
      <c r="F386">
        <v>0.34976465462802597</v>
      </c>
      <c r="G386">
        <v>1.4877741235135701E-2</v>
      </c>
      <c r="H386">
        <v>1.9744999999999999</v>
      </c>
      <c r="I386">
        <v>1.7277</v>
      </c>
      <c r="J386">
        <v>1.5244</v>
      </c>
    </row>
    <row r="387" spans="1:10" x14ac:dyDescent="0.25">
      <c r="A387">
        <v>42</v>
      </c>
      <c r="B387">
        <v>2013</v>
      </c>
      <c r="C387">
        <v>2364078.62</v>
      </c>
      <c r="D387">
        <v>110495.72</v>
      </c>
      <c r="E387">
        <v>6634254</v>
      </c>
      <c r="F387">
        <v>0.356344303368547</v>
      </c>
      <c r="G387">
        <v>1.6655334571151401E-2</v>
      </c>
      <c r="H387">
        <v>1.9534</v>
      </c>
      <c r="I387">
        <v>1.645</v>
      </c>
      <c r="J387">
        <v>1.5902000000000001</v>
      </c>
    </row>
    <row r="388" spans="1:10" x14ac:dyDescent="0.25">
      <c r="A388">
        <v>42</v>
      </c>
      <c r="B388">
        <v>2014</v>
      </c>
      <c r="C388">
        <v>2571463.1</v>
      </c>
      <c r="D388">
        <v>107772.36</v>
      </c>
      <c r="E388">
        <v>6727148</v>
      </c>
      <c r="F388">
        <v>0.38225160201618802</v>
      </c>
      <c r="G388">
        <v>1.6020512704640898E-2</v>
      </c>
      <c r="H388">
        <v>1.9066000000000001</v>
      </c>
      <c r="I388">
        <v>1.6039000000000001</v>
      </c>
      <c r="J388">
        <v>1.6168</v>
      </c>
    </row>
    <row r="389" spans="1:10" x14ac:dyDescent="0.25">
      <c r="A389">
        <v>42</v>
      </c>
      <c r="B389">
        <v>2015</v>
      </c>
      <c r="C389">
        <v>2560629.7599999998</v>
      </c>
      <c r="D389">
        <v>157132.54</v>
      </c>
      <c r="E389">
        <v>6819190</v>
      </c>
      <c r="F389">
        <v>0.37550350701476198</v>
      </c>
      <c r="G389">
        <v>2.3042698619630701E-2</v>
      </c>
      <c r="H389">
        <v>1.8974</v>
      </c>
      <c r="I389">
        <v>1.5190999999999999</v>
      </c>
      <c r="J389">
        <v>1.6238999999999999</v>
      </c>
    </row>
    <row r="390" spans="1:10" x14ac:dyDescent="0.25">
      <c r="A390">
        <v>42</v>
      </c>
      <c r="B390">
        <v>2016</v>
      </c>
      <c r="C390">
        <v>2700772.29</v>
      </c>
      <c r="D390">
        <v>74866.3</v>
      </c>
      <c r="E390">
        <v>6910553</v>
      </c>
      <c r="F390">
        <v>0.39081854809593303</v>
      </c>
      <c r="G390">
        <v>1.08336192487055E-2</v>
      </c>
      <c r="H390">
        <v>1.9275</v>
      </c>
      <c r="I390">
        <v>1.7084999999999999</v>
      </c>
      <c r="J390">
        <v>1.6153999999999999</v>
      </c>
    </row>
    <row r="391" spans="1:10" x14ac:dyDescent="0.25">
      <c r="A391">
        <v>42</v>
      </c>
      <c r="B391">
        <v>2017</v>
      </c>
      <c r="C391">
        <v>2807016.35</v>
      </c>
      <c r="D391">
        <v>67385.11</v>
      </c>
      <c r="E391">
        <v>7001161</v>
      </c>
      <c r="F391">
        <v>0.40093583764178498</v>
      </c>
      <c r="G391">
        <v>9.6248479359351893E-3</v>
      </c>
      <c r="H391">
        <v>1.9467000000000001</v>
      </c>
      <c r="I391">
        <v>1.7233000000000001</v>
      </c>
      <c r="J391">
        <v>1.617</v>
      </c>
    </row>
    <row r="392" spans="1:10" x14ac:dyDescent="0.25">
      <c r="A392">
        <v>42</v>
      </c>
      <c r="B392">
        <v>2018</v>
      </c>
      <c r="C392">
        <v>2750212.92</v>
      </c>
      <c r="D392">
        <v>96304.71</v>
      </c>
      <c r="E392">
        <v>7075494</v>
      </c>
      <c r="F392">
        <v>0.38869553419167602</v>
      </c>
      <c r="G392">
        <v>1.36110227780562E-2</v>
      </c>
      <c r="H392">
        <v>2.1019000000000001</v>
      </c>
      <c r="I392">
        <v>1.7841</v>
      </c>
      <c r="J392">
        <v>1.7174</v>
      </c>
    </row>
    <row r="393" spans="1:10" x14ac:dyDescent="0.25">
      <c r="A393">
        <v>42</v>
      </c>
      <c r="B393">
        <v>2019</v>
      </c>
      <c r="C393">
        <v>2885318.42</v>
      </c>
      <c r="D393">
        <v>81554.81</v>
      </c>
      <c r="E393">
        <v>7164788</v>
      </c>
      <c r="F393">
        <v>0.40270813595601102</v>
      </c>
      <c r="G393">
        <v>1.13827247924153E-2</v>
      </c>
      <c r="H393">
        <v>2.0053000000000001</v>
      </c>
      <c r="I393">
        <v>1.7447999999999999</v>
      </c>
      <c r="J393">
        <v>1.6956</v>
      </c>
    </row>
    <row r="394" spans="1:10" x14ac:dyDescent="0.25">
      <c r="A394">
        <v>42</v>
      </c>
      <c r="B394">
        <v>2020</v>
      </c>
      <c r="C394">
        <v>2636645.7999999998</v>
      </c>
      <c r="D394">
        <v>77382.63</v>
      </c>
      <c r="E394">
        <v>7252502</v>
      </c>
      <c r="F394">
        <v>0.36354982046195899</v>
      </c>
      <c r="G394">
        <v>1.06697840276362E-2</v>
      </c>
      <c r="H394">
        <v>1.9515</v>
      </c>
      <c r="I394">
        <v>1.7069000000000001</v>
      </c>
      <c r="J394">
        <v>1.58</v>
      </c>
    </row>
    <row r="395" spans="1:10" x14ac:dyDescent="0.25">
      <c r="A395">
        <v>42</v>
      </c>
      <c r="B395">
        <v>2021</v>
      </c>
      <c r="C395">
        <v>2839222.85</v>
      </c>
      <c r="D395">
        <v>61846.720000000001</v>
      </c>
      <c r="E395">
        <v>7338473</v>
      </c>
      <c r="F395">
        <v>0.38689559122176997</v>
      </c>
      <c r="G395">
        <v>8.4277369420041395E-3</v>
      </c>
      <c r="H395">
        <v>2.3755000000000002</v>
      </c>
      <c r="I395">
        <v>2.1448</v>
      </c>
      <c r="J395">
        <v>1.9055</v>
      </c>
    </row>
    <row r="396" spans="1:10" x14ac:dyDescent="0.25">
      <c r="A396">
        <v>42</v>
      </c>
      <c r="B396">
        <v>2022</v>
      </c>
      <c r="C396">
        <v>2960876.27</v>
      </c>
      <c r="D396">
        <v>56621.99</v>
      </c>
      <c r="E396">
        <v>7338473</v>
      </c>
      <c r="F396">
        <v>0.40347307539320498</v>
      </c>
      <c r="G396">
        <v>7.7157727499985304E-3</v>
      </c>
      <c r="H396">
        <v>2.4474</v>
      </c>
      <c r="I396">
        <v>2.1930000000000001</v>
      </c>
      <c r="J396">
        <v>2.617</v>
      </c>
    </row>
    <row r="397" spans="1:10" x14ac:dyDescent="0.25">
      <c r="A397">
        <v>42</v>
      </c>
      <c r="B397">
        <v>2023</v>
      </c>
      <c r="C397">
        <v>3103228.46</v>
      </c>
      <c r="D397">
        <v>101661.22</v>
      </c>
      <c r="E397">
        <v>7338473</v>
      </c>
      <c r="F397">
        <v>0.422871142266245</v>
      </c>
      <c r="G397">
        <v>1.3853184443139601E-2</v>
      </c>
      <c r="H397">
        <v>2.1617999999999999</v>
      </c>
      <c r="I397">
        <v>1.7448999999999999</v>
      </c>
      <c r="J397">
        <v>2.2120000000000002</v>
      </c>
    </row>
    <row r="398" spans="1:10" x14ac:dyDescent="0.25">
      <c r="A398">
        <v>43</v>
      </c>
      <c r="B398">
        <v>2006</v>
      </c>
      <c r="C398">
        <v>1898189.9</v>
      </c>
      <c r="D398">
        <v>158758.98000000001</v>
      </c>
      <c r="E398">
        <v>10963219</v>
      </c>
      <c r="F398">
        <v>0.17314165666124101</v>
      </c>
      <c r="G398">
        <v>1.44810552448145E-2</v>
      </c>
      <c r="H398">
        <v>2.72</v>
      </c>
      <c r="I398">
        <v>2.17</v>
      </c>
      <c r="J398">
        <v>1.96</v>
      </c>
    </row>
    <row r="399" spans="1:10" x14ac:dyDescent="0.25">
      <c r="A399">
        <v>43</v>
      </c>
      <c r="B399">
        <v>2007</v>
      </c>
      <c r="C399">
        <v>1967365.6</v>
      </c>
      <c r="D399">
        <v>220297.42</v>
      </c>
      <c r="E399">
        <v>10909224</v>
      </c>
      <c r="F399">
        <v>0.18033964652297901</v>
      </c>
      <c r="G399">
        <v>2.0193683803724199E-2</v>
      </c>
      <c r="H399">
        <v>2.4506999999999999</v>
      </c>
      <c r="I399">
        <v>1.6943999999999999</v>
      </c>
      <c r="J399">
        <v>1.8667</v>
      </c>
    </row>
    <row r="400" spans="1:10" x14ac:dyDescent="0.25">
      <c r="A400">
        <v>43</v>
      </c>
      <c r="B400">
        <v>2008</v>
      </c>
      <c r="C400">
        <v>2121884.89</v>
      </c>
      <c r="D400">
        <v>324890.40000000002</v>
      </c>
      <c r="E400">
        <v>10855228</v>
      </c>
      <c r="F400">
        <v>0.195471241138371</v>
      </c>
      <c r="G400">
        <v>2.99293943895052E-2</v>
      </c>
      <c r="H400">
        <v>2.3231999999999999</v>
      </c>
      <c r="I400">
        <v>1.6091</v>
      </c>
      <c r="J400">
        <v>1.9074</v>
      </c>
    </row>
    <row r="401" spans="1:10" x14ac:dyDescent="0.25">
      <c r="A401">
        <v>43</v>
      </c>
      <c r="B401">
        <v>2009</v>
      </c>
      <c r="C401">
        <v>2245512.7999999998</v>
      </c>
      <c r="D401">
        <v>403028.33</v>
      </c>
      <c r="E401">
        <v>10914128</v>
      </c>
      <c r="F401">
        <v>0.205743674620638</v>
      </c>
      <c r="G401">
        <v>3.6927213058157202E-2</v>
      </c>
      <c r="H401">
        <v>2.2185000000000001</v>
      </c>
      <c r="I401">
        <v>1.5599000000000001</v>
      </c>
      <c r="J401">
        <v>1.8286</v>
      </c>
    </row>
    <row r="402" spans="1:10" x14ac:dyDescent="0.25">
      <c r="A402">
        <v>43</v>
      </c>
      <c r="B402">
        <v>2010</v>
      </c>
      <c r="C402">
        <v>2582903.54</v>
      </c>
      <c r="D402">
        <v>240893.3</v>
      </c>
      <c r="E402">
        <v>10823579</v>
      </c>
      <c r="F402">
        <v>0.238636733745834</v>
      </c>
      <c r="G402">
        <v>2.2256344227727199E-2</v>
      </c>
      <c r="H402">
        <v>2.1274999999999999</v>
      </c>
      <c r="I402">
        <v>1.6447000000000001</v>
      </c>
      <c r="J402">
        <v>1.6774</v>
      </c>
    </row>
    <row r="403" spans="1:10" x14ac:dyDescent="0.25">
      <c r="A403">
        <v>43</v>
      </c>
      <c r="B403">
        <v>2011</v>
      </c>
      <c r="C403">
        <v>2813757.28</v>
      </c>
      <c r="D403">
        <v>137121.91</v>
      </c>
      <c r="E403">
        <v>10733030</v>
      </c>
      <c r="F403">
        <v>0.26215870821193998</v>
      </c>
      <c r="G403">
        <v>1.2775694282043301E-2</v>
      </c>
      <c r="H403">
        <v>2.1128999999999998</v>
      </c>
      <c r="I403">
        <v>1.8209</v>
      </c>
      <c r="J403">
        <v>1.5981000000000001</v>
      </c>
    </row>
    <row r="404" spans="1:10" x14ac:dyDescent="0.25">
      <c r="A404">
        <v>43</v>
      </c>
      <c r="B404">
        <v>2012</v>
      </c>
      <c r="C404">
        <v>3081486.6</v>
      </c>
      <c r="D404">
        <v>115215.87</v>
      </c>
      <c r="E404">
        <v>10768025</v>
      </c>
      <c r="F404">
        <v>0.28617008225742402</v>
      </c>
      <c r="G404">
        <v>1.0699814497087399E-2</v>
      </c>
      <c r="H404">
        <v>2.0036</v>
      </c>
      <c r="I404">
        <v>1.7422</v>
      </c>
      <c r="J404">
        <v>1.5462</v>
      </c>
    </row>
    <row r="405" spans="1:10" x14ac:dyDescent="0.25">
      <c r="A405">
        <v>43</v>
      </c>
      <c r="B405">
        <v>2013</v>
      </c>
      <c r="C405">
        <v>3297196.15</v>
      </c>
      <c r="D405">
        <v>111449.65</v>
      </c>
      <c r="E405">
        <v>11164043</v>
      </c>
      <c r="F405">
        <v>0.29534068885259501</v>
      </c>
      <c r="G405">
        <v>9.9829112087798204E-3</v>
      </c>
      <c r="H405">
        <v>1.9671000000000001</v>
      </c>
      <c r="I405">
        <v>1.6656</v>
      </c>
      <c r="J405">
        <v>1.597</v>
      </c>
    </row>
    <row r="406" spans="1:10" x14ac:dyDescent="0.25">
      <c r="A406">
        <v>43</v>
      </c>
      <c r="B406">
        <v>2014</v>
      </c>
      <c r="C406">
        <v>3552611.8</v>
      </c>
      <c r="D406">
        <v>114072.73</v>
      </c>
      <c r="E406">
        <v>11207274</v>
      </c>
      <c r="F406">
        <v>0.31699160741496901</v>
      </c>
      <c r="G406">
        <v>1.0178454635801699E-2</v>
      </c>
      <c r="H406">
        <v>1.9066000000000001</v>
      </c>
      <c r="I406">
        <v>1.5973999999999999</v>
      </c>
      <c r="J406">
        <v>1.6103000000000001</v>
      </c>
    </row>
    <row r="407" spans="1:10" x14ac:dyDescent="0.25">
      <c r="A407">
        <v>43</v>
      </c>
      <c r="B407">
        <v>2015</v>
      </c>
      <c r="C407">
        <v>3494738.69</v>
      </c>
      <c r="D407">
        <v>167631.84</v>
      </c>
      <c r="E407">
        <v>11247972</v>
      </c>
      <c r="F407">
        <v>0.31069944786491199</v>
      </c>
      <c r="G407">
        <v>1.49032945672339E-2</v>
      </c>
      <c r="H407">
        <v>1.9556</v>
      </c>
      <c r="I407">
        <v>1.5598000000000001</v>
      </c>
      <c r="J407">
        <v>1.6238999999999999</v>
      </c>
    </row>
    <row r="408" spans="1:10" x14ac:dyDescent="0.25">
      <c r="A408">
        <v>43</v>
      </c>
      <c r="B408">
        <v>2016</v>
      </c>
      <c r="C408">
        <v>3463356.22</v>
      </c>
      <c r="D408">
        <v>68922.759999999995</v>
      </c>
      <c r="E408">
        <v>11286500</v>
      </c>
      <c r="F408">
        <v>0.30685830151065402</v>
      </c>
      <c r="G408">
        <v>6.1066548531431303E-3</v>
      </c>
      <c r="H408">
        <v>2.1191</v>
      </c>
      <c r="I408">
        <v>1.9383999999999999</v>
      </c>
      <c r="J408">
        <v>1.6099000000000001</v>
      </c>
    </row>
    <row r="409" spans="1:10" x14ac:dyDescent="0.25">
      <c r="A409">
        <v>43</v>
      </c>
      <c r="B409">
        <v>2017</v>
      </c>
      <c r="C409">
        <v>3594255.28</v>
      </c>
      <c r="D409">
        <v>54731.47</v>
      </c>
      <c r="E409">
        <v>11322895</v>
      </c>
      <c r="F409">
        <v>0.317432536467043</v>
      </c>
      <c r="G409">
        <v>4.8336993321937503E-3</v>
      </c>
      <c r="H409">
        <v>2.0796999999999999</v>
      </c>
      <c r="I409">
        <v>1.9308000000000001</v>
      </c>
      <c r="J409">
        <v>1.6063000000000001</v>
      </c>
    </row>
    <row r="410" spans="1:10" x14ac:dyDescent="0.25">
      <c r="A410">
        <v>43</v>
      </c>
      <c r="B410">
        <v>2018</v>
      </c>
      <c r="C410">
        <v>3461000.8</v>
      </c>
      <c r="D410">
        <v>69212.42</v>
      </c>
      <c r="E410">
        <v>11329605</v>
      </c>
      <c r="F410">
        <v>0.30548291842478098</v>
      </c>
      <c r="G410">
        <v>6.1089879126412601E-3</v>
      </c>
      <c r="H410">
        <v>2.3531</v>
      </c>
      <c r="I410">
        <v>2.0507</v>
      </c>
      <c r="J410">
        <v>1.7533000000000001</v>
      </c>
    </row>
    <row r="411" spans="1:10" x14ac:dyDescent="0.25">
      <c r="A411">
        <v>43</v>
      </c>
      <c r="B411">
        <v>2019</v>
      </c>
      <c r="C411">
        <v>3553480.34</v>
      </c>
      <c r="D411">
        <v>53036.35</v>
      </c>
      <c r="E411">
        <v>11377239</v>
      </c>
      <c r="F411">
        <v>0.31233239804490298</v>
      </c>
      <c r="G411">
        <v>4.6616186932523698E-3</v>
      </c>
      <c r="H411">
        <v>2.2166000000000001</v>
      </c>
      <c r="I411">
        <v>1.9954000000000001</v>
      </c>
      <c r="J411">
        <v>1.7251000000000001</v>
      </c>
    </row>
    <row r="412" spans="1:10" x14ac:dyDescent="0.25">
      <c r="A412">
        <v>43</v>
      </c>
      <c r="B412">
        <v>2020</v>
      </c>
      <c r="C412">
        <v>3178280.53</v>
      </c>
      <c r="D412">
        <v>34970.559999999998</v>
      </c>
      <c r="E412">
        <v>11422973</v>
      </c>
      <c r="F412">
        <v>0.27823584368097498</v>
      </c>
      <c r="G412">
        <v>3.0614236766558002E-3</v>
      </c>
      <c r="H412">
        <v>2.0455000000000001</v>
      </c>
      <c r="I412">
        <v>1.9468000000000001</v>
      </c>
      <c r="J412">
        <v>1.5847</v>
      </c>
    </row>
    <row r="413" spans="1:10" x14ac:dyDescent="0.25">
      <c r="A413">
        <v>43</v>
      </c>
      <c r="B413">
        <v>2021</v>
      </c>
      <c r="C413">
        <v>3269749.53</v>
      </c>
      <c r="D413">
        <v>34293.31</v>
      </c>
      <c r="E413">
        <v>11466630</v>
      </c>
      <c r="F413">
        <v>0.28515348711870803</v>
      </c>
      <c r="G413">
        <v>2.9907052028364002E-3</v>
      </c>
      <c r="H413">
        <v>2.5678000000000001</v>
      </c>
      <c r="I413">
        <v>2.4481000000000002</v>
      </c>
      <c r="J413">
        <v>1.9013</v>
      </c>
    </row>
    <row r="414" spans="1:10" x14ac:dyDescent="0.25">
      <c r="A414">
        <v>43</v>
      </c>
      <c r="B414">
        <v>2022</v>
      </c>
      <c r="C414">
        <v>3602295.12</v>
      </c>
      <c r="D414">
        <v>32924.160000000003</v>
      </c>
      <c r="E414">
        <v>11466630</v>
      </c>
      <c r="F414">
        <v>0.31415464875033</v>
      </c>
      <c r="G414">
        <v>2.8713022047454199E-3</v>
      </c>
      <c r="H414">
        <v>2.3828</v>
      </c>
      <c r="I414">
        <v>2.3100999999999998</v>
      </c>
      <c r="J414">
        <v>2.5969000000000002</v>
      </c>
    </row>
    <row r="415" spans="1:10" x14ac:dyDescent="0.25">
      <c r="A415">
        <v>43</v>
      </c>
      <c r="B415">
        <v>2023</v>
      </c>
      <c r="C415">
        <v>3825753.14</v>
      </c>
      <c r="D415">
        <v>54927.69</v>
      </c>
      <c r="E415">
        <v>11466630</v>
      </c>
      <c r="F415">
        <v>0.333642329088843</v>
      </c>
      <c r="G415">
        <v>4.7902208408224503E-3</v>
      </c>
      <c r="H415">
        <v>2.0960999999999999</v>
      </c>
      <c r="I415">
        <v>1.8182</v>
      </c>
      <c r="J415">
        <v>2.2042000000000002</v>
      </c>
    </row>
    <row r="416" spans="1:10" x14ac:dyDescent="0.25">
      <c r="A416">
        <v>50</v>
      </c>
      <c r="B416">
        <v>2006</v>
      </c>
      <c r="C416">
        <v>318707.13</v>
      </c>
      <c r="D416">
        <v>65292.34</v>
      </c>
      <c r="E416">
        <v>2297981</v>
      </c>
      <c r="F416">
        <v>0.13869006314673599</v>
      </c>
      <c r="G416">
        <v>2.8412915511485899E-2</v>
      </c>
      <c r="H416">
        <v>2.76</v>
      </c>
      <c r="I416">
        <v>1.94</v>
      </c>
      <c r="J416">
        <v>2.06</v>
      </c>
    </row>
    <row r="417" spans="1:10" x14ac:dyDescent="0.25">
      <c r="A417">
        <v>50</v>
      </c>
      <c r="B417">
        <v>2007</v>
      </c>
      <c r="C417">
        <v>328961.32</v>
      </c>
      <c r="D417">
        <v>105473.42</v>
      </c>
      <c r="E417">
        <v>2317020</v>
      </c>
      <c r="F417">
        <v>0.14197603818698101</v>
      </c>
      <c r="G417">
        <v>4.5521152169597102E-2</v>
      </c>
      <c r="H417">
        <v>2.5943000000000001</v>
      </c>
      <c r="I417">
        <v>1.6560999999999999</v>
      </c>
      <c r="J417">
        <v>1.9529000000000001</v>
      </c>
    </row>
    <row r="418" spans="1:10" x14ac:dyDescent="0.25">
      <c r="A418">
        <v>50</v>
      </c>
      <c r="B418">
        <v>2008</v>
      </c>
      <c r="C418">
        <v>356358.49</v>
      </c>
      <c r="D418">
        <v>166280.15</v>
      </c>
      <c r="E418">
        <v>2336060</v>
      </c>
      <c r="F418">
        <v>0.152546805304658</v>
      </c>
      <c r="G418">
        <v>7.1179742814824906E-2</v>
      </c>
      <c r="H418">
        <v>2.4498000000000002</v>
      </c>
      <c r="I418">
        <v>1.5729</v>
      </c>
      <c r="J418">
        <v>1.9797</v>
      </c>
    </row>
    <row r="419" spans="1:10" x14ac:dyDescent="0.25">
      <c r="A419">
        <v>50</v>
      </c>
      <c r="B419">
        <v>2009</v>
      </c>
      <c r="C419">
        <v>372538.16</v>
      </c>
      <c r="D419">
        <v>207976.53</v>
      </c>
      <c r="E419">
        <v>2360498</v>
      </c>
      <c r="F419">
        <v>0.15782184945718999</v>
      </c>
      <c r="G419">
        <v>8.8107056222881702E-2</v>
      </c>
      <c r="H419">
        <v>2.3138999999999998</v>
      </c>
      <c r="I419">
        <v>1.5079</v>
      </c>
      <c r="J419">
        <v>1.9152</v>
      </c>
    </row>
    <row r="420" spans="1:10" x14ac:dyDescent="0.25">
      <c r="A420">
        <v>50</v>
      </c>
      <c r="B420">
        <v>2010</v>
      </c>
      <c r="C420">
        <v>451271.24</v>
      </c>
      <c r="D420">
        <v>168271.84</v>
      </c>
      <c r="E420">
        <v>2419020</v>
      </c>
      <c r="F420">
        <v>0.186551264561682</v>
      </c>
      <c r="G420">
        <v>6.9561987912460405E-2</v>
      </c>
      <c r="H420">
        <v>2.1684000000000001</v>
      </c>
      <c r="I420">
        <v>1.4892000000000001</v>
      </c>
      <c r="J420">
        <v>1.7593000000000001</v>
      </c>
    </row>
    <row r="421" spans="1:10" x14ac:dyDescent="0.25">
      <c r="A421">
        <v>50</v>
      </c>
      <c r="B421">
        <v>2011</v>
      </c>
      <c r="C421">
        <v>552064.64</v>
      </c>
      <c r="D421">
        <v>105792.03</v>
      </c>
      <c r="E421">
        <v>2477542</v>
      </c>
      <c r="F421">
        <v>0.22282756054185901</v>
      </c>
      <c r="G421">
        <v>4.2700398217265297E-2</v>
      </c>
      <c r="H421">
        <v>2.0975000000000001</v>
      </c>
      <c r="I421">
        <v>1.5981000000000001</v>
      </c>
      <c r="J421">
        <v>1.6673</v>
      </c>
    </row>
    <row r="422" spans="1:10" x14ac:dyDescent="0.25">
      <c r="A422">
        <v>50</v>
      </c>
      <c r="B422">
        <v>2012</v>
      </c>
      <c r="C422">
        <v>643255.26</v>
      </c>
      <c r="D422">
        <v>90758.84</v>
      </c>
      <c r="E422">
        <v>2500365</v>
      </c>
      <c r="F422">
        <v>0.25726454337666699</v>
      </c>
      <c r="G422">
        <v>3.62982364574772E-2</v>
      </c>
      <c r="H422">
        <v>2.0181</v>
      </c>
      <c r="I422">
        <v>1.5462</v>
      </c>
      <c r="J422">
        <v>1.6188</v>
      </c>
    </row>
    <row r="423" spans="1:10" x14ac:dyDescent="0.25">
      <c r="A423">
        <v>50</v>
      </c>
      <c r="B423">
        <v>2013</v>
      </c>
      <c r="C423">
        <v>671116.67</v>
      </c>
      <c r="D423">
        <v>130868.23</v>
      </c>
      <c r="E423">
        <v>2587269</v>
      </c>
      <c r="F423">
        <v>0.25939191866017702</v>
      </c>
      <c r="G423">
        <v>5.0581609411313601E-2</v>
      </c>
      <c r="H423">
        <v>2.0562999999999998</v>
      </c>
      <c r="I423">
        <v>1.4804999999999999</v>
      </c>
      <c r="J423">
        <v>1.6998</v>
      </c>
    </row>
    <row r="424" spans="1:10" x14ac:dyDescent="0.25">
      <c r="A424">
        <v>50</v>
      </c>
      <c r="B424">
        <v>2014</v>
      </c>
      <c r="C424">
        <v>717740.23</v>
      </c>
      <c r="D424">
        <v>156077.91</v>
      </c>
      <c r="E424">
        <v>2619657</v>
      </c>
      <c r="F424">
        <v>0.27398252137589002</v>
      </c>
      <c r="G424">
        <v>5.9579521288473998E-2</v>
      </c>
      <c r="H424">
        <v>1.9839</v>
      </c>
      <c r="I424">
        <v>1.4106000000000001</v>
      </c>
      <c r="J424">
        <v>1.7262999999999999</v>
      </c>
    </row>
    <row r="425" spans="1:10" x14ac:dyDescent="0.25">
      <c r="A425">
        <v>50</v>
      </c>
      <c r="B425">
        <v>2015</v>
      </c>
      <c r="C425">
        <v>663753.43000000005</v>
      </c>
      <c r="D425">
        <v>231696.16</v>
      </c>
      <c r="E425">
        <v>2651235</v>
      </c>
      <c r="F425">
        <v>0.25035631696171701</v>
      </c>
      <c r="G425">
        <v>8.7391785337776501E-2</v>
      </c>
      <c r="H425">
        <v>1.9498</v>
      </c>
      <c r="I425">
        <v>1.3794</v>
      </c>
      <c r="J425">
        <v>1.7519</v>
      </c>
    </row>
    <row r="426" spans="1:10" x14ac:dyDescent="0.25">
      <c r="A426">
        <v>50</v>
      </c>
      <c r="B426">
        <v>2016</v>
      </c>
      <c r="C426">
        <v>741872.02</v>
      </c>
      <c r="D426">
        <v>116193.77</v>
      </c>
      <c r="E426">
        <v>2682386</v>
      </c>
      <c r="F426">
        <v>0.27657168655070502</v>
      </c>
      <c r="G426">
        <v>4.3317318983919502E-2</v>
      </c>
      <c r="H426">
        <v>1.9219999999999999</v>
      </c>
      <c r="I426">
        <v>1.5550999999999999</v>
      </c>
      <c r="J426">
        <v>1.7850999999999999</v>
      </c>
    </row>
    <row r="427" spans="1:10" x14ac:dyDescent="0.25">
      <c r="A427">
        <v>50</v>
      </c>
      <c r="B427">
        <v>2017</v>
      </c>
      <c r="C427">
        <v>766623.34</v>
      </c>
      <c r="D427">
        <v>91062.74</v>
      </c>
      <c r="E427">
        <v>2713147</v>
      </c>
      <c r="F427">
        <v>0.28255871871299199</v>
      </c>
      <c r="G427">
        <v>3.3563511302557497E-2</v>
      </c>
      <c r="H427">
        <v>1.968</v>
      </c>
      <c r="I427">
        <v>1.6329</v>
      </c>
      <c r="J427">
        <v>1.835</v>
      </c>
    </row>
    <row r="428" spans="1:10" x14ac:dyDescent="0.25">
      <c r="A428">
        <v>50</v>
      </c>
      <c r="B428">
        <v>2018</v>
      </c>
      <c r="C428">
        <v>712686.89</v>
      </c>
      <c r="D428">
        <v>133379.73000000001</v>
      </c>
      <c r="E428">
        <v>2748023</v>
      </c>
      <c r="F428">
        <v>0.25934531479540002</v>
      </c>
      <c r="G428">
        <v>4.8536613412624198E-2</v>
      </c>
      <c r="H428">
        <v>2.1737000000000002</v>
      </c>
      <c r="I428">
        <v>1.7122999999999999</v>
      </c>
      <c r="J428">
        <v>1.8815</v>
      </c>
    </row>
    <row r="429" spans="1:10" x14ac:dyDescent="0.25">
      <c r="A429">
        <v>50</v>
      </c>
      <c r="B429">
        <v>2019</v>
      </c>
      <c r="C429">
        <v>768148.2</v>
      </c>
      <c r="D429">
        <v>108582.65</v>
      </c>
      <c r="E429">
        <v>2778986</v>
      </c>
      <c r="F429">
        <v>0.27641312334786799</v>
      </c>
      <c r="G429">
        <v>3.9072758912783202E-2</v>
      </c>
      <c r="H429">
        <v>2.0347</v>
      </c>
      <c r="I429">
        <v>1.6759999999999999</v>
      </c>
      <c r="J429">
        <v>1.7841</v>
      </c>
    </row>
    <row r="430" spans="1:10" x14ac:dyDescent="0.25">
      <c r="A430">
        <v>50</v>
      </c>
      <c r="B430">
        <v>2020</v>
      </c>
      <c r="C430">
        <v>697962.96</v>
      </c>
      <c r="D430">
        <v>145726.60999999999</v>
      </c>
      <c r="E430">
        <v>2809394</v>
      </c>
      <c r="F430">
        <v>0.248438972960004</v>
      </c>
      <c r="G430">
        <v>5.18711900146437E-2</v>
      </c>
      <c r="H430">
        <v>2.0314000000000001</v>
      </c>
      <c r="I430">
        <v>1.5565</v>
      </c>
      <c r="J430">
        <v>1.6411</v>
      </c>
    </row>
    <row r="431" spans="1:10" x14ac:dyDescent="0.25">
      <c r="A431">
        <v>50</v>
      </c>
      <c r="B431">
        <v>2021</v>
      </c>
      <c r="C431">
        <v>676391.5</v>
      </c>
      <c r="D431">
        <v>178373.46</v>
      </c>
      <c r="E431">
        <v>2839188</v>
      </c>
      <c r="F431">
        <v>0.23823413595718201</v>
      </c>
      <c r="G431">
        <v>6.2825519127299695E-2</v>
      </c>
      <c r="H431">
        <v>2.4695</v>
      </c>
      <c r="I431">
        <v>1.9140999999999999</v>
      </c>
      <c r="J431">
        <v>1.9354</v>
      </c>
    </row>
    <row r="432" spans="1:10" x14ac:dyDescent="0.25">
      <c r="A432">
        <v>50</v>
      </c>
      <c r="B432">
        <v>2022</v>
      </c>
      <c r="C432">
        <v>769521.63</v>
      </c>
      <c r="D432">
        <v>147229.32999999999</v>
      </c>
      <c r="E432">
        <v>2839188</v>
      </c>
      <c r="F432">
        <v>0.27103581376083502</v>
      </c>
      <c r="G432">
        <v>5.18561398540709E-2</v>
      </c>
      <c r="H432">
        <v>2.3828</v>
      </c>
      <c r="I432">
        <v>1.8456999999999999</v>
      </c>
      <c r="J432">
        <v>2.613</v>
      </c>
    </row>
    <row r="433" spans="1:10" x14ac:dyDescent="0.25">
      <c r="A433">
        <v>50</v>
      </c>
      <c r="B433">
        <v>2023</v>
      </c>
      <c r="C433">
        <v>815140.08</v>
      </c>
      <c r="D433">
        <v>197069.11</v>
      </c>
      <c r="E433">
        <v>2839188</v>
      </c>
      <c r="F433">
        <v>0.28710324219459898</v>
      </c>
      <c r="G433">
        <v>6.9410377192352102E-2</v>
      </c>
      <c r="H433">
        <v>2.0266999999999999</v>
      </c>
      <c r="I433">
        <v>1.4359999999999999</v>
      </c>
      <c r="J433">
        <v>2.2544</v>
      </c>
    </row>
    <row r="434" spans="1:10" x14ac:dyDescent="0.25">
      <c r="A434">
        <v>51</v>
      </c>
      <c r="B434">
        <v>2006</v>
      </c>
      <c r="C434">
        <v>364957.36</v>
      </c>
      <c r="D434">
        <v>72465.48</v>
      </c>
      <c r="E434">
        <v>2856999</v>
      </c>
      <c r="F434">
        <v>0.127741507784916</v>
      </c>
      <c r="G434">
        <v>2.53641950872226E-2</v>
      </c>
      <c r="H434">
        <v>2.95</v>
      </c>
      <c r="I434">
        <v>2</v>
      </c>
      <c r="J434">
        <v>2.1</v>
      </c>
    </row>
    <row r="435" spans="1:10" x14ac:dyDescent="0.25">
      <c r="A435">
        <v>51</v>
      </c>
      <c r="B435">
        <v>2007</v>
      </c>
      <c r="C435">
        <v>347660.4</v>
      </c>
      <c r="D435">
        <v>107203.41</v>
      </c>
      <c r="E435">
        <v>2907367</v>
      </c>
      <c r="F435">
        <v>0.119579124341715</v>
      </c>
      <c r="G435">
        <v>3.68730229104203E-2</v>
      </c>
      <c r="H435">
        <v>2.7761999999999998</v>
      </c>
      <c r="I435">
        <v>1.4455</v>
      </c>
      <c r="J435">
        <v>2.0103</v>
      </c>
    </row>
    <row r="436" spans="1:10" x14ac:dyDescent="0.25">
      <c r="A436">
        <v>51</v>
      </c>
      <c r="B436">
        <v>2008</v>
      </c>
      <c r="C436">
        <v>355889.16</v>
      </c>
      <c r="D436">
        <v>276849.03999999998</v>
      </c>
      <c r="E436">
        <v>2957735</v>
      </c>
      <c r="F436">
        <v>0.12032489726091</v>
      </c>
      <c r="G436">
        <v>9.3601705358999296E-2</v>
      </c>
      <c r="H436">
        <v>2.4859</v>
      </c>
      <c r="I436">
        <v>1.2836000000000001</v>
      </c>
      <c r="J436">
        <v>2.052</v>
      </c>
    </row>
    <row r="437" spans="1:10" x14ac:dyDescent="0.25">
      <c r="A437">
        <v>51</v>
      </c>
      <c r="B437">
        <v>2009</v>
      </c>
      <c r="C437">
        <v>354940.57</v>
      </c>
      <c r="D437">
        <v>393940.62</v>
      </c>
      <c r="E437">
        <v>3001692</v>
      </c>
      <c r="F437">
        <v>0.11824683212001701</v>
      </c>
      <c r="G437">
        <v>0.13123952091020599</v>
      </c>
      <c r="H437">
        <v>2.3572000000000002</v>
      </c>
      <c r="I437">
        <v>1.2479</v>
      </c>
      <c r="J437">
        <v>1.9932000000000001</v>
      </c>
    </row>
    <row r="438" spans="1:10" x14ac:dyDescent="0.25">
      <c r="A438">
        <v>51</v>
      </c>
      <c r="B438">
        <v>2010</v>
      </c>
      <c r="C438">
        <v>393806.62</v>
      </c>
      <c r="D438">
        <v>416311.03</v>
      </c>
      <c r="E438">
        <v>3038814</v>
      </c>
      <c r="F438">
        <v>0.12959220932903401</v>
      </c>
      <c r="G438">
        <v>0.136997864956525</v>
      </c>
      <c r="H438">
        <v>2.2665999999999999</v>
      </c>
      <c r="I438">
        <v>1.3992</v>
      </c>
      <c r="J438">
        <v>1.8247</v>
      </c>
    </row>
    <row r="439" spans="1:10" x14ac:dyDescent="0.25">
      <c r="A439">
        <v>51</v>
      </c>
      <c r="B439">
        <v>2011</v>
      </c>
      <c r="C439">
        <v>488407.84</v>
      </c>
      <c r="D439">
        <v>338644.59</v>
      </c>
      <c r="E439">
        <v>3075936</v>
      </c>
      <c r="F439">
        <v>0.158783485742226</v>
      </c>
      <c r="G439">
        <v>0.1100948101651</v>
      </c>
      <c r="H439">
        <v>2.2204000000000002</v>
      </c>
      <c r="I439">
        <v>1.5059</v>
      </c>
      <c r="J439">
        <v>1.7363999999999999</v>
      </c>
    </row>
    <row r="440" spans="1:10" x14ac:dyDescent="0.25">
      <c r="A440">
        <v>51</v>
      </c>
      <c r="B440">
        <v>2012</v>
      </c>
      <c r="C440">
        <v>593011.55000000005</v>
      </c>
      <c r="D440">
        <v>371859.1</v>
      </c>
      <c r="E440">
        <v>3115336</v>
      </c>
      <c r="F440">
        <v>0.19035235685653101</v>
      </c>
      <c r="G440">
        <v>0.119364042915435</v>
      </c>
      <c r="H440">
        <v>2.1560000000000001</v>
      </c>
      <c r="I440">
        <v>1.4373</v>
      </c>
      <c r="J440">
        <v>1.6987000000000001</v>
      </c>
    </row>
    <row r="441" spans="1:10" x14ac:dyDescent="0.25">
      <c r="A441">
        <v>51</v>
      </c>
      <c r="B441">
        <v>2013</v>
      </c>
      <c r="C441">
        <v>586942.4</v>
      </c>
      <c r="D441">
        <v>488525.36</v>
      </c>
      <c r="E441">
        <v>3182113</v>
      </c>
      <c r="F441">
        <v>0.18445052077031801</v>
      </c>
      <c r="G441">
        <v>0.15352231677504799</v>
      </c>
      <c r="H441">
        <v>2.0699999999999998</v>
      </c>
      <c r="I441">
        <v>1.3571</v>
      </c>
      <c r="J441">
        <v>1.7615000000000001</v>
      </c>
    </row>
    <row r="442" spans="1:10" x14ac:dyDescent="0.25">
      <c r="A442">
        <v>51</v>
      </c>
      <c r="B442">
        <v>2014</v>
      </c>
      <c r="C442">
        <v>662409.15</v>
      </c>
      <c r="D442">
        <v>514044.56</v>
      </c>
      <c r="E442">
        <v>3224357</v>
      </c>
      <c r="F442">
        <v>0.20543914647168399</v>
      </c>
      <c r="G442">
        <v>0.159425448236656</v>
      </c>
      <c r="H442">
        <v>2.0032000000000001</v>
      </c>
      <c r="I442">
        <v>1.3462000000000001</v>
      </c>
      <c r="J442">
        <v>1.7778</v>
      </c>
    </row>
    <row r="443" spans="1:10" x14ac:dyDescent="0.25">
      <c r="A443">
        <v>51</v>
      </c>
      <c r="B443">
        <v>2015</v>
      </c>
      <c r="C443">
        <v>565513.12</v>
      </c>
      <c r="D443">
        <v>699298.94</v>
      </c>
      <c r="E443">
        <v>3265486</v>
      </c>
      <c r="F443">
        <v>0.17317885300993399</v>
      </c>
      <c r="G443">
        <v>0.21414850346931499</v>
      </c>
      <c r="H443">
        <v>1.9731000000000001</v>
      </c>
      <c r="I443">
        <v>1.2222999999999999</v>
      </c>
      <c r="J443">
        <v>1.7926</v>
      </c>
    </row>
    <row r="444" spans="1:10" x14ac:dyDescent="0.25">
      <c r="A444">
        <v>51</v>
      </c>
      <c r="B444">
        <v>2016</v>
      </c>
      <c r="C444">
        <v>616554.18000000005</v>
      </c>
      <c r="D444">
        <v>599949.57999999996</v>
      </c>
      <c r="E444">
        <v>3305531</v>
      </c>
      <c r="F444">
        <v>0.18652197786074301</v>
      </c>
      <c r="G444">
        <v>0.18149870020883099</v>
      </c>
      <c r="H444">
        <v>2.0369999999999999</v>
      </c>
      <c r="I444">
        <v>1.4128000000000001</v>
      </c>
      <c r="J444">
        <v>1.8015000000000001</v>
      </c>
    </row>
    <row r="445" spans="1:10" x14ac:dyDescent="0.25">
      <c r="A445">
        <v>51</v>
      </c>
      <c r="B445">
        <v>2017</v>
      </c>
      <c r="C445">
        <v>623823.98</v>
      </c>
      <c r="D445">
        <v>674441.99</v>
      </c>
      <c r="E445">
        <v>3344544</v>
      </c>
      <c r="F445">
        <v>0.18651989030492599</v>
      </c>
      <c r="G445">
        <v>0.20165439294564499</v>
      </c>
      <c r="H445">
        <v>2.0265</v>
      </c>
      <c r="I445">
        <v>1.3138000000000001</v>
      </c>
      <c r="J445">
        <v>1.8297000000000001</v>
      </c>
    </row>
    <row r="446" spans="1:10" x14ac:dyDescent="0.25">
      <c r="A446">
        <v>51</v>
      </c>
      <c r="B446">
        <v>2018</v>
      </c>
      <c r="C446">
        <v>521857.27</v>
      </c>
      <c r="D446">
        <v>840622.76</v>
      </c>
      <c r="E446">
        <v>3441998</v>
      </c>
      <c r="F446">
        <v>0.15161463487195501</v>
      </c>
      <c r="G446">
        <v>0.244225231972825</v>
      </c>
      <c r="H446">
        <v>2.3069999999999999</v>
      </c>
      <c r="I446">
        <v>1.3945000000000001</v>
      </c>
      <c r="J446">
        <v>1.9533</v>
      </c>
    </row>
    <row r="447" spans="1:10" x14ac:dyDescent="0.25">
      <c r="A447">
        <v>51</v>
      </c>
      <c r="B447">
        <v>2019</v>
      </c>
      <c r="C447">
        <v>475309.09</v>
      </c>
      <c r="D447">
        <v>1000070.52</v>
      </c>
      <c r="E447">
        <v>3484466</v>
      </c>
      <c r="F447">
        <v>0.136408014886642</v>
      </c>
      <c r="G447">
        <v>0.28700825894125498</v>
      </c>
      <c r="H447">
        <v>2.2117</v>
      </c>
      <c r="I447">
        <v>1.2827999999999999</v>
      </c>
      <c r="J447">
        <v>1.9315</v>
      </c>
    </row>
    <row r="448" spans="1:10" x14ac:dyDescent="0.25">
      <c r="A448">
        <v>51</v>
      </c>
      <c r="B448">
        <v>2020</v>
      </c>
      <c r="C448">
        <v>501812.77</v>
      </c>
      <c r="D448">
        <v>915611.4</v>
      </c>
      <c r="E448">
        <v>3526220</v>
      </c>
      <c r="F448">
        <v>0.14230897958720601</v>
      </c>
      <c r="G448">
        <v>0.25965804742755699</v>
      </c>
      <c r="H448">
        <v>2.0407999999999999</v>
      </c>
      <c r="I448">
        <v>1.3354999999999999</v>
      </c>
      <c r="J448">
        <v>1.7257</v>
      </c>
    </row>
    <row r="449" spans="1:10" x14ac:dyDescent="0.25">
      <c r="A449">
        <v>51</v>
      </c>
      <c r="B449">
        <v>2021</v>
      </c>
      <c r="C449">
        <v>610110.26</v>
      </c>
      <c r="D449">
        <v>845394.53</v>
      </c>
      <c r="E449">
        <v>3567234</v>
      </c>
      <c r="F449">
        <v>0.171031746165236</v>
      </c>
      <c r="G449">
        <v>0.236988807014061</v>
      </c>
      <c r="H449">
        <v>2.4695</v>
      </c>
      <c r="I449">
        <v>1.7774000000000001</v>
      </c>
      <c r="J449">
        <v>2.0764</v>
      </c>
    </row>
    <row r="450" spans="1:10" x14ac:dyDescent="0.25">
      <c r="A450">
        <v>51</v>
      </c>
      <c r="B450">
        <v>2022</v>
      </c>
      <c r="C450">
        <v>663867.54</v>
      </c>
      <c r="D450">
        <v>837740.62</v>
      </c>
      <c r="E450">
        <v>3567234</v>
      </c>
      <c r="F450">
        <v>0.186101483670541</v>
      </c>
      <c r="G450">
        <v>0.23484319223241301</v>
      </c>
      <c r="H450">
        <v>2.4352999999999998</v>
      </c>
      <c r="I450">
        <v>1.6557999999999999</v>
      </c>
      <c r="J450">
        <v>2.7624</v>
      </c>
    </row>
    <row r="451" spans="1:10" x14ac:dyDescent="0.25">
      <c r="A451">
        <v>51</v>
      </c>
      <c r="B451">
        <v>2023</v>
      </c>
      <c r="C451">
        <v>680386.95</v>
      </c>
      <c r="D451">
        <v>942548.1</v>
      </c>
      <c r="E451">
        <v>3567234</v>
      </c>
      <c r="F451">
        <v>0.190732357339047</v>
      </c>
      <c r="G451">
        <v>0.26422379356106102</v>
      </c>
      <c r="H451">
        <v>2.1232000000000002</v>
      </c>
      <c r="I451">
        <v>1.3241000000000001</v>
      </c>
      <c r="J451">
        <v>2.3046000000000002</v>
      </c>
    </row>
    <row r="452" spans="1:10" x14ac:dyDescent="0.25">
      <c r="A452">
        <v>52</v>
      </c>
      <c r="B452">
        <v>2006</v>
      </c>
      <c r="C452">
        <v>890038.41</v>
      </c>
      <c r="D452">
        <v>238581.38</v>
      </c>
      <c r="E452">
        <v>5730753</v>
      </c>
      <c r="F452">
        <v>0.15530915570781001</v>
      </c>
      <c r="G452">
        <v>4.1631768111450598E-2</v>
      </c>
      <c r="H452">
        <v>2.58</v>
      </c>
      <c r="I452">
        <v>1.69</v>
      </c>
      <c r="J452">
        <v>1.85</v>
      </c>
    </row>
    <row r="453" spans="1:10" x14ac:dyDescent="0.25">
      <c r="A453">
        <v>52</v>
      </c>
      <c r="B453">
        <v>2007</v>
      </c>
      <c r="C453">
        <v>880459.81</v>
      </c>
      <c r="D453">
        <v>435305.54</v>
      </c>
      <c r="E453">
        <v>5787874</v>
      </c>
      <c r="F453">
        <v>0.15212145426800899</v>
      </c>
      <c r="G453">
        <v>7.5209919911870898E-2</v>
      </c>
      <c r="H453">
        <v>2.4220000000000002</v>
      </c>
      <c r="I453">
        <v>1.3976999999999999</v>
      </c>
      <c r="J453">
        <v>1.7709999999999999</v>
      </c>
    </row>
    <row r="454" spans="1:10" x14ac:dyDescent="0.25">
      <c r="A454">
        <v>52</v>
      </c>
      <c r="B454">
        <v>2008</v>
      </c>
      <c r="C454">
        <v>921928.73</v>
      </c>
      <c r="D454">
        <v>610591.29</v>
      </c>
      <c r="E454">
        <v>5844995</v>
      </c>
      <c r="F454">
        <v>0.15772960113738299</v>
      </c>
      <c r="G454">
        <v>0.10446395420355301</v>
      </c>
      <c r="H454">
        <v>2.2690000000000001</v>
      </c>
      <c r="I454">
        <v>1.4012</v>
      </c>
      <c r="J454">
        <v>1.7988999999999999</v>
      </c>
    </row>
    <row r="455" spans="1:10" x14ac:dyDescent="0.25">
      <c r="A455">
        <v>52</v>
      </c>
      <c r="B455">
        <v>2009</v>
      </c>
      <c r="C455">
        <v>951247.64</v>
      </c>
      <c r="D455">
        <v>773681.48</v>
      </c>
      <c r="E455">
        <v>5926300</v>
      </c>
      <c r="F455">
        <v>0.16051290687275299</v>
      </c>
      <c r="G455">
        <v>0.13055050874913501</v>
      </c>
      <c r="H455">
        <v>2.2444999999999999</v>
      </c>
      <c r="I455">
        <v>1.3606</v>
      </c>
      <c r="J455">
        <v>1.7332000000000001</v>
      </c>
    </row>
    <row r="456" spans="1:10" x14ac:dyDescent="0.25">
      <c r="A456">
        <v>52</v>
      </c>
      <c r="B456">
        <v>2010</v>
      </c>
      <c r="C456">
        <v>1083507.32</v>
      </c>
      <c r="D456">
        <v>851077.09</v>
      </c>
      <c r="E456">
        <v>6003508</v>
      </c>
      <c r="F456">
        <v>0.18047903325855399</v>
      </c>
      <c r="G456">
        <v>0.14176329739212401</v>
      </c>
      <c r="H456">
        <v>2.0865999999999998</v>
      </c>
      <c r="I456">
        <v>1.3091999999999999</v>
      </c>
      <c r="J456">
        <v>1.5791999999999999</v>
      </c>
    </row>
    <row r="457" spans="1:10" x14ac:dyDescent="0.25">
      <c r="A457">
        <v>52</v>
      </c>
      <c r="B457">
        <v>2011</v>
      </c>
      <c r="C457">
        <v>1256556.81</v>
      </c>
      <c r="D457">
        <v>705069.38</v>
      </c>
      <c r="E457">
        <v>6080716</v>
      </c>
      <c r="F457">
        <v>0.20664619265231199</v>
      </c>
      <c r="G457">
        <v>0.11595170371383801</v>
      </c>
      <c r="H457">
        <v>2.1897000000000002</v>
      </c>
      <c r="I457">
        <v>1.5136000000000001</v>
      </c>
      <c r="J457">
        <v>1.5289999999999999</v>
      </c>
    </row>
    <row r="458" spans="1:10" x14ac:dyDescent="0.25">
      <c r="A458">
        <v>52</v>
      </c>
      <c r="B458">
        <v>2012</v>
      </c>
      <c r="C458">
        <v>1446209.17</v>
      </c>
      <c r="D458">
        <v>688742.69</v>
      </c>
      <c r="E458">
        <v>6154996</v>
      </c>
      <c r="F458">
        <v>0.234965086898513</v>
      </c>
      <c r="G458">
        <v>0.111899778651358</v>
      </c>
      <c r="H458">
        <v>2.0108000000000001</v>
      </c>
      <c r="I458">
        <v>1.3793</v>
      </c>
      <c r="J458">
        <v>1.5099</v>
      </c>
    </row>
    <row r="459" spans="1:10" x14ac:dyDescent="0.25">
      <c r="A459">
        <v>52</v>
      </c>
      <c r="B459">
        <v>2013</v>
      </c>
      <c r="C459">
        <v>1529630.01</v>
      </c>
      <c r="D459">
        <v>852546.53</v>
      </c>
      <c r="E459">
        <v>6434048</v>
      </c>
      <c r="F459">
        <v>0.23773991272679301</v>
      </c>
      <c r="G459">
        <v>0.13250546623214399</v>
      </c>
      <c r="H459">
        <v>1.9877</v>
      </c>
      <c r="I459">
        <v>1.3366</v>
      </c>
      <c r="J459">
        <v>1.5832999999999999</v>
      </c>
    </row>
    <row r="460" spans="1:10" x14ac:dyDescent="0.25">
      <c r="A460">
        <v>52</v>
      </c>
      <c r="B460">
        <v>2014</v>
      </c>
      <c r="C460">
        <v>1639888.52</v>
      </c>
      <c r="D460">
        <v>926225.81</v>
      </c>
      <c r="E460">
        <v>6523222</v>
      </c>
      <c r="F460">
        <v>0.25139241313571697</v>
      </c>
      <c r="G460">
        <v>0.141989006352995</v>
      </c>
      <c r="H460">
        <v>1.9967999999999999</v>
      </c>
      <c r="I460">
        <v>1.3784000000000001</v>
      </c>
      <c r="J460">
        <v>1.6425000000000001</v>
      </c>
    </row>
    <row r="461" spans="1:10" x14ac:dyDescent="0.25">
      <c r="A461">
        <v>52</v>
      </c>
      <c r="B461">
        <v>2015</v>
      </c>
      <c r="C461">
        <v>1469880.46</v>
      </c>
      <c r="D461">
        <v>1240762.2</v>
      </c>
      <c r="E461">
        <v>6610681</v>
      </c>
      <c r="F461">
        <v>0.22234932528131299</v>
      </c>
      <c r="G461">
        <v>0.18769052689125301</v>
      </c>
      <c r="H461">
        <v>1.9846999999999999</v>
      </c>
      <c r="I461">
        <v>1.3328</v>
      </c>
      <c r="J461">
        <v>1.6646000000000001</v>
      </c>
    </row>
    <row r="462" spans="1:10" x14ac:dyDescent="0.25">
      <c r="A462">
        <v>52</v>
      </c>
      <c r="B462">
        <v>2016</v>
      </c>
      <c r="C462">
        <v>1531089.1</v>
      </c>
      <c r="D462">
        <v>1058503.03</v>
      </c>
      <c r="E462">
        <v>6695855</v>
      </c>
      <c r="F462">
        <v>0.22866222461507901</v>
      </c>
      <c r="G462">
        <v>0.158083326177164</v>
      </c>
      <c r="H462">
        <v>2.0863</v>
      </c>
      <c r="I462">
        <v>1.5167999999999999</v>
      </c>
      <c r="J462">
        <v>1.6536999999999999</v>
      </c>
    </row>
    <row r="463" spans="1:10" x14ac:dyDescent="0.25">
      <c r="A463">
        <v>52</v>
      </c>
      <c r="B463">
        <v>2017</v>
      </c>
      <c r="C463">
        <v>1559199.29</v>
      </c>
      <c r="D463">
        <v>1021975.22</v>
      </c>
      <c r="E463">
        <v>6778772</v>
      </c>
      <c r="F463">
        <v>0.230012056756002</v>
      </c>
      <c r="G463">
        <v>0.15076111425491201</v>
      </c>
      <c r="H463">
        <v>2.085</v>
      </c>
      <c r="I463">
        <v>1.484</v>
      </c>
      <c r="J463">
        <v>1.6914</v>
      </c>
    </row>
    <row r="464" spans="1:10" x14ac:dyDescent="0.25">
      <c r="A464">
        <v>52</v>
      </c>
      <c r="B464">
        <v>2018</v>
      </c>
      <c r="C464">
        <v>1223071.02</v>
      </c>
      <c r="D464">
        <v>1516564.95</v>
      </c>
      <c r="E464">
        <v>6921161</v>
      </c>
      <c r="F464">
        <v>0.17671471881668399</v>
      </c>
      <c r="G464">
        <v>0.21912002191539801</v>
      </c>
      <c r="H464">
        <v>2.3633999999999999</v>
      </c>
      <c r="I464">
        <v>1.5072000000000001</v>
      </c>
      <c r="J464">
        <v>1.8352999999999999</v>
      </c>
    </row>
    <row r="465" spans="1:10" x14ac:dyDescent="0.25">
      <c r="A465">
        <v>52</v>
      </c>
      <c r="B465">
        <v>2019</v>
      </c>
      <c r="C465">
        <v>1141131.3999999999</v>
      </c>
      <c r="D465">
        <v>1752876.3</v>
      </c>
      <c r="E465">
        <v>7018354</v>
      </c>
      <c r="F465">
        <v>0.16259245401414599</v>
      </c>
      <c r="G465">
        <v>0.24975603966400101</v>
      </c>
      <c r="H465">
        <v>2.2214999999999998</v>
      </c>
      <c r="I465">
        <v>1.4645999999999999</v>
      </c>
      <c r="J465">
        <v>1.7841</v>
      </c>
    </row>
    <row r="466" spans="1:10" x14ac:dyDescent="0.25">
      <c r="A466">
        <v>52</v>
      </c>
      <c r="B466">
        <v>2020</v>
      </c>
      <c r="C466">
        <v>1131572.92</v>
      </c>
      <c r="D466">
        <v>1557748.92</v>
      </c>
      <c r="E466">
        <v>7113540</v>
      </c>
      <c r="F466">
        <v>0.159073108466389</v>
      </c>
      <c r="G466">
        <v>0.21898364527366099</v>
      </c>
      <c r="H466">
        <v>2.0831</v>
      </c>
      <c r="I466">
        <v>1.4154</v>
      </c>
      <c r="J466">
        <v>1.6316999999999999</v>
      </c>
    </row>
    <row r="467" spans="1:10" x14ac:dyDescent="0.25">
      <c r="A467">
        <v>52</v>
      </c>
      <c r="B467">
        <v>2021</v>
      </c>
      <c r="C467">
        <v>1278601.23</v>
      </c>
      <c r="D467">
        <v>1474010.28</v>
      </c>
      <c r="E467">
        <v>7206589</v>
      </c>
      <c r="F467">
        <v>0.177421139182489</v>
      </c>
      <c r="G467">
        <v>0.20453647072144601</v>
      </c>
      <c r="H467">
        <v>2.5933999999999999</v>
      </c>
      <c r="I467">
        <v>1.8842000000000001</v>
      </c>
      <c r="J467">
        <v>1.9953000000000001</v>
      </c>
    </row>
    <row r="468" spans="1:10" x14ac:dyDescent="0.25">
      <c r="A468">
        <v>52</v>
      </c>
      <c r="B468">
        <v>2022</v>
      </c>
      <c r="C468">
        <v>1434388.54</v>
      </c>
      <c r="D468">
        <v>1382294.29</v>
      </c>
      <c r="E468">
        <v>7206589</v>
      </c>
      <c r="F468">
        <v>0.19903848269965099</v>
      </c>
      <c r="G468">
        <v>0.19180978546161001</v>
      </c>
      <c r="H468">
        <v>2.4958999999999998</v>
      </c>
      <c r="I468">
        <v>1.7446999999999999</v>
      </c>
      <c r="J468">
        <v>2.6615000000000002</v>
      </c>
    </row>
    <row r="469" spans="1:10" x14ac:dyDescent="0.25">
      <c r="A469">
        <v>52</v>
      </c>
      <c r="B469">
        <v>2023</v>
      </c>
      <c r="C469">
        <v>1638113.9</v>
      </c>
      <c r="D469">
        <v>1364285.24</v>
      </c>
      <c r="E469">
        <v>7206589</v>
      </c>
      <c r="F469">
        <v>0.22730780123578501</v>
      </c>
      <c r="G469">
        <v>0.18931081542183101</v>
      </c>
      <c r="H469">
        <v>2.1</v>
      </c>
      <c r="I469">
        <v>1.4359999999999999</v>
      </c>
      <c r="J469">
        <v>2.1926999999999999</v>
      </c>
    </row>
    <row r="470" spans="1:10" x14ac:dyDescent="0.25">
      <c r="A470">
        <v>53</v>
      </c>
      <c r="B470">
        <v>2006</v>
      </c>
      <c r="C470">
        <v>736015.53</v>
      </c>
      <c r="D470">
        <v>80855.56</v>
      </c>
      <c r="E470">
        <v>2383784</v>
      </c>
      <c r="F470">
        <v>0.30875932131434702</v>
      </c>
      <c r="G470">
        <v>3.3918996016417499E-2</v>
      </c>
      <c r="H470">
        <v>2.6</v>
      </c>
      <c r="I470">
        <v>1.91</v>
      </c>
      <c r="J470">
        <v>1.88</v>
      </c>
    </row>
    <row r="471" spans="1:10" x14ac:dyDescent="0.25">
      <c r="A471">
        <v>53</v>
      </c>
      <c r="B471">
        <v>2007</v>
      </c>
      <c r="C471">
        <v>731690.26</v>
      </c>
      <c r="D471">
        <v>150221.38</v>
      </c>
      <c r="E471">
        <v>2470472</v>
      </c>
      <c r="F471">
        <v>0.29617427762791798</v>
      </c>
      <c r="G471">
        <v>6.0806752717699197E-2</v>
      </c>
      <c r="H471">
        <v>2.4603000000000002</v>
      </c>
      <c r="I471">
        <v>1.6177999999999999</v>
      </c>
      <c r="J471">
        <v>1.7902</v>
      </c>
    </row>
    <row r="472" spans="1:10" x14ac:dyDescent="0.25">
      <c r="A472">
        <v>53</v>
      </c>
      <c r="B472">
        <v>2008</v>
      </c>
      <c r="C472">
        <v>773089.44</v>
      </c>
      <c r="D472">
        <v>174775.87</v>
      </c>
      <c r="E472">
        <v>2557159</v>
      </c>
      <c r="F472">
        <v>0.30232357080650801</v>
      </c>
      <c r="G472">
        <v>6.8347674118034898E-2</v>
      </c>
      <c r="H472">
        <v>2.3050999999999999</v>
      </c>
      <c r="I472">
        <v>1.6543000000000001</v>
      </c>
      <c r="J472">
        <v>1.8169999999999999</v>
      </c>
    </row>
    <row r="473" spans="1:10" x14ac:dyDescent="0.25">
      <c r="A473">
        <v>53</v>
      </c>
      <c r="B473">
        <v>2009</v>
      </c>
      <c r="C473">
        <v>761670.98</v>
      </c>
      <c r="D473">
        <v>239353.89</v>
      </c>
      <c r="E473">
        <v>2606885</v>
      </c>
      <c r="F473">
        <v>0.29217667062413499</v>
      </c>
      <c r="G473">
        <v>9.1816052491766997E-2</v>
      </c>
      <c r="H473">
        <v>2.3224999999999998</v>
      </c>
      <c r="I473">
        <v>1.5946</v>
      </c>
      <c r="J473">
        <v>1.7505999999999999</v>
      </c>
    </row>
    <row r="474" spans="1:10" x14ac:dyDescent="0.25">
      <c r="A474">
        <v>53</v>
      </c>
      <c r="B474">
        <v>2010</v>
      </c>
      <c r="C474">
        <v>899566.91</v>
      </c>
      <c r="D474">
        <v>134134.6</v>
      </c>
      <c r="E474">
        <v>2608442</v>
      </c>
      <c r="F474">
        <v>0.34486751478468702</v>
      </c>
      <c r="G474">
        <v>5.1423263388643399E-2</v>
      </c>
      <c r="H474">
        <v>2.2174999999999998</v>
      </c>
      <c r="I474">
        <v>1.6447000000000001</v>
      </c>
      <c r="J474">
        <v>1.6529</v>
      </c>
    </row>
    <row r="475" spans="1:10" x14ac:dyDescent="0.25">
      <c r="A475">
        <v>53</v>
      </c>
      <c r="B475">
        <v>2011</v>
      </c>
      <c r="C475">
        <v>1002018.08</v>
      </c>
      <c r="D475">
        <v>84019.78</v>
      </c>
      <c r="E475">
        <v>2609998</v>
      </c>
      <c r="F475">
        <v>0.38391526736802001</v>
      </c>
      <c r="G475">
        <v>3.2191511257863001E-2</v>
      </c>
      <c r="H475">
        <v>2.1743000000000001</v>
      </c>
      <c r="I475">
        <v>1.6902999999999999</v>
      </c>
      <c r="J475">
        <v>1.5904</v>
      </c>
    </row>
    <row r="476" spans="1:10" x14ac:dyDescent="0.25">
      <c r="A476">
        <v>53</v>
      </c>
      <c r="B476">
        <v>2012</v>
      </c>
      <c r="C476">
        <v>1079078</v>
      </c>
      <c r="D476">
        <v>58133.63</v>
      </c>
      <c r="E476">
        <v>2648532</v>
      </c>
      <c r="F476">
        <v>0.407424943327095</v>
      </c>
      <c r="G476">
        <v>2.1949377995055301E-2</v>
      </c>
      <c r="H476">
        <v>2.0615999999999999</v>
      </c>
      <c r="I476">
        <v>1.6406000000000001</v>
      </c>
      <c r="J476">
        <v>1.5026999999999999</v>
      </c>
    </row>
    <row r="477" spans="1:10" x14ac:dyDescent="0.25">
      <c r="A477">
        <v>53</v>
      </c>
      <c r="B477">
        <v>2013</v>
      </c>
      <c r="C477">
        <v>1123062.26</v>
      </c>
      <c r="D477">
        <v>78017.27</v>
      </c>
      <c r="E477">
        <v>2789761</v>
      </c>
      <c r="F477">
        <v>0.40256576100963398</v>
      </c>
      <c r="G477">
        <v>2.7965574828811499E-2</v>
      </c>
      <c r="H477">
        <v>2.0425</v>
      </c>
      <c r="I477">
        <v>1.5628</v>
      </c>
      <c r="J477">
        <v>1.6380999999999999</v>
      </c>
    </row>
    <row r="478" spans="1:10" x14ac:dyDescent="0.25">
      <c r="A478">
        <v>53</v>
      </c>
      <c r="B478">
        <v>2014</v>
      </c>
      <c r="C478">
        <v>1172428.68</v>
      </c>
      <c r="D478">
        <v>73914.06</v>
      </c>
      <c r="E478">
        <v>2852372</v>
      </c>
      <c r="F478">
        <v>0.41103638655827401</v>
      </c>
      <c r="G478">
        <v>2.5913190846074699E-2</v>
      </c>
      <c r="H478">
        <v>2.0097</v>
      </c>
      <c r="I478">
        <v>1.5973999999999999</v>
      </c>
      <c r="J478">
        <v>1.649</v>
      </c>
    </row>
    <row r="479" spans="1:10" x14ac:dyDescent="0.25">
      <c r="A479">
        <v>53</v>
      </c>
      <c r="B479">
        <v>2015</v>
      </c>
      <c r="C479">
        <v>1122267.1499999999</v>
      </c>
      <c r="D479">
        <v>112377.1</v>
      </c>
      <c r="E479">
        <v>2914830</v>
      </c>
      <c r="F479">
        <v>0.38501976101522201</v>
      </c>
      <c r="G479">
        <v>3.85535691618379E-2</v>
      </c>
      <c r="H479">
        <v>2.0604</v>
      </c>
      <c r="I479">
        <v>1.6006</v>
      </c>
      <c r="J479">
        <v>1.6995</v>
      </c>
    </row>
    <row r="480" spans="1:10" x14ac:dyDescent="0.25">
      <c r="A480">
        <v>53</v>
      </c>
      <c r="B480">
        <v>2016</v>
      </c>
      <c r="C480">
        <v>1199588.7</v>
      </c>
      <c r="D480">
        <v>42982.15</v>
      </c>
      <c r="E480">
        <v>2977216</v>
      </c>
      <c r="F480">
        <v>0.402922965616199</v>
      </c>
      <c r="G480">
        <v>1.44370277467271E-2</v>
      </c>
      <c r="H480">
        <v>2.0206</v>
      </c>
      <c r="I480">
        <v>1.7194</v>
      </c>
      <c r="J480">
        <v>1.7413000000000001</v>
      </c>
    </row>
    <row r="481" spans="1:10" x14ac:dyDescent="0.25">
      <c r="A481">
        <v>53</v>
      </c>
      <c r="B481">
        <v>2017</v>
      </c>
      <c r="C481">
        <v>1266124.9099999999</v>
      </c>
      <c r="D481">
        <v>41289.32</v>
      </c>
      <c r="E481">
        <v>3039444</v>
      </c>
      <c r="F481">
        <v>0.41656464471791499</v>
      </c>
      <c r="G481">
        <v>1.3584497691025E-2</v>
      </c>
      <c r="H481">
        <v>1.9945999999999999</v>
      </c>
      <c r="I481">
        <v>1.7285999999999999</v>
      </c>
      <c r="J481">
        <v>1.7712000000000001</v>
      </c>
    </row>
    <row r="482" spans="1:10" x14ac:dyDescent="0.25">
      <c r="A482">
        <v>53</v>
      </c>
      <c r="B482">
        <v>2018</v>
      </c>
      <c r="C482">
        <v>1090790.6299999999</v>
      </c>
      <c r="D482">
        <v>167629.38</v>
      </c>
      <c r="E482">
        <v>2974703</v>
      </c>
      <c r="F482">
        <v>0.366688919868638</v>
      </c>
      <c r="G482">
        <v>5.63516357767481E-2</v>
      </c>
      <c r="H482">
        <v>2.2814000000000001</v>
      </c>
      <c r="I482">
        <v>1.7533000000000001</v>
      </c>
      <c r="J482">
        <v>1.8764000000000001</v>
      </c>
    </row>
    <row r="483" spans="1:10" x14ac:dyDescent="0.25">
      <c r="A483">
        <v>53</v>
      </c>
      <c r="B483">
        <v>2019</v>
      </c>
      <c r="C483">
        <v>1123114.42</v>
      </c>
      <c r="D483">
        <v>177843.81</v>
      </c>
      <c r="E483">
        <v>3015268</v>
      </c>
      <c r="F483">
        <v>0.37247581972812999</v>
      </c>
      <c r="G483">
        <v>5.89810955444093E-2</v>
      </c>
      <c r="H483">
        <v>2.1084999999999998</v>
      </c>
      <c r="I483">
        <v>1.5924</v>
      </c>
      <c r="J483">
        <v>1.8283</v>
      </c>
    </row>
    <row r="484" spans="1:10" x14ac:dyDescent="0.25">
      <c r="A484">
        <v>53</v>
      </c>
      <c r="B484">
        <v>2020</v>
      </c>
      <c r="C484">
        <v>946625.38</v>
      </c>
      <c r="D484">
        <v>149771.1</v>
      </c>
      <c r="E484">
        <v>3055149</v>
      </c>
      <c r="F484">
        <v>0.30984589622306402</v>
      </c>
      <c r="G484">
        <v>4.9022519032623203E-2</v>
      </c>
      <c r="H484">
        <v>1.9750000000000001</v>
      </c>
      <c r="I484">
        <v>1.5328999999999999</v>
      </c>
      <c r="J484">
        <v>1.6411</v>
      </c>
    </row>
    <row r="485" spans="1:10" x14ac:dyDescent="0.25">
      <c r="A485">
        <v>53</v>
      </c>
      <c r="B485">
        <v>2021</v>
      </c>
      <c r="C485">
        <v>985314.35</v>
      </c>
      <c r="D485">
        <v>115540.94</v>
      </c>
      <c r="E485">
        <v>3094325</v>
      </c>
      <c r="F485">
        <v>0.31842626420948</v>
      </c>
      <c r="G485">
        <v>3.7339626574454797E-2</v>
      </c>
      <c r="H485">
        <v>2.5592000000000001</v>
      </c>
      <c r="I485">
        <v>2.1149</v>
      </c>
      <c r="J485">
        <v>1.9866999999999999</v>
      </c>
    </row>
    <row r="486" spans="1:10" x14ac:dyDescent="0.25">
      <c r="A486">
        <v>53</v>
      </c>
      <c r="B486">
        <v>2022</v>
      </c>
      <c r="C486">
        <v>1045611.31</v>
      </c>
      <c r="D486">
        <v>86799.4</v>
      </c>
      <c r="E486">
        <v>3094325</v>
      </c>
      <c r="F486">
        <v>0.337912568977079</v>
      </c>
      <c r="G486">
        <v>2.80511581685828E-2</v>
      </c>
      <c r="H486">
        <v>2.5160999999999998</v>
      </c>
      <c r="I486">
        <v>2.0192999999999999</v>
      </c>
      <c r="J486">
        <v>2.6736</v>
      </c>
    </row>
    <row r="487" spans="1:10" x14ac:dyDescent="0.25">
      <c r="A487">
        <v>53</v>
      </c>
      <c r="B487">
        <v>2023</v>
      </c>
      <c r="C487">
        <v>1056571.76</v>
      </c>
      <c r="D487">
        <v>187717.5</v>
      </c>
      <c r="E487">
        <v>3094325</v>
      </c>
      <c r="F487">
        <v>0.341454682362066</v>
      </c>
      <c r="G487">
        <v>6.0665088508802402E-2</v>
      </c>
      <c r="H487">
        <v>2.1038999999999999</v>
      </c>
      <c r="I487">
        <v>1.4823999999999999</v>
      </c>
      <c r="J487">
        <v>2.2158000000000002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492A-1987-4964-8AAE-6D5FA7ECE155}">
  <dimension ref="A1:K67"/>
  <sheetViews>
    <sheetView workbookViewId="0">
      <selection activeCell="J19" sqref="J19"/>
    </sheetView>
  </sheetViews>
  <sheetFormatPr defaultRowHeight="15" x14ac:dyDescent="0.25"/>
  <cols>
    <col min="1" max="1" width="6.7109375" bestFit="1" customWidth="1"/>
    <col min="2" max="2" width="16.85546875" bestFit="1" customWidth="1"/>
    <col min="3" max="3" width="15.7109375" bestFit="1" customWidth="1"/>
    <col min="4" max="4" width="12.42578125" bestFit="1" customWidth="1"/>
    <col min="5" max="5" width="15.7109375" bestFit="1" customWidth="1"/>
    <col min="6" max="6" width="13.140625" bestFit="1" customWidth="1"/>
  </cols>
  <sheetData>
    <row r="1" spans="1:11" x14ac:dyDescent="0.25">
      <c r="A1" t="s">
        <v>14</v>
      </c>
      <c r="B1" t="s">
        <v>12</v>
      </c>
      <c r="C1" t="s">
        <v>13</v>
      </c>
      <c r="D1" t="s">
        <v>15</v>
      </c>
      <c r="E1" t="s">
        <v>16</v>
      </c>
      <c r="F1" t="s">
        <v>17</v>
      </c>
      <c r="J1" t="s">
        <v>18</v>
      </c>
      <c r="K1" t="s">
        <v>19</v>
      </c>
    </row>
    <row r="2" spans="1:11" x14ac:dyDescent="0.25">
      <c r="A2">
        <v>1957</v>
      </c>
      <c r="B2">
        <v>9455</v>
      </c>
      <c r="C2">
        <v>0</v>
      </c>
      <c r="D2">
        <v>0</v>
      </c>
      <c r="E2">
        <v>0</v>
      </c>
      <c r="F2">
        <v>9455</v>
      </c>
      <c r="J2" s="3" t="s">
        <v>15</v>
      </c>
      <c r="K2" s="4">
        <v>32206054</v>
      </c>
    </row>
    <row r="3" spans="1:11" x14ac:dyDescent="0.25">
      <c r="A3">
        <v>1958</v>
      </c>
      <c r="B3">
        <v>30066</v>
      </c>
      <c r="C3">
        <v>0</v>
      </c>
      <c r="D3">
        <v>0</v>
      </c>
      <c r="E3">
        <v>0</v>
      </c>
      <c r="F3">
        <v>30066</v>
      </c>
      <c r="J3" s="3" t="s">
        <v>12</v>
      </c>
      <c r="K3" s="4">
        <v>10559188</v>
      </c>
    </row>
    <row r="4" spans="1:11" x14ac:dyDescent="0.25">
      <c r="A4">
        <v>1959</v>
      </c>
      <c r="B4">
        <v>69464</v>
      </c>
      <c r="C4">
        <v>0</v>
      </c>
      <c r="D4">
        <v>0</v>
      </c>
      <c r="E4">
        <v>0</v>
      </c>
      <c r="F4">
        <v>69464</v>
      </c>
      <c r="J4" s="3" t="s">
        <v>13</v>
      </c>
      <c r="K4" s="4">
        <v>1007638</v>
      </c>
    </row>
    <row r="5" spans="1:11" x14ac:dyDescent="0.25">
      <c r="A5">
        <v>1960</v>
      </c>
      <c r="B5">
        <v>137589</v>
      </c>
      <c r="C5">
        <v>0</v>
      </c>
      <c r="D5">
        <v>0</v>
      </c>
      <c r="E5">
        <v>0</v>
      </c>
      <c r="F5">
        <v>137589</v>
      </c>
      <c r="J5" s="3" t="s">
        <v>16</v>
      </c>
      <c r="K5" s="4">
        <v>125107</v>
      </c>
    </row>
    <row r="6" spans="1:11" x14ac:dyDescent="0.25">
      <c r="A6">
        <v>1961</v>
      </c>
      <c r="B6">
        <v>223879</v>
      </c>
      <c r="C6">
        <v>0</v>
      </c>
      <c r="D6">
        <v>0</v>
      </c>
      <c r="E6">
        <v>0</v>
      </c>
      <c r="F6">
        <v>223879</v>
      </c>
    </row>
    <row r="7" spans="1:11" x14ac:dyDescent="0.25">
      <c r="A7">
        <v>1962</v>
      </c>
      <c r="B7">
        <v>339586</v>
      </c>
      <c r="C7">
        <v>0</v>
      </c>
      <c r="D7">
        <v>0</v>
      </c>
      <c r="E7">
        <v>0</v>
      </c>
      <c r="F7">
        <v>339586</v>
      </c>
    </row>
    <row r="8" spans="1:11" x14ac:dyDescent="0.25">
      <c r="A8">
        <v>1963</v>
      </c>
      <c r="B8">
        <v>458458</v>
      </c>
      <c r="C8">
        <v>0</v>
      </c>
      <c r="D8">
        <v>0</v>
      </c>
      <c r="E8">
        <v>0</v>
      </c>
      <c r="F8">
        <v>458458</v>
      </c>
    </row>
    <row r="9" spans="1:11" x14ac:dyDescent="0.25">
      <c r="A9">
        <v>1964</v>
      </c>
      <c r="B9">
        <v>585143</v>
      </c>
      <c r="C9">
        <v>0</v>
      </c>
      <c r="D9">
        <v>0</v>
      </c>
      <c r="E9">
        <v>0</v>
      </c>
      <c r="F9">
        <v>585143</v>
      </c>
    </row>
    <row r="10" spans="1:11" x14ac:dyDescent="0.25">
      <c r="A10">
        <v>1965</v>
      </c>
      <c r="B10">
        <v>718269</v>
      </c>
      <c r="C10">
        <v>0</v>
      </c>
      <c r="D10">
        <v>0</v>
      </c>
      <c r="E10">
        <v>0</v>
      </c>
      <c r="F10">
        <v>718269</v>
      </c>
    </row>
    <row r="11" spans="1:11" x14ac:dyDescent="0.25">
      <c r="A11">
        <v>1966</v>
      </c>
      <c r="B11">
        <v>869029</v>
      </c>
      <c r="C11">
        <v>0</v>
      </c>
      <c r="D11">
        <v>0</v>
      </c>
      <c r="E11">
        <v>0</v>
      </c>
      <c r="F11">
        <v>869029</v>
      </c>
    </row>
    <row r="12" spans="1:11" x14ac:dyDescent="0.25">
      <c r="A12">
        <v>1967</v>
      </c>
      <c r="B12">
        <v>1021838</v>
      </c>
      <c r="C12">
        <v>0</v>
      </c>
      <c r="D12">
        <v>0</v>
      </c>
      <c r="E12">
        <v>0</v>
      </c>
      <c r="F12">
        <v>1021838</v>
      </c>
    </row>
    <row r="13" spans="1:11" x14ac:dyDescent="0.25">
      <c r="A13">
        <v>1968</v>
      </c>
      <c r="B13">
        <v>1198785</v>
      </c>
      <c r="C13">
        <v>0</v>
      </c>
      <c r="D13">
        <v>0</v>
      </c>
      <c r="E13">
        <v>0</v>
      </c>
      <c r="F13">
        <v>1198785</v>
      </c>
    </row>
    <row r="14" spans="1:11" x14ac:dyDescent="0.25">
      <c r="A14">
        <v>1969</v>
      </c>
      <c r="B14">
        <v>1443940</v>
      </c>
      <c r="C14">
        <v>0</v>
      </c>
      <c r="D14">
        <v>0</v>
      </c>
      <c r="E14">
        <v>0</v>
      </c>
      <c r="F14">
        <v>1443940</v>
      </c>
    </row>
    <row r="15" spans="1:11" x14ac:dyDescent="0.25">
      <c r="A15">
        <v>1970</v>
      </c>
      <c r="B15">
        <v>1751112</v>
      </c>
      <c r="C15">
        <v>0</v>
      </c>
      <c r="D15">
        <v>0</v>
      </c>
      <c r="E15">
        <v>0</v>
      </c>
      <c r="F15">
        <v>1751112</v>
      </c>
    </row>
    <row r="16" spans="1:11" x14ac:dyDescent="0.25">
      <c r="A16">
        <v>1971</v>
      </c>
      <c r="B16">
        <v>2146028</v>
      </c>
      <c r="C16">
        <v>0</v>
      </c>
      <c r="D16">
        <v>0</v>
      </c>
      <c r="E16">
        <v>0</v>
      </c>
      <c r="F16">
        <v>2146028</v>
      </c>
    </row>
    <row r="17" spans="1:6" x14ac:dyDescent="0.25">
      <c r="A17">
        <v>1972</v>
      </c>
      <c r="B17">
        <v>2598797</v>
      </c>
      <c r="C17">
        <v>0</v>
      </c>
      <c r="D17">
        <v>0</v>
      </c>
      <c r="E17">
        <v>0</v>
      </c>
      <c r="F17">
        <v>2598797</v>
      </c>
    </row>
    <row r="18" spans="1:6" x14ac:dyDescent="0.25">
      <c r="A18">
        <v>1973</v>
      </c>
      <c r="B18">
        <v>3143178</v>
      </c>
      <c r="C18">
        <v>0</v>
      </c>
      <c r="D18">
        <v>0</v>
      </c>
      <c r="E18">
        <v>0</v>
      </c>
      <c r="F18">
        <v>3143178</v>
      </c>
    </row>
    <row r="19" spans="1:6" x14ac:dyDescent="0.25">
      <c r="A19">
        <v>1974</v>
      </c>
      <c r="B19">
        <v>3765274</v>
      </c>
      <c r="C19">
        <v>0</v>
      </c>
      <c r="D19">
        <v>0</v>
      </c>
      <c r="E19">
        <v>0</v>
      </c>
      <c r="F19">
        <v>3765274</v>
      </c>
    </row>
    <row r="20" spans="1:6" x14ac:dyDescent="0.25">
      <c r="A20">
        <v>1975</v>
      </c>
      <c r="B20">
        <v>4399601</v>
      </c>
      <c r="C20">
        <v>0</v>
      </c>
      <c r="D20">
        <v>0</v>
      </c>
      <c r="E20">
        <v>0</v>
      </c>
      <c r="F20">
        <v>4399601</v>
      </c>
    </row>
    <row r="21" spans="1:6" x14ac:dyDescent="0.25">
      <c r="A21">
        <v>1976</v>
      </c>
      <c r="B21">
        <v>5055866</v>
      </c>
      <c r="C21">
        <v>0</v>
      </c>
      <c r="D21">
        <v>0</v>
      </c>
      <c r="E21">
        <v>0</v>
      </c>
      <c r="F21">
        <v>5055866</v>
      </c>
    </row>
    <row r="22" spans="1:6" x14ac:dyDescent="0.25">
      <c r="A22">
        <v>1977</v>
      </c>
      <c r="B22">
        <v>5679562</v>
      </c>
      <c r="C22">
        <v>0</v>
      </c>
      <c r="D22">
        <v>0</v>
      </c>
      <c r="E22">
        <v>0</v>
      </c>
      <c r="F22">
        <v>5679562</v>
      </c>
    </row>
    <row r="23" spans="1:6" x14ac:dyDescent="0.25">
      <c r="A23">
        <v>1978</v>
      </c>
      <c r="B23">
        <v>6411564</v>
      </c>
      <c r="C23">
        <v>0</v>
      </c>
      <c r="D23">
        <v>0</v>
      </c>
      <c r="E23">
        <v>0</v>
      </c>
      <c r="F23">
        <v>6411564</v>
      </c>
    </row>
    <row r="24" spans="1:6" x14ac:dyDescent="0.25">
      <c r="A24">
        <v>1979</v>
      </c>
      <c r="B24">
        <v>7159300</v>
      </c>
      <c r="C24">
        <v>2271</v>
      </c>
      <c r="D24">
        <v>0</v>
      </c>
      <c r="E24">
        <v>0</v>
      </c>
      <c r="F24">
        <v>7161571</v>
      </c>
    </row>
    <row r="25" spans="1:6" x14ac:dyDescent="0.25">
      <c r="A25">
        <v>1980</v>
      </c>
      <c r="B25">
        <v>7633776</v>
      </c>
      <c r="C25">
        <v>228260</v>
      </c>
      <c r="D25">
        <v>0</v>
      </c>
      <c r="E25">
        <v>0</v>
      </c>
      <c r="F25">
        <v>7862036</v>
      </c>
    </row>
    <row r="26" spans="1:6" x14ac:dyDescent="0.25">
      <c r="A26">
        <v>1981</v>
      </c>
      <c r="B26">
        <v>7843669</v>
      </c>
      <c r="C26">
        <v>356321</v>
      </c>
      <c r="D26">
        <v>0</v>
      </c>
      <c r="E26">
        <v>0</v>
      </c>
      <c r="F26">
        <v>8199990</v>
      </c>
    </row>
    <row r="27" spans="1:6" x14ac:dyDescent="0.25">
      <c r="A27">
        <v>1982</v>
      </c>
      <c r="B27">
        <v>8063296</v>
      </c>
      <c r="C27">
        <v>567026</v>
      </c>
      <c r="D27">
        <v>0</v>
      </c>
      <c r="E27">
        <v>0</v>
      </c>
      <c r="F27">
        <v>8630322</v>
      </c>
    </row>
    <row r="28" spans="1:6" x14ac:dyDescent="0.25">
      <c r="A28">
        <v>1983</v>
      </c>
      <c r="B28">
        <v>7990640</v>
      </c>
      <c r="C28">
        <v>1102942</v>
      </c>
      <c r="D28">
        <v>0</v>
      </c>
      <c r="E28">
        <v>0</v>
      </c>
      <c r="F28">
        <v>9093582</v>
      </c>
    </row>
    <row r="29" spans="1:6" x14ac:dyDescent="0.25">
      <c r="A29">
        <v>1984</v>
      </c>
      <c r="B29">
        <v>7858673</v>
      </c>
      <c r="C29">
        <v>1602335</v>
      </c>
      <c r="D29">
        <v>0</v>
      </c>
      <c r="E29">
        <v>0</v>
      </c>
      <c r="F29">
        <v>9461008</v>
      </c>
    </row>
    <row r="30" spans="1:6" x14ac:dyDescent="0.25">
      <c r="A30">
        <v>1985</v>
      </c>
      <c r="B30">
        <v>7704276</v>
      </c>
      <c r="C30">
        <v>2174060</v>
      </c>
      <c r="D30">
        <v>0</v>
      </c>
      <c r="E30">
        <v>0</v>
      </c>
      <c r="F30">
        <v>9878336</v>
      </c>
    </row>
    <row r="31" spans="1:6" x14ac:dyDescent="0.25">
      <c r="A31">
        <v>1986</v>
      </c>
      <c r="B31">
        <v>7562323</v>
      </c>
      <c r="C31">
        <v>2783911</v>
      </c>
      <c r="D31">
        <v>0</v>
      </c>
      <c r="E31">
        <v>0</v>
      </c>
      <c r="F31">
        <v>10346234</v>
      </c>
    </row>
    <row r="32" spans="1:6" x14ac:dyDescent="0.25">
      <c r="A32">
        <v>1987</v>
      </c>
      <c r="B32">
        <v>7373819</v>
      </c>
      <c r="C32">
        <v>3157480</v>
      </c>
      <c r="D32">
        <v>0</v>
      </c>
      <c r="E32">
        <v>0</v>
      </c>
      <c r="F32">
        <v>10531299</v>
      </c>
    </row>
    <row r="33" spans="1:6" x14ac:dyDescent="0.25">
      <c r="A33">
        <v>1988</v>
      </c>
      <c r="B33">
        <v>7210224</v>
      </c>
      <c r="C33">
        <v>3630401</v>
      </c>
      <c r="D33">
        <v>0</v>
      </c>
      <c r="E33">
        <v>0</v>
      </c>
      <c r="F33">
        <v>10840625</v>
      </c>
    </row>
    <row r="34" spans="1:6" x14ac:dyDescent="0.25">
      <c r="A34">
        <v>1989</v>
      </c>
      <c r="B34">
        <v>7188487</v>
      </c>
      <c r="C34">
        <v>3950050</v>
      </c>
      <c r="D34">
        <v>0</v>
      </c>
      <c r="E34">
        <v>0</v>
      </c>
      <c r="F34">
        <v>11138537</v>
      </c>
    </row>
    <row r="35" spans="1:6" x14ac:dyDescent="0.25">
      <c r="A35">
        <v>1990</v>
      </c>
      <c r="B35">
        <v>7393875</v>
      </c>
      <c r="C35">
        <v>3987217</v>
      </c>
      <c r="D35">
        <v>0</v>
      </c>
      <c r="E35">
        <v>0</v>
      </c>
      <c r="F35">
        <v>11381092</v>
      </c>
    </row>
    <row r="36" spans="1:6" x14ac:dyDescent="0.25">
      <c r="A36">
        <v>1991</v>
      </c>
      <c r="B36">
        <v>7597988</v>
      </c>
      <c r="C36">
        <v>4074638</v>
      </c>
      <c r="D36">
        <v>0</v>
      </c>
      <c r="E36">
        <v>0</v>
      </c>
      <c r="F36">
        <v>11672626</v>
      </c>
    </row>
    <row r="37" spans="1:6" x14ac:dyDescent="0.25">
      <c r="A37">
        <v>1992</v>
      </c>
      <c r="B37">
        <v>7752105</v>
      </c>
      <c r="C37">
        <v>4188140</v>
      </c>
      <c r="D37">
        <v>0</v>
      </c>
      <c r="E37">
        <v>0</v>
      </c>
      <c r="F37">
        <v>11940245</v>
      </c>
    </row>
    <row r="38" spans="1:6" x14ac:dyDescent="0.25">
      <c r="A38">
        <v>1993</v>
      </c>
      <c r="B38">
        <v>8142658</v>
      </c>
      <c r="C38">
        <v>4353542</v>
      </c>
      <c r="D38">
        <v>0</v>
      </c>
      <c r="E38">
        <v>0</v>
      </c>
      <c r="F38">
        <v>12496200</v>
      </c>
    </row>
    <row r="39" spans="1:6" x14ac:dyDescent="0.25">
      <c r="A39">
        <v>1994</v>
      </c>
      <c r="B39">
        <v>8858768</v>
      </c>
      <c r="C39">
        <v>4399989</v>
      </c>
      <c r="D39">
        <v>0</v>
      </c>
      <c r="E39">
        <v>0</v>
      </c>
      <c r="F39">
        <v>13258757</v>
      </c>
    </row>
    <row r="40" spans="1:6" x14ac:dyDescent="0.25">
      <c r="A40">
        <v>1995</v>
      </c>
      <c r="B40">
        <v>9934967</v>
      </c>
      <c r="C40">
        <v>4348874</v>
      </c>
      <c r="D40">
        <v>0</v>
      </c>
      <c r="E40">
        <v>0</v>
      </c>
      <c r="F40">
        <v>14283841</v>
      </c>
    </row>
    <row r="41" spans="1:6" x14ac:dyDescent="0.25">
      <c r="A41">
        <v>1996</v>
      </c>
      <c r="B41">
        <v>11044293</v>
      </c>
      <c r="C41">
        <v>4260019</v>
      </c>
      <c r="D41">
        <v>0</v>
      </c>
      <c r="E41">
        <v>0</v>
      </c>
      <c r="F41">
        <v>15304312</v>
      </c>
    </row>
    <row r="42" spans="1:6" x14ac:dyDescent="0.25">
      <c r="A42">
        <v>1997</v>
      </c>
      <c r="B42">
        <v>12324128</v>
      </c>
      <c r="C42">
        <v>4154722</v>
      </c>
      <c r="D42">
        <v>0</v>
      </c>
      <c r="E42">
        <v>0</v>
      </c>
      <c r="F42">
        <v>16478850</v>
      </c>
    </row>
    <row r="43" spans="1:6" x14ac:dyDescent="0.25">
      <c r="A43">
        <v>1998</v>
      </c>
      <c r="B43">
        <v>13236899</v>
      </c>
      <c r="C43">
        <v>4038979</v>
      </c>
      <c r="D43">
        <v>0</v>
      </c>
      <c r="E43">
        <v>0</v>
      </c>
      <c r="F43">
        <v>17275878</v>
      </c>
    </row>
    <row r="44" spans="1:6" x14ac:dyDescent="0.25">
      <c r="A44">
        <v>1999</v>
      </c>
      <c r="B44">
        <v>13924123</v>
      </c>
      <c r="C44">
        <v>3922368</v>
      </c>
      <c r="D44">
        <v>0</v>
      </c>
      <c r="E44">
        <v>0</v>
      </c>
      <c r="F44">
        <v>17846491</v>
      </c>
    </row>
    <row r="45" spans="1:6" x14ac:dyDescent="0.25">
      <c r="A45">
        <v>2000</v>
      </c>
      <c r="B45">
        <v>14768655</v>
      </c>
      <c r="C45">
        <v>3796795</v>
      </c>
      <c r="D45">
        <v>0</v>
      </c>
      <c r="E45">
        <v>0</v>
      </c>
      <c r="F45">
        <v>18565450</v>
      </c>
    </row>
    <row r="46" spans="1:6" x14ac:dyDescent="0.25">
      <c r="A46">
        <v>2001</v>
      </c>
      <c r="B46">
        <v>15708025</v>
      </c>
      <c r="C46">
        <v>3669033</v>
      </c>
      <c r="D46">
        <v>0</v>
      </c>
      <c r="E46">
        <v>0</v>
      </c>
      <c r="F46">
        <v>19377058</v>
      </c>
    </row>
    <row r="47" spans="1:6" x14ac:dyDescent="0.25">
      <c r="A47">
        <v>2002</v>
      </c>
      <c r="B47">
        <v>16514100</v>
      </c>
      <c r="C47">
        <v>3567330</v>
      </c>
      <c r="D47">
        <v>0</v>
      </c>
      <c r="E47">
        <v>0</v>
      </c>
      <c r="F47">
        <v>20081430</v>
      </c>
    </row>
    <row r="48" spans="1:6" x14ac:dyDescent="0.25">
      <c r="A48">
        <v>2003</v>
      </c>
      <c r="B48">
        <v>17167243</v>
      </c>
      <c r="C48">
        <v>3446397</v>
      </c>
      <c r="D48">
        <v>39002</v>
      </c>
      <c r="E48">
        <v>0</v>
      </c>
      <c r="F48">
        <v>20652642</v>
      </c>
    </row>
    <row r="49" spans="1:6" x14ac:dyDescent="0.25">
      <c r="A49">
        <v>2004</v>
      </c>
      <c r="B49">
        <v>17721084</v>
      </c>
      <c r="C49">
        <v>3338653</v>
      </c>
      <c r="D49">
        <v>317031</v>
      </c>
      <c r="E49">
        <v>0</v>
      </c>
      <c r="F49">
        <v>21376768</v>
      </c>
    </row>
    <row r="50" spans="1:6" x14ac:dyDescent="0.25">
      <c r="A50">
        <v>2005</v>
      </c>
      <c r="B50">
        <v>17932681</v>
      </c>
      <c r="C50">
        <v>3209849</v>
      </c>
      <c r="D50">
        <v>1067235</v>
      </c>
      <c r="E50">
        <v>0</v>
      </c>
      <c r="F50">
        <v>22209765</v>
      </c>
    </row>
    <row r="51" spans="1:6" x14ac:dyDescent="0.25">
      <c r="A51">
        <v>2006</v>
      </c>
      <c r="B51">
        <v>17757844</v>
      </c>
      <c r="C51">
        <v>3050966</v>
      </c>
      <c r="D51">
        <v>2396156</v>
      </c>
      <c r="E51">
        <v>1</v>
      </c>
      <c r="F51">
        <v>23204967</v>
      </c>
    </row>
    <row r="52" spans="1:6" x14ac:dyDescent="0.25">
      <c r="A52">
        <v>2007</v>
      </c>
      <c r="B52">
        <v>17508711</v>
      </c>
      <c r="C52">
        <v>2890882</v>
      </c>
      <c r="D52">
        <v>4220328</v>
      </c>
      <c r="E52">
        <v>3</v>
      </c>
      <c r="F52">
        <v>24619924</v>
      </c>
    </row>
    <row r="53" spans="1:6" x14ac:dyDescent="0.25">
      <c r="A53">
        <v>2008</v>
      </c>
      <c r="B53">
        <v>17207959</v>
      </c>
      <c r="C53">
        <v>2732249</v>
      </c>
      <c r="D53">
        <v>6316909</v>
      </c>
      <c r="E53">
        <v>11</v>
      </c>
      <c r="F53">
        <v>26257128</v>
      </c>
    </row>
    <row r="54" spans="1:6" x14ac:dyDescent="0.25">
      <c r="A54">
        <v>2009</v>
      </c>
      <c r="B54">
        <v>16885824</v>
      </c>
      <c r="C54">
        <v>2576071</v>
      </c>
      <c r="D54">
        <v>8706635</v>
      </c>
      <c r="E54">
        <v>32</v>
      </c>
      <c r="F54">
        <v>28168562</v>
      </c>
    </row>
    <row r="55" spans="1:6" x14ac:dyDescent="0.25">
      <c r="A55">
        <v>2010</v>
      </c>
      <c r="B55">
        <v>16593638</v>
      </c>
      <c r="C55">
        <v>2423205</v>
      </c>
      <c r="D55">
        <v>11237607</v>
      </c>
      <c r="E55">
        <v>56</v>
      </c>
      <c r="F55">
        <v>30254506</v>
      </c>
    </row>
    <row r="56" spans="1:6" x14ac:dyDescent="0.25">
      <c r="A56">
        <v>2011</v>
      </c>
      <c r="B56">
        <v>16365238</v>
      </c>
      <c r="C56">
        <v>2274406</v>
      </c>
      <c r="D56">
        <v>13705064</v>
      </c>
      <c r="E56">
        <v>255</v>
      </c>
      <c r="F56">
        <v>32344963</v>
      </c>
    </row>
    <row r="57" spans="1:6" x14ac:dyDescent="0.25">
      <c r="A57">
        <v>2012</v>
      </c>
      <c r="B57">
        <v>16024584</v>
      </c>
      <c r="C57">
        <v>2130286</v>
      </c>
      <c r="D57">
        <v>16459159</v>
      </c>
      <c r="E57">
        <v>371</v>
      </c>
      <c r="F57">
        <v>34614400</v>
      </c>
    </row>
    <row r="58" spans="1:6" x14ac:dyDescent="0.25">
      <c r="A58">
        <v>2013</v>
      </c>
      <c r="B58">
        <v>15589318</v>
      </c>
      <c r="C58">
        <v>1991322</v>
      </c>
      <c r="D58">
        <v>19183097</v>
      </c>
      <c r="E58">
        <v>853</v>
      </c>
      <c r="F58">
        <v>36764590</v>
      </c>
    </row>
    <row r="59" spans="1:6" x14ac:dyDescent="0.25">
      <c r="A59">
        <v>2014</v>
      </c>
      <c r="B59">
        <v>15137791</v>
      </c>
      <c r="C59">
        <v>1857892</v>
      </c>
      <c r="D59">
        <v>21627340</v>
      </c>
      <c r="E59">
        <v>1691</v>
      </c>
      <c r="F59">
        <v>38624714</v>
      </c>
    </row>
    <row r="60" spans="1:6" x14ac:dyDescent="0.25">
      <c r="A60">
        <v>2015</v>
      </c>
      <c r="B60">
        <v>14628274</v>
      </c>
      <c r="C60">
        <v>1730301</v>
      </c>
      <c r="D60">
        <v>23402370</v>
      </c>
      <c r="E60">
        <v>2527</v>
      </c>
      <c r="F60">
        <v>39763472</v>
      </c>
    </row>
    <row r="61" spans="1:6" x14ac:dyDescent="0.25">
      <c r="A61">
        <v>2016</v>
      </c>
      <c r="B61">
        <v>14056558</v>
      </c>
      <c r="C61">
        <v>1608735</v>
      </c>
      <c r="D61">
        <v>24743034</v>
      </c>
      <c r="E61">
        <v>3601</v>
      </c>
      <c r="F61">
        <v>40411928</v>
      </c>
    </row>
    <row r="62" spans="1:6" x14ac:dyDescent="0.25">
      <c r="A62">
        <v>2017</v>
      </c>
      <c r="B62">
        <v>13469303</v>
      </c>
      <c r="C62">
        <v>1493320</v>
      </c>
      <c r="D62">
        <v>26195490</v>
      </c>
      <c r="E62">
        <v>6857</v>
      </c>
      <c r="F62">
        <v>41164970</v>
      </c>
    </row>
    <row r="63" spans="1:6" x14ac:dyDescent="0.25">
      <c r="A63">
        <v>2018</v>
      </c>
      <c r="B63">
        <v>12894749</v>
      </c>
      <c r="C63">
        <v>1384072</v>
      </c>
      <c r="D63">
        <v>27818063</v>
      </c>
      <c r="E63">
        <v>10788</v>
      </c>
      <c r="F63">
        <v>42107672</v>
      </c>
    </row>
    <row r="64" spans="1:6" x14ac:dyDescent="0.25">
      <c r="A64">
        <v>2019</v>
      </c>
      <c r="B64">
        <v>12314997</v>
      </c>
      <c r="C64">
        <v>1280982</v>
      </c>
      <c r="D64">
        <v>29529006</v>
      </c>
      <c r="E64">
        <v>22562</v>
      </c>
      <c r="F64">
        <v>43147547</v>
      </c>
    </row>
    <row r="65" spans="1:6" x14ac:dyDescent="0.25">
      <c r="A65">
        <v>2020</v>
      </c>
      <c r="B65">
        <v>11726327</v>
      </c>
      <c r="C65">
        <v>1183960</v>
      </c>
      <c r="D65">
        <v>30538080</v>
      </c>
      <c r="E65">
        <v>42124</v>
      </c>
      <c r="F65">
        <v>43490491</v>
      </c>
    </row>
    <row r="66" spans="1:6" x14ac:dyDescent="0.25">
      <c r="A66">
        <v>2021</v>
      </c>
      <c r="B66">
        <v>11140650</v>
      </c>
      <c r="C66">
        <v>1092894</v>
      </c>
      <c r="D66">
        <v>31396139</v>
      </c>
      <c r="E66">
        <v>76738</v>
      </c>
      <c r="F66">
        <v>43706421</v>
      </c>
    </row>
    <row r="67" spans="1:6" x14ac:dyDescent="0.25">
      <c r="A67">
        <v>2022</v>
      </c>
      <c r="B67">
        <v>10559188</v>
      </c>
      <c r="C67">
        <v>1007638</v>
      </c>
      <c r="D67">
        <v>32206054</v>
      </c>
      <c r="E67">
        <v>125107</v>
      </c>
      <c r="F67">
        <v>43897987</v>
      </c>
    </row>
  </sheetData>
  <sortState xmlns:xlrd2="http://schemas.microsoft.com/office/spreadsheetml/2017/richdata2" ref="J2:K5">
    <sortCondition descending="1" ref="K1:K5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3545AC-61EC-476B-A643-3DB025B92F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Sheet1</vt:lpstr>
      <vt:lpstr>data_tese</vt:lpstr>
      <vt:lpstr>frota_circulante</vt:lpstr>
      <vt:lpstr>Chart1</vt:lpstr>
      <vt:lpstr>Pie - fleet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Prolo</dc:creator>
  <cp:lastModifiedBy>Sergio Prolo</cp:lastModifiedBy>
  <cp:lastPrinted>2026-03-26T20:10:55Z</cp:lastPrinted>
  <dcterms:created xsi:type="dcterms:W3CDTF">2026-02-20T15:21:03Z</dcterms:created>
  <dcterms:modified xsi:type="dcterms:W3CDTF">2026-03-26T20:10:58Z</dcterms:modified>
</cp:coreProperties>
</file>