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maur\OneDrive\Área de Trabalho\scripts\tese\data\input\"/>
    </mc:Choice>
  </mc:AlternateContent>
  <xr:revisionPtr revIDLastSave="0" documentId="13_ncr:1_{1DDD2E31-FC96-4549-83AD-208E594A32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S3" i="1"/>
  <c r="T3" i="1"/>
  <c r="U3" i="1"/>
  <c r="V3" i="1"/>
  <c r="W3" i="1"/>
  <c r="R4" i="1"/>
  <c r="S4" i="1"/>
  <c r="T4" i="1"/>
  <c r="U4" i="1"/>
  <c r="V4" i="1"/>
  <c r="W4" i="1"/>
  <c r="R5" i="1"/>
  <c r="S5" i="1"/>
  <c r="T5" i="1"/>
  <c r="U5" i="1"/>
  <c r="V5" i="1"/>
  <c r="W5" i="1"/>
  <c r="R6" i="1"/>
  <c r="S6" i="1"/>
  <c r="T6" i="1"/>
  <c r="U6" i="1"/>
  <c r="V6" i="1"/>
  <c r="W6" i="1"/>
  <c r="R7" i="1"/>
  <c r="S7" i="1"/>
  <c r="T7" i="1"/>
  <c r="U7" i="1"/>
  <c r="V7" i="1"/>
  <c r="W7" i="1"/>
  <c r="R8" i="1"/>
  <c r="S8" i="1"/>
  <c r="T8" i="1"/>
  <c r="U8" i="1"/>
  <c r="V8" i="1"/>
  <c r="W8" i="1"/>
  <c r="R9" i="1"/>
  <c r="S9" i="1"/>
  <c r="T9" i="1"/>
  <c r="U9" i="1"/>
  <c r="V9" i="1"/>
  <c r="W9" i="1"/>
  <c r="R10" i="1"/>
  <c r="S10" i="1"/>
  <c r="T10" i="1"/>
  <c r="U10" i="1"/>
  <c r="V10" i="1"/>
  <c r="W10" i="1"/>
  <c r="R11" i="1"/>
  <c r="S11" i="1"/>
  <c r="T11" i="1"/>
  <c r="U11" i="1"/>
  <c r="V11" i="1"/>
  <c r="W11" i="1"/>
  <c r="R12" i="1"/>
  <c r="S12" i="1"/>
  <c r="T12" i="1"/>
  <c r="U12" i="1"/>
  <c r="V12" i="1"/>
  <c r="W12" i="1"/>
  <c r="R13" i="1"/>
  <c r="S13" i="1"/>
  <c r="T13" i="1"/>
  <c r="U13" i="1"/>
  <c r="V13" i="1"/>
  <c r="W13" i="1"/>
  <c r="R14" i="1"/>
  <c r="S14" i="1"/>
  <c r="T14" i="1"/>
  <c r="U14" i="1"/>
  <c r="V14" i="1"/>
  <c r="W14" i="1"/>
  <c r="R15" i="1"/>
  <c r="S15" i="1"/>
  <c r="T15" i="1"/>
  <c r="U15" i="1"/>
  <c r="V15" i="1"/>
  <c r="W15" i="1"/>
  <c r="R16" i="1"/>
  <c r="S16" i="1"/>
  <c r="T16" i="1"/>
  <c r="U16" i="1"/>
  <c r="V16" i="1"/>
  <c r="W16" i="1"/>
  <c r="R17" i="1"/>
  <c r="S17" i="1"/>
  <c r="T17" i="1"/>
  <c r="U17" i="1"/>
  <c r="V17" i="1"/>
  <c r="W17" i="1"/>
  <c r="R18" i="1"/>
  <c r="S18" i="1"/>
  <c r="T18" i="1"/>
  <c r="U18" i="1"/>
  <c r="V18" i="1"/>
  <c r="W18" i="1"/>
  <c r="R19" i="1"/>
  <c r="S19" i="1"/>
  <c r="T19" i="1"/>
  <c r="U19" i="1"/>
  <c r="V19" i="1"/>
  <c r="W19" i="1"/>
  <c r="R20" i="1"/>
  <c r="S20" i="1"/>
  <c r="T20" i="1"/>
  <c r="U20" i="1"/>
  <c r="V20" i="1"/>
  <c r="W20" i="1"/>
  <c r="R21" i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R25" i="1"/>
  <c r="S25" i="1"/>
  <c r="T25" i="1"/>
  <c r="U25" i="1"/>
  <c r="V25" i="1"/>
  <c r="W25" i="1"/>
  <c r="R26" i="1"/>
  <c r="S26" i="1"/>
  <c r="T26" i="1"/>
  <c r="U26" i="1"/>
  <c r="V26" i="1"/>
  <c r="W26" i="1"/>
  <c r="R27" i="1"/>
  <c r="S27" i="1"/>
  <c r="T27" i="1"/>
  <c r="U27" i="1"/>
  <c r="V27" i="1"/>
  <c r="W27" i="1"/>
  <c r="R28" i="1"/>
  <c r="S28" i="1"/>
  <c r="T28" i="1"/>
  <c r="U28" i="1"/>
  <c r="V28" i="1"/>
  <c r="W28" i="1"/>
  <c r="R29" i="1"/>
  <c r="S29" i="1"/>
  <c r="T29" i="1"/>
  <c r="U29" i="1"/>
  <c r="V29" i="1"/>
  <c r="W29" i="1"/>
  <c r="R30" i="1"/>
  <c r="S30" i="1"/>
  <c r="T30" i="1"/>
  <c r="U30" i="1"/>
  <c r="V30" i="1"/>
  <c r="W30" i="1"/>
  <c r="R31" i="1"/>
  <c r="S31" i="1"/>
  <c r="T31" i="1"/>
  <c r="U31" i="1"/>
  <c r="V31" i="1"/>
  <c r="W31" i="1"/>
  <c r="R32" i="1"/>
  <c r="S32" i="1"/>
  <c r="T32" i="1"/>
  <c r="U32" i="1"/>
  <c r="V32" i="1"/>
  <c r="W32" i="1"/>
  <c r="R33" i="1"/>
  <c r="S33" i="1"/>
  <c r="T33" i="1"/>
  <c r="U33" i="1"/>
  <c r="V33" i="1"/>
  <c r="W33" i="1"/>
  <c r="R34" i="1"/>
  <c r="S34" i="1"/>
  <c r="T34" i="1"/>
  <c r="U34" i="1"/>
  <c r="V34" i="1"/>
  <c r="W34" i="1"/>
  <c r="R35" i="1"/>
  <c r="S35" i="1"/>
  <c r="T35" i="1"/>
  <c r="U35" i="1"/>
  <c r="V35" i="1"/>
  <c r="W35" i="1"/>
  <c r="R36" i="1"/>
  <c r="S36" i="1"/>
  <c r="T36" i="1"/>
  <c r="U36" i="1"/>
  <c r="V36" i="1"/>
  <c r="W36" i="1"/>
  <c r="R37" i="1"/>
  <c r="S37" i="1"/>
  <c r="T37" i="1"/>
  <c r="U37" i="1"/>
  <c r="V37" i="1"/>
  <c r="W37" i="1"/>
  <c r="R38" i="1"/>
  <c r="S38" i="1"/>
  <c r="T38" i="1"/>
  <c r="U38" i="1"/>
  <c r="V38" i="1"/>
  <c r="W38" i="1"/>
  <c r="R39" i="1"/>
  <c r="S39" i="1"/>
  <c r="T39" i="1"/>
  <c r="U39" i="1"/>
  <c r="V39" i="1"/>
  <c r="W39" i="1"/>
  <c r="R40" i="1"/>
  <c r="S40" i="1"/>
  <c r="T40" i="1"/>
  <c r="U40" i="1"/>
  <c r="V40" i="1"/>
  <c r="W40" i="1"/>
  <c r="R41" i="1"/>
  <c r="S41" i="1"/>
  <c r="T41" i="1"/>
  <c r="U41" i="1"/>
  <c r="V41" i="1"/>
  <c r="W41" i="1"/>
  <c r="R42" i="1"/>
  <c r="S42" i="1"/>
  <c r="T42" i="1"/>
  <c r="U42" i="1"/>
  <c r="V42" i="1"/>
  <c r="W42" i="1"/>
  <c r="R43" i="1"/>
  <c r="S43" i="1"/>
  <c r="T43" i="1"/>
  <c r="U43" i="1"/>
  <c r="V43" i="1"/>
  <c r="W43" i="1"/>
  <c r="R44" i="1"/>
  <c r="S44" i="1"/>
  <c r="T44" i="1"/>
  <c r="U44" i="1"/>
  <c r="V44" i="1"/>
  <c r="W44" i="1"/>
  <c r="R45" i="1"/>
  <c r="S45" i="1"/>
  <c r="T45" i="1"/>
  <c r="U45" i="1"/>
  <c r="V45" i="1"/>
  <c r="W45" i="1"/>
  <c r="R46" i="1"/>
  <c r="S46" i="1"/>
  <c r="T46" i="1"/>
  <c r="U46" i="1"/>
  <c r="V46" i="1"/>
  <c r="W46" i="1"/>
  <c r="R47" i="1"/>
  <c r="S47" i="1"/>
  <c r="T47" i="1"/>
  <c r="U47" i="1"/>
  <c r="V47" i="1"/>
  <c r="W47" i="1"/>
  <c r="R48" i="1"/>
  <c r="S48" i="1"/>
  <c r="T48" i="1"/>
  <c r="U48" i="1"/>
  <c r="V48" i="1"/>
  <c r="W48" i="1"/>
  <c r="R49" i="1"/>
  <c r="S49" i="1"/>
  <c r="T49" i="1"/>
  <c r="U49" i="1"/>
  <c r="V49" i="1"/>
  <c r="W49" i="1"/>
  <c r="R50" i="1"/>
  <c r="S50" i="1"/>
  <c r="T50" i="1"/>
  <c r="U50" i="1"/>
  <c r="V50" i="1"/>
  <c r="W50" i="1"/>
  <c r="R51" i="1"/>
  <c r="S51" i="1"/>
  <c r="T51" i="1"/>
  <c r="U51" i="1"/>
  <c r="V51" i="1"/>
  <c r="W51" i="1"/>
  <c r="R52" i="1"/>
  <c r="S52" i="1"/>
  <c r="T52" i="1"/>
  <c r="U52" i="1"/>
  <c r="V52" i="1"/>
  <c r="W52" i="1"/>
  <c r="R53" i="1"/>
  <c r="S53" i="1"/>
  <c r="T53" i="1"/>
  <c r="U53" i="1"/>
  <c r="V53" i="1"/>
  <c r="W53" i="1"/>
  <c r="R54" i="1"/>
  <c r="S54" i="1"/>
  <c r="T54" i="1"/>
  <c r="U54" i="1"/>
  <c r="V54" i="1"/>
  <c r="W54" i="1"/>
  <c r="R55" i="1"/>
  <c r="S55" i="1"/>
  <c r="T55" i="1"/>
  <c r="U55" i="1"/>
  <c r="V55" i="1"/>
  <c r="W55" i="1"/>
  <c r="R56" i="1"/>
  <c r="S56" i="1"/>
  <c r="T56" i="1"/>
  <c r="U56" i="1"/>
  <c r="V56" i="1"/>
  <c r="W56" i="1"/>
  <c r="R57" i="1"/>
  <c r="S57" i="1"/>
  <c r="T57" i="1"/>
  <c r="U57" i="1"/>
  <c r="V57" i="1"/>
  <c r="W57" i="1"/>
  <c r="R58" i="1"/>
  <c r="S58" i="1"/>
  <c r="T58" i="1"/>
  <c r="U58" i="1"/>
  <c r="V58" i="1"/>
  <c r="W58" i="1"/>
  <c r="R59" i="1"/>
  <c r="S59" i="1"/>
  <c r="T59" i="1"/>
  <c r="U59" i="1"/>
  <c r="V59" i="1"/>
  <c r="W59" i="1"/>
  <c r="R60" i="1"/>
  <c r="S60" i="1"/>
  <c r="T60" i="1"/>
  <c r="U60" i="1"/>
  <c r="V60" i="1"/>
  <c r="W60" i="1"/>
  <c r="R61" i="1"/>
  <c r="S61" i="1"/>
  <c r="T61" i="1"/>
  <c r="U61" i="1"/>
  <c r="V61" i="1"/>
  <c r="W61" i="1"/>
  <c r="R62" i="1"/>
  <c r="S62" i="1"/>
  <c r="T62" i="1"/>
  <c r="U62" i="1"/>
  <c r="V62" i="1"/>
  <c r="W62" i="1"/>
  <c r="R63" i="1"/>
  <c r="S63" i="1"/>
  <c r="T63" i="1"/>
  <c r="U63" i="1"/>
  <c r="V63" i="1"/>
  <c r="W63" i="1"/>
  <c r="R64" i="1"/>
  <c r="S64" i="1"/>
  <c r="T64" i="1"/>
  <c r="U64" i="1"/>
  <c r="V64" i="1"/>
  <c r="W64" i="1"/>
  <c r="R65" i="1"/>
  <c r="S65" i="1"/>
  <c r="T65" i="1"/>
  <c r="U65" i="1"/>
  <c r="V65" i="1"/>
  <c r="W65" i="1"/>
  <c r="R66" i="1"/>
  <c r="S66" i="1"/>
  <c r="T66" i="1"/>
  <c r="U66" i="1"/>
  <c r="V66" i="1"/>
  <c r="W66" i="1"/>
  <c r="R67" i="1"/>
  <c r="S67" i="1"/>
  <c r="T67" i="1"/>
  <c r="U67" i="1"/>
  <c r="V67" i="1"/>
  <c r="W67" i="1"/>
  <c r="R68" i="1"/>
  <c r="S68" i="1"/>
  <c r="T68" i="1"/>
  <c r="U68" i="1"/>
  <c r="V68" i="1"/>
  <c r="W68" i="1"/>
  <c r="R69" i="1"/>
  <c r="S69" i="1"/>
  <c r="T69" i="1"/>
  <c r="U69" i="1"/>
  <c r="V69" i="1"/>
  <c r="W69" i="1"/>
  <c r="R70" i="1"/>
  <c r="S70" i="1"/>
  <c r="T70" i="1"/>
  <c r="U70" i="1"/>
  <c r="V70" i="1"/>
  <c r="W70" i="1"/>
  <c r="R71" i="1"/>
  <c r="S71" i="1"/>
  <c r="T71" i="1"/>
  <c r="U71" i="1"/>
  <c r="V71" i="1"/>
  <c r="W71" i="1"/>
  <c r="R72" i="1"/>
  <c r="S72" i="1"/>
  <c r="T72" i="1"/>
  <c r="U72" i="1"/>
  <c r="V72" i="1"/>
  <c r="W72" i="1"/>
  <c r="R73" i="1"/>
  <c r="S73" i="1"/>
  <c r="T73" i="1"/>
  <c r="U73" i="1"/>
  <c r="V73" i="1"/>
  <c r="W73" i="1"/>
  <c r="R74" i="1"/>
  <c r="S74" i="1"/>
  <c r="T74" i="1"/>
  <c r="U74" i="1"/>
  <c r="V74" i="1"/>
  <c r="W74" i="1"/>
  <c r="R75" i="1"/>
  <c r="S75" i="1"/>
  <c r="T75" i="1"/>
  <c r="U75" i="1"/>
  <c r="V75" i="1"/>
  <c r="W75" i="1"/>
  <c r="R76" i="1"/>
  <c r="S76" i="1"/>
  <c r="T76" i="1"/>
  <c r="U76" i="1"/>
  <c r="V76" i="1"/>
  <c r="W76" i="1"/>
  <c r="R77" i="1"/>
  <c r="S77" i="1"/>
  <c r="T77" i="1"/>
  <c r="U77" i="1"/>
  <c r="V77" i="1"/>
  <c r="W77" i="1"/>
  <c r="R78" i="1"/>
  <c r="S78" i="1"/>
  <c r="T78" i="1"/>
  <c r="U78" i="1"/>
  <c r="V78" i="1"/>
  <c r="W78" i="1"/>
  <c r="R79" i="1"/>
  <c r="S79" i="1"/>
  <c r="T79" i="1"/>
  <c r="U79" i="1"/>
  <c r="V79" i="1"/>
  <c r="W79" i="1"/>
  <c r="R80" i="1"/>
  <c r="S80" i="1"/>
  <c r="T80" i="1"/>
  <c r="U80" i="1"/>
  <c r="V80" i="1"/>
  <c r="W80" i="1"/>
  <c r="R81" i="1"/>
  <c r="S81" i="1"/>
  <c r="T81" i="1"/>
  <c r="U81" i="1"/>
  <c r="V81" i="1"/>
  <c r="W81" i="1"/>
  <c r="R82" i="1"/>
  <c r="S82" i="1"/>
  <c r="T82" i="1"/>
  <c r="U82" i="1"/>
  <c r="V82" i="1"/>
  <c r="W82" i="1"/>
  <c r="R83" i="1"/>
  <c r="S83" i="1"/>
  <c r="T83" i="1"/>
  <c r="U83" i="1"/>
  <c r="V83" i="1"/>
  <c r="W83" i="1"/>
  <c r="R84" i="1"/>
  <c r="S84" i="1"/>
  <c r="T84" i="1"/>
  <c r="U84" i="1"/>
  <c r="V84" i="1"/>
  <c r="W84" i="1"/>
  <c r="R85" i="1"/>
  <c r="S85" i="1"/>
  <c r="T85" i="1"/>
  <c r="U85" i="1"/>
  <c r="V85" i="1"/>
  <c r="W85" i="1"/>
  <c r="R86" i="1"/>
  <c r="S86" i="1"/>
  <c r="T86" i="1"/>
  <c r="U86" i="1"/>
  <c r="V86" i="1"/>
  <c r="W86" i="1"/>
  <c r="R87" i="1"/>
  <c r="S87" i="1"/>
  <c r="T87" i="1"/>
  <c r="U87" i="1"/>
  <c r="V87" i="1"/>
  <c r="W87" i="1"/>
  <c r="R88" i="1"/>
  <c r="S88" i="1"/>
  <c r="T88" i="1"/>
  <c r="U88" i="1"/>
  <c r="V88" i="1"/>
  <c r="W88" i="1"/>
  <c r="R89" i="1"/>
  <c r="S89" i="1"/>
  <c r="T89" i="1"/>
  <c r="U89" i="1"/>
  <c r="V89" i="1"/>
  <c r="W89" i="1"/>
  <c r="R90" i="1"/>
  <c r="S90" i="1"/>
  <c r="T90" i="1"/>
  <c r="U90" i="1"/>
  <c r="V90" i="1"/>
  <c r="W90" i="1"/>
  <c r="R91" i="1"/>
  <c r="S91" i="1"/>
  <c r="T91" i="1"/>
  <c r="U91" i="1"/>
  <c r="V91" i="1"/>
  <c r="W91" i="1"/>
  <c r="R92" i="1"/>
  <c r="S92" i="1"/>
  <c r="T92" i="1"/>
  <c r="U92" i="1"/>
  <c r="V92" i="1"/>
  <c r="W92" i="1"/>
  <c r="R93" i="1"/>
  <c r="S93" i="1"/>
  <c r="T93" i="1"/>
  <c r="U93" i="1"/>
  <c r="V93" i="1"/>
  <c r="W93" i="1"/>
  <c r="R94" i="1"/>
  <c r="S94" i="1"/>
  <c r="T94" i="1"/>
  <c r="U94" i="1"/>
  <c r="V94" i="1"/>
  <c r="W94" i="1"/>
  <c r="R95" i="1"/>
  <c r="S95" i="1"/>
  <c r="T95" i="1"/>
  <c r="U95" i="1"/>
  <c r="V95" i="1"/>
  <c r="W95" i="1"/>
  <c r="R96" i="1"/>
  <c r="S96" i="1"/>
  <c r="T96" i="1"/>
  <c r="U96" i="1"/>
  <c r="V96" i="1"/>
  <c r="W96" i="1"/>
  <c r="R97" i="1"/>
  <c r="S97" i="1"/>
  <c r="T97" i="1"/>
  <c r="U97" i="1"/>
  <c r="V97" i="1"/>
  <c r="W97" i="1"/>
  <c r="R98" i="1"/>
  <c r="S98" i="1"/>
  <c r="T98" i="1"/>
  <c r="U98" i="1"/>
  <c r="V98" i="1"/>
  <c r="W98" i="1"/>
  <c r="R99" i="1"/>
  <c r="S99" i="1"/>
  <c r="T99" i="1"/>
  <c r="U99" i="1"/>
  <c r="V99" i="1"/>
  <c r="W99" i="1"/>
  <c r="R100" i="1"/>
  <c r="S100" i="1"/>
  <c r="T100" i="1"/>
  <c r="U100" i="1"/>
  <c r="V100" i="1"/>
  <c r="W100" i="1"/>
  <c r="R101" i="1"/>
  <c r="S101" i="1"/>
  <c r="T101" i="1"/>
  <c r="U101" i="1"/>
  <c r="V101" i="1"/>
  <c r="W101" i="1"/>
  <c r="R102" i="1"/>
  <c r="S102" i="1"/>
  <c r="T102" i="1"/>
  <c r="U102" i="1"/>
  <c r="V102" i="1"/>
  <c r="W102" i="1"/>
  <c r="R103" i="1"/>
  <c r="S103" i="1"/>
  <c r="T103" i="1"/>
  <c r="U103" i="1"/>
  <c r="V103" i="1"/>
  <c r="W103" i="1"/>
  <c r="R104" i="1"/>
  <c r="S104" i="1"/>
  <c r="T104" i="1"/>
  <c r="U104" i="1"/>
  <c r="V104" i="1"/>
  <c r="W104" i="1"/>
  <c r="R105" i="1"/>
  <c r="S105" i="1"/>
  <c r="T105" i="1"/>
  <c r="U105" i="1"/>
  <c r="V105" i="1"/>
  <c r="W105" i="1"/>
  <c r="R106" i="1"/>
  <c r="S106" i="1"/>
  <c r="T106" i="1"/>
  <c r="U106" i="1"/>
  <c r="V106" i="1"/>
  <c r="W106" i="1"/>
  <c r="R107" i="1"/>
  <c r="S107" i="1"/>
  <c r="T107" i="1"/>
  <c r="U107" i="1"/>
  <c r="V107" i="1"/>
  <c r="W107" i="1"/>
  <c r="R108" i="1"/>
  <c r="S108" i="1"/>
  <c r="T108" i="1"/>
  <c r="U108" i="1"/>
  <c r="V108" i="1"/>
  <c r="W108" i="1"/>
  <c r="R109" i="1"/>
  <c r="S109" i="1"/>
  <c r="T109" i="1"/>
  <c r="U109" i="1"/>
  <c r="V109" i="1"/>
  <c r="W109" i="1"/>
  <c r="R110" i="1"/>
  <c r="S110" i="1"/>
  <c r="T110" i="1"/>
  <c r="U110" i="1"/>
  <c r="V110" i="1"/>
  <c r="W110" i="1"/>
  <c r="R111" i="1"/>
  <c r="S111" i="1"/>
  <c r="T111" i="1"/>
  <c r="U111" i="1"/>
  <c r="V111" i="1"/>
  <c r="W111" i="1"/>
  <c r="R112" i="1"/>
  <c r="S112" i="1"/>
  <c r="T112" i="1"/>
  <c r="U112" i="1"/>
  <c r="V112" i="1"/>
  <c r="W112" i="1"/>
  <c r="R113" i="1"/>
  <c r="S113" i="1"/>
  <c r="T113" i="1"/>
  <c r="U113" i="1"/>
  <c r="V113" i="1"/>
  <c r="W113" i="1"/>
  <c r="R114" i="1"/>
  <c r="S114" i="1"/>
  <c r="T114" i="1"/>
  <c r="U114" i="1"/>
  <c r="V114" i="1"/>
  <c r="W114" i="1"/>
  <c r="R115" i="1"/>
  <c r="S115" i="1"/>
  <c r="T115" i="1"/>
  <c r="U115" i="1"/>
  <c r="V115" i="1"/>
  <c r="W115" i="1"/>
  <c r="R116" i="1"/>
  <c r="S116" i="1"/>
  <c r="T116" i="1"/>
  <c r="U116" i="1"/>
  <c r="V116" i="1"/>
  <c r="W116" i="1"/>
  <c r="R117" i="1"/>
  <c r="S117" i="1"/>
  <c r="T117" i="1"/>
  <c r="U117" i="1"/>
  <c r="V117" i="1"/>
  <c r="W117" i="1"/>
  <c r="R118" i="1"/>
  <c r="S118" i="1"/>
  <c r="T118" i="1"/>
  <c r="U118" i="1"/>
  <c r="V118" i="1"/>
  <c r="W118" i="1"/>
  <c r="R119" i="1"/>
  <c r="S119" i="1"/>
  <c r="T119" i="1"/>
  <c r="U119" i="1"/>
  <c r="V119" i="1"/>
  <c r="W119" i="1"/>
  <c r="R120" i="1"/>
  <c r="S120" i="1"/>
  <c r="T120" i="1"/>
  <c r="U120" i="1"/>
  <c r="V120" i="1"/>
  <c r="W120" i="1"/>
  <c r="R121" i="1"/>
  <c r="S121" i="1"/>
  <c r="T121" i="1"/>
  <c r="U121" i="1"/>
  <c r="V121" i="1"/>
  <c r="W121" i="1"/>
  <c r="R122" i="1"/>
  <c r="S122" i="1"/>
  <c r="T122" i="1"/>
  <c r="U122" i="1"/>
  <c r="V122" i="1"/>
  <c r="W122" i="1"/>
  <c r="R123" i="1"/>
  <c r="S123" i="1"/>
  <c r="T123" i="1"/>
  <c r="U123" i="1"/>
  <c r="V123" i="1"/>
  <c r="W123" i="1"/>
  <c r="R124" i="1"/>
  <c r="S124" i="1"/>
  <c r="T124" i="1"/>
  <c r="U124" i="1"/>
  <c r="V124" i="1"/>
  <c r="W124" i="1"/>
  <c r="R125" i="1"/>
  <c r="S125" i="1"/>
  <c r="T125" i="1"/>
  <c r="U125" i="1"/>
  <c r="V125" i="1"/>
  <c r="W125" i="1"/>
  <c r="R126" i="1"/>
  <c r="S126" i="1"/>
  <c r="T126" i="1"/>
  <c r="U126" i="1"/>
  <c r="V126" i="1"/>
  <c r="W126" i="1"/>
  <c r="R127" i="1"/>
  <c r="S127" i="1"/>
  <c r="T127" i="1"/>
  <c r="U127" i="1"/>
  <c r="V127" i="1"/>
  <c r="W127" i="1"/>
  <c r="R128" i="1"/>
  <c r="S128" i="1"/>
  <c r="T128" i="1"/>
  <c r="U128" i="1"/>
  <c r="V128" i="1"/>
  <c r="W128" i="1"/>
  <c r="R129" i="1"/>
  <c r="S129" i="1"/>
  <c r="T129" i="1"/>
  <c r="U129" i="1"/>
  <c r="V129" i="1"/>
  <c r="W129" i="1"/>
  <c r="R130" i="1"/>
  <c r="S130" i="1"/>
  <c r="T130" i="1"/>
  <c r="U130" i="1"/>
  <c r="V130" i="1"/>
  <c r="W130" i="1"/>
  <c r="R131" i="1"/>
  <c r="S131" i="1"/>
  <c r="T131" i="1"/>
  <c r="U131" i="1"/>
  <c r="V131" i="1"/>
  <c r="W131" i="1"/>
  <c r="R132" i="1"/>
  <c r="S132" i="1"/>
  <c r="T132" i="1"/>
  <c r="U132" i="1"/>
  <c r="V132" i="1"/>
  <c r="W132" i="1"/>
  <c r="R133" i="1"/>
  <c r="S133" i="1"/>
  <c r="T133" i="1"/>
  <c r="U133" i="1"/>
  <c r="V133" i="1"/>
  <c r="W133" i="1"/>
  <c r="R134" i="1"/>
  <c r="S134" i="1"/>
  <c r="T134" i="1"/>
  <c r="U134" i="1"/>
  <c r="V134" i="1"/>
  <c r="W134" i="1"/>
  <c r="R135" i="1"/>
  <c r="S135" i="1"/>
  <c r="T135" i="1"/>
  <c r="U135" i="1"/>
  <c r="V135" i="1"/>
  <c r="W135" i="1"/>
  <c r="R136" i="1"/>
  <c r="S136" i="1"/>
  <c r="T136" i="1"/>
  <c r="U136" i="1"/>
  <c r="V136" i="1"/>
  <c r="W136" i="1"/>
  <c r="R137" i="1"/>
  <c r="S137" i="1"/>
  <c r="T137" i="1"/>
  <c r="U137" i="1"/>
  <c r="V137" i="1"/>
  <c r="W137" i="1"/>
  <c r="R138" i="1"/>
  <c r="S138" i="1"/>
  <c r="T138" i="1"/>
  <c r="U138" i="1"/>
  <c r="V138" i="1"/>
  <c r="W138" i="1"/>
  <c r="R139" i="1"/>
  <c r="S139" i="1"/>
  <c r="T139" i="1"/>
  <c r="U139" i="1"/>
  <c r="V139" i="1"/>
  <c r="W139" i="1"/>
  <c r="R140" i="1"/>
  <c r="S140" i="1"/>
  <c r="T140" i="1"/>
  <c r="U140" i="1"/>
  <c r="V140" i="1"/>
  <c r="W140" i="1"/>
  <c r="R141" i="1"/>
  <c r="S141" i="1"/>
  <c r="T141" i="1"/>
  <c r="U141" i="1"/>
  <c r="V141" i="1"/>
  <c r="W141" i="1"/>
  <c r="R142" i="1"/>
  <c r="S142" i="1"/>
  <c r="T142" i="1"/>
  <c r="U142" i="1"/>
  <c r="V142" i="1"/>
  <c r="W142" i="1"/>
  <c r="R143" i="1"/>
  <c r="S143" i="1"/>
  <c r="T143" i="1"/>
  <c r="U143" i="1"/>
  <c r="V143" i="1"/>
  <c r="W143" i="1"/>
  <c r="R144" i="1"/>
  <c r="S144" i="1"/>
  <c r="T144" i="1"/>
  <c r="U144" i="1"/>
  <c r="V144" i="1"/>
  <c r="W144" i="1"/>
  <c r="R145" i="1"/>
  <c r="S145" i="1"/>
  <c r="T145" i="1"/>
  <c r="U145" i="1"/>
  <c r="V145" i="1"/>
  <c r="W145" i="1"/>
  <c r="R146" i="1"/>
  <c r="S146" i="1"/>
  <c r="T146" i="1"/>
  <c r="U146" i="1"/>
  <c r="V146" i="1"/>
  <c r="W146" i="1"/>
  <c r="R147" i="1"/>
  <c r="S147" i="1"/>
  <c r="T147" i="1"/>
  <c r="U147" i="1"/>
  <c r="V147" i="1"/>
  <c r="W147" i="1"/>
  <c r="R148" i="1"/>
  <c r="S148" i="1"/>
  <c r="T148" i="1"/>
  <c r="U148" i="1"/>
  <c r="V148" i="1"/>
  <c r="W148" i="1"/>
  <c r="R149" i="1"/>
  <c r="S149" i="1"/>
  <c r="T149" i="1"/>
  <c r="U149" i="1"/>
  <c r="V149" i="1"/>
  <c r="W149" i="1"/>
  <c r="R150" i="1"/>
  <c r="S150" i="1"/>
  <c r="T150" i="1"/>
  <c r="U150" i="1"/>
  <c r="V150" i="1"/>
  <c r="W150" i="1"/>
  <c r="R151" i="1"/>
  <c r="S151" i="1"/>
  <c r="T151" i="1"/>
  <c r="U151" i="1"/>
  <c r="V151" i="1"/>
  <c r="W151" i="1"/>
  <c r="R152" i="1"/>
  <c r="S152" i="1"/>
  <c r="T152" i="1"/>
  <c r="U152" i="1"/>
  <c r="V152" i="1"/>
  <c r="W152" i="1"/>
  <c r="R153" i="1"/>
  <c r="S153" i="1"/>
  <c r="T153" i="1"/>
  <c r="U153" i="1"/>
  <c r="V153" i="1"/>
  <c r="W153" i="1"/>
  <c r="R154" i="1"/>
  <c r="S154" i="1"/>
  <c r="T154" i="1"/>
  <c r="U154" i="1"/>
  <c r="V154" i="1"/>
  <c r="W154" i="1"/>
  <c r="R155" i="1"/>
  <c r="S155" i="1"/>
  <c r="T155" i="1"/>
  <c r="U155" i="1"/>
  <c r="V155" i="1"/>
  <c r="W155" i="1"/>
  <c r="R156" i="1"/>
  <c r="S156" i="1"/>
  <c r="T156" i="1"/>
  <c r="U156" i="1"/>
  <c r="V156" i="1"/>
  <c r="W156" i="1"/>
  <c r="R157" i="1"/>
  <c r="S157" i="1"/>
  <c r="T157" i="1"/>
  <c r="U157" i="1"/>
  <c r="V157" i="1"/>
  <c r="W157" i="1"/>
  <c r="R158" i="1"/>
  <c r="S158" i="1"/>
  <c r="T158" i="1"/>
  <c r="U158" i="1"/>
  <c r="V158" i="1"/>
  <c r="W158" i="1"/>
  <c r="R159" i="1"/>
  <c r="S159" i="1"/>
  <c r="T159" i="1"/>
  <c r="U159" i="1"/>
  <c r="V159" i="1"/>
  <c r="W159" i="1"/>
  <c r="R160" i="1"/>
  <c r="S160" i="1"/>
  <c r="T160" i="1"/>
  <c r="U160" i="1"/>
  <c r="V160" i="1"/>
  <c r="W160" i="1"/>
  <c r="R161" i="1"/>
  <c r="S161" i="1"/>
  <c r="T161" i="1"/>
  <c r="U161" i="1"/>
  <c r="V161" i="1"/>
  <c r="W161" i="1"/>
  <c r="R162" i="1"/>
  <c r="S162" i="1"/>
  <c r="T162" i="1"/>
  <c r="U162" i="1"/>
  <c r="V162" i="1"/>
  <c r="W162" i="1"/>
  <c r="R163" i="1"/>
  <c r="S163" i="1"/>
  <c r="T163" i="1"/>
  <c r="U163" i="1"/>
  <c r="V163" i="1"/>
  <c r="W163" i="1"/>
  <c r="R164" i="1"/>
  <c r="S164" i="1"/>
  <c r="T164" i="1"/>
  <c r="U164" i="1"/>
  <c r="V164" i="1"/>
  <c r="W164" i="1"/>
  <c r="R165" i="1"/>
  <c r="S165" i="1"/>
  <c r="T165" i="1"/>
  <c r="U165" i="1"/>
  <c r="V165" i="1"/>
  <c r="W165" i="1"/>
  <c r="R166" i="1"/>
  <c r="S166" i="1"/>
  <c r="T166" i="1"/>
  <c r="U166" i="1"/>
  <c r="V166" i="1"/>
  <c r="W166" i="1"/>
  <c r="R167" i="1"/>
  <c r="S167" i="1"/>
  <c r="T167" i="1"/>
  <c r="U167" i="1"/>
  <c r="V167" i="1"/>
  <c r="W167" i="1"/>
  <c r="R168" i="1"/>
  <c r="S168" i="1"/>
  <c r="T168" i="1"/>
  <c r="U168" i="1"/>
  <c r="V168" i="1"/>
  <c r="W168" i="1"/>
  <c r="R169" i="1"/>
  <c r="S169" i="1"/>
  <c r="T169" i="1"/>
  <c r="U169" i="1"/>
  <c r="V169" i="1"/>
  <c r="W169" i="1"/>
  <c r="R170" i="1"/>
  <c r="S170" i="1"/>
  <c r="T170" i="1"/>
  <c r="U170" i="1"/>
  <c r="V170" i="1"/>
  <c r="W170" i="1"/>
  <c r="R171" i="1"/>
  <c r="S171" i="1"/>
  <c r="T171" i="1"/>
  <c r="U171" i="1"/>
  <c r="V171" i="1"/>
  <c r="W171" i="1"/>
  <c r="R172" i="1"/>
  <c r="S172" i="1"/>
  <c r="T172" i="1"/>
  <c r="U172" i="1"/>
  <c r="V172" i="1"/>
  <c r="W172" i="1"/>
  <c r="R173" i="1"/>
  <c r="S173" i="1"/>
  <c r="T173" i="1"/>
  <c r="U173" i="1"/>
  <c r="V173" i="1"/>
  <c r="W173" i="1"/>
  <c r="R174" i="1"/>
  <c r="S174" i="1"/>
  <c r="T174" i="1"/>
  <c r="U174" i="1"/>
  <c r="V174" i="1"/>
  <c r="W174" i="1"/>
  <c r="R175" i="1"/>
  <c r="S175" i="1"/>
  <c r="T175" i="1"/>
  <c r="U175" i="1"/>
  <c r="V175" i="1"/>
  <c r="W175" i="1"/>
  <c r="R176" i="1"/>
  <c r="S176" i="1"/>
  <c r="T176" i="1"/>
  <c r="U176" i="1"/>
  <c r="V176" i="1"/>
  <c r="W176" i="1"/>
  <c r="R177" i="1"/>
  <c r="S177" i="1"/>
  <c r="T177" i="1"/>
  <c r="U177" i="1"/>
  <c r="V177" i="1"/>
  <c r="W177" i="1"/>
  <c r="R178" i="1"/>
  <c r="S178" i="1"/>
  <c r="T178" i="1"/>
  <c r="U178" i="1"/>
  <c r="V178" i="1"/>
  <c r="W178" i="1"/>
  <c r="R179" i="1"/>
  <c r="S179" i="1"/>
  <c r="T179" i="1"/>
  <c r="U179" i="1"/>
  <c r="V179" i="1"/>
  <c r="W179" i="1"/>
  <c r="R180" i="1"/>
  <c r="S180" i="1"/>
  <c r="T180" i="1"/>
  <c r="U180" i="1"/>
  <c r="V180" i="1"/>
  <c r="W180" i="1"/>
  <c r="R181" i="1"/>
  <c r="S181" i="1"/>
  <c r="T181" i="1"/>
  <c r="U181" i="1"/>
  <c r="V181" i="1"/>
  <c r="W181" i="1"/>
  <c r="R182" i="1"/>
  <c r="S182" i="1"/>
  <c r="T182" i="1"/>
  <c r="U182" i="1"/>
  <c r="V182" i="1"/>
  <c r="W182" i="1"/>
  <c r="R183" i="1"/>
  <c r="S183" i="1"/>
  <c r="T183" i="1"/>
  <c r="U183" i="1"/>
  <c r="V183" i="1"/>
  <c r="W183" i="1"/>
  <c r="R184" i="1"/>
  <c r="S184" i="1"/>
  <c r="T184" i="1"/>
  <c r="U184" i="1"/>
  <c r="V184" i="1"/>
  <c r="W184" i="1"/>
  <c r="R185" i="1"/>
  <c r="S185" i="1"/>
  <c r="T185" i="1"/>
  <c r="U185" i="1"/>
  <c r="V185" i="1"/>
  <c r="W185" i="1"/>
  <c r="R186" i="1"/>
  <c r="S186" i="1"/>
  <c r="T186" i="1"/>
  <c r="U186" i="1"/>
  <c r="V186" i="1"/>
  <c r="W186" i="1"/>
  <c r="R187" i="1"/>
  <c r="S187" i="1"/>
  <c r="T187" i="1"/>
  <c r="U187" i="1"/>
  <c r="V187" i="1"/>
  <c r="W187" i="1"/>
  <c r="R188" i="1"/>
  <c r="S188" i="1"/>
  <c r="T188" i="1"/>
  <c r="U188" i="1"/>
  <c r="V188" i="1"/>
  <c r="W188" i="1"/>
  <c r="R189" i="1"/>
  <c r="S189" i="1"/>
  <c r="T189" i="1"/>
  <c r="U189" i="1"/>
  <c r="V189" i="1"/>
  <c r="W189" i="1"/>
  <c r="R190" i="1"/>
  <c r="S190" i="1"/>
  <c r="T190" i="1"/>
  <c r="U190" i="1"/>
  <c r="V190" i="1"/>
  <c r="W190" i="1"/>
  <c r="R191" i="1"/>
  <c r="S191" i="1"/>
  <c r="T191" i="1"/>
  <c r="U191" i="1"/>
  <c r="V191" i="1"/>
  <c r="W191" i="1"/>
  <c r="R192" i="1"/>
  <c r="S192" i="1"/>
  <c r="T192" i="1"/>
  <c r="U192" i="1"/>
  <c r="V192" i="1"/>
  <c r="W192" i="1"/>
  <c r="R193" i="1"/>
  <c r="S193" i="1"/>
  <c r="T193" i="1"/>
  <c r="U193" i="1"/>
  <c r="V193" i="1"/>
  <c r="W193" i="1"/>
  <c r="R194" i="1"/>
  <c r="S194" i="1"/>
  <c r="T194" i="1"/>
  <c r="U194" i="1"/>
  <c r="V194" i="1"/>
  <c r="W194" i="1"/>
  <c r="R195" i="1"/>
  <c r="S195" i="1"/>
  <c r="T195" i="1"/>
  <c r="U195" i="1"/>
  <c r="V195" i="1"/>
  <c r="W195" i="1"/>
  <c r="R196" i="1"/>
  <c r="S196" i="1"/>
  <c r="T196" i="1"/>
  <c r="U196" i="1"/>
  <c r="V196" i="1"/>
  <c r="W196" i="1"/>
  <c r="R197" i="1"/>
  <c r="S197" i="1"/>
  <c r="T197" i="1"/>
  <c r="U197" i="1"/>
  <c r="V197" i="1"/>
  <c r="W197" i="1"/>
  <c r="R198" i="1"/>
  <c r="S198" i="1"/>
  <c r="T198" i="1"/>
  <c r="U198" i="1"/>
  <c r="V198" i="1"/>
  <c r="W198" i="1"/>
  <c r="R199" i="1"/>
  <c r="S199" i="1"/>
  <c r="T199" i="1"/>
  <c r="U199" i="1"/>
  <c r="V199" i="1"/>
  <c r="W199" i="1"/>
  <c r="R200" i="1"/>
  <c r="S200" i="1"/>
  <c r="T200" i="1"/>
  <c r="U200" i="1"/>
  <c r="V200" i="1"/>
  <c r="W200" i="1"/>
  <c r="R201" i="1"/>
  <c r="S201" i="1"/>
  <c r="T201" i="1"/>
  <c r="U201" i="1"/>
  <c r="V201" i="1"/>
  <c r="W201" i="1"/>
  <c r="R202" i="1"/>
  <c r="S202" i="1"/>
  <c r="T202" i="1"/>
  <c r="U202" i="1"/>
  <c r="V202" i="1"/>
  <c r="W202" i="1"/>
  <c r="R203" i="1"/>
  <c r="S203" i="1"/>
  <c r="T203" i="1"/>
  <c r="U203" i="1"/>
  <c r="V203" i="1"/>
  <c r="W203" i="1"/>
  <c r="R204" i="1"/>
  <c r="S204" i="1"/>
  <c r="T204" i="1"/>
  <c r="U204" i="1"/>
  <c r="V204" i="1"/>
  <c r="W204" i="1"/>
  <c r="R205" i="1"/>
  <c r="S205" i="1"/>
  <c r="T205" i="1"/>
  <c r="U205" i="1"/>
  <c r="V205" i="1"/>
  <c r="W205" i="1"/>
  <c r="R206" i="1"/>
  <c r="S206" i="1"/>
  <c r="T206" i="1"/>
  <c r="U206" i="1"/>
  <c r="V206" i="1"/>
  <c r="W206" i="1"/>
  <c r="R207" i="1"/>
  <c r="S207" i="1"/>
  <c r="T207" i="1"/>
  <c r="U207" i="1"/>
  <c r="V207" i="1"/>
  <c r="W207" i="1"/>
  <c r="R208" i="1"/>
  <c r="S208" i="1"/>
  <c r="T208" i="1"/>
  <c r="U208" i="1"/>
  <c r="V208" i="1"/>
  <c r="W208" i="1"/>
  <c r="R209" i="1"/>
  <c r="S209" i="1"/>
  <c r="T209" i="1"/>
  <c r="U209" i="1"/>
  <c r="V209" i="1"/>
  <c r="W209" i="1"/>
  <c r="R210" i="1"/>
  <c r="S210" i="1"/>
  <c r="T210" i="1"/>
  <c r="U210" i="1"/>
  <c r="V210" i="1"/>
  <c r="W210" i="1"/>
  <c r="R211" i="1"/>
  <c r="S211" i="1"/>
  <c r="T211" i="1"/>
  <c r="U211" i="1"/>
  <c r="V211" i="1"/>
  <c r="W211" i="1"/>
  <c r="R212" i="1"/>
  <c r="S212" i="1"/>
  <c r="T212" i="1"/>
  <c r="U212" i="1"/>
  <c r="V212" i="1"/>
  <c r="W212" i="1"/>
  <c r="R213" i="1"/>
  <c r="S213" i="1"/>
  <c r="T213" i="1"/>
  <c r="U213" i="1"/>
  <c r="V213" i="1"/>
  <c r="W213" i="1"/>
  <c r="R214" i="1"/>
  <c r="S214" i="1"/>
  <c r="T214" i="1"/>
  <c r="U214" i="1"/>
  <c r="V214" i="1"/>
  <c r="W214" i="1"/>
  <c r="R215" i="1"/>
  <c r="S215" i="1"/>
  <c r="T215" i="1"/>
  <c r="U215" i="1"/>
  <c r="V215" i="1"/>
  <c r="W215" i="1"/>
  <c r="R216" i="1"/>
  <c r="S216" i="1"/>
  <c r="T216" i="1"/>
  <c r="U216" i="1"/>
  <c r="V216" i="1"/>
  <c r="W216" i="1"/>
  <c r="R217" i="1"/>
  <c r="S217" i="1"/>
  <c r="T217" i="1"/>
  <c r="U217" i="1"/>
  <c r="V217" i="1"/>
  <c r="W217" i="1"/>
  <c r="R218" i="1"/>
  <c r="S218" i="1"/>
  <c r="T218" i="1"/>
  <c r="U218" i="1"/>
  <c r="V218" i="1"/>
  <c r="W218" i="1"/>
  <c r="R219" i="1"/>
  <c r="S219" i="1"/>
  <c r="T219" i="1"/>
  <c r="U219" i="1"/>
  <c r="V219" i="1"/>
  <c r="W219" i="1"/>
  <c r="R220" i="1"/>
  <c r="S220" i="1"/>
  <c r="T220" i="1"/>
  <c r="U220" i="1"/>
  <c r="V220" i="1"/>
  <c r="W220" i="1"/>
  <c r="R221" i="1"/>
  <c r="S221" i="1"/>
  <c r="T221" i="1"/>
  <c r="U221" i="1"/>
  <c r="V221" i="1"/>
  <c r="W221" i="1"/>
  <c r="R222" i="1"/>
  <c r="S222" i="1"/>
  <c r="T222" i="1"/>
  <c r="U222" i="1"/>
  <c r="V222" i="1"/>
  <c r="W222" i="1"/>
  <c r="R223" i="1"/>
  <c r="S223" i="1"/>
  <c r="T223" i="1"/>
  <c r="U223" i="1"/>
  <c r="V223" i="1"/>
  <c r="W223" i="1"/>
  <c r="R224" i="1"/>
  <c r="S224" i="1"/>
  <c r="T224" i="1"/>
  <c r="U224" i="1"/>
  <c r="V224" i="1"/>
  <c r="W224" i="1"/>
  <c r="R225" i="1"/>
  <c r="S225" i="1"/>
  <c r="T225" i="1"/>
  <c r="U225" i="1"/>
  <c r="V225" i="1"/>
  <c r="W225" i="1"/>
  <c r="R226" i="1"/>
  <c r="S226" i="1"/>
  <c r="T226" i="1"/>
  <c r="U226" i="1"/>
  <c r="V226" i="1"/>
  <c r="W226" i="1"/>
  <c r="R227" i="1"/>
  <c r="S227" i="1"/>
  <c r="T227" i="1"/>
  <c r="U227" i="1"/>
  <c r="V227" i="1"/>
  <c r="W227" i="1"/>
  <c r="R228" i="1"/>
  <c r="S228" i="1"/>
  <c r="T228" i="1"/>
  <c r="U228" i="1"/>
  <c r="V228" i="1"/>
  <c r="W228" i="1"/>
  <c r="R229" i="1"/>
  <c r="S229" i="1"/>
  <c r="T229" i="1"/>
  <c r="U229" i="1"/>
  <c r="V229" i="1"/>
  <c r="W229" i="1"/>
  <c r="R230" i="1"/>
  <c r="S230" i="1"/>
  <c r="T230" i="1"/>
  <c r="U230" i="1"/>
  <c r="V230" i="1"/>
  <c r="W230" i="1"/>
  <c r="R231" i="1"/>
  <c r="S231" i="1"/>
  <c r="T231" i="1"/>
  <c r="U231" i="1"/>
  <c r="V231" i="1"/>
  <c r="W231" i="1"/>
  <c r="R232" i="1"/>
  <c r="S232" i="1"/>
  <c r="T232" i="1"/>
  <c r="U232" i="1"/>
  <c r="V232" i="1"/>
  <c r="W232" i="1"/>
  <c r="R233" i="1"/>
  <c r="S233" i="1"/>
  <c r="T233" i="1"/>
  <c r="U233" i="1"/>
  <c r="V233" i="1"/>
  <c r="W233" i="1"/>
  <c r="R234" i="1"/>
  <c r="S234" i="1"/>
  <c r="T234" i="1"/>
  <c r="U234" i="1"/>
  <c r="V234" i="1"/>
  <c r="W234" i="1"/>
  <c r="R235" i="1"/>
  <c r="S235" i="1"/>
  <c r="T235" i="1"/>
  <c r="U235" i="1"/>
  <c r="V235" i="1"/>
  <c r="W235" i="1"/>
  <c r="R236" i="1"/>
  <c r="S236" i="1"/>
  <c r="T236" i="1"/>
  <c r="U236" i="1"/>
  <c r="V236" i="1"/>
  <c r="W236" i="1"/>
  <c r="R237" i="1"/>
  <c r="S237" i="1"/>
  <c r="T237" i="1"/>
  <c r="U237" i="1"/>
  <c r="V237" i="1"/>
  <c r="W237" i="1"/>
  <c r="R238" i="1"/>
  <c r="S238" i="1"/>
  <c r="T238" i="1"/>
  <c r="U238" i="1"/>
  <c r="V238" i="1"/>
  <c r="W238" i="1"/>
  <c r="R239" i="1"/>
  <c r="S239" i="1"/>
  <c r="T239" i="1"/>
  <c r="U239" i="1"/>
  <c r="V239" i="1"/>
  <c r="W239" i="1"/>
  <c r="R240" i="1"/>
  <c r="S240" i="1"/>
  <c r="T240" i="1"/>
  <c r="U240" i="1"/>
  <c r="V240" i="1"/>
  <c r="W240" i="1"/>
  <c r="R241" i="1"/>
  <c r="S241" i="1"/>
  <c r="T241" i="1"/>
  <c r="U241" i="1"/>
  <c r="V241" i="1"/>
  <c r="W241" i="1"/>
  <c r="R242" i="1"/>
  <c r="S242" i="1"/>
  <c r="T242" i="1"/>
  <c r="U242" i="1"/>
  <c r="V242" i="1"/>
  <c r="W242" i="1"/>
  <c r="R243" i="1"/>
  <c r="S243" i="1"/>
  <c r="T243" i="1"/>
  <c r="U243" i="1"/>
  <c r="V243" i="1"/>
  <c r="W243" i="1"/>
  <c r="R244" i="1"/>
  <c r="S244" i="1"/>
  <c r="T244" i="1"/>
  <c r="U244" i="1"/>
  <c r="V244" i="1"/>
  <c r="W244" i="1"/>
  <c r="R245" i="1"/>
  <c r="S245" i="1"/>
  <c r="T245" i="1"/>
  <c r="U245" i="1"/>
  <c r="V245" i="1"/>
  <c r="W245" i="1"/>
  <c r="R246" i="1"/>
  <c r="S246" i="1"/>
  <c r="T246" i="1"/>
  <c r="U246" i="1"/>
  <c r="V246" i="1"/>
  <c r="W246" i="1"/>
  <c r="R247" i="1"/>
  <c r="S247" i="1"/>
  <c r="T247" i="1"/>
  <c r="U247" i="1"/>
  <c r="V247" i="1"/>
  <c r="W247" i="1"/>
  <c r="R248" i="1"/>
  <c r="S248" i="1"/>
  <c r="T248" i="1"/>
  <c r="U248" i="1"/>
  <c r="V248" i="1"/>
  <c r="W248" i="1"/>
  <c r="R249" i="1"/>
  <c r="S249" i="1"/>
  <c r="T249" i="1"/>
  <c r="U249" i="1"/>
  <c r="V249" i="1"/>
  <c r="W249" i="1"/>
  <c r="R250" i="1"/>
  <c r="S250" i="1"/>
  <c r="T250" i="1"/>
  <c r="U250" i="1"/>
  <c r="V250" i="1"/>
  <c r="W250" i="1"/>
  <c r="R251" i="1"/>
  <c r="S251" i="1"/>
  <c r="T251" i="1"/>
  <c r="U251" i="1"/>
  <c r="V251" i="1"/>
  <c r="W251" i="1"/>
  <c r="R252" i="1"/>
  <c r="S252" i="1"/>
  <c r="T252" i="1"/>
  <c r="U252" i="1"/>
  <c r="V252" i="1"/>
  <c r="W252" i="1"/>
  <c r="R253" i="1"/>
  <c r="S253" i="1"/>
  <c r="T253" i="1"/>
  <c r="U253" i="1"/>
  <c r="V253" i="1"/>
  <c r="W253" i="1"/>
  <c r="R254" i="1"/>
  <c r="S254" i="1"/>
  <c r="T254" i="1"/>
  <c r="U254" i="1"/>
  <c r="V254" i="1"/>
  <c r="W254" i="1"/>
  <c r="R255" i="1"/>
  <c r="S255" i="1"/>
  <c r="T255" i="1"/>
  <c r="U255" i="1"/>
  <c r="V255" i="1"/>
  <c r="W255" i="1"/>
  <c r="R256" i="1"/>
  <c r="S256" i="1"/>
  <c r="T256" i="1"/>
  <c r="U256" i="1"/>
  <c r="V256" i="1"/>
  <c r="W256" i="1"/>
  <c r="R257" i="1"/>
  <c r="S257" i="1"/>
  <c r="T257" i="1"/>
  <c r="U257" i="1"/>
  <c r="V257" i="1"/>
  <c r="W257" i="1"/>
  <c r="R258" i="1"/>
  <c r="S258" i="1"/>
  <c r="T258" i="1"/>
  <c r="U258" i="1"/>
  <c r="V258" i="1"/>
  <c r="W258" i="1"/>
  <c r="R259" i="1"/>
  <c r="S259" i="1"/>
  <c r="T259" i="1"/>
  <c r="U259" i="1"/>
  <c r="V259" i="1"/>
  <c r="W259" i="1"/>
  <c r="R260" i="1"/>
  <c r="S260" i="1"/>
  <c r="T260" i="1"/>
  <c r="U260" i="1"/>
  <c r="V260" i="1"/>
  <c r="W260" i="1"/>
  <c r="R261" i="1"/>
  <c r="S261" i="1"/>
  <c r="T261" i="1"/>
  <c r="U261" i="1"/>
  <c r="V261" i="1"/>
  <c r="W261" i="1"/>
  <c r="R262" i="1"/>
  <c r="S262" i="1"/>
  <c r="T262" i="1"/>
  <c r="U262" i="1"/>
  <c r="V262" i="1"/>
  <c r="W262" i="1"/>
  <c r="R263" i="1"/>
  <c r="S263" i="1"/>
  <c r="T263" i="1"/>
  <c r="U263" i="1"/>
  <c r="V263" i="1"/>
  <c r="W263" i="1"/>
  <c r="R264" i="1"/>
  <c r="S264" i="1"/>
  <c r="T264" i="1"/>
  <c r="U264" i="1"/>
  <c r="V264" i="1"/>
  <c r="W264" i="1"/>
  <c r="R265" i="1"/>
  <c r="S265" i="1"/>
  <c r="T265" i="1"/>
  <c r="U265" i="1"/>
  <c r="V265" i="1"/>
  <c r="W265" i="1"/>
  <c r="R266" i="1"/>
  <c r="S266" i="1"/>
  <c r="T266" i="1"/>
  <c r="U266" i="1"/>
  <c r="V266" i="1"/>
  <c r="W266" i="1"/>
  <c r="R267" i="1"/>
  <c r="S267" i="1"/>
  <c r="T267" i="1"/>
  <c r="U267" i="1"/>
  <c r="V267" i="1"/>
  <c r="W267" i="1"/>
  <c r="R268" i="1"/>
  <c r="S268" i="1"/>
  <c r="T268" i="1"/>
  <c r="U268" i="1"/>
  <c r="V268" i="1"/>
  <c r="W268" i="1"/>
  <c r="R269" i="1"/>
  <c r="S269" i="1"/>
  <c r="T269" i="1"/>
  <c r="U269" i="1"/>
  <c r="V269" i="1"/>
  <c r="W269" i="1"/>
  <c r="R270" i="1"/>
  <c r="S270" i="1"/>
  <c r="T270" i="1"/>
  <c r="U270" i="1"/>
  <c r="V270" i="1"/>
  <c r="W270" i="1"/>
  <c r="R271" i="1"/>
  <c r="S271" i="1"/>
  <c r="T271" i="1"/>
  <c r="U271" i="1"/>
  <c r="V271" i="1"/>
  <c r="W271" i="1"/>
  <c r="R272" i="1"/>
  <c r="S272" i="1"/>
  <c r="T272" i="1"/>
  <c r="U272" i="1"/>
  <c r="V272" i="1"/>
  <c r="W272" i="1"/>
  <c r="R273" i="1"/>
  <c r="S273" i="1"/>
  <c r="T273" i="1"/>
  <c r="U273" i="1"/>
  <c r="V273" i="1"/>
  <c r="W273" i="1"/>
  <c r="R274" i="1"/>
  <c r="S274" i="1"/>
  <c r="T274" i="1"/>
  <c r="U274" i="1"/>
  <c r="V274" i="1"/>
  <c r="W274" i="1"/>
  <c r="R275" i="1"/>
  <c r="S275" i="1"/>
  <c r="T275" i="1"/>
  <c r="U275" i="1"/>
  <c r="V275" i="1"/>
  <c r="W275" i="1"/>
  <c r="R276" i="1"/>
  <c r="S276" i="1"/>
  <c r="T276" i="1"/>
  <c r="U276" i="1"/>
  <c r="V276" i="1"/>
  <c r="W276" i="1"/>
  <c r="R277" i="1"/>
  <c r="S277" i="1"/>
  <c r="T277" i="1"/>
  <c r="U277" i="1"/>
  <c r="V277" i="1"/>
  <c r="W277" i="1"/>
  <c r="R278" i="1"/>
  <c r="S278" i="1"/>
  <c r="T278" i="1"/>
  <c r="U278" i="1"/>
  <c r="V278" i="1"/>
  <c r="W278" i="1"/>
  <c r="R279" i="1"/>
  <c r="S279" i="1"/>
  <c r="T279" i="1"/>
  <c r="U279" i="1"/>
  <c r="V279" i="1"/>
  <c r="W279" i="1"/>
  <c r="R280" i="1"/>
  <c r="S280" i="1"/>
  <c r="T280" i="1"/>
  <c r="U280" i="1"/>
  <c r="V280" i="1"/>
  <c r="W280" i="1"/>
  <c r="R281" i="1"/>
  <c r="S281" i="1"/>
  <c r="T281" i="1"/>
  <c r="U281" i="1"/>
  <c r="V281" i="1"/>
  <c r="W281" i="1"/>
  <c r="R282" i="1"/>
  <c r="S282" i="1"/>
  <c r="T282" i="1"/>
  <c r="U282" i="1"/>
  <c r="V282" i="1"/>
  <c r="W282" i="1"/>
  <c r="R283" i="1"/>
  <c r="S283" i="1"/>
  <c r="T283" i="1"/>
  <c r="U283" i="1"/>
  <c r="V283" i="1"/>
  <c r="W283" i="1"/>
  <c r="R284" i="1"/>
  <c r="S284" i="1"/>
  <c r="T284" i="1"/>
  <c r="U284" i="1"/>
  <c r="V284" i="1"/>
  <c r="W284" i="1"/>
  <c r="R285" i="1"/>
  <c r="S285" i="1"/>
  <c r="T285" i="1"/>
  <c r="U285" i="1"/>
  <c r="V285" i="1"/>
  <c r="W285" i="1"/>
  <c r="R286" i="1"/>
  <c r="S286" i="1"/>
  <c r="T286" i="1"/>
  <c r="U286" i="1"/>
  <c r="V286" i="1"/>
  <c r="W286" i="1"/>
  <c r="R287" i="1"/>
  <c r="S287" i="1"/>
  <c r="T287" i="1"/>
  <c r="U287" i="1"/>
  <c r="V287" i="1"/>
  <c r="W287" i="1"/>
  <c r="R288" i="1"/>
  <c r="S288" i="1"/>
  <c r="T288" i="1"/>
  <c r="U288" i="1"/>
  <c r="V288" i="1"/>
  <c r="W288" i="1"/>
  <c r="R289" i="1"/>
  <c r="S289" i="1"/>
  <c r="T289" i="1"/>
  <c r="U289" i="1"/>
  <c r="V289" i="1"/>
  <c r="W289" i="1"/>
  <c r="R290" i="1"/>
  <c r="S290" i="1"/>
  <c r="T290" i="1"/>
  <c r="U290" i="1"/>
  <c r="V290" i="1"/>
  <c r="W290" i="1"/>
  <c r="R291" i="1"/>
  <c r="S291" i="1"/>
  <c r="T291" i="1"/>
  <c r="U291" i="1"/>
  <c r="V291" i="1"/>
  <c r="W291" i="1"/>
  <c r="R292" i="1"/>
  <c r="S292" i="1"/>
  <c r="T292" i="1"/>
  <c r="U292" i="1"/>
  <c r="V292" i="1"/>
  <c r="W292" i="1"/>
  <c r="R293" i="1"/>
  <c r="S293" i="1"/>
  <c r="T293" i="1"/>
  <c r="U293" i="1"/>
  <c r="V293" i="1"/>
  <c r="W293" i="1"/>
  <c r="R294" i="1"/>
  <c r="S294" i="1"/>
  <c r="T294" i="1"/>
  <c r="U294" i="1"/>
  <c r="V294" i="1"/>
  <c r="W294" i="1"/>
  <c r="R295" i="1"/>
  <c r="S295" i="1"/>
  <c r="T295" i="1"/>
  <c r="U295" i="1"/>
  <c r="V295" i="1"/>
  <c r="W295" i="1"/>
  <c r="R296" i="1"/>
  <c r="S296" i="1"/>
  <c r="T296" i="1"/>
  <c r="U296" i="1"/>
  <c r="V296" i="1"/>
  <c r="W296" i="1"/>
  <c r="R297" i="1"/>
  <c r="S297" i="1"/>
  <c r="T297" i="1"/>
  <c r="U297" i="1"/>
  <c r="V297" i="1"/>
  <c r="W297" i="1"/>
  <c r="R298" i="1"/>
  <c r="S298" i="1"/>
  <c r="T298" i="1"/>
  <c r="U298" i="1"/>
  <c r="V298" i="1"/>
  <c r="W298" i="1"/>
  <c r="R299" i="1"/>
  <c r="S299" i="1"/>
  <c r="T299" i="1"/>
  <c r="U299" i="1"/>
  <c r="V299" i="1"/>
  <c r="W299" i="1"/>
  <c r="R300" i="1"/>
  <c r="S300" i="1"/>
  <c r="T300" i="1"/>
  <c r="U300" i="1"/>
  <c r="V300" i="1"/>
  <c r="W300" i="1"/>
  <c r="R301" i="1"/>
  <c r="S301" i="1"/>
  <c r="T301" i="1"/>
  <c r="U301" i="1"/>
  <c r="V301" i="1"/>
  <c r="W301" i="1"/>
  <c r="R302" i="1"/>
  <c r="S302" i="1"/>
  <c r="T302" i="1"/>
  <c r="U302" i="1"/>
  <c r="V302" i="1"/>
  <c r="W302" i="1"/>
  <c r="R303" i="1"/>
  <c r="S303" i="1"/>
  <c r="T303" i="1"/>
  <c r="U303" i="1"/>
  <c r="V303" i="1"/>
  <c r="W303" i="1"/>
  <c r="R304" i="1"/>
  <c r="S304" i="1"/>
  <c r="T304" i="1"/>
  <c r="U304" i="1"/>
  <c r="V304" i="1"/>
  <c r="W304" i="1"/>
  <c r="R305" i="1"/>
  <c r="S305" i="1"/>
  <c r="T305" i="1"/>
  <c r="U305" i="1"/>
  <c r="V305" i="1"/>
  <c r="W305" i="1"/>
  <c r="R306" i="1"/>
  <c r="S306" i="1"/>
  <c r="T306" i="1"/>
  <c r="U306" i="1"/>
  <c r="V306" i="1"/>
  <c r="W306" i="1"/>
  <c r="R307" i="1"/>
  <c r="S307" i="1"/>
  <c r="T307" i="1"/>
  <c r="U307" i="1"/>
  <c r="V307" i="1"/>
  <c r="W307" i="1"/>
  <c r="R308" i="1"/>
  <c r="S308" i="1"/>
  <c r="T308" i="1"/>
  <c r="U308" i="1"/>
  <c r="V308" i="1"/>
  <c r="W308" i="1"/>
  <c r="R309" i="1"/>
  <c r="S309" i="1"/>
  <c r="T309" i="1"/>
  <c r="U309" i="1"/>
  <c r="V309" i="1"/>
  <c r="W309" i="1"/>
  <c r="R310" i="1"/>
  <c r="S310" i="1"/>
  <c r="T310" i="1"/>
  <c r="U310" i="1"/>
  <c r="V310" i="1"/>
  <c r="W310" i="1"/>
  <c r="R311" i="1"/>
  <c r="S311" i="1"/>
  <c r="T311" i="1"/>
  <c r="U311" i="1"/>
  <c r="V311" i="1"/>
  <c r="W311" i="1"/>
  <c r="R312" i="1"/>
  <c r="S312" i="1"/>
  <c r="T312" i="1"/>
  <c r="U312" i="1"/>
  <c r="V312" i="1"/>
  <c r="W312" i="1"/>
  <c r="R313" i="1"/>
  <c r="S313" i="1"/>
  <c r="T313" i="1"/>
  <c r="U313" i="1"/>
  <c r="V313" i="1"/>
  <c r="W313" i="1"/>
  <c r="R314" i="1"/>
  <c r="S314" i="1"/>
  <c r="T314" i="1"/>
  <c r="U314" i="1"/>
  <c r="V314" i="1"/>
  <c r="W314" i="1"/>
  <c r="R315" i="1"/>
  <c r="S315" i="1"/>
  <c r="T315" i="1"/>
  <c r="U315" i="1"/>
  <c r="V315" i="1"/>
  <c r="W315" i="1"/>
  <c r="R316" i="1"/>
  <c r="S316" i="1"/>
  <c r="T316" i="1"/>
  <c r="U316" i="1"/>
  <c r="V316" i="1"/>
  <c r="W316" i="1"/>
  <c r="R317" i="1"/>
  <c r="S317" i="1"/>
  <c r="T317" i="1"/>
  <c r="U317" i="1"/>
  <c r="V317" i="1"/>
  <c r="W317" i="1"/>
  <c r="R318" i="1"/>
  <c r="S318" i="1"/>
  <c r="T318" i="1"/>
  <c r="U318" i="1"/>
  <c r="V318" i="1"/>
  <c r="W318" i="1"/>
  <c r="R319" i="1"/>
  <c r="S319" i="1"/>
  <c r="T319" i="1"/>
  <c r="U319" i="1"/>
  <c r="V319" i="1"/>
  <c r="W319" i="1"/>
  <c r="R320" i="1"/>
  <c r="S320" i="1"/>
  <c r="T320" i="1"/>
  <c r="U320" i="1"/>
  <c r="V320" i="1"/>
  <c r="W320" i="1"/>
  <c r="R321" i="1"/>
  <c r="S321" i="1"/>
  <c r="T321" i="1"/>
  <c r="U321" i="1"/>
  <c r="V321" i="1"/>
  <c r="W321" i="1"/>
  <c r="R322" i="1"/>
  <c r="S322" i="1"/>
  <c r="T322" i="1"/>
  <c r="U322" i="1"/>
  <c r="V322" i="1"/>
  <c r="W322" i="1"/>
  <c r="R323" i="1"/>
  <c r="S323" i="1"/>
  <c r="T323" i="1"/>
  <c r="U323" i="1"/>
  <c r="V323" i="1"/>
  <c r="W323" i="1"/>
  <c r="R324" i="1"/>
  <c r="S324" i="1"/>
  <c r="T324" i="1"/>
  <c r="U324" i="1"/>
  <c r="V324" i="1"/>
  <c r="W324" i="1"/>
  <c r="R325" i="1"/>
  <c r="S325" i="1"/>
  <c r="T325" i="1"/>
  <c r="U325" i="1"/>
  <c r="V325" i="1"/>
  <c r="W325" i="1"/>
  <c r="R326" i="1"/>
  <c r="S326" i="1"/>
  <c r="T326" i="1"/>
  <c r="U326" i="1"/>
  <c r="V326" i="1"/>
  <c r="W326" i="1"/>
  <c r="R327" i="1"/>
  <c r="S327" i="1"/>
  <c r="T327" i="1"/>
  <c r="U327" i="1"/>
  <c r="V327" i="1"/>
  <c r="W327" i="1"/>
  <c r="R328" i="1"/>
  <c r="S328" i="1"/>
  <c r="T328" i="1"/>
  <c r="U328" i="1"/>
  <c r="V328" i="1"/>
  <c r="W328" i="1"/>
  <c r="R329" i="1"/>
  <c r="S329" i="1"/>
  <c r="T329" i="1"/>
  <c r="U329" i="1"/>
  <c r="V329" i="1"/>
  <c r="W329" i="1"/>
  <c r="R330" i="1"/>
  <c r="S330" i="1"/>
  <c r="T330" i="1"/>
  <c r="U330" i="1"/>
  <c r="V330" i="1"/>
  <c r="W330" i="1"/>
  <c r="R331" i="1"/>
  <c r="S331" i="1"/>
  <c r="T331" i="1"/>
  <c r="U331" i="1"/>
  <c r="V331" i="1"/>
  <c r="W331" i="1"/>
  <c r="R332" i="1"/>
  <c r="S332" i="1"/>
  <c r="T332" i="1"/>
  <c r="U332" i="1"/>
  <c r="V332" i="1"/>
  <c r="W332" i="1"/>
  <c r="R333" i="1"/>
  <c r="S333" i="1"/>
  <c r="T333" i="1"/>
  <c r="U333" i="1"/>
  <c r="V333" i="1"/>
  <c r="W333" i="1"/>
  <c r="R334" i="1"/>
  <c r="S334" i="1"/>
  <c r="T334" i="1"/>
  <c r="U334" i="1"/>
  <c r="V334" i="1"/>
  <c r="W334" i="1"/>
  <c r="R335" i="1"/>
  <c r="S335" i="1"/>
  <c r="T335" i="1"/>
  <c r="U335" i="1"/>
  <c r="V335" i="1"/>
  <c r="W335" i="1"/>
  <c r="R336" i="1"/>
  <c r="S336" i="1"/>
  <c r="T336" i="1"/>
  <c r="U336" i="1"/>
  <c r="V336" i="1"/>
  <c r="W336" i="1"/>
  <c r="R337" i="1"/>
  <c r="S337" i="1"/>
  <c r="T337" i="1"/>
  <c r="U337" i="1"/>
  <c r="V337" i="1"/>
  <c r="W337" i="1"/>
  <c r="R338" i="1"/>
  <c r="S338" i="1"/>
  <c r="T338" i="1"/>
  <c r="U338" i="1"/>
  <c r="V338" i="1"/>
  <c r="W338" i="1"/>
  <c r="R339" i="1"/>
  <c r="S339" i="1"/>
  <c r="T339" i="1"/>
  <c r="U339" i="1"/>
  <c r="V339" i="1"/>
  <c r="W339" i="1"/>
  <c r="R340" i="1"/>
  <c r="S340" i="1"/>
  <c r="T340" i="1"/>
  <c r="U340" i="1"/>
  <c r="V340" i="1"/>
  <c r="W340" i="1"/>
  <c r="R341" i="1"/>
  <c r="S341" i="1"/>
  <c r="T341" i="1"/>
  <c r="U341" i="1"/>
  <c r="V341" i="1"/>
  <c r="W341" i="1"/>
  <c r="R342" i="1"/>
  <c r="S342" i="1"/>
  <c r="T342" i="1"/>
  <c r="U342" i="1"/>
  <c r="V342" i="1"/>
  <c r="W342" i="1"/>
  <c r="R343" i="1"/>
  <c r="S343" i="1"/>
  <c r="T343" i="1"/>
  <c r="U343" i="1"/>
  <c r="V343" i="1"/>
  <c r="W343" i="1"/>
  <c r="R344" i="1"/>
  <c r="S344" i="1"/>
  <c r="T344" i="1"/>
  <c r="U344" i="1"/>
  <c r="V344" i="1"/>
  <c r="W344" i="1"/>
  <c r="R345" i="1"/>
  <c r="S345" i="1"/>
  <c r="T345" i="1"/>
  <c r="U345" i="1"/>
  <c r="V345" i="1"/>
  <c r="W345" i="1"/>
  <c r="R346" i="1"/>
  <c r="S346" i="1"/>
  <c r="T346" i="1"/>
  <c r="U346" i="1"/>
  <c r="V346" i="1"/>
  <c r="W346" i="1"/>
  <c r="R347" i="1"/>
  <c r="S347" i="1"/>
  <c r="T347" i="1"/>
  <c r="U347" i="1"/>
  <c r="V347" i="1"/>
  <c r="W347" i="1"/>
  <c r="R348" i="1"/>
  <c r="S348" i="1"/>
  <c r="T348" i="1"/>
  <c r="U348" i="1"/>
  <c r="V348" i="1"/>
  <c r="W348" i="1"/>
  <c r="R349" i="1"/>
  <c r="S349" i="1"/>
  <c r="T349" i="1"/>
  <c r="U349" i="1"/>
  <c r="V349" i="1"/>
  <c r="W349" i="1"/>
  <c r="R350" i="1"/>
  <c r="S350" i="1"/>
  <c r="T350" i="1"/>
  <c r="U350" i="1"/>
  <c r="V350" i="1"/>
  <c r="W350" i="1"/>
  <c r="R351" i="1"/>
  <c r="S351" i="1"/>
  <c r="T351" i="1"/>
  <c r="U351" i="1"/>
  <c r="V351" i="1"/>
  <c r="W351" i="1"/>
  <c r="R352" i="1"/>
  <c r="S352" i="1"/>
  <c r="T352" i="1"/>
  <c r="U352" i="1"/>
  <c r="V352" i="1"/>
  <c r="W352" i="1"/>
  <c r="R353" i="1"/>
  <c r="S353" i="1"/>
  <c r="T353" i="1"/>
  <c r="U353" i="1"/>
  <c r="V353" i="1"/>
  <c r="W353" i="1"/>
  <c r="R354" i="1"/>
  <c r="S354" i="1"/>
  <c r="T354" i="1"/>
  <c r="U354" i="1"/>
  <c r="V354" i="1"/>
  <c r="W354" i="1"/>
  <c r="R355" i="1"/>
  <c r="S355" i="1"/>
  <c r="T355" i="1"/>
  <c r="U355" i="1"/>
  <c r="V355" i="1"/>
  <c r="W355" i="1"/>
  <c r="R356" i="1"/>
  <c r="S356" i="1"/>
  <c r="T356" i="1"/>
  <c r="U356" i="1"/>
  <c r="V356" i="1"/>
  <c r="W356" i="1"/>
  <c r="R357" i="1"/>
  <c r="S357" i="1"/>
  <c r="T357" i="1"/>
  <c r="U357" i="1"/>
  <c r="V357" i="1"/>
  <c r="W357" i="1"/>
  <c r="R358" i="1"/>
  <c r="S358" i="1"/>
  <c r="T358" i="1"/>
  <c r="U358" i="1"/>
  <c r="V358" i="1"/>
  <c r="W358" i="1"/>
  <c r="R359" i="1"/>
  <c r="S359" i="1"/>
  <c r="T359" i="1"/>
  <c r="U359" i="1"/>
  <c r="V359" i="1"/>
  <c r="W359" i="1"/>
  <c r="R360" i="1"/>
  <c r="S360" i="1"/>
  <c r="T360" i="1"/>
  <c r="U360" i="1"/>
  <c r="V360" i="1"/>
  <c r="W360" i="1"/>
  <c r="R361" i="1"/>
  <c r="S361" i="1"/>
  <c r="T361" i="1"/>
  <c r="U361" i="1"/>
  <c r="V361" i="1"/>
  <c r="W361" i="1"/>
  <c r="R362" i="1"/>
  <c r="S362" i="1"/>
  <c r="T362" i="1"/>
  <c r="U362" i="1"/>
  <c r="V362" i="1"/>
  <c r="W362" i="1"/>
  <c r="R363" i="1"/>
  <c r="S363" i="1"/>
  <c r="T363" i="1"/>
  <c r="U363" i="1"/>
  <c r="V363" i="1"/>
  <c r="W363" i="1"/>
  <c r="R364" i="1"/>
  <c r="S364" i="1"/>
  <c r="T364" i="1"/>
  <c r="U364" i="1"/>
  <c r="V364" i="1"/>
  <c r="W364" i="1"/>
  <c r="R365" i="1"/>
  <c r="S365" i="1"/>
  <c r="T365" i="1"/>
  <c r="U365" i="1"/>
  <c r="V365" i="1"/>
  <c r="W365" i="1"/>
  <c r="R366" i="1"/>
  <c r="S366" i="1"/>
  <c r="T366" i="1"/>
  <c r="U366" i="1"/>
  <c r="V366" i="1"/>
  <c r="W366" i="1"/>
  <c r="R367" i="1"/>
  <c r="S367" i="1"/>
  <c r="T367" i="1"/>
  <c r="U367" i="1"/>
  <c r="V367" i="1"/>
  <c r="W367" i="1"/>
  <c r="R368" i="1"/>
  <c r="S368" i="1"/>
  <c r="T368" i="1"/>
  <c r="U368" i="1"/>
  <c r="V368" i="1"/>
  <c r="W368" i="1"/>
  <c r="R369" i="1"/>
  <c r="S369" i="1"/>
  <c r="T369" i="1"/>
  <c r="U369" i="1"/>
  <c r="V369" i="1"/>
  <c r="W369" i="1"/>
  <c r="R370" i="1"/>
  <c r="S370" i="1"/>
  <c r="T370" i="1"/>
  <c r="U370" i="1"/>
  <c r="V370" i="1"/>
  <c r="W370" i="1"/>
  <c r="R371" i="1"/>
  <c r="S371" i="1"/>
  <c r="T371" i="1"/>
  <c r="U371" i="1"/>
  <c r="V371" i="1"/>
  <c r="W371" i="1"/>
  <c r="R372" i="1"/>
  <c r="S372" i="1"/>
  <c r="T372" i="1"/>
  <c r="U372" i="1"/>
  <c r="V372" i="1"/>
  <c r="W372" i="1"/>
  <c r="R373" i="1"/>
  <c r="S373" i="1"/>
  <c r="T373" i="1"/>
  <c r="U373" i="1"/>
  <c r="V373" i="1"/>
  <c r="W373" i="1"/>
  <c r="R374" i="1"/>
  <c r="S374" i="1"/>
  <c r="T374" i="1"/>
  <c r="U374" i="1"/>
  <c r="V374" i="1"/>
  <c r="W374" i="1"/>
  <c r="R375" i="1"/>
  <c r="S375" i="1"/>
  <c r="T375" i="1"/>
  <c r="U375" i="1"/>
  <c r="V375" i="1"/>
  <c r="W375" i="1"/>
  <c r="R376" i="1"/>
  <c r="S376" i="1"/>
  <c r="T376" i="1"/>
  <c r="U376" i="1"/>
  <c r="V376" i="1"/>
  <c r="W376" i="1"/>
  <c r="R377" i="1"/>
  <c r="S377" i="1"/>
  <c r="T377" i="1"/>
  <c r="U377" i="1"/>
  <c r="V377" i="1"/>
  <c r="W377" i="1"/>
  <c r="R378" i="1"/>
  <c r="S378" i="1"/>
  <c r="T378" i="1"/>
  <c r="U378" i="1"/>
  <c r="V378" i="1"/>
  <c r="W378" i="1"/>
  <c r="R379" i="1"/>
  <c r="S379" i="1"/>
  <c r="T379" i="1"/>
  <c r="U379" i="1"/>
  <c r="V379" i="1"/>
  <c r="W379" i="1"/>
  <c r="R380" i="1"/>
  <c r="S380" i="1"/>
  <c r="T380" i="1"/>
  <c r="U380" i="1"/>
  <c r="V380" i="1"/>
  <c r="W380" i="1"/>
  <c r="R381" i="1"/>
  <c r="S381" i="1"/>
  <c r="T381" i="1"/>
  <c r="U381" i="1"/>
  <c r="V381" i="1"/>
  <c r="W381" i="1"/>
  <c r="R382" i="1"/>
  <c r="S382" i="1"/>
  <c r="T382" i="1"/>
  <c r="U382" i="1"/>
  <c r="V382" i="1"/>
  <c r="W382" i="1"/>
  <c r="R383" i="1"/>
  <c r="S383" i="1"/>
  <c r="T383" i="1"/>
  <c r="U383" i="1"/>
  <c r="V383" i="1"/>
  <c r="W383" i="1"/>
  <c r="R384" i="1"/>
  <c r="S384" i="1"/>
  <c r="T384" i="1"/>
  <c r="U384" i="1"/>
  <c r="V384" i="1"/>
  <c r="W384" i="1"/>
  <c r="R385" i="1"/>
  <c r="S385" i="1"/>
  <c r="T385" i="1"/>
  <c r="U385" i="1"/>
  <c r="V385" i="1"/>
  <c r="W385" i="1"/>
  <c r="R386" i="1"/>
  <c r="S386" i="1"/>
  <c r="T386" i="1"/>
  <c r="U386" i="1"/>
  <c r="V386" i="1"/>
  <c r="W386" i="1"/>
  <c r="R387" i="1"/>
  <c r="S387" i="1"/>
  <c r="T387" i="1"/>
  <c r="U387" i="1"/>
  <c r="V387" i="1"/>
  <c r="W387" i="1"/>
  <c r="R388" i="1"/>
  <c r="S388" i="1"/>
  <c r="T388" i="1"/>
  <c r="U388" i="1"/>
  <c r="V388" i="1"/>
  <c r="W388" i="1"/>
  <c r="R389" i="1"/>
  <c r="S389" i="1"/>
  <c r="T389" i="1"/>
  <c r="U389" i="1"/>
  <c r="V389" i="1"/>
  <c r="W389" i="1"/>
  <c r="R390" i="1"/>
  <c r="S390" i="1"/>
  <c r="T390" i="1"/>
  <c r="U390" i="1"/>
  <c r="V390" i="1"/>
  <c r="W390" i="1"/>
  <c r="R391" i="1"/>
  <c r="S391" i="1"/>
  <c r="T391" i="1"/>
  <c r="U391" i="1"/>
  <c r="V391" i="1"/>
  <c r="W391" i="1"/>
  <c r="R392" i="1"/>
  <c r="S392" i="1"/>
  <c r="T392" i="1"/>
  <c r="U392" i="1"/>
  <c r="V392" i="1"/>
  <c r="W392" i="1"/>
  <c r="R393" i="1"/>
  <c r="S393" i="1"/>
  <c r="T393" i="1"/>
  <c r="U393" i="1"/>
  <c r="V393" i="1"/>
  <c r="W393" i="1"/>
  <c r="R394" i="1"/>
  <c r="S394" i="1"/>
  <c r="T394" i="1"/>
  <c r="U394" i="1"/>
  <c r="V394" i="1"/>
  <c r="W394" i="1"/>
  <c r="R395" i="1"/>
  <c r="S395" i="1"/>
  <c r="T395" i="1"/>
  <c r="U395" i="1"/>
  <c r="V395" i="1"/>
  <c r="W395" i="1"/>
  <c r="R396" i="1"/>
  <c r="S396" i="1"/>
  <c r="T396" i="1"/>
  <c r="U396" i="1"/>
  <c r="V396" i="1"/>
  <c r="W396" i="1"/>
  <c r="R397" i="1"/>
  <c r="S397" i="1"/>
  <c r="T397" i="1"/>
  <c r="U397" i="1"/>
  <c r="V397" i="1"/>
  <c r="W397" i="1"/>
  <c r="R398" i="1"/>
  <c r="S398" i="1"/>
  <c r="T398" i="1"/>
  <c r="U398" i="1"/>
  <c r="V398" i="1"/>
  <c r="W398" i="1"/>
  <c r="R399" i="1"/>
  <c r="S399" i="1"/>
  <c r="T399" i="1"/>
  <c r="U399" i="1"/>
  <c r="V399" i="1"/>
  <c r="W399" i="1"/>
  <c r="R400" i="1"/>
  <c r="S400" i="1"/>
  <c r="T400" i="1"/>
  <c r="U400" i="1"/>
  <c r="V400" i="1"/>
  <c r="W400" i="1"/>
  <c r="R401" i="1"/>
  <c r="S401" i="1"/>
  <c r="T401" i="1"/>
  <c r="U401" i="1"/>
  <c r="V401" i="1"/>
  <c r="W401" i="1"/>
  <c r="R402" i="1"/>
  <c r="S402" i="1"/>
  <c r="T402" i="1"/>
  <c r="U402" i="1"/>
  <c r="V402" i="1"/>
  <c r="W402" i="1"/>
  <c r="R403" i="1"/>
  <c r="S403" i="1"/>
  <c r="T403" i="1"/>
  <c r="U403" i="1"/>
  <c r="V403" i="1"/>
  <c r="W403" i="1"/>
  <c r="R404" i="1"/>
  <c r="S404" i="1"/>
  <c r="T404" i="1"/>
  <c r="U404" i="1"/>
  <c r="V404" i="1"/>
  <c r="W404" i="1"/>
  <c r="R405" i="1"/>
  <c r="S405" i="1"/>
  <c r="T405" i="1"/>
  <c r="U405" i="1"/>
  <c r="V405" i="1"/>
  <c r="W405" i="1"/>
  <c r="R406" i="1"/>
  <c r="S406" i="1"/>
  <c r="T406" i="1"/>
  <c r="U406" i="1"/>
  <c r="V406" i="1"/>
  <c r="W406" i="1"/>
  <c r="R407" i="1"/>
  <c r="S407" i="1"/>
  <c r="T407" i="1"/>
  <c r="U407" i="1"/>
  <c r="V407" i="1"/>
  <c r="W407" i="1"/>
  <c r="R408" i="1"/>
  <c r="S408" i="1"/>
  <c r="T408" i="1"/>
  <c r="U408" i="1"/>
  <c r="V408" i="1"/>
  <c r="W408" i="1"/>
  <c r="R409" i="1"/>
  <c r="S409" i="1"/>
  <c r="T409" i="1"/>
  <c r="U409" i="1"/>
  <c r="V409" i="1"/>
  <c r="W409" i="1"/>
  <c r="R410" i="1"/>
  <c r="S410" i="1"/>
  <c r="T410" i="1"/>
  <c r="U410" i="1"/>
  <c r="V410" i="1"/>
  <c r="W410" i="1"/>
  <c r="R411" i="1"/>
  <c r="S411" i="1"/>
  <c r="T411" i="1"/>
  <c r="U411" i="1"/>
  <c r="V411" i="1"/>
  <c r="W411" i="1"/>
  <c r="R412" i="1"/>
  <c r="S412" i="1"/>
  <c r="T412" i="1"/>
  <c r="U412" i="1"/>
  <c r="V412" i="1"/>
  <c r="W412" i="1"/>
  <c r="R413" i="1"/>
  <c r="S413" i="1"/>
  <c r="T413" i="1"/>
  <c r="U413" i="1"/>
  <c r="V413" i="1"/>
  <c r="W413" i="1"/>
  <c r="R414" i="1"/>
  <c r="S414" i="1"/>
  <c r="T414" i="1"/>
  <c r="U414" i="1"/>
  <c r="V414" i="1"/>
  <c r="W414" i="1"/>
  <c r="R415" i="1"/>
  <c r="S415" i="1"/>
  <c r="T415" i="1"/>
  <c r="U415" i="1"/>
  <c r="V415" i="1"/>
  <c r="W415" i="1"/>
  <c r="R416" i="1"/>
  <c r="S416" i="1"/>
  <c r="T416" i="1"/>
  <c r="U416" i="1"/>
  <c r="V416" i="1"/>
  <c r="W416" i="1"/>
  <c r="R417" i="1"/>
  <c r="S417" i="1"/>
  <c r="T417" i="1"/>
  <c r="U417" i="1"/>
  <c r="V417" i="1"/>
  <c r="W417" i="1"/>
  <c r="R418" i="1"/>
  <c r="S418" i="1"/>
  <c r="T418" i="1"/>
  <c r="U418" i="1"/>
  <c r="V418" i="1"/>
  <c r="W418" i="1"/>
  <c r="R419" i="1"/>
  <c r="S419" i="1"/>
  <c r="T419" i="1"/>
  <c r="U419" i="1"/>
  <c r="V419" i="1"/>
  <c r="W419" i="1"/>
  <c r="R420" i="1"/>
  <c r="S420" i="1"/>
  <c r="T420" i="1"/>
  <c r="U420" i="1"/>
  <c r="V420" i="1"/>
  <c r="W420" i="1"/>
  <c r="R421" i="1"/>
  <c r="S421" i="1"/>
  <c r="T421" i="1"/>
  <c r="U421" i="1"/>
  <c r="V421" i="1"/>
  <c r="W421" i="1"/>
  <c r="R422" i="1"/>
  <c r="S422" i="1"/>
  <c r="T422" i="1"/>
  <c r="U422" i="1"/>
  <c r="V422" i="1"/>
  <c r="W422" i="1"/>
  <c r="R423" i="1"/>
  <c r="S423" i="1"/>
  <c r="T423" i="1"/>
  <c r="U423" i="1"/>
  <c r="V423" i="1"/>
  <c r="W423" i="1"/>
  <c r="R424" i="1"/>
  <c r="S424" i="1"/>
  <c r="T424" i="1"/>
  <c r="U424" i="1"/>
  <c r="V424" i="1"/>
  <c r="W424" i="1"/>
  <c r="R425" i="1"/>
  <c r="S425" i="1"/>
  <c r="T425" i="1"/>
  <c r="U425" i="1"/>
  <c r="V425" i="1"/>
  <c r="W425" i="1"/>
  <c r="R426" i="1"/>
  <c r="S426" i="1"/>
  <c r="T426" i="1"/>
  <c r="U426" i="1"/>
  <c r="V426" i="1"/>
  <c r="W426" i="1"/>
  <c r="R427" i="1"/>
  <c r="S427" i="1"/>
  <c r="T427" i="1"/>
  <c r="U427" i="1"/>
  <c r="V427" i="1"/>
  <c r="W427" i="1"/>
  <c r="R428" i="1"/>
  <c r="S428" i="1"/>
  <c r="T428" i="1"/>
  <c r="U428" i="1"/>
  <c r="V428" i="1"/>
  <c r="W428" i="1"/>
  <c r="R429" i="1"/>
  <c r="S429" i="1"/>
  <c r="T429" i="1"/>
  <c r="U429" i="1"/>
  <c r="V429" i="1"/>
  <c r="W429" i="1"/>
  <c r="R430" i="1"/>
  <c r="S430" i="1"/>
  <c r="T430" i="1"/>
  <c r="U430" i="1"/>
  <c r="V430" i="1"/>
  <c r="W430" i="1"/>
  <c r="R431" i="1"/>
  <c r="S431" i="1"/>
  <c r="T431" i="1"/>
  <c r="U431" i="1"/>
  <c r="V431" i="1"/>
  <c r="W431" i="1"/>
  <c r="R432" i="1"/>
  <c r="S432" i="1"/>
  <c r="T432" i="1"/>
  <c r="U432" i="1"/>
  <c r="V432" i="1"/>
  <c r="W432" i="1"/>
  <c r="R433" i="1"/>
  <c r="S433" i="1"/>
  <c r="T433" i="1"/>
  <c r="U433" i="1"/>
  <c r="V433" i="1"/>
  <c r="W433" i="1"/>
  <c r="R434" i="1"/>
  <c r="S434" i="1"/>
  <c r="T434" i="1"/>
  <c r="U434" i="1"/>
  <c r="V434" i="1"/>
  <c r="W434" i="1"/>
  <c r="R435" i="1"/>
  <c r="S435" i="1"/>
  <c r="T435" i="1"/>
  <c r="U435" i="1"/>
  <c r="V435" i="1"/>
  <c r="W435" i="1"/>
  <c r="R436" i="1"/>
  <c r="S436" i="1"/>
  <c r="T436" i="1"/>
  <c r="U436" i="1"/>
  <c r="V436" i="1"/>
  <c r="W436" i="1"/>
  <c r="R437" i="1"/>
  <c r="S437" i="1"/>
  <c r="T437" i="1"/>
  <c r="U437" i="1"/>
  <c r="V437" i="1"/>
  <c r="W437" i="1"/>
  <c r="R438" i="1"/>
  <c r="S438" i="1"/>
  <c r="T438" i="1"/>
  <c r="U438" i="1"/>
  <c r="V438" i="1"/>
  <c r="W438" i="1"/>
  <c r="R439" i="1"/>
  <c r="S439" i="1"/>
  <c r="T439" i="1"/>
  <c r="U439" i="1"/>
  <c r="V439" i="1"/>
  <c r="W439" i="1"/>
  <c r="R440" i="1"/>
  <c r="S440" i="1"/>
  <c r="T440" i="1"/>
  <c r="U440" i="1"/>
  <c r="V440" i="1"/>
  <c r="W440" i="1"/>
  <c r="R441" i="1"/>
  <c r="S441" i="1"/>
  <c r="T441" i="1"/>
  <c r="U441" i="1"/>
  <c r="V441" i="1"/>
  <c r="W441" i="1"/>
  <c r="R442" i="1"/>
  <c r="S442" i="1"/>
  <c r="T442" i="1"/>
  <c r="U442" i="1"/>
  <c r="V442" i="1"/>
  <c r="W442" i="1"/>
  <c r="R443" i="1"/>
  <c r="S443" i="1"/>
  <c r="T443" i="1"/>
  <c r="U443" i="1"/>
  <c r="V443" i="1"/>
  <c r="W443" i="1"/>
  <c r="R444" i="1"/>
  <c r="S444" i="1"/>
  <c r="T444" i="1"/>
  <c r="U444" i="1"/>
  <c r="V444" i="1"/>
  <c r="W444" i="1"/>
  <c r="R445" i="1"/>
  <c r="S445" i="1"/>
  <c r="T445" i="1"/>
  <c r="U445" i="1"/>
  <c r="V445" i="1"/>
  <c r="W445" i="1"/>
  <c r="R446" i="1"/>
  <c r="S446" i="1"/>
  <c r="T446" i="1"/>
  <c r="U446" i="1"/>
  <c r="V446" i="1"/>
  <c r="W446" i="1"/>
  <c r="R447" i="1"/>
  <c r="S447" i="1"/>
  <c r="T447" i="1"/>
  <c r="U447" i="1"/>
  <c r="V447" i="1"/>
  <c r="W447" i="1"/>
  <c r="R448" i="1"/>
  <c r="S448" i="1"/>
  <c r="T448" i="1"/>
  <c r="U448" i="1"/>
  <c r="V448" i="1"/>
  <c r="W448" i="1"/>
  <c r="R449" i="1"/>
  <c r="S449" i="1"/>
  <c r="T449" i="1"/>
  <c r="U449" i="1"/>
  <c r="V449" i="1"/>
  <c r="W449" i="1"/>
  <c r="R450" i="1"/>
  <c r="S450" i="1"/>
  <c r="T450" i="1"/>
  <c r="U450" i="1"/>
  <c r="V450" i="1"/>
  <c r="W450" i="1"/>
  <c r="R451" i="1"/>
  <c r="S451" i="1"/>
  <c r="T451" i="1"/>
  <c r="U451" i="1"/>
  <c r="V451" i="1"/>
  <c r="W451" i="1"/>
  <c r="R452" i="1"/>
  <c r="S452" i="1"/>
  <c r="T452" i="1"/>
  <c r="U452" i="1"/>
  <c r="V452" i="1"/>
  <c r="W452" i="1"/>
  <c r="R453" i="1"/>
  <c r="S453" i="1"/>
  <c r="T453" i="1"/>
  <c r="U453" i="1"/>
  <c r="V453" i="1"/>
  <c r="W453" i="1"/>
  <c r="R454" i="1"/>
  <c r="S454" i="1"/>
  <c r="T454" i="1"/>
  <c r="U454" i="1"/>
  <c r="V454" i="1"/>
  <c r="W454" i="1"/>
  <c r="R455" i="1"/>
  <c r="S455" i="1"/>
  <c r="T455" i="1"/>
  <c r="U455" i="1"/>
  <c r="V455" i="1"/>
  <c r="W455" i="1"/>
  <c r="R456" i="1"/>
  <c r="S456" i="1"/>
  <c r="T456" i="1"/>
  <c r="U456" i="1"/>
  <c r="V456" i="1"/>
  <c r="W456" i="1"/>
  <c r="R457" i="1"/>
  <c r="S457" i="1"/>
  <c r="T457" i="1"/>
  <c r="U457" i="1"/>
  <c r="V457" i="1"/>
  <c r="W457" i="1"/>
  <c r="R458" i="1"/>
  <c r="S458" i="1"/>
  <c r="T458" i="1"/>
  <c r="U458" i="1"/>
  <c r="V458" i="1"/>
  <c r="W458" i="1"/>
  <c r="R459" i="1"/>
  <c r="S459" i="1"/>
  <c r="T459" i="1"/>
  <c r="U459" i="1"/>
  <c r="V459" i="1"/>
  <c r="W459" i="1"/>
  <c r="R460" i="1"/>
  <c r="S460" i="1"/>
  <c r="T460" i="1"/>
  <c r="U460" i="1"/>
  <c r="V460" i="1"/>
  <c r="W460" i="1"/>
  <c r="R461" i="1"/>
  <c r="S461" i="1"/>
  <c r="T461" i="1"/>
  <c r="U461" i="1"/>
  <c r="V461" i="1"/>
  <c r="W461" i="1"/>
  <c r="R462" i="1"/>
  <c r="S462" i="1"/>
  <c r="T462" i="1"/>
  <c r="U462" i="1"/>
  <c r="V462" i="1"/>
  <c r="W462" i="1"/>
  <c r="R463" i="1"/>
  <c r="S463" i="1"/>
  <c r="T463" i="1"/>
  <c r="U463" i="1"/>
  <c r="V463" i="1"/>
  <c r="W463" i="1"/>
  <c r="R464" i="1"/>
  <c r="S464" i="1"/>
  <c r="T464" i="1"/>
  <c r="U464" i="1"/>
  <c r="V464" i="1"/>
  <c r="W464" i="1"/>
  <c r="R465" i="1"/>
  <c r="S465" i="1"/>
  <c r="T465" i="1"/>
  <c r="U465" i="1"/>
  <c r="V465" i="1"/>
  <c r="W465" i="1"/>
  <c r="R466" i="1"/>
  <c r="S466" i="1"/>
  <c r="T466" i="1"/>
  <c r="U466" i="1"/>
  <c r="V466" i="1"/>
  <c r="W466" i="1"/>
  <c r="R467" i="1"/>
  <c r="S467" i="1"/>
  <c r="T467" i="1"/>
  <c r="U467" i="1"/>
  <c r="V467" i="1"/>
  <c r="W467" i="1"/>
  <c r="R468" i="1"/>
  <c r="S468" i="1"/>
  <c r="T468" i="1"/>
  <c r="U468" i="1"/>
  <c r="V468" i="1"/>
  <c r="W468" i="1"/>
  <c r="R469" i="1"/>
  <c r="S469" i="1"/>
  <c r="T469" i="1"/>
  <c r="U469" i="1"/>
  <c r="V469" i="1"/>
  <c r="W469" i="1"/>
  <c r="R470" i="1"/>
  <c r="S470" i="1"/>
  <c r="T470" i="1"/>
  <c r="U470" i="1"/>
  <c r="V470" i="1"/>
  <c r="W470" i="1"/>
  <c r="R471" i="1"/>
  <c r="S471" i="1"/>
  <c r="T471" i="1"/>
  <c r="U471" i="1"/>
  <c r="V471" i="1"/>
  <c r="W471" i="1"/>
  <c r="R472" i="1"/>
  <c r="S472" i="1"/>
  <c r="T472" i="1"/>
  <c r="U472" i="1"/>
  <c r="V472" i="1"/>
  <c r="W472" i="1"/>
  <c r="R473" i="1"/>
  <c r="S473" i="1"/>
  <c r="T473" i="1"/>
  <c r="U473" i="1"/>
  <c r="V473" i="1"/>
  <c r="W473" i="1"/>
  <c r="R474" i="1"/>
  <c r="S474" i="1"/>
  <c r="T474" i="1"/>
  <c r="U474" i="1"/>
  <c r="V474" i="1"/>
  <c r="W474" i="1"/>
  <c r="R475" i="1"/>
  <c r="S475" i="1"/>
  <c r="T475" i="1"/>
  <c r="U475" i="1"/>
  <c r="V475" i="1"/>
  <c r="W475" i="1"/>
  <c r="R476" i="1"/>
  <c r="S476" i="1"/>
  <c r="T476" i="1"/>
  <c r="U476" i="1"/>
  <c r="V476" i="1"/>
  <c r="W476" i="1"/>
  <c r="R477" i="1"/>
  <c r="S477" i="1"/>
  <c r="T477" i="1"/>
  <c r="U477" i="1"/>
  <c r="V477" i="1"/>
  <c r="W477" i="1"/>
  <c r="R478" i="1"/>
  <c r="S478" i="1"/>
  <c r="T478" i="1"/>
  <c r="U478" i="1"/>
  <c r="V478" i="1"/>
  <c r="W478" i="1"/>
  <c r="R479" i="1"/>
  <c r="S479" i="1"/>
  <c r="T479" i="1"/>
  <c r="U479" i="1"/>
  <c r="V479" i="1"/>
  <c r="W479" i="1"/>
  <c r="R480" i="1"/>
  <c r="S480" i="1"/>
  <c r="T480" i="1"/>
  <c r="U480" i="1"/>
  <c r="V480" i="1"/>
  <c r="W480" i="1"/>
  <c r="R481" i="1"/>
  <c r="S481" i="1"/>
  <c r="T481" i="1"/>
  <c r="U481" i="1"/>
  <c r="V481" i="1"/>
  <c r="W481" i="1"/>
  <c r="R482" i="1"/>
  <c r="S482" i="1"/>
  <c r="T482" i="1"/>
  <c r="U482" i="1"/>
  <c r="V482" i="1"/>
  <c r="W482" i="1"/>
  <c r="R483" i="1"/>
  <c r="S483" i="1"/>
  <c r="T483" i="1"/>
  <c r="U483" i="1"/>
  <c r="V483" i="1"/>
  <c r="W483" i="1"/>
  <c r="R484" i="1"/>
  <c r="S484" i="1"/>
  <c r="T484" i="1"/>
  <c r="U484" i="1"/>
  <c r="V484" i="1"/>
  <c r="W484" i="1"/>
  <c r="R485" i="1"/>
  <c r="S485" i="1"/>
  <c r="T485" i="1"/>
  <c r="U485" i="1"/>
  <c r="V485" i="1"/>
  <c r="W485" i="1"/>
  <c r="R486" i="1"/>
  <c r="S486" i="1"/>
  <c r="T486" i="1"/>
  <c r="U486" i="1"/>
  <c r="V486" i="1"/>
  <c r="W486" i="1"/>
  <c r="R487" i="1"/>
  <c r="S487" i="1"/>
  <c r="T487" i="1"/>
  <c r="U487" i="1"/>
  <c r="V487" i="1"/>
  <c r="W487" i="1"/>
  <c r="W2" i="1"/>
  <c r="V2" i="1"/>
  <c r="U2" i="1"/>
  <c r="T2" i="1"/>
  <c r="S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2" i="1"/>
</calcChain>
</file>

<file path=xl/sharedStrings.xml><?xml version="1.0" encoding="utf-8"?>
<sst xmlns="http://schemas.openxmlformats.org/spreadsheetml/2006/main" count="23" uniqueCount="23">
  <si>
    <t>i</t>
  </si>
  <si>
    <t>t</t>
  </si>
  <si>
    <t>ln_Sg_pc</t>
  </si>
  <si>
    <t>ln_Pg</t>
  </si>
  <si>
    <t>ln_l1_Pg</t>
  </si>
  <si>
    <t>ln_l2_Pg</t>
  </si>
  <si>
    <t>ln_Pe</t>
  </si>
  <si>
    <t>ln_l1_Pe</t>
  </si>
  <si>
    <t>ln_l2_Pe</t>
  </si>
  <si>
    <t>ln_Mi_e</t>
  </si>
  <si>
    <t>ln_W_adj_Mi_e</t>
  </si>
  <si>
    <t>ln_Mi_c</t>
  </si>
  <si>
    <t>ln_gdp_pc</t>
  </si>
  <si>
    <t>ln_l1_gdp_pc</t>
  </si>
  <si>
    <t>ln_stations</t>
  </si>
  <si>
    <t>dln_gdp_pc</t>
  </si>
  <si>
    <t>dln_stations</t>
  </si>
  <si>
    <t>Dno</t>
  </si>
  <si>
    <t>Dne</t>
  </si>
  <si>
    <t>Dse</t>
  </si>
  <si>
    <t>Dcw</t>
  </si>
  <si>
    <t>D2020</t>
  </si>
  <si>
    <t>Dipi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</si>
</sst>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7"/>
  <sheetViews>
    <sheetView tabSelected="1" workbookViewId="0">
      <selection activeCell="O1" sqref="O1:O1048576"/>
    </sheetView>
  </sheetViews>
  <sheetFormatPr defaultRowHeight="15" x14ac:dyDescent="0.25"/>
  <cols>
    <col min="1" max="1" width="3" bestFit="1" customWidth="1"/>
    <col min="2" max="2" width="5" bestFit="1" customWidth="1"/>
    <col min="3" max="3" width="12.7109375" bestFit="1" customWidth="1"/>
    <col min="4" max="9" width="12" bestFit="1" customWidth="1"/>
    <col min="10" max="10" width="12.7109375" bestFit="1" customWidth="1"/>
    <col min="11" max="11" width="15.140625" bestFit="1" customWidth="1"/>
    <col min="12" max="12" width="12.7109375" bestFit="1" customWidth="1"/>
    <col min="13" max="13" width="12" bestFit="1" customWidth="1"/>
    <col min="14" max="14" width="12.5703125" bestFit="1" customWidth="1"/>
    <col min="16" max="16" width="11.140625" bestFit="1" customWidth="1"/>
    <col min="17" max="17" width="11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1">
        <v>11</v>
      </c>
      <c r="B2" s="1">
        <v>2006</v>
      </c>
      <c r="C2">
        <v>-2.156698978863159</v>
      </c>
      <c r="D2">
        <v>1.004301609196868</v>
      </c>
      <c r="E2">
        <v>0.9748237560598092</v>
      </c>
      <c r="F2">
        <v>0.96172288327198963</v>
      </c>
      <c r="G2">
        <v>0.76080582903376015</v>
      </c>
      <c r="H2">
        <v>0.62422573509352353</v>
      </c>
      <c r="I2">
        <v>0.56246885691782911</v>
      </c>
      <c r="J2">
        <v>-16.11809565095832</v>
      </c>
      <c r="K2">
        <v>2.166250221499268</v>
      </c>
      <c r="L2">
        <v>-1.951167744570985</v>
      </c>
      <c r="M2">
        <v>2.4209187515967989</v>
      </c>
      <c r="N2">
        <v>2.44399024352396</v>
      </c>
      <c r="O2">
        <v>-11.51292546497023</v>
      </c>
      <c r="P2">
        <f>M2-N2</f>
        <v>-2.307149192716107E-2</v>
      </c>
      <c r="Q2">
        <f>IF(B2=2006,0,O2-O1)</f>
        <v>0</v>
      </c>
      <c r="R2">
        <f>IF(ROUNDDOWN($A2/10, 0)=1, 1, 0)</f>
        <v>1</v>
      </c>
      <c r="S2">
        <f>IF(ROUNDDOWN($A2/10, 0)=2, 1, 0)</f>
        <v>0</v>
      </c>
      <c r="T2">
        <f>IF(ROUNDDOWN($A2/10, 0)=3, 1, 0)</f>
        <v>0</v>
      </c>
      <c r="U2">
        <f>IF(ROUNDDOWN($A2/10, 0)=5, 1, 0)</f>
        <v>0</v>
      </c>
      <c r="V2">
        <f>IF($B2=2020, 1, 0)</f>
        <v>0</v>
      </c>
      <c r="W2">
        <f>IF(AND($B2&gt;=2015,$B2&lt;=2021), 1, 0)</f>
        <v>0</v>
      </c>
    </row>
    <row r="3" spans="1:23" x14ac:dyDescent="0.25">
      <c r="A3" s="1">
        <v>11</v>
      </c>
      <c r="B3" s="1">
        <v>2007</v>
      </c>
      <c r="C3">
        <v>-2.073636426371209</v>
      </c>
      <c r="D3">
        <v>0.94219236939680806</v>
      </c>
      <c r="E3">
        <v>1.004301609196868</v>
      </c>
      <c r="F3">
        <v>0.9748237560598092</v>
      </c>
      <c r="G3">
        <v>0.59823192276365766</v>
      </c>
      <c r="H3">
        <v>0.76080582903376015</v>
      </c>
      <c r="I3">
        <v>0.62422573509352353</v>
      </c>
      <c r="J3">
        <v>-16.11809565095832</v>
      </c>
      <c r="K3">
        <v>2.166250221499268</v>
      </c>
      <c r="L3">
        <v>-1.7991499751284841</v>
      </c>
      <c r="M3">
        <v>2.4815371529483081</v>
      </c>
      <c r="N3">
        <v>2.443198932139675</v>
      </c>
      <c r="O3">
        <v>-11.51292546497023</v>
      </c>
      <c r="P3">
        <f t="shared" ref="P3:P66" si="0">M3-N3</f>
        <v>3.8338220808633139E-2</v>
      </c>
      <c r="Q3">
        <f t="shared" ref="Q3:Q66" si="1">IF(B3=2006,0,O3-O2)</f>
        <v>0</v>
      </c>
      <c r="R3">
        <f t="shared" ref="R3:R66" si="2">IF(ROUNDDOWN($A3/10, 0)=1, 1, 0)</f>
        <v>1</v>
      </c>
      <c r="S3">
        <f t="shared" ref="S3:S66" si="3">IF(ROUNDDOWN($A3/10, 0)=2, 1, 0)</f>
        <v>0</v>
      </c>
      <c r="T3">
        <f t="shared" ref="T3:T66" si="4">IF(ROUNDDOWN($A3/10, 0)=3, 1, 0)</f>
        <v>0</v>
      </c>
      <c r="U3">
        <f t="shared" ref="U3:U66" si="5">IF(ROUNDDOWN($A3/10, 0)=5, 1, 0)</f>
        <v>0</v>
      </c>
      <c r="V3">
        <f t="shared" ref="V3:V66" si="6">IF($B3=2020, 1, 0)</f>
        <v>0</v>
      </c>
      <c r="W3">
        <f t="shared" ref="W3:W66" si="7">IF(AND($B3&gt;=2015,$B3&lt;=2021), 1, 0)</f>
        <v>0</v>
      </c>
    </row>
    <row r="4" spans="1:23" x14ac:dyDescent="0.25">
      <c r="A4" s="1">
        <v>11</v>
      </c>
      <c r="B4" s="1">
        <v>2008</v>
      </c>
      <c r="C4">
        <v>-1.9560619150649721</v>
      </c>
      <c r="D4">
        <v>0.8960063885714481</v>
      </c>
      <c r="E4">
        <v>0.94219236939680806</v>
      </c>
      <c r="F4">
        <v>1.004301609196868</v>
      </c>
      <c r="G4">
        <v>0.51962677971905946</v>
      </c>
      <c r="H4">
        <v>0.59823192276365766</v>
      </c>
      <c r="I4">
        <v>0.76080582903376015</v>
      </c>
      <c r="J4">
        <v>-16.11809565095832</v>
      </c>
      <c r="K4">
        <v>2.166250221499268</v>
      </c>
      <c r="L4">
        <v>-1.620763450703399</v>
      </c>
      <c r="M4">
        <v>2.600161838464861</v>
      </c>
      <c r="N4">
        <v>2.504325073967602</v>
      </c>
      <c r="O4">
        <v>-11.51292546497023</v>
      </c>
      <c r="P4">
        <f t="shared" si="0"/>
        <v>9.5836764497259086E-2</v>
      </c>
      <c r="Q4">
        <f t="shared" si="1"/>
        <v>0</v>
      </c>
      <c r="R4">
        <f t="shared" si="2"/>
        <v>1</v>
      </c>
      <c r="S4">
        <f t="shared" si="3"/>
        <v>0</v>
      </c>
      <c r="T4">
        <f t="shared" si="4"/>
        <v>0</v>
      </c>
      <c r="U4">
        <f t="shared" si="5"/>
        <v>0</v>
      </c>
      <c r="V4">
        <f t="shared" si="6"/>
        <v>0</v>
      </c>
      <c r="W4">
        <f t="shared" si="7"/>
        <v>0</v>
      </c>
    </row>
    <row r="5" spans="1:23" x14ac:dyDescent="0.25">
      <c r="A5" s="1">
        <v>11</v>
      </c>
      <c r="B5" s="1">
        <v>2009</v>
      </c>
      <c r="C5">
        <v>-1.862154149729599</v>
      </c>
      <c r="D5">
        <v>0.84264419170585647</v>
      </c>
      <c r="E5">
        <v>0.8960063885714481</v>
      </c>
      <c r="F5">
        <v>0.94219236939680806</v>
      </c>
      <c r="G5">
        <v>0.47741360742074851</v>
      </c>
      <c r="H5">
        <v>0.51962677971905946</v>
      </c>
      <c r="I5">
        <v>0.59823192276365766</v>
      </c>
      <c r="J5">
        <v>-7.3158356310234538</v>
      </c>
      <c r="K5">
        <v>2.166250221499268</v>
      </c>
      <c r="L5">
        <v>-1.4770532591901959</v>
      </c>
      <c r="M5">
        <v>2.654680199807578</v>
      </c>
      <c r="N5">
        <v>2.5932473660788871</v>
      </c>
      <c r="O5">
        <v>-11.51292546497023</v>
      </c>
      <c r="P5">
        <f t="shared" si="0"/>
        <v>6.1432833728690905E-2</v>
      </c>
      <c r="Q5">
        <f t="shared" si="1"/>
        <v>0</v>
      </c>
      <c r="R5">
        <f t="shared" si="2"/>
        <v>1</v>
      </c>
      <c r="S5">
        <f t="shared" si="3"/>
        <v>0</v>
      </c>
      <c r="T5">
        <f t="shared" si="4"/>
        <v>0</v>
      </c>
      <c r="U5">
        <f t="shared" si="5"/>
        <v>0</v>
      </c>
      <c r="V5">
        <f t="shared" si="6"/>
        <v>0</v>
      </c>
      <c r="W5">
        <f t="shared" si="7"/>
        <v>0</v>
      </c>
    </row>
    <row r="6" spans="1:23" x14ac:dyDescent="0.25">
      <c r="A6" s="1">
        <v>11</v>
      </c>
      <c r="B6" s="1">
        <v>2010</v>
      </c>
      <c r="C6">
        <v>-1.6831605423581379</v>
      </c>
      <c r="D6">
        <v>0.81828091131671099</v>
      </c>
      <c r="E6">
        <v>0.84264419170585647</v>
      </c>
      <c r="F6">
        <v>0.8960063885714481</v>
      </c>
      <c r="G6">
        <v>0.52212158350784221</v>
      </c>
      <c r="H6">
        <v>0.47741360742074851</v>
      </c>
      <c r="I6">
        <v>0.51962677971905946</v>
      </c>
      <c r="J6">
        <v>-7.3396623629610591</v>
      </c>
      <c r="K6">
        <v>2.166250221499268</v>
      </c>
      <c r="L6">
        <v>-1.3626010461637901</v>
      </c>
      <c r="M6">
        <v>2.74230132052055</v>
      </c>
      <c r="N6">
        <v>2.6308534678699922</v>
      </c>
      <c r="O6">
        <v>-11.51292546497023</v>
      </c>
      <c r="P6">
        <f t="shared" si="0"/>
        <v>0.11144785265055779</v>
      </c>
      <c r="Q6">
        <f t="shared" si="1"/>
        <v>0</v>
      </c>
      <c r="R6">
        <f t="shared" si="2"/>
        <v>1</v>
      </c>
      <c r="S6">
        <f t="shared" si="3"/>
        <v>0</v>
      </c>
      <c r="T6">
        <f t="shared" si="4"/>
        <v>0</v>
      </c>
      <c r="U6">
        <f t="shared" si="5"/>
        <v>0</v>
      </c>
      <c r="V6">
        <f t="shared" si="6"/>
        <v>0</v>
      </c>
      <c r="W6">
        <f t="shared" si="7"/>
        <v>0</v>
      </c>
    </row>
    <row r="7" spans="1:23" x14ac:dyDescent="0.25">
      <c r="A7" s="1">
        <v>11</v>
      </c>
      <c r="B7" s="1">
        <v>2011</v>
      </c>
      <c r="C7">
        <v>-1.5784624378334899</v>
      </c>
      <c r="D7">
        <v>0.82162834220848546</v>
      </c>
      <c r="E7">
        <v>0.81828091131671099</v>
      </c>
      <c r="F7">
        <v>0.84264419170585647</v>
      </c>
      <c r="G7">
        <v>0.59933088435566051</v>
      </c>
      <c r="H7">
        <v>0.52212158350784221</v>
      </c>
      <c r="I7">
        <v>0.47741360742074851</v>
      </c>
      <c r="J7">
        <v>-5.2834923926543116</v>
      </c>
      <c r="K7">
        <v>2.166250221499268</v>
      </c>
      <c r="L7">
        <v>-1.26108028612349</v>
      </c>
      <c r="M7">
        <v>2.7818139114313758</v>
      </c>
      <c r="N7">
        <v>2.7190297491474351</v>
      </c>
      <c r="O7">
        <v>-11.51292546497023</v>
      </c>
      <c r="P7">
        <f t="shared" si="0"/>
        <v>6.2784162283940681E-2</v>
      </c>
      <c r="Q7">
        <f t="shared" si="1"/>
        <v>0</v>
      </c>
      <c r="R7">
        <f t="shared" si="2"/>
        <v>1</v>
      </c>
      <c r="S7">
        <f t="shared" si="3"/>
        <v>0</v>
      </c>
      <c r="T7">
        <f t="shared" si="4"/>
        <v>0</v>
      </c>
      <c r="U7">
        <f t="shared" si="5"/>
        <v>0</v>
      </c>
      <c r="V7">
        <f t="shared" si="6"/>
        <v>0</v>
      </c>
      <c r="W7">
        <f t="shared" si="7"/>
        <v>0</v>
      </c>
    </row>
    <row r="8" spans="1:23" x14ac:dyDescent="0.25">
      <c r="A8" s="1">
        <v>11</v>
      </c>
      <c r="B8" s="1">
        <v>2012</v>
      </c>
      <c r="C8">
        <v>-1.4705848809465669</v>
      </c>
      <c r="D8">
        <v>0.76150651807328873</v>
      </c>
      <c r="E8">
        <v>0.82162834220848546</v>
      </c>
      <c r="F8">
        <v>0.81828091131671099</v>
      </c>
      <c r="G8">
        <v>0.55933003282560567</v>
      </c>
      <c r="H8">
        <v>0.59933088435566051</v>
      </c>
      <c r="I8">
        <v>0.52212158350784221</v>
      </c>
      <c r="J8">
        <v>-4.8865895636413521</v>
      </c>
      <c r="K8">
        <v>2.166250221499268</v>
      </c>
      <c r="L8">
        <v>-1.171167583067046</v>
      </c>
      <c r="M8">
        <v>2.7848658127694148</v>
      </c>
      <c r="N8">
        <v>2.7732516323361791</v>
      </c>
      <c r="O8">
        <v>-11.51292546497023</v>
      </c>
      <c r="P8">
        <f t="shared" si="0"/>
        <v>1.1614180433235699E-2</v>
      </c>
      <c r="Q8">
        <f t="shared" si="1"/>
        <v>0</v>
      </c>
      <c r="R8">
        <f t="shared" si="2"/>
        <v>1</v>
      </c>
      <c r="S8">
        <f t="shared" si="3"/>
        <v>0</v>
      </c>
      <c r="T8">
        <f t="shared" si="4"/>
        <v>0</v>
      </c>
      <c r="U8">
        <f t="shared" si="5"/>
        <v>0</v>
      </c>
      <c r="V8">
        <f t="shared" si="6"/>
        <v>0</v>
      </c>
      <c r="W8">
        <f t="shared" si="7"/>
        <v>0</v>
      </c>
    </row>
    <row r="9" spans="1:23" x14ac:dyDescent="0.25">
      <c r="A9" s="1">
        <v>11</v>
      </c>
      <c r="B9" s="1">
        <v>2013</v>
      </c>
      <c r="C9">
        <v>-1.518725602596074</v>
      </c>
      <c r="D9">
        <v>0.74069848241816771</v>
      </c>
      <c r="E9">
        <v>0.76150651807328873</v>
      </c>
      <c r="F9">
        <v>0.82162834220848546</v>
      </c>
      <c r="G9">
        <v>0.51837703991882511</v>
      </c>
      <c r="H9">
        <v>0.55933003282560567</v>
      </c>
      <c r="I9">
        <v>0.59933088435566051</v>
      </c>
      <c r="J9">
        <v>-4.2359679594205364</v>
      </c>
      <c r="K9">
        <v>2.166250221499268</v>
      </c>
      <c r="L9">
        <v>-1.1782679664096829</v>
      </c>
      <c r="M9">
        <v>2.6621035497832368</v>
      </c>
      <c r="N9">
        <v>2.7015182419100219</v>
      </c>
      <c r="O9">
        <v>-11.51292546497023</v>
      </c>
      <c r="P9">
        <f t="shared" si="0"/>
        <v>-3.9414692126785056E-2</v>
      </c>
      <c r="Q9">
        <f t="shared" si="1"/>
        <v>0</v>
      </c>
      <c r="R9">
        <f t="shared" si="2"/>
        <v>1</v>
      </c>
      <c r="S9">
        <f t="shared" si="3"/>
        <v>0</v>
      </c>
      <c r="T9">
        <f t="shared" si="4"/>
        <v>0</v>
      </c>
      <c r="U9">
        <f t="shared" si="5"/>
        <v>0</v>
      </c>
      <c r="V9">
        <f t="shared" si="6"/>
        <v>0</v>
      </c>
      <c r="W9">
        <f t="shared" si="7"/>
        <v>0</v>
      </c>
    </row>
    <row r="10" spans="1:23" x14ac:dyDescent="0.25">
      <c r="A10" s="1">
        <v>11</v>
      </c>
      <c r="B10" s="1">
        <v>2014</v>
      </c>
      <c r="C10">
        <v>-1.4578474207869181</v>
      </c>
      <c r="D10">
        <v>0.72328833747193211</v>
      </c>
      <c r="E10">
        <v>0.74069848241816771</v>
      </c>
      <c r="F10">
        <v>0.76150651807328873</v>
      </c>
      <c r="G10">
        <v>0.52715162636476365</v>
      </c>
      <c r="H10">
        <v>0.51837703991882511</v>
      </c>
      <c r="I10">
        <v>0.55933003282560567</v>
      </c>
      <c r="J10">
        <v>-3.554508280400535</v>
      </c>
      <c r="K10">
        <v>2.166250221499268</v>
      </c>
      <c r="L10">
        <v>-1.1213792527941719</v>
      </c>
      <c r="M10">
        <v>2.6642506113954019</v>
      </c>
      <c r="N10">
        <v>2.650416048243291</v>
      </c>
      <c r="O10">
        <v>-11.51292546497023</v>
      </c>
      <c r="P10">
        <f t="shared" si="0"/>
        <v>1.3834563152110846E-2</v>
      </c>
      <c r="Q10">
        <f t="shared" si="1"/>
        <v>0</v>
      </c>
      <c r="R10">
        <f t="shared" si="2"/>
        <v>1</v>
      </c>
      <c r="S10">
        <f t="shared" si="3"/>
        <v>0</v>
      </c>
      <c r="T10">
        <f t="shared" si="4"/>
        <v>0</v>
      </c>
      <c r="U10">
        <f t="shared" si="5"/>
        <v>0</v>
      </c>
      <c r="V10">
        <f t="shared" si="6"/>
        <v>0</v>
      </c>
      <c r="W10">
        <f t="shared" si="7"/>
        <v>0</v>
      </c>
    </row>
    <row r="11" spans="1:23" x14ac:dyDescent="0.25">
      <c r="A11" s="1">
        <v>11</v>
      </c>
      <c r="B11" s="1">
        <v>2015</v>
      </c>
      <c r="C11">
        <v>-1.4449811096822041</v>
      </c>
      <c r="D11">
        <v>0.73692480290583307</v>
      </c>
      <c r="E11">
        <v>0.72328833747193211</v>
      </c>
      <c r="F11">
        <v>0.74069848241816771</v>
      </c>
      <c r="G11">
        <v>0.47759970586736361</v>
      </c>
      <c r="H11">
        <v>0.52715162636476365</v>
      </c>
      <c r="I11">
        <v>0.51837703991882511</v>
      </c>
      <c r="J11">
        <v>-3.1339141993029989</v>
      </c>
      <c r="K11">
        <v>2.166250221499268</v>
      </c>
      <c r="L11">
        <v>-1.0788235672370079</v>
      </c>
      <c r="M11">
        <v>2.651900785014115</v>
      </c>
      <c r="N11">
        <v>2.6530622760673999</v>
      </c>
      <c r="O11">
        <v>-11.51292546497023</v>
      </c>
      <c r="P11">
        <f t="shared" si="0"/>
        <v>-1.161491053284891E-3</v>
      </c>
      <c r="Q11">
        <f t="shared" si="1"/>
        <v>0</v>
      </c>
      <c r="R11">
        <f t="shared" si="2"/>
        <v>1</v>
      </c>
      <c r="S11">
        <f t="shared" si="3"/>
        <v>0</v>
      </c>
      <c r="T11">
        <f t="shared" si="4"/>
        <v>0</v>
      </c>
      <c r="U11">
        <f t="shared" si="5"/>
        <v>0</v>
      </c>
      <c r="V11">
        <f t="shared" si="6"/>
        <v>0</v>
      </c>
      <c r="W11">
        <f t="shared" si="7"/>
        <v>1</v>
      </c>
    </row>
    <row r="12" spans="1:23" x14ac:dyDescent="0.25">
      <c r="A12" s="1">
        <v>11</v>
      </c>
      <c r="B12" s="1">
        <v>2016</v>
      </c>
      <c r="C12">
        <v>-1.4210112424014689</v>
      </c>
      <c r="D12">
        <v>0.75358354936377603</v>
      </c>
      <c r="E12">
        <v>0.73692480290583307</v>
      </c>
      <c r="F12">
        <v>0.72328833747193211</v>
      </c>
      <c r="G12">
        <v>0.61858525923304053</v>
      </c>
      <c r="H12">
        <v>0.47759970586736361</v>
      </c>
      <c r="I12">
        <v>0.52715162636476365</v>
      </c>
      <c r="J12">
        <v>-2.761061811848581</v>
      </c>
      <c r="K12">
        <v>2.166250221499268</v>
      </c>
      <c r="L12">
        <v>-1.049732047488368</v>
      </c>
      <c r="M12">
        <v>2.6395015854418169</v>
      </c>
      <c r="N12">
        <v>2.6411707756098739</v>
      </c>
      <c r="O12">
        <v>-11.51292546497023</v>
      </c>
      <c r="P12">
        <f t="shared" si="0"/>
        <v>-1.6691901680569998E-3</v>
      </c>
      <c r="Q12">
        <f t="shared" si="1"/>
        <v>0</v>
      </c>
      <c r="R12">
        <f t="shared" si="2"/>
        <v>1</v>
      </c>
      <c r="S12">
        <f t="shared" si="3"/>
        <v>0</v>
      </c>
      <c r="T12">
        <f t="shared" si="4"/>
        <v>0</v>
      </c>
      <c r="U12">
        <f t="shared" si="5"/>
        <v>0</v>
      </c>
      <c r="V12">
        <f t="shared" si="6"/>
        <v>0</v>
      </c>
      <c r="W12">
        <f t="shared" si="7"/>
        <v>1</v>
      </c>
    </row>
    <row r="13" spans="1:23" x14ac:dyDescent="0.25">
      <c r="A13" s="1">
        <v>11</v>
      </c>
      <c r="B13" s="1">
        <v>2017</v>
      </c>
      <c r="C13">
        <v>-1.4207559397857561</v>
      </c>
      <c r="D13">
        <v>0.74241342186286341</v>
      </c>
      <c r="E13">
        <v>0.75358354936377603</v>
      </c>
      <c r="F13">
        <v>0.73692480290583307</v>
      </c>
      <c r="G13">
        <v>0.60704448150653356</v>
      </c>
      <c r="H13">
        <v>0.61858525923304053</v>
      </c>
      <c r="I13">
        <v>0.47759970586736361</v>
      </c>
      <c r="J13">
        <v>-2.082651938392698</v>
      </c>
      <c r="K13">
        <v>2.166250221499268</v>
      </c>
      <c r="L13">
        <v>-1.0245113969466151</v>
      </c>
      <c r="M13">
        <v>2.690978395396356</v>
      </c>
      <c r="N13">
        <v>2.6291988754056201</v>
      </c>
      <c r="O13">
        <v>-11.51292546497023</v>
      </c>
      <c r="P13">
        <f t="shared" si="0"/>
        <v>6.1779519990735832E-2</v>
      </c>
      <c r="Q13">
        <f t="shared" si="1"/>
        <v>0</v>
      </c>
      <c r="R13">
        <f t="shared" si="2"/>
        <v>1</v>
      </c>
      <c r="S13">
        <f t="shared" si="3"/>
        <v>0</v>
      </c>
      <c r="T13">
        <f t="shared" si="4"/>
        <v>0</v>
      </c>
      <c r="U13">
        <f t="shared" si="5"/>
        <v>0</v>
      </c>
      <c r="V13">
        <f t="shared" si="6"/>
        <v>0</v>
      </c>
      <c r="W13">
        <f t="shared" si="7"/>
        <v>1</v>
      </c>
    </row>
    <row r="14" spans="1:23" x14ac:dyDescent="0.25">
      <c r="A14" s="1">
        <v>11</v>
      </c>
      <c r="B14" s="1">
        <v>2018</v>
      </c>
      <c r="C14">
        <v>-1.4131135997679001</v>
      </c>
      <c r="D14">
        <v>0.83373486886959214</v>
      </c>
      <c r="E14">
        <v>0.74241342186286341</v>
      </c>
      <c r="F14">
        <v>0.75358354936377603</v>
      </c>
      <c r="G14">
        <v>0.64825441166920861</v>
      </c>
      <c r="H14">
        <v>0.60704448150653356</v>
      </c>
      <c r="I14">
        <v>0.61858525923304053</v>
      </c>
      <c r="J14">
        <v>-1.602401349382677</v>
      </c>
      <c r="K14">
        <v>2.166250221499268</v>
      </c>
      <c r="L14">
        <v>-0.95533951972360787</v>
      </c>
      <c r="M14">
        <v>2.705694458109142</v>
      </c>
      <c r="N14">
        <v>2.7180324734770229</v>
      </c>
      <c r="O14">
        <v>3.2580965380214821</v>
      </c>
      <c r="P14">
        <f t="shared" si="0"/>
        <v>-1.2338015367880928E-2</v>
      </c>
      <c r="Q14">
        <f t="shared" si="1"/>
        <v>14.771022002991712</v>
      </c>
      <c r="R14">
        <f t="shared" si="2"/>
        <v>1</v>
      </c>
      <c r="S14">
        <f t="shared" si="3"/>
        <v>0</v>
      </c>
      <c r="T14">
        <f t="shared" si="4"/>
        <v>0</v>
      </c>
      <c r="U14">
        <f t="shared" si="5"/>
        <v>0</v>
      </c>
      <c r="V14">
        <f t="shared" si="6"/>
        <v>0</v>
      </c>
      <c r="W14">
        <f t="shared" si="7"/>
        <v>1</v>
      </c>
    </row>
    <row r="15" spans="1:23" x14ac:dyDescent="0.25">
      <c r="A15" s="1">
        <v>11</v>
      </c>
      <c r="B15" s="1">
        <v>2019</v>
      </c>
      <c r="C15">
        <v>-1.3958817226731339</v>
      </c>
      <c r="D15">
        <v>0.7959744903594157</v>
      </c>
      <c r="E15">
        <v>0.83373486886959214</v>
      </c>
      <c r="F15">
        <v>0.74241342186286341</v>
      </c>
      <c r="G15">
        <v>0.61939299197128328</v>
      </c>
      <c r="H15">
        <v>0.64825441166920861</v>
      </c>
      <c r="I15">
        <v>0.60704448150653356</v>
      </c>
      <c r="J15">
        <v>-0.87886461343413891</v>
      </c>
      <c r="K15">
        <v>2.166250221499268</v>
      </c>
      <c r="L15">
        <v>-0.92594627856998246</v>
      </c>
      <c r="M15">
        <v>2.700549530427923</v>
      </c>
      <c r="N15">
        <v>2.6945842825909812</v>
      </c>
      <c r="O15">
        <v>5.393627546352362</v>
      </c>
      <c r="P15">
        <f t="shared" si="0"/>
        <v>5.965247836941856E-3</v>
      </c>
      <c r="Q15">
        <f t="shared" si="1"/>
        <v>2.1355310083308798</v>
      </c>
      <c r="R15">
        <f t="shared" si="2"/>
        <v>1</v>
      </c>
      <c r="S15">
        <f t="shared" si="3"/>
        <v>0</v>
      </c>
      <c r="T15">
        <f t="shared" si="4"/>
        <v>0</v>
      </c>
      <c r="U15">
        <f t="shared" si="5"/>
        <v>0</v>
      </c>
      <c r="V15">
        <f t="shared" si="6"/>
        <v>0</v>
      </c>
      <c r="W15">
        <f t="shared" si="7"/>
        <v>1</v>
      </c>
    </row>
    <row r="16" spans="1:23" x14ac:dyDescent="0.25">
      <c r="A16" s="1">
        <v>11</v>
      </c>
      <c r="B16" s="1">
        <v>2020</v>
      </c>
      <c r="C16">
        <v>-1.4296095899018759</v>
      </c>
      <c r="D16">
        <v>0.72251178918984926</v>
      </c>
      <c r="E16">
        <v>0.7959744903594157</v>
      </c>
      <c r="F16">
        <v>0.83373486886959214</v>
      </c>
      <c r="G16">
        <v>0.54563276527139615</v>
      </c>
      <c r="H16">
        <v>0.61939299197128328</v>
      </c>
      <c r="I16">
        <v>0.64825441166920861</v>
      </c>
      <c r="J16">
        <v>-0.22604791296123961</v>
      </c>
      <c r="K16">
        <v>2.166250221499268</v>
      </c>
      <c r="L16">
        <v>-0.90454783102081882</v>
      </c>
      <c r="M16">
        <v>2.718476319415351</v>
      </c>
      <c r="N16">
        <v>2.6897846276731232</v>
      </c>
      <c r="O16">
        <v>5.9914645471079817</v>
      </c>
      <c r="P16">
        <f t="shared" si="0"/>
        <v>2.8691691742227743E-2</v>
      </c>
      <c r="Q16">
        <f t="shared" si="1"/>
        <v>0.59783700075561974</v>
      </c>
      <c r="R16">
        <f t="shared" si="2"/>
        <v>1</v>
      </c>
      <c r="S16">
        <f t="shared" si="3"/>
        <v>0</v>
      </c>
      <c r="T16">
        <f t="shared" si="4"/>
        <v>0</v>
      </c>
      <c r="U16">
        <f t="shared" si="5"/>
        <v>0</v>
      </c>
      <c r="V16">
        <f t="shared" si="6"/>
        <v>1</v>
      </c>
      <c r="W16">
        <f t="shared" si="7"/>
        <v>1</v>
      </c>
    </row>
    <row r="17" spans="1:23" x14ac:dyDescent="0.25">
      <c r="A17" s="1">
        <v>11</v>
      </c>
      <c r="B17" s="1">
        <v>2021</v>
      </c>
      <c r="C17">
        <v>-1.4174909402989659</v>
      </c>
      <c r="D17">
        <v>0.91776963775355425</v>
      </c>
      <c r="E17">
        <v>0.72251178918984926</v>
      </c>
      <c r="F17">
        <v>0.7959744903594157</v>
      </c>
      <c r="G17">
        <v>0.75902854967345812</v>
      </c>
      <c r="H17">
        <v>0.54563276527139615</v>
      </c>
      <c r="I17">
        <v>0.61939299197128328</v>
      </c>
      <c r="J17">
        <v>0.31564239935359079</v>
      </c>
      <c r="K17">
        <v>2.166250221499268</v>
      </c>
      <c r="L17">
        <v>-0.88493854765177082</v>
      </c>
      <c r="M17">
        <v>2.7052698750374469</v>
      </c>
      <c r="N17">
        <v>2.708055757190762</v>
      </c>
      <c r="O17">
        <v>6.6846117276679271</v>
      </c>
      <c r="P17">
        <f t="shared" si="0"/>
        <v>-2.7858821533151001E-3</v>
      </c>
      <c r="Q17">
        <f t="shared" si="1"/>
        <v>0.6931471805599454</v>
      </c>
      <c r="R17">
        <f t="shared" si="2"/>
        <v>1</v>
      </c>
      <c r="S17">
        <f t="shared" si="3"/>
        <v>0</v>
      </c>
      <c r="T17">
        <f t="shared" si="4"/>
        <v>0</v>
      </c>
      <c r="U17">
        <f t="shared" si="5"/>
        <v>0</v>
      </c>
      <c r="V17">
        <f t="shared" si="6"/>
        <v>0</v>
      </c>
      <c r="W17">
        <f t="shared" si="7"/>
        <v>1</v>
      </c>
    </row>
    <row r="18" spans="1:23" x14ac:dyDescent="0.25">
      <c r="A18" s="1">
        <v>11</v>
      </c>
      <c r="B18" s="1">
        <v>2022</v>
      </c>
      <c r="C18">
        <v>-1.370120701773238</v>
      </c>
      <c r="D18">
        <v>0.91948562277067425</v>
      </c>
      <c r="E18">
        <v>0.91776963775355425</v>
      </c>
      <c r="F18">
        <v>0.72251178918984926</v>
      </c>
      <c r="G18">
        <v>0.79443943204181766</v>
      </c>
      <c r="H18">
        <v>0.75902854967345812</v>
      </c>
      <c r="I18">
        <v>0.54563276527139615</v>
      </c>
      <c r="J18">
        <v>0.83526807990957463</v>
      </c>
      <c r="K18">
        <v>2.166250221499268</v>
      </c>
      <c r="L18">
        <v>-0.85720866088653058</v>
      </c>
      <c r="M18">
        <v>2.761330092439426</v>
      </c>
      <c r="N18">
        <v>2.7052698750374469</v>
      </c>
      <c r="O18">
        <v>8.0551577318196781</v>
      </c>
      <c r="P18">
        <f t="shared" si="0"/>
        <v>5.6060217401979084E-2</v>
      </c>
      <c r="Q18">
        <f t="shared" si="1"/>
        <v>1.370546004151751</v>
      </c>
      <c r="R18">
        <f t="shared" si="2"/>
        <v>1</v>
      </c>
      <c r="S18">
        <f t="shared" si="3"/>
        <v>0</v>
      </c>
      <c r="T18">
        <f t="shared" si="4"/>
        <v>0</v>
      </c>
      <c r="U18">
        <f t="shared" si="5"/>
        <v>0</v>
      </c>
      <c r="V18">
        <f t="shared" si="6"/>
        <v>0</v>
      </c>
      <c r="W18">
        <f t="shared" si="7"/>
        <v>0</v>
      </c>
    </row>
    <row r="19" spans="1:23" x14ac:dyDescent="0.25">
      <c r="A19" s="1">
        <v>11</v>
      </c>
      <c r="B19" s="1">
        <v>2023</v>
      </c>
      <c r="C19">
        <v>-1.3339252000932049</v>
      </c>
      <c r="D19">
        <v>0.84822600096002576</v>
      </c>
      <c r="E19">
        <v>0.91948562277067425</v>
      </c>
      <c r="F19">
        <v>0.91776963775355425</v>
      </c>
      <c r="G19">
        <v>0.62919515406742821</v>
      </c>
      <c r="H19">
        <v>0.79443943204181766</v>
      </c>
      <c r="I19">
        <v>0.75902854967345812</v>
      </c>
      <c r="J19">
        <v>1.4276902077177129</v>
      </c>
      <c r="K19">
        <v>2.166250221499268</v>
      </c>
      <c r="L19">
        <v>-0.83111700997942339</v>
      </c>
      <c r="M19">
        <v>2.8461047606429259</v>
      </c>
      <c r="N19">
        <v>2.761330092439426</v>
      </c>
      <c r="O19">
        <v>8.4658998970286863</v>
      </c>
      <c r="P19">
        <f t="shared" si="0"/>
        <v>8.4774668203499992E-2</v>
      </c>
      <c r="Q19">
        <f t="shared" si="1"/>
        <v>0.41074216520900819</v>
      </c>
      <c r="R19">
        <f t="shared" si="2"/>
        <v>1</v>
      </c>
      <c r="S19">
        <f t="shared" si="3"/>
        <v>0</v>
      </c>
      <c r="T19">
        <f t="shared" si="4"/>
        <v>0</v>
      </c>
      <c r="U19">
        <f t="shared" si="5"/>
        <v>0</v>
      </c>
      <c r="V19">
        <f t="shared" si="6"/>
        <v>0</v>
      </c>
      <c r="W19">
        <f t="shared" si="7"/>
        <v>0</v>
      </c>
    </row>
    <row r="20" spans="1:23" x14ac:dyDescent="0.25">
      <c r="A20" s="1">
        <v>12</v>
      </c>
      <c r="B20" s="1">
        <v>2006</v>
      </c>
      <c r="C20">
        <v>-2.540522743776382</v>
      </c>
      <c r="D20">
        <v>1.0784095813505901</v>
      </c>
      <c r="E20">
        <v>1.0092344775168931</v>
      </c>
      <c r="F20">
        <v>0.99047013004840656</v>
      </c>
      <c r="G20">
        <v>0.81536481328419441</v>
      </c>
      <c r="H20">
        <v>0.69873155885384597</v>
      </c>
      <c r="I20">
        <v>0.70146251216365918</v>
      </c>
      <c r="J20">
        <v>-16.11809565095832</v>
      </c>
      <c r="K20">
        <v>1.89659895370424</v>
      </c>
      <c r="L20">
        <v>-2.4595923370301058</v>
      </c>
      <c r="M20">
        <v>2.2133343213516978</v>
      </c>
      <c r="N20">
        <v>2.1982281424695489</v>
      </c>
      <c r="O20">
        <v>-11.51292546497023</v>
      </c>
      <c r="P20">
        <f t="shared" si="0"/>
        <v>1.5106178882148935E-2</v>
      </c>
      <c r="Q20">
        <f t="shared" si="1"/>
        <v>0</v>
      </c>
      <c r="R20">
        <f t="shared" si="2"/>
        <v>1</v>
      </c>
      <c r="S20">
        <f t="shared" si="3"/>
        <v>0</v>
      </c>
      <c r="T20">
        <f t="shared" si="4"/>
        <v>0</v>
      </c>
      <c r="U20">
        <f t="shared" si="5"/>
        <v>0</v>
      </c>
      <c r="V20">
        <f t="shared" si="6"/>
        <v>0</v>
      </c>
      <c r="W20">
        <f t="shared" si="7"/>
        <v>0</v>
      </c>
    </row>
    <row r="21" spans="1:23" x14ac:dyDescent="0.25">
      <c r="A21" s="1">
        <v>12</v>
      </c>
      <c r="B21" s="1">
        <v>2007</v>
      </c>
      <c r="C21">
        <v>-2.4329042894116562</v>
      </c>
      <c r="D21">
        <v>1.027939435373064</v>
      </c>
      <c r="E21">
        <v>1.0784095813505901</v>
      </c>
      <c r="F21">
        <v>1.0092344775168931</v>
      </c>
      <c r="G21">
        <v>0.68390459919301272</v>
      </c>
      <c r="H21">
        <v>0.81536481328419441</v>
      </c>
      <c r="I21">
        <v>0.69873155885384597</v>
      </c>
      <c r="J21">
        <v>-16.11809565095832</v>
      </c>
      <c r="K21">
        <v>1.89659895370424</v>
      </c>
      <c r="L21">
        <v>-2.3000771337360129</v>
      </c>
      <c r="M21">
        <v>2.313442845502276</v>
      </c>
      <c r="N21">
        <v>2.218134274509667</v>
      </c>
      <c r="O21">
        <v>-11.51292546497023</v>
      </c>
      <c r="P21">
        <f t="shared" si="0"/>
        <v>9.5308570992608921E-2</v>
      </c>
      <c r="Q21">
        <f t="shared" si="1"/>
        <v>0</v>
      </c>
      <c r="R21">
        <f t="shared" si="2"/>
        <v>1</v>
      </c>
      <c r="S21">
        <f t="shared" si="3"/>
        <v>0</v>
      </c>
      <c r="T21">
        <f t="shared" si="4"/>
        <v>0</v>
      </c>
      <c r="U21">
        <f t="shared" si="5"/>
        <v>0</v>
      </c>
      <c r="V21">
        <f t="shared" si="6"/>
        <v>0</v>
      </c>
      <c r="W21">
        <f t="shared" si="7"/>
        <v>0</v>
      </c>
    </row>
    <row r="22" spans="1:23" x14ac:dyDescent="0.25">
      <c r="A22" s="1">
        <v>12</v>
      </c>
      <c r="B22" s="1">
        <v>2008</v>
      </c>
      <c r="C22">
        <v>-2.27425156337357</v>
      </c>
      <c r="D22">
        <v>0.98760623729075003</v>
      </c>
      <c r="E22">
        <v>1.027939435373064</v>
      </c>
      <c r="F22">
        <v>1.0784095813505901</v>
      </c>
      <c r="G22">
        <v>0.64095874881435921</v>
      </c>
      <c r="H22">
        <v>0.68390459919301272</v>
      </c>
      <c r="I22">
        <v>0.81536481328419441</v>
      </c>
      <c r="J22">
        <v>-16.11809565095832</v>
      </c>
      <c r="K22">
        <v>1.89659895370424</v>
      </c>
      <c r="L22">
        <v>-2.1314025549806082</v>
      </c>
      <c r="M22">
        <v>2.3949085330761819</v>
      </c>
      <c r="N22">
        <v>2.3182674198025608</v>
      </c>
      <c r="O22">
        <v>-11.51292546497023</v>
      </c>
      <c r="P22">
        <f t="shared" si="0"/>
        <v>7.6641113273621109E-2</v>
      </c>
      <c r="Q22">
        <f t="shared" si="1"/>
        <v>0</v>
      </c>
      <c r="R22">
        <f t="shared" si="2"/>
        <v>1</v>
      </c>
      <c r="S22">
        <f t="shared" si="3"/>
        <v>0</v>
      </c>
      <c r="T22">
        <f t="shared" si="4"/>
        <v>0</v>
      </c>
      <c r="U22">
        <f t="shared" si="5"/>
        <v>0</v>
      </c>
      <c r="V22">
        <f t="shared" si="6"/>
        <v>0</v>
      </c>
      <c r="W22">
        <f t="shared" si="7"/>
        <v>0</v>
      </c>
    </row>
    <row r="23" spans="1:23" x14ac:dyDescent="0.25">
      <c r="A23" s="1">
        <v>12</v>
      </c>
      <c r="B23" s="1">
        <v>2009</v>
      </c>
      <c r="C23">
        <v>-2.2112330407058809</v>
      </c>
      <c r="D23">
        <v>0.94542225838040261</v>
      </c>
      <c r="E23">
        <v>0.98760623729075003</v>
      </c>
      <c r="F23">
        <v>1.027939435373064</v>
      </c>
      <c r="G23">
        <v>0.60355064674818915</v>
      </c>
      <c r="H23">
        <v>0.64095874881435921</v>
      </c>
      <c r="I23">
        <v>0.68390459919301272</v>
      </c>
      <c r="J23">
        <v>-16.11809565095832</v>
      </c>
      <c r="K23">
        <v>1.89659895370424</v>
      </c>
      <c r="L23">
        <v>-1.97417015913311</v>
      </c>
      <c r="M23">
        <v>2.4528339580987599</v>
      </c>
      <c r="N23">
        <v>2.3787807862614101</v>
      </c>
      <c r="O23">
        <v>-11.51292546497023</v>
      </c>
      <c r="P23">
        <f t="shared" si="0"/>
        <v>7.4053171837349829E-2</v>
      </c>
      <c r="Q23">
        <f t="shared" si="1"/>
        <v>0</v>
      </c>
      <c r="R23">
        <f t="shared" si="2"/>
        <v>1</v>
      </c>
      <c r="S23">
        <f t="shared" si="3"/>
        <v>0</v>
      </c>
      <c r="T23">
        <f t="shared" si="4"/>
        <v>0</v>
      </c>
      <c r="U23">
        <f t="shared" si="5"/>
        <v>0</v>
      </c>
      <c r="V23">
        <f t="shared" si="6"/>
        <v>0</v>
      </c>
      <c r="W23">
        <f t="shared" si="7"/>
        <v>0</v>
      </c>
    </row>
    <row r="24" spans="1:23" x14ac:dyDescent="0.25">
      <c r="A24" s="1">
        <v>12</v>
      </c>
      <c r="B24" s="1">
        <v>2010</v>
      </c>
      <c r="C24">
        <v>-2.0238197630288082</v>
      </c>
      <c r="D24">
        <v>0.89469930563067901</v>
      </c>
      <c r="E24">
        <v>0.94542225838040261</v>
      </c>
      <c r="F24">
        <v>0.98760623729075003</v>
      </c>
      <c r="G24">
        <v>0.67904825618044362</v>
      </c>
      <c r="H24">
        <v>0.60355064674818915</v>
      </c>
      <c r="I24">
        <v>0.64095874881435921</v>
      </c>
      <c r="J24">
        <v>-6.5775261137723211</v>
      </c>
      <c r="K24">
        <v>1.89659895370424</v>
      </c>
      <c r="L24">
        <v>-1.851129937016835</v>
      </c>
      <c r="M24">
        <v>2.451574835691376</v>
      </c>
      <c r="N24">
        <v>2.4136386773470888</v>
      </c>
      <c r="O24">
        <v>-11.51292546497023</v>
      </c>
      <c r="P24">
        <f t="shared" si="0"/>
        <v>3.7936158344287207E-2</v>
      </c>
      <c r="Q24">
        <f t="shared" si="1"/>
        <v>0</v>
      </c>
      <c r="R24">
        <f t="shared" si="2"/>
        <v>1</v>
      </c>
      <c r="S24">
        <f t="shared" si="3"/>
        <v>0</v>
      </c>
      <c r="T24">
        <f t="shared" si="4"/>
        <v>0</v>
      </c>
      <c r="U24">
        <f t="shared" si="5"/>
        <v>0</v>
      </c>
      <c r="V24">
        <f t="shared" si="6"/>
        <v>0</v>
      </c>
      <c r="W24">
        <f t="shared" si="7"/>
        <v>0</v>
      </c>
    </row>
    <row r="25" spans="1:23" x14ac:dyDescent="0.25">
      <c r="A25" s="1">
        <v>12</v>
      </c>
      <c r="B25" s="1">
        <v>2011</v>
      </c>
      <c r="C25">
        <v>-1.9428928643946779</v>
      </c>
      <c r="D25">
        <v>0.87108413903607584</v>
      </c>
      <c r="E25">
        <v>0.89469930563067901</v>
      </c>
      <c r="F25">
        <v>0.94542225838040261</v>
      </c>
      <c r="G25">
        <v>0.64872496300719862</v>
      </c>
      <c r="H25">
        <v>0.67904825618044362</v>
      </c>
      <c r="I25">
        <v>0.60355064674818915</v>
      </c>
      <c r="J25">
        <v>-5.0058049802243119</v>
      </c>
      <c r="K25">
        <v>1.89659895370424</v>
      </c>
      <c r="L25">
        <v>-1.7662719913196829</v>
      </c>
      <c r="M25">
        <v>2.4041960497971822</v>
      </c>
      <c r="N25">
        <v>2.413858056805267</v>
      </c>
      <c r="O25">
        <v>-11.51292546497023</v>
      </c>
      <c r="P25">
        <f t="shared" si="0"/>
        <v>-9.6620070080848386E-3</v>
      </c>
      <c r="Q25">
        <f t="shared" si="1"/>
        <v>0</v>
      </c>
      <c r="R25">
        <f t="shared" si="2"/>
        <v>1</v>
      </c>
      <c r="S25">
        <f t="shared" si="3"/>
        <v>0</v>
      </c>
      <c r="T25">
        <f t="shared" si="4"/>
        <v>0</v>
      </c>
      <c r="U25">
        <f t="shared" si="5"/>
        <v>0</v>
      </c>
      <c r="V25">
        <f t="shared" si="6"/>
        <v>0</v>
      </c>
      <c r="W25">
        <f t="shared" si="7"/>
        <v>0</v>
      </c>
    </row>
    <row r="26" spans="1:23" x14ac:dyDescent="0.25">
      <c r="A26" s="1">
        <v>12</v>
      </c>
      <c r="B26" s="1">
        <v>2012</v>
      </c>
      <c r="C26">
        <v>-1.853506372455425</v>
      </c>
      <c r="D26">
        <v>0.82070451397482058</v>
      </c>
      <c r="E26">
        <v>0.87108413903607584</v>
      </c>
      <c r="F26">
        <v>0.89469930563067901</v>
      </c>
      <c r="G26">
        <v>0.60393338001511543</v>
      </c>
      <c r="H26">
        <v>0.64872496300719862</v>
      </c>
      <c r="I26">
        <v>0.67904825618044362</v>
      </c>
      <c r="J26">
        <v>-4.552278246026316</v>
      </c>
      <c r="K26">
        <v>1.89659895370424</v>
      </c>
      <c r="L26">
        <v>-1.681677032607656</v>
      </c>
      <c r="M26">
        <v>2.435977906762917</v>
      </c>
      <c r="N26">
        <v>2.3877191547494352</v>
      </c>
      <c r="O26">
        <v>-11.51292546497023</v>
      </c>
      <c r="P26">
        <f t="shared" si="0"/>
        <v>4.8258752013481843E-2</v>
      </c>
      <c r="Q26">
        <f t="shared" si="1"/>
        <v>0</v>
      </c>
      <c r="R26">
        <f t="shared" si="2"/>
        <v>1</v>
      </c>
      <c r="S26">
        <f t="shared" si="3"/>
        <v>0</v>
      </c>
      <c r="T26">
        <f t="shared" si="4"/>
        <v>0</v>
      </c>
      <c r="U26">
        <f t="shared" si="5"/>
        <v>0</v>
      </c>
      <c r="V26">
        <f t="shared" si="6"/>
        <v>0</v>
      </c>
      <c r="W26">
        <f t="shared" si="7"/>
        <v>0</v>
      </c>
    </row>
    <row r="27" spans="1:23" x14ac:dyDescent="0.25">
      <c r="A27" s="1">
        <v>12</v>
      </c>
      <c r="B27" s="1">
        <v>2013</v>
      </c>
      <c r="C27">
        <v>-1.823798812909148</v>
      </c>
      <c r="D27">
        <v>0.80092477273337637</v>
      </c>
      <c r="E27">
        <v>0.82070451397482058</v>
      </c>
      <c r="F27">
        <v>0.87108413903607584</v>
      </c>
      <c r="G27">
        <v>0.59305056402166012</v>
      </c>
      <c r="H27">
        <v>0.60393338001511543</v>
      </c>
      <c r="I27">
        <v>0.64872496300719862</v>
      </c>
      <c r="J27">
        <v>-3.6590167181892319</v>
      </c>
      <c r="K27">
        <v>1.89659895370424</v>
      </c>
      <c r="L27">
        <v>-1.6211200885215431</v>
      </c>
      <c r="M27">
        <v>2.464379744574213</v>
      </c>
      <c r="N27">
        <v>2.4129487027258469</v>
      </c>
      <c r="O27">
        <v>-11.51292546497023</v>
      </c>
      <c r="P27">
        <f t="shared" si="0"/>
        <v>5.143104184836611E-2</v>
      </c>
      <c r="Q27">
        <f t="shared" si="1"/>
        <v>0</v>
      </c>
      <c r="R27">
        <f t="shared" si="2"/>
        <v>1</v>
      </c>
      <c r="S27">
        <f t="shared" si="3"/>
        <v>0</v>
      </c>
      <c r="T27">
        <f t="shared" si="4"/>
        <v>0</v>
      </c>
      <c r="U27">
        <f t="shared" si="5"/>
        <v>0</v>
      </c>
      <c r="V27">
        <f t="shared" si="6"/>
        <v>0</v>
      </c>
      <c r="W27">
        <f t="shared" si="7"/>
        <v>0</v>
      </c>
    </row>
    <row r="28" spans="1:23" x14ac:dyDescent="0.25">
      <c r="A28" s="1">
        <v>12</v>
      </c>
      <c r="B28" s="1">
        <v>2014</v>
      </c>
      <c r="C28">
        <v>-1.7438080667107489</v>
      </c>
      <c r="D28">
        <v>0.78686518443369713</v>
      </c>
      <c r="E28">
        <v>0.80092477273337637</v>
      </c>
      <c r="F28">
        <v>0.82070451397482058</v>
      </c>
      <c r="G28">
        <v>0.60748035380285359</v>
      </c>
      <c r="H28">
        <v>0.59305056402166012</v>
      </c>
      <c r="I28">
        <v>0.60393338001511543</v>
      </c>
      <c r="J28">
        <v>-2.8879711514722008</v>
      </c>
      <c r="K28">
        <v>1.89659895370424</v>
      </c>
      <c r="L28">
        <v>-1.55917951479725</v>
      </c>
      <c r="M28">
        <v>2.5309753553273722</v>
      </c>
      <c r="N28">
        <v>2.4469679509269722</v>
      </c>
      <c r="O28">
        <v>-11.51292546497023</v>
      </c>
      <c r="P28">
        <f t="shared" si="0"/>
        <v>8.4007404400399999E-2</v>
      </c>
      <c r="Q28">
        <f t="shared" si="1"/>
        <v>0</v>
      </c>
      <c r="R28">
        <f t="shared" si="2"/>
        <v>1</v>
      </c>
      <c r="S28">
        <f t="shared" si="3"/>
        <v>0</v>
      </c>
      <c r="T28">
        <f t="shared" si="4"/>
        <v>0</v>
      </c>
      <c r="U28">
        <f t="shared" si="5"/>
        <v>0</v>
      </c>
      <c r="V28">
        <f t="shared" si="6"/>
        <v>0</v>
      </c>
      <c r="W28">
        <f t="shared" si="7"/>
        <v>0</v>
      </c>
    </row>
    <row r="29" spans="1:23" x14ac:dyDescent="0.25">
      <c r="A29" s="1">
        <v>12</v>
      </c>
      <c r="B29" s="1">
        <v>2015</v>
      </c>
      <c r="C29">
        <v>-1.745503791543106</v>
      </c>
      <c r="D29">
        <v>0.80424122806553211</v>
      </c>
      <c r="E29">
        <v>0.78686518443369713</v>
      </c>
      <c r="F29">
        <v>0.80092477273337637</v>
      </c>
      <c r="G29">
        <v>0.57717500430752455</v>
      </c>
      <c r="H29">
        <v>0.60748035380285359</v>
      </c>
      <c r="I29">
        <v>0.59305056402166012</v>
      </c>
      <c r="J29">
        <v>-2.545858637871083</v>
      </c>
      <c r="K29">
        <v>1.89659895370424</v>
      </c>
      <c r="L29">
        <v>-1.50904858212068</v>
      </c>
      <c r="M29">
        <v>2.4533261407057392</v>
      </c>
      <c r="N29">
        <v>2.514142776455218</v>
      </c>
      <c r="O29">
        <v>-11.51292546497023</v>
      </c>
      <c r="P29">
        <f t="shared" si="0"/>
        <v>-6.081663574947882E-2</v>
      </c>
      <c r="Q29">
        <f t="shared" si="1"/>
        <v>0</v>
      </c>
      <c r="R29">
        <f t="shared" si="2"/>
        <v>1</v>
      </c>
      <c r="S29">
        <f t="shared" si="3"/>
        <v>0</v>
      </c>
      <c r="T29">
        <f t="shared" si="4"/>
        <v>0</v>
      </c>
      <c r="U29">
        <f t="shared" si="5"/>
        <v>0</v>
      </c>
      <c r="V29">
        <f t="shared" si="6"/>
        <v>0</v>
      </c>
      <c r="W29">
        <f t="shared" si="7"/>
        <v>1</v>
      </c>
    </row>
    <row r="30" spans="1:23" x14ac:dyDescent="0.25">
      <c r="A30" s="1">
        <v>12</v>
      </c>
      <c r="B30" s="1">
        <v>2016</v>
      </c>
      <c r="C30">
        <v>-1.7866062373763869</v>
      </c>
      <c r="D30">
        <v>0.80629727849260113</v>
      </c>
      <c r="E30">
        <v>0.80424122806553211</v>
      </c>
      <c r="F30">
        <v>0.78686518443369713</v>
      </c>
      <c r="G30">
        <v>0.60671745256155762</v>
      </c>
      <c r="H30">
        <v>0.57717500430752455</v>
      </c>
      <c r="I30">
        <v>0.60748035380285359</v>
      </c>
      <c r="J30">
        <v>-2.2509086162663912</v>
      </c>
      <c r="K30">
        <v>1.89659895370424</v>
      </c>
      <c r="L30">
        <v>-1.479321084465824</v>
      </c>
      <c r="M30">
        <v>2.368745845321349</v>
      </c>
      <c r="N30">
        <v>2.4370635924484572</v>
      </c>
      <c r="O30">
        <v>-11.51292546497023</v>
      </c>
      <c r="P30">
        <f t="shared" si="0"/>
        <v>-6.8317747127108142E-2</v>
      </c>
      <c r="Q30">
        <f t="shared" si="1"/>
        <v>0</v>
      </c>
      <c r="R30">
        <f t="shared" si="2"/>
        <v>1</v>
      </c>
      <c r="S30">
        <f t="shared" si="3"/>
        <v>0</v>
      </c>
      <c r="T30">
        <f t="shared" si="4"/>
        <v>0</v>
      </c>
      <c r="U30">
        <f t="shared" si="5"/>
        <v>0</v>
      </c>
      <c r="V30">
        <f t="shared" si="6"/>
        <v>0</v>
      </c>
      <c r="W30">
        <f t="shared" si="7"/>
        <v>1</v>
      </c>
    </row>
    <row r="31" spans="1:23" x14ac:dyDescent="0.25">
      <c r="A31" s="1">
        <v>12</v>
      </c>
      <c r="B31" s="1">
        <v>2017</v>
      </c>
      <c r="C31">
        <v>-1.803964079196309</v>
      </c>
      <c r="D31">
        <v>0.84346194121881335</v>
      </c>
      <c r="E31">
        <v>0.80629727849260113</v>
      </c>
      <c r="F31">
        <v>0.80424122806553211</v>
      </c>
      <c r="G31">
        <v>0.6634093622959889</v>
      </c>
      <c r="H31">
        <v>0.60671745256155762</v>
      </c>
      <c r="I31">
        <v>0.57717500430752455</v>
      </c>
      <c r="J31">
        <v>-1.6395621942722589</v>
      </c>
      <c r="K31">
        <v>1.89659895370424</v>
      </c>
      <c r="L31">
        <v>-1.449845687397157</v>
      </c>
      <c r="M31">
        <v>2.353997619072592</v>
      </c>
      <c r="N31">
        <v>2.353035198584525</v>
      </c>
      <c r="O31">
        <v>-11.51292546497023</v>
      </c>
      <c r="P31">
        <f t="shared" si="0"/>
        <v>9.6242048806693958E-4</v>
      </c>
      <c r="Q31">
        <f t="shared" si="1"/>
        <v>0</v>
      </c>
      <c r="R31">
        <f t="shared" si="2"/>
        <v>1</v>
      </c>
      <c r="S31">
        <f t="shared" si="3"/>
        <v>0</v>
      </c>
      <c r="T31">
        <f t="shared" si="4"/>
        <v>0</v>
      </c>
      <c r="U31">
        <f t="shared" si="5"/>
        <v>0</v>
      </c>
      <c r="V31">
        <f t="shared" si="6"/>
        <v>0</v>
      </c>
      <c r="W31">
        <f t="shared" si="7"/>
        <v>1</v>
      </c>
    </row>
    <row r="32" spans="1:23" x14ac:dyDescent="0.25">
      <c r="A32" s="1">
        <v>12</v>
      </c>
      <c r="B32" s="1">
        <v>2018</v>
      </c>
      <c r="C32">
        <v>-1.8707615171010761</v>
      </c>
      <c r="D32">
        <v>0.93730830709662494</v>
      </c>
      <c r="E32">
        <v>0.84346194121881335</v>
      </c>
      <c r="F32">
        <v>0.80629727849260113</v>
      </c>
      <c r="G32">
        <v>0.70051993488935849</v>
      </c>
      <c r="H32">
        <v>0.6634093622959889</v>
      </c>
      <c r="I32">
        <v>0.60671745256155762</v>
      </c>
      <c r="J32">
        <v>-1.2704798017012739</v>
      </c>
      <c r="K32">
        <v>1.89659895370424</v>
      </c>
      <c r="L32">
        <v>-1.447486001868977</v>
      </c>
      <c r="M32">
        <v>2.3348805785508659</v>
      </c>
      <c r="N32">
        <v>2.3073161513348381</v>
      </c>
      <c r="O32">
        <v>3.2580965380214821</v>
      </c>
      <c r="P32">
        <f t="shared" si="0"/>
        <v>2.7564427216027809E-2</v>
      </c>
      <c r="Q32">
        <f t="shared" si="1"/>
        <v>14.771022002991712</v>
      </c>
      <c r="R32">
        <f t="shared" si="2"/>
        <v>1</v>
      </c>
      <c r="S32">
        <f t="shared" si="3"/>
        <v>0</v>
      </c>
      <c r="T32">
        <f t="shared" si="4"/>
        <v>0</v>
      </c>
      <c r="U32">
        <f t="shared" si="5"/>
        <v>0</v>
      </c>
      <c r="V32">
        <f t="shared" si="6"/>
        <v>0</v>
      </c>
      <c r="W32">
        <f t="shared" si="7"/>
        <v>1</v>
      </c>
    </row>
    <row r="33" spans="1:23" x14ac:dyDescent="0.25">
      <c r="A33" s="1">
        <v>12</v>
      </c>
      <c r="B33" s="1">
        <v>2019</v>
      </c>
      <c r="C33">
        <v>-1.8548545271126911</v>
      </c>
      <c r="D33">
        <v>0.86865390235854689</v>
      </c>
      <c r="E33">
        <v>0.93730830709662494</v>
      </c>
      <c r="F33">
        <v>0.84346194121881335</v>
      </c>
      <c r="G33">
        <v>0.6634093622959889</v>
      </c>
      <c r="H33">
        <v>0.70051993488935849</v>
      </c>
      <c r="I33">
        <v>0.6634093622959889</v>
      </c>
      <c r="J33">
        <v>-0.58160918310328213</v>
      </c>
      <c r="K33">
        <v>1.89659895370424</v>
      </c>
      <c r="L33">
        <v>-1.413985790649066</v>
      </c>
      <c r="M33">
        <v>2.29834380834231</v>
      </c>
      <c r="N33">
        <v>2.3204102483993698</v>
      </c>
      <c r="O33">
        <v>5.393627546352362</v>
      </c>
      <c r="P33">
        <f t="shared" si="0"/>
        <v>-2.2066440057059822E-2</v>
      </c>
      <c r="Q33">
        <f t="shared" si="1"/>
        <v>2.1355310083308798</v>
      </c>
      <c r="R33">
        <f t="shared" si="2"/>
        <v>1</v>
      </c>
      <c r="S33">
        <f t="shared" si="3"/>
        <v>0</v>
      </c>
      <c r="T33">
        <f t="shared" si="4"/>
        <v>0</v>
      </c>
      <c r="U33">
        <f t="shared" si="5"/>
        <v>0</v>
      </c>
      <c r="V33">
        <f t="shared" si="6"/>
        <v>0</v>
      </c>
      <c r="W33">
        <f t="shared" si="7"/>
        <v>1</v>
      </c>
    </row>
    <row r="34" spans="1:23" x14ac:dyDescent="0.25">
      <c r="A34" s="1">
        <v>12</v>
      </c>
      <c r="B34" s="1">
        <v>2020</v>
      </c>
      <c r="C34">
        <v>-1.88050971510182</v>
      </c>
      <c r="D34">
        <v>0.81823679139876693</v>
      </c>
      <c r="E34">
        <v>0.86865390235854689</v>
      </c>
      <c r="F34">
        <v>0.93730830709662494</v>
      </c>
      <c r="G34">
        <v>0.61917766035977084</v>
      </c>
      <c r="H34">
        <v>0.6634093622959889</v>
      </c>
      <c r="I34">
        <v>0.70051993488935849</v>
      </c>
      <c r="J34">
        <v>2.7054758258881369E-2</v>
      </c>
      <c r="K34">
        <v>1.89659895370424</v>
      </c>
      <c r="L34">
        <v>-1.3876704234500099</v>
      </c>
      <c r="M34">
        <v>2.274248317061752</v>
      </c>
      <c r="N34">
        <v>2.2842308013914758</v>
      </c>
      <c r="O34">
        <v>5.9914645471079817</v>
      </c>
      <c r="P34">
        <f t="shared" si="0"/>
        <v>-9.9824843297238175E-3</v>
      </c>
      <c r="Q34">
        <f t="shared" si="1"/>
        <v>0.59783700075561974</v>
      </c>
      <c r="R34">
        <f t="shared" si="2"/>
        <v>1</v>
      </c>
      <c r="S34">
        <f t="shared" si="3"/>
        <v>0</v>
      </c>
      <c r="T34">
        <f t="shared" si="4"/>
        <v>0</v>
      </c>
      <c r="U34">
        <f t="shared" si="5"/>
        <v>0</v>
      </c>
      <c r="V34">
        <f t="shared" si="6"/>
        <v>1</v>
      </c>
      <c r="W34">
        <f t="shared" si="7"/>
        <v>1</v>
      </c>
    </row>
    <row r="35" spans="1:23" x14ac:dyDescent="0.25">
      <c r="A35" s="1">
        <v>12</v>
      </c>
      <c r="B35" s="1">
        <v>2021</v>
      </c>
      <c r="C35">
        <v>-1.878643824790587</v>
      </c>
      <c r="D35">
        <v>0.99332584434100879</v>
      </c>
      <c r="E35">
        <v>0.81823679139876693</v>
      </c>
      <c r="F35">
        <v>0.86865390235854689</v>
      </c>
      <c r="G35">
        <v>0.81730982318036782</v>
      </c>
      <c r="H35">
        <v>0.61917766035977084</v>
      </c>
      <c r="I35">
        <v>0.6634093622959889</v>
      </c>
      <c r="J35">
        <v>0.70261181834886477</v>
      </c>
      <c r="K35">
        <v>1.89659895370424</v>
      </c>
      <c r="L35">
        <v>-1.364484611240979</v>
      </c>
      <c r="M35">
        <v>2.3980824642529059</v>
      </c>
      <c r="N35">
        <v>2.2604739548329111</v>
      </c>
      <c r="O35">
        <v>6.6846117276679271</v>
      </c>
      <c r="P35">
        <f t="shared" si="0"/>
        <v>0.13760850941999481</v>
      </c>
      <c r="Q35">
        <f t="shared" si="1"/>
        <v>0.6931471805599454</v>
      </c>
      <c r="R35">
        <f t="shared" si="2"/>
        <v>1</v>
      </c>
      <c r="S35">
        <f t="shared" si="3"/>
        <v>0</v>
      </c>
      <c r="T35">
        <f t="shared" si="4"/>
        <v>0</v>
      </c>
      <c r="U35">
        <f t="shared" si="5"/>
        <v>0</v>
      </c>
      <c r="V35">
        <f t="shared" si="6"/>
        <v>0</v>
      </c>
      <c r="W35">
        <f t="shared" si="7"/>
        <v>1</v>
      </c>
    </row>
    <row r="36" spans="1:23" x14ac:dyDescent="0.25">
      <c r="A36" s="1">
        <v>12</v>
      </c>
      <c r="B36" s="1">
        <v>2022</v>
      </c>
      <c r="C36">
        <v>-1.803714186016224</v>
      </c>
      <c r="D36">
        <v>0.96667961740728414</v>
      </c>
      <c r="E36">
        <v>0.99332584434100879</v>
      </c>
      <c r="F36">
        <v>0.81823679139876693</v>
      </c>
      <c r="G36">
        <v>0.77785590848689956</v>
      </c>
      <c r="H36">
        <v>0.81730982318036782</v>
      </c>
      <c r="I36">
        <v>0.61917766035977084</v>
      </c>
      <c r="J36">
        <v>1.185974748438114</v>
      </c>
      <c r="K36">
        <v>1.89659895370424</v>
      </c>
      <c r="L36">
        <v>-1.3314857129553219</v>
      </c>
      <c r="M36">
        <v>2.418150875718347</v>
      </c>
      <c r="N36">
        <v>2.3980824642529059</v>
      </c>
      <c r="O36">
        <v>8.0551577318196781</v>
      </c>
      <c r="P36">
        <f t="shared" si="0"/>
        <v>2.0068411465441027E-2</v>
      </c>
      <c r="Q36">
        <f t="shared" si="1"/>
        <v>1.370546004151751</v>
      </c>
      <c r="R36">
        <f t="shared" si="2"/>
        <v>1</v>
      </c>
      <c r="S36">
        <f t="shared" si="3"/>
        <v>0</v>
      </c>
      <c r="T36">
        <f t="shared" si="4"/>
        <v>0</v>
      </c>
      <c r="U36">
        <f t="shared" si="5"/>
        <v>0</v>
      </c>
      <c r="V36">
        <f t="shared" si="6"/>
        <v>0</v>
      </c>
      <c r="W36">
        <f t="shared" si="7"/>
        <v>0</v>
      </c>
    </row>
    <row r="37" spans="1:23" x14ac:dyDescent="0.25">
      <c r="A37" s="1">
        <v>12</v>
      </c>
      <c r="B37" s="1">
        <v>2023</v>
      </c>
      <c r="C37">
        <v>-1.763170302088207</v>
      </c>
      <c r="D37">
        <v>0.88232021230300173</v>
      </c>
      <c r="E37">
        <v>0.96667961740728414</v>
      </c>
      <c r="F37">
        <v>0.99332584434100879</v>
      </c>
      <c r="G37">
        <v>0.58070610121419586</v>
      </c>
      <c r="H37">
        <v>0.77785590848689956</v>
      </c>
      <c r="I37">
        <v>0.81730982318036782</v>
      </c>
      <c r="J37">
        <v>1.748137451419546</v>
      </c>
      <c r="K37">
        <v>1.89659895370424</v>
      </c>
      <c r="L37">
        <v>-1.300184285120431</v>
      </c>
      <c r="M37">
        <v>2.4726140688728968</v>
      </c>
      <c r="N37">
        <v>2.418150875718347</v>
      </c>
      <c r="O37">
        <v>8.4658998970286863</v>
      </c>
      <c r="P37">
        <f t="shared" si="0"/>
        <v>5.4463193154549838E-2</v>
      </c>
      <c r="Q37">
        <f t="shared" si="1"/>
        <v>0.41074216520900819</v>
      </c>
      <c r="R37">
        <f t="shared" si="2"/>
        <v>1</v>
      </c>
      <c r="S37">
        <f t="shared" si="3"/>
        <v>0</v>
      </c>
      <c r="T37">
        <f t="shared" si="4"/>
        <v>0</v>
      </c>
      <c r="U37">
        <f t="shared" si="5"/>
        <v>0</v>
      </c>
      <c r="V37">
        <f t="shared" si="6"/>
        <v>0</v>
      </c>
      <c r="W37">
        <f t="shared" si="7"/>
        <v>0</v>
      </c>
    </row>
    <row r="38" spans="1:23" x14ac:dyDescent="0.25">
      <c r="A38" s="1">
        <v>13</v>
      </c>
      <c r="B38" s="1">
        <v>2006</v>
      </c>
      <c r="C38">
        <v>-2.2996931070588582</v>
      </c>
      <c r="D38">
        <v>0.94000725849147115</v>
      </c>
      <c r="E38">
        <v>0.9748237560598092</v>
      </c>
      <c r="F38">
        <v>0.83768033129224362</v>
      </c>
      <c r="G38">
        <v>0.71783979315031676</v>
      </c>
      <c r="H38">
        <v>0.63525320214104264</v>
      </c>
      <c r="I38">
        <v>0.52449181452980531</v>
      </c>
      <c r="J38">
        <v>-16.11809565095832</v>
      </c>
      <c r="K38">
        <v>2.4442681395872339</v>
      </c>
      <c r="L38">
        <v>-2.6013661987380088</v>
      </c>
      <c r="M38">
        <v>2.787953787326388</v>
      </c>
      <c r="N38">
        <v>2.6920901613696402</v>
      </c>
      <c r="O38">
        <v>-11.51292546497023</v>
      </c>
      <c r="P38">
        <f t="shared" si="0"/>
        <v>9.58636259567478E-2</v>
      </c>
      <c r="Q38">
        <f t="shared" si="1"/>
        <v>0</v>
      </c>
      <c r="R38">
        <f t="shared" si="2"/>
        <v>1</v>
      </c>
      <c r="S38">
        <f t="shared" si="3"/>
        <v>0</v>
      </c>
      <c r="T38">
        <f t="shared" si="4"/>
        <v>0</v>
      </c>
      <c r="U38">
        <f t="shared" si="5"/>
        <v>0</v>
      </c>
      <c r="V38">
        <f t="shared" si="6"/>
        <v>0</v>
      </c>
      <c r="W38">
        <f t="shared" si="7"/>
        <v>0</v>
      </c>
    </row>
    <row r="39" spans="1:23" x14ac:dyDescent="0.25">
      <c r="A39" s="1">
        <v>13</v>
      </c>
      <c r="B39" s="1">
        <v>2007</v>
      </c>
      <c r="C39">
        <v>-2.2393959335322</v>
      </c>
      <c r="D39">
        <v>0.86056658310179346</v>
      </c>
      <c r="E39">
        <v>0.94000725849147115</v>
      </c>
      <c r="F39">
        <v>0.9748237560598092</v>
      </c>
      <c r="G39">
        <v>0.52732869586500486</v>
      </c>
      <c r="H39">
        <v>0.71783979315031676</v>
      </c>
      <c r="I39">
        <v>0.63525320214104264</v>
      </c>
      <c r="J39">
        <v>-16.11809565095832</v>
      </c>
      <c r="K39">
        <v>2.4442681395872339</v>
      </c>
      <c r="L39">
        <v>-2.4906512169756301</v>
      </c>
      <c r="M39">
        <v>2.806108713008526</v>
      </c>
      <c r="N39">
        <v>2.7834234781778342</v>
      </c>
      <c r="O39">
        <v>-11.51292546497023</v>
      </c>
      <c r="P39">
        <f t="shared" si="0"/>
        <v>2.2685234830691847E-2</v>
      </c>
      <c r="Q39">
        <f t="shared" si="1"/>
        <v>0</v>
      </c>
      <c r="R39">
        <f t="shared" si="2"/>
        <v>1</v>
      </c>
      <c r="S39">
        <f t="shared" si="3"/>
        <v>0</v>
      </c>
      <c r="T39">
        <f t="shared" si="4"/>
        <v>0</v>
      </c>
      <c r="U39">
        <f t="shared" si="5"/>
        <v>0</v>
      </c>
      <c r="V39">
        <f t="shared" si="6"/>
        <v>0</v>
      </c>
      <c r="W39">
        <f t="shared" si="7"/>
        <v>0</v>
      </c>
    </row>
    <row r="40" spans="1:23" x14ac:dyDescent="0.25">
      <c r="A40" s="1">
        <v>13</v>
      </c>
      <c r="B40" s="1">
        <v>2008</v>
      </c>
      <c r="C40">
        <v>-2.1516233254611739</v>
      </c>
      <c r="D40">
        <v>0.79104491883640526</v>
      </c>
      <c r="E40">
        <v>0.86056658310179346</v>
      </c>
      <c r="F40">
        <v>0.94000725849147115</v>
      </c>
      <c r="G40">
        <v>0.47567501648296739</v>
      </c>
      <c r="H40">
        <v>0.52732869586500486</v>
      </c>
      <c r="I40">
        <v>0.71783979315031676</v>
      </c>
      <c r="J40">
        <v>-16.11809565095832</v>
      </c>
      <c r="K40">
        <v>2.4442681395872339</v>
      </c>
      <c r="L40">
        <v>-2.3800620263891141</v>
      </c>
      <c r="M40">
        <v>2.8187584767341138</v>
      </c>
      <c r="N40">
        <v>2.8015988350361951</v>
      </c>
      <c r="O40">
        <v>-11.51292546497023</v>
      </c>
      <c r="P40">
        <f t="shared" si="0"/>
        <v>1.7159641697918726E-2</v>
      </c>
      <c r="Q40">
        <f t="shared" si="1"/>
        <v>0</v>
      </c>
      <c r="R40">
        <f t="shared" si="2"/>
        <v>1</v>
      </c>
      <c r="S40">
        <f t="shared" si="3"/>
        <v>0</v>
      </c>
      <c r="T40">
        <f t="shared" si="4"/>
        <v>0</v>
      </c>
      <c r="U40">
        <f t="shared" si="5"/>
        <v>0</v>
      </c>
      <c r="V40">
        <f t="shared" si="6"/>
        <v>0</v>
      </c>
      <c r="W40">
        <f t="shared" si="7"/>
        <v>0</v>
      </c>
    </row>
    <row r="41" spans="1:23" x14ac:dyDescent="0.25">
      <c r="A41" s="1">
        <v>13</v>
      </c>
      <c r="B41" s="1">
        <v>2009</v>
      </c>
      <c r="C41">
        <v>-2.129867287589434</v>
      </c>
      <c r="D41">
        <v>0.80074519115796339</v>
      </c>
      <c r="E41">
        <v>0.79104491883640526</v>
      </c>
      <c r="F41">
        <v>0.86056658310179346</v>
      </c>
      <c r="G41">
        <v>0.45018350179642908</v>
      </c>
      <c r="H41">
        <v>0.47567501648296739</v>
      </c>
      <c r="I41">
        <v>0.52732869586500486</v>
      </c>
      <c r="J41">
        <v>-8.129578512186745</v>
      </c>
      <c r="K41">
        <v>2.4442681395872339</v>
      </c>
      <c r="L41">
        <v>-2.2873741230265301</v>
      </c>
      <c r="M41">
        <v>2.7822075302180531</v>
      </c>
      <c r="N41">
        <v>2.8032335417972489</v>
      </c>
      <c r="O41">
        <v>-11.51292546497023</v>
      </c>
      <c r="P41">
        <f t="shared" si="0"/>
        <v>-2.1026011579195814E-2</v>
      </c>
      <c r="Q41">
        <f t="shared" si="1"/>
        <v>0</v>
      </c>
      <c r="R41">
        <f t="shared" si="2"/>
        <v>1</v>
      </c>
      <c r="S41">
        <f t="shared" si="3"/>
        <v>0</v>
      </c>
      <c r="T41">
        <f t="shared" si="4"/>
        <v>0</v>
      </c>
      <c r="U41">
        <f t="shared" si="5"/>
        <v>0</v>
      </c>
      <c r="V41">
        <f t="shared" si="6"/>
        <v>0</v>
      </c>
      <c r="W41">
        <f t="shared" si="7"/>
        <v>0</v>
      </c>
    </row>
    <row r="42" spans="1:23" x14ac:dyDescent="0.25">
      <c r="A42" s="1">
        <v>13</v>
      </c>
      <c r="B42" s="1">
        <v>2010</v>
      </c>
      <c r="C42">
        <v>-2.00078354198634</v>
      </c>
      <c r="D42">
        <v>0.75879446179580023</v>
      </c>
      <c r="E42">
        <v>0.80074519115796339</v>
      </c>
      <c r="F42">
        <v>0.79104491883640526</v>
      </c>
      <c r="G42">
        <v>0.50748003351489412</v>
      </c>
      <c r="H42">
        <v>0.45018350179642908</v>
      </c>
      <c r="I42">
        <v>0.47567501648296739</v>
      </c>
      <c r="J42">
        <v>-7.4575740900194392</v>
      </c>
      <c r="K42">
        <v>2.4442681395872339</v>
      </c>
      <c r="L42">
        <v>-2.1949797606311301</v>
      </c>
      <c r="M42">
        <v>2.865891463940804</v>
      </c>
      <c r="N42">
        <v>2.7610647718254149</v>
      </c>
      <c r="O42">
        <v>-11.51292546497023</v>
      </c>
      <c r="P42">
        <f t="shared" si="0"/>
        <v>0.10482669211538909</v>
      </c>
      <c r="Q42">
        <f t="shared" si="1"/>
        <v>0</v>
      </c>
      <c r="R42">
        <f t="shared" si="2"/>
        <v>1</v>
      </c>
      <c r="S42">
        <f t="shared" si="3"/>
        <v>0</v>
      </c>
      <c r="T42">
        <f t="shared" si="4"/>
        <v>0</v>
      </c>
      <c r="U42">
        <f t="shared" si="5"/>
        <v>0</v>
      </c>
      <c r="V42">
        <f t="shared" si="6"/>
        <v>0</v>
      </c>
      <c r="W42">
        <f t="shared" si="7"/>
        <v>0</v>
      </c>
    </row>
    <row r="43" spans="1:23" x14ac:dyDescent="0.25">
      <c r="A43" s="1">
        <v>13</v>
      </c>
      <c r="B43" s="1">
        <v>2011</v>
      </c>
      <c r="C43">
        <v>-1.9149948690867109</v>
      </c>
      <c r="D43">
        <v>0.75888810352262204</v>
      </c>
      <c r="E43">
        <v>0.75879446179580023</v>
      </c>
      <c r="F43">
        <v>0.80074519115796339</v>
      </c>
      <c r="G43">
        <v>0.56502967777950286</v>
      </c>
      <c r="H43">
        <v>0.50748003351489412</v>
      </c>
      <c r="I43">
        <v>0.45018350179642908</v>
      </c>
      <c r="J43">
        <v>-5.974201675234224</v>
      </c>
      <c r="K43">
        <v>2.4442681395872339</v>
      </c>
      <c r="L43">
        <v>-2.1132146873506201</v>
      </c>
      <c r="M43">
        <v>2.9153544314711932</v>
      </c>
      <c r="N43">
        <v>2.8451864819496779</v>
      </c>
      <c r="O43">
        <v>-11.51292546497023</v>
      </c>
      <c r="P43">
        <f t="shared" si="0"/>
        <v>7.0167949521515283E-2</v>
      </c>
      <c r="Q43">
        <f t="shared" si="1"/>
        <v>0</v>
      </c>
      <c r="R43">
        <f t="shared" si="2"/>
        <v>1</v>
      </c>
      <c r="S43">
        <f t="shared" si="3"/>
        <v>0</v>
      </c>
      <c r="T43">
        <f t="shared" si="4"/>
        <v>0</v>
      </c>
      <c r="U43">
        <f t="shared" si="5"/>
        <v>0</v>
      </c>
      <c r="V43">
        <f t="shared" si="6"/>
        <v>0</v>
      </c>
      <c r="W43">
        <f t="shared" si="7"/>
        <v>0</v>
      </c>
    </row>
    <row r="44" spans="1:23" x14ac:dyDescent="0.25">
      <c r="A44" s="1">
        <v>13</v>
      </c>
      <c r="B44" s="1">
        <v>2012</v>
      </c>
      <c r="C44">
        <v>-1.8416043500428281</v>
      </c>
      <c r="D44">
        <v>0.74093684439579388</v>
      </c>
      <c r="E44">
        <v>0.75888810352262204</v>
      </c>
      <c r="F44">
        <v>0.75879446179580023</v>
      </c>
      <c r="G44">
        <v>0.52555658836598484</v>
      </c>
      <c r="H44">
        <v>0.56502967777950286</v>
      </c>
      <c r="I44">
        <v>0.50748003351489412</v>
      </c>
      <c r="J44">
        <v>-5.6212324596463992</v>
      </c>
      <c r="K44">
        <v>2.4442681395872339</v>
      </c>
      <c r="L44">
        <v>-2.039432947274388</v>
      </c>
      <c r="M44">
        <v>2.8452638329088011</v>
      </c>
      <c r="N44">
        <v>2.9005988669337039</v>
      </c>
      <c r="O44">
        <v>-11.51292546497023</v>
      </c>
      <c r="P44">
        <f t="shared" si="0"/>
        <v>-5.5335034024902807E-2</v>
      </c>
      <c r="Q44">
        <f t="shared" si="1"/>
        <v>0</v>
      </c>
      <c r="R44">
        <f t="shared" si="2"/>
        <v>1</v>
      </c>
      <c r="S44">
        <f t="shared" si="3"/>
        <v>0</v>
      </c>
      <c r="T44">
        <f t="shared" si="4"/>
        <v>0</v>
      </c>
      <c r="U44">
        <f t="shared" si="5"/>
        <v>0</v>
      </c>
      <c r="V44">
        <f t="shared" si="6"/>
        <v>0</v>
      </c>
      <c r="W44">
        <f t="shared" si="7"/>
        <v>0</v>
      </c>
    </row>
    <row r="45" spans="1:23" x14ac:dyDescent="0.25">
      <c r="A45" s="1">
        <v>13</v>
      </c>
      <c r="B45" s="1">
        <v>2013</v>
      </c>
      <c r="C45">
        <v>-1.8634470711147311</v>
      </c>
      <c r="D45">
        <v>0.7175470673834804</v>
      </c>
      <c r="E45">
        <v>0.74093684439579388</v>
      </c>
      <c r="F45">
        <v>0.75888810352262204</v>
      </c>
      <c r="G45">
        <v>0.51018541887856739</v>
      </c>
      <c r="H45">
        <v>0.52555658836598484</v>
      </c>
      <c r="I45">
        <v>0.56502967777950286</v>
      </c>
      <c r="J45">
        <v>-4.8436412682355856</v>
      </c>
      <c r="K45">
        <v>2.4442681395872339</v>
      </c>
      <c r="L45">
        <v>-2.0111046236770722</v>
      </c>
      <c r="M45">
        <v>2.8536702634377278</v>
      </c>
      <c r="N45">
        <v>2.78660700011898</v>
      </c>
      <c r="O45">
        <v>-11.51292546497023</v>
      </c>
      <c r="P45">
        <f t="shared" si="0"/>
        <v>6.706326331874779E-2</v>
      </c>
      <c r="Q45">
        <f t="shared" si="1"/>
        <v>0</v>
      </c>
      <c r="R45">
        <f t="shared" si="2"/>
        <v>1</v>
      </c>
      <c r="S45">
        <f t="shared" si="3"/>
        <v>0</v>
      </c>
      <c r="T45">
        <f t="shared" si="4"/>
        <v>0</v>
      </c>
      <c r="U45">
        <f t="shared" si="5"/>
        <v>0</v>
      </c>
      <c r="V45">
        <f t="shared" si="6"/>
        <v>0</v>
      </c>
      <c r="W45">
        <f t="shared" si="7"/>
        <v>0</v>
      </c>
    </row>
    <row r="46" spans="1:23" x14ac:dyDescent="0.25">
      <c r="A46" s="1">
        <v>13</v>
      </c>
      <c r="B46" s="1">
        <v>2014</v>
      </c>
      <c r="C46">
        <v>-1.820465575274167</v>
      </c>
      <c r="D46">
        <v>0.71069235977569423</v>
      </c>
      <c r="E46">
        <v>0.7175470673834804</v>
      </c>
      <c r="F46">
        <v>0.74093684439579388</v>
      </c>
      <c r="G46">
        <v>0.49231536100689388</v>
      </c>
      <c r="H46">
        <v>0.51018541887856739</v>
      </c>
      <c r="I46">
        <v>0.52555658836598484</v>
      </c>
      <c r="J46">
        <v>-4.2015334915193838</v>
      </c>
      <c r="K46">
        <v>2.4442681395872339</v>
      </c>
      <c r="L46">
        <v>-1.950555716804877</v>
      </c>
      <c r="M46">
        <v>2.8036262076416598</v>
      </c>
      <c r="N46">
        <v>2.8365324112696699</v>
      </c>
      <c r="O46">
        <v>-11.51292546497023</v>
      </c>
      <c r="P46">
        <f t="shared" si="0"/>
        <v>-3.2906203628010111E-2</v>
      </c>
      <c r="Q46">
        <f t="shared" si="1"/>
        <v>0</v>
      </c>
      <c r="R46">
        <f t="shared" si="2"/>
        <v>1</v>
      </c>
      <c r="S46">
        <f t="shared" si="3"/>
        <v>0</v>
      </c>
      <c r="T46">
        <f t="shared" si="4"/>
        <v>0</v>
      </c>
      <c r="U46">
        <f t="shared" si="5"/>
        <v>0</v>
      </c>
      <c r="V46">
        <f t="shared" si="6"/>
        <v>0</v>
      </c>
      <c r="W46">
        <f t="shared" si="7"/>
        <v>0</v>
      </c>
    </row>
    <row r="47" spans="1:23" x14ac:dyDescent="0.25">
      <c r="A47" s="1">
        <v>13</v>
      </c>
      <c r="B47" s="1">
        <v>2015</v>
      </c>
      <c r="C47">
        <v>-1.85331490022868</v>
      </c>
      <c r="D47">
        <v>0.74246101711286649</v>
      </c>
      <c r="E47">
        <v>0.71069235977569423</v>
      </c>
      <c r="F47">
        <v>0.7175470673834804</v>
      </c>
      <c r="G47">
        <v>0.4848306634889048</v>
      </c>
      <c r="H47">
        <v>0.49231536100689388</v>
      </c>
      <c r="I47">
        <v>0.51018541887856739</v>
      </c>
      <c r="J47">
        <v>-3.8717943307937941</v>
      </c>
      <c r="K47">
        <v>2.4442681395872339</v>
      </c>
      <c r="L47">
        <v>-1.915266532969788</v>
      </c>
      <c r="M47">
        <v>2.712993278238522</v>
      </c>
      <c r="N47">
        <v>2.787089131649414</v>
      </c>
      <c r="O47">
        <v>-11.51292546497023</v>
      </c>
      <c r="P47">
        <f t="shared" si="0"/>
        <v>-7.4095853410891976E-2</v>
      </c>
      <c r="Q47">
        <f t="shared" si="1"/>
        <v>0</v>
      </c>
      <c r="R47">
        <f t="shared" si="2"/>
        <v>1</v>
      </c>
      <c r="S47">
        <f t="shared" si="3"/>
        <v>0</v>
      </c>
      <c r="T47">
        <f t="shared" si="4"/>
        <v>0</v>
      </c>
      <c r="U47">
        <f t="shared" si="5"/>
        <v>0</v>
      </c>
      <c r="V47">
        <f t="shared" si="6"/>
        <v>0</v>
      </c>
      <c r="W47">
        <f t="shared" si="7"/>
        <v>1</v>
      </c>
    </row>
    <row r="48" spans="1:23" x14ac:dyDescent="0.25">
      <c r="A48" s="1">
        <v>13</v>
      </c>
      <c r="B48" s="1">
        <v>2016</v>
      </c>
      <c r="C48">
        <v>-1.8421449569286059</v>
      </c>
      <c r="D48">
        <v>0.71417454775202094</v>
      </c>
      <c r="E48">
        <v>0.74246101711286649</v>
      </c>
      <c r="F48">
        <v>0.71069235977569423</v>
      </c>
      <c r="G48">
        <v>0.5886196512060109</v>
      </c>
      <c r="H48">
        <v>0.4848306634889048</v>
      </c>
      <c r="I48">
        <v>0.49231536100689388</v>
      </c>
      <c r="J48">
        <v>-3.5582678548913709</v>
      </c>
      <c r="K48">
        <v>2.4442681395872339</v>
      </c>
      <c r="L48">
        <v>-1.898090134548438</v>
      </c>
      <c r="M48">
        <v>2.647271572969601</v>
      </c>
      <c r="N48">
        <v>2.6970405530106989</v>
      </c>
      <c r="O48">
        <v>-11.51292546497023</v>
      </c>
      <c r="P48">
        <f t="shared" si="0"/>
        <v>-4.9768980041097866E-2</v>
      </c>
      <c r="Q48">
        <f t="shared" si="1"/>
        <v>0</v>
      </c>
      <c r="R48">
        <f t="shared" si="2"/>
        <v>1</v>
      </c>
      <c r="S48">
        <f t="shared" si="3"/>
        <v>0</v>
      </c>
      <c r="T48">
        <f t="shared" si="4"/>
        <v>0</v>
      </c>
      <c r="U48">
        <f t="shared" si="5"/>
        <v>0</v>
      </c>
      <c r="V48">
        <f t="shared" si="6"/>
        <v>0</v>
      </c>
      <c r="W48">
        <f t="shared" si="7"/>
        <v>1</v>
      </c>
    </row>
    <row r="49" spans="1:23" x14ac:dyDescent="0.25">
      <c r="A49" s="1">
        <v>13</v>
      </c>
      <c r="B49" s="1">
        <v>2017</v>
      </c>
      <c r="C49">
        <v>-1.8414703029534769</v>
      </c>
      <c r="D49">
        <v>0.70631016708622618</v>
      </c>
      <c r="E49">
        <v>0.71417454775202094</v>
      </c>
      <c r="F49">
        <v>0.74246101711286649</v>
      </c>
      <c r="G49">
        <v>0.55652530301698111</v>
      </c>
      <c r="H49">
        <v>0.5886196512060109</v>
      </c>
      <c r="I49">
        <v>0.4848306634889048</v>
      </c>
      <c r="J49">
        <v>-2.9391899763047791</v>
      </c>
      <c r="K49">
        <v>2.4442681395872339</v>
      </c>
      <c r="L49">
        <v>-1.8769940266480141</v>
      </c>
      <c r="M49">
        <v>2.6419495295814581</v>
      </c>
      <c r="N49">
        <v>2.631909871823026</v>
      </c>
      <c r="O49">
        <v>-11.51292546497023</v>
      </c>
      <c r="P49">
        <f t="shared" si="0"/>
        <v>1.0039657758432075E-2</v>
      </c>
      <c r="Q49">
        <f t="shared" si="1"/>
        <v>0</v>
      </c>
      <c r="R49">
        <f t="shared" si="2"/>
        <v>1</v>
      </c>
      <c r="S49">
        <f t="shared" si="3"/>
        <v>0</v>
      </c>
      <c r="T49">
        <f t="shared" si="4"/>
        <v>0</v>
      </c>
      <c r="U49">
        <f t="shared" si="5"/>
        <v>0</v>
      </c>
      <c r="V49">
        <f t="shared" si="6"/>
        <v>0</v>
      </c>
      <c r="W49">
        <f t="shared" si="7"/>
        <v>1</v>
      </c>
    </row>
    <row r="50" spans="1:23" x14ac:dyDescent="0.25">
      <c r="A50" s="1">
        <v>13</v>
      </c>
      <c r="B50" s="1">
        <v>2018</v>
      </c>
      <c r="C50">
        <v>-1.893715057180644</v>
      </c>
      <c r="D50">
        <v>0.83594797919161656</v>
      </c>
      <c r="E50">
        <v>0.70631016708622618</v>
      </c>
      <c r="F50">
        <v>0.71417454775202094</v>
      </c>
      <c r="G50">
        <v>0.59033896057826329</v>
      </c>
      <c r="H50">
        <v>0.55652530301698111</v>
      </c>
      <c r="I50">
        <v>0.5886196512060109</v>
      </c>
      <c r="J50">
        <v>-2.4850563934778158</v>
      </c>
      <c r="K50">
        <v>2.4442681395872339</v>
      </c>
      <c r="L50">
        <v>-1.8369834954172419</v>
      </c>
      <c r="M50">
        <v>2.6649035890130319</v>
      </c>
      <c r="N50">
        <v>2.6377755229258768</v>
      </c>
      <c r="O50">
        <v>3.2580965380214821</v>
      </c>
      <c r="P50">
        <f t="shared" si="0"/>
        <v>2.7128066087155123E-2</v>
      </c>
      <c r="Q50">
        <f t="shared" si="1"/>
        <v>14.771022002991712</v>
      </c>
      <c r="R50">
        <f t="shared" si="2"/>
        <v>1</v>
      </c>
      <c r="S50">
        <f t="shared" si="3"/>
        <v>0</v>
      </c>
      <c r="T50">
        <f t="shared" si="4"/>
        <v>0</v>
      </c>
      <c r="U50">
        <f t="shared" si="5"/>
        <v>0</v>
      </c>
      <c r="V50">
        <f t="shared" si="6"/>
        <v>0</v>
      </c>
      <c r="W50">
        <f t="shared" si="7"/>
        <v>1</v>
      </c>
    </row>
    <row r="51" spans="1:23" x14ac:dyDescent="0.25">
      <c r="A51" s="1">
        <v>13</v>
      </c>
      <c r="B51" s="1">
        <v>2019</v>
      </c>
      <c r="C51">
        <v>-1.856070637772256</v>
      </c>
      <c r="D51">
        <v>0.72952732465269587</v>
      </c>
      <c r="E51">
        <v>0.83594797919161656</v>
      </c>
      <c r="F51">
        <v>0.70631016708622618</v>
      </c>
      <c r="G51">
        <v>0.50162341300119118</v>
      </c>
      <c r="H51">
        <v>0.59033896057826329</v>
      </c>
      <c r="I51">
        <v>0.55652530301698111</v>
      </c>
      <c r="J51">
        <v>-1.740634359736184</v>
      </c>
      <c r="K51">
        <v>2.4442681395872339</v>
      </c>
      <c r="L51">
        <v>-1.801472811152566</v>
      </c>
      <c r="M51">
        <v>2.6855146875716001</v>
      </c>
      <c r="N51">
        <v>2.6493447628313511</v>
      </c>
      <c r="O51">
        <v>5.393627546352362</v>
      </c>
      <c r="P51">
        <f t="shared" si="0"/>
        <v>3.6169924740248938E-2</v>
      </c>
      <c r="Q51">
        <f t="shared" si="1"/>
        <v>2.1355310083308798</v>
      </c>
      <c r="R51">
        <f t="shared" si="2"/>
        <v>1</v>
      </c>
      <c r="S51">
        <f t="shared" si="3"/>
        <v>0</v>
      </c>
      <c r="T51">
        <f t="shared" si="4"/>
        <v>0</v>
      </c>
      <c r="U51">
        <f t="shared" si="5"/>
        <v>0</v>
      </c>
      <c r="V51">
        <f t="shared" si="6"/>
        <v>0</v>
      </c>
      <c r="W51">
        <f t="shared" si="7"/>
        <v>1</v>
      </c>
    </row>
    <row r="52" spans="1:23" x14ac:dyDescent="0.25">
      <c r="A52" s="1">
        <v>13</v>
      </c>
      <c r="B52" s="1">
        <v>2020</v>
      </c>
      <c r="C52">
        <v>-1.9054095945747089</v>
      </c>
      <c r="D52">
        <v>0.69708939979256901</v>
      </c>
      <c r="E52">
        <v>0.72952732465269587</v>
      </c>
      <c r="F52">
        <v>0.83594797919161656</v>
      </c>
      <c r="G52">
        <v>0.4633565865239419</v>
      </c>
      <c r="H52">
        <v>0.50162341300119118</v>
      </c>
      <c r="I52">
        <v>0.59033896057826329</v>
      </c>
      <c r="J52">
        <v>-1.117738767835011</v>
      </c>
      <c r="K52">
        <v>2.4442681395872339</v>
      </c>
      <c r="L52">
        <v>-1.772662210141901</v>
      </c>
      <c r="M52">
        <v>2.6776327697878859</v>
      </c>
      <c r="N52">
        <v>2.670400738513004</v>
      </c>
      <c r="O52">
        <v>5.9914645471079817</v>
      </c>
      <c r="P52">
        <f t="shared" si="0"/>
        <v>7.2320312748819227E-3</v>
      </c>
      <c r="Q52">
        <f t="shared" si="1"/>
        <v>0.59783700075561974</v>
      </c>
      <c r="R52">
        <f t="shared" si="2"/>
        <v>1</v>
      </c>
      <c r="S52">
        <f t="shared" si="3"/>
        <v>0</v>
      </c>
      <c r="T52">
        <f t="shared" si="4"/>
        <v>0</v>
      </c>
      <c r="U52">
        <f t="shared" si="5"/>
        <v>0</v>
      </c>
      <c r="V52">
        <f t="shared" si="6"/>
        <v>1</v>
      </c>
      <c r="W52">
        <f t="shared" si="7"/>
        <v>1</v>
      </c>
    </row>
    <row r="53" spans="1:23" x14ac:dyDescent="0.25">
      <c r="A53" s="1">
        <v>13</v>
      </c>
      <c r="B53" s="1">
        <v>2021</v>
      </c>
      <c r="C53">
        <v>-1.9488072066913751</v>
      </c>
      <c r="D53">
        <v>0.87950225842631924</v>
      </c>
      <c r="E53">
        <v>0.69708939979256901</v>
      </c>
      <c r="F53">
        <v>0.72952732465269587</v>
      </c>
      <c r="G53">
        <v>0.64699852453396511</v>
      </c>
      <c r="H53">
        <v>0.4633565865239419</v>
      </c>
      <c r="I53">
        <v>0.50162341300119118</v>
      </c>
      <c r="J53">
        <v>-0.57906484735342401</v>
      </c>
      <c r="K53">
        <v>2.4442681395872339</v>
      </c>
      <c r="L53">
        <v>-1.7476804575463141</v>
      </c>
      <c r="M53">
        <v>2.66576729161737</v>
      </c>
      <c r="N53">
        <v>2.662939620854389</v>
      </c>
      <c r="O53">
        <v>6.6846117276679271</v>
      </c>
      <c r="P53">
        <f t="shared" si="0"/>
        <v>2.8276707629810716E-3</v>
      </c>
      <c r="Q53">
        <f t="shared" si="1"/>
        <v>0.6931471805599454</v>
      </c>
      <c r="R53">
        <f t="shared" si="2"/>
        <v>1</v>
      </c>
      <c r="S53">
        <f t="shared" si="3"/>
        <v>0</v>
      </c>
      <c r="T53">
        <f t="shared" si="4"/>
        <v>0</v>
      </c>
      <c r="U53">
        <f t="shared" si="5"/>
        <v>0</v>
      </c>
      <c r="V53">
        <f t="shared" si="6"/>
        <v>0</v>
      </c>
      <c r="W53">
        <f t="shared" si="7"/>
        <v>1</v>
      </c>
    </row>
    <row r="54" spans="1:23" x14ac:dyDescent="0.25">
      <c r="A54" s="1">
        <v>13</v>
      </c>
      <c r="B54" s="1">
        <v>2022</v>
      </c>
      <c r="C54">
        <v>-1.8916762122875559</v>
      </c>
      <c r="D54">
        <v>0.91788945323785209</v>
      </c>
      <c r="E54">
        <v>0.87950225842631924</v>
      </c>
      <c r="F54">
        <v>0.69708939979256901</v>
      </c>
      <c r="G54">
        <v>0.6722809878785605</v>
      </c>
      <c r="H54">
        <v>0.64699852453396511</v>
      </c>
      <c r="I54">
        <v>0.4633565865239419</v>
      </c>
      <c r="J54">
        <v>-9.9392275493521157E-2</v>
      </c>
      <c r="K54">
        <v>2.4442681395872339</v>
      </c>
      <c r="L54">
        <v>-1.698044026119633</v>
      </c>
      <c r="M54">
        <v>2.6820230415454902</v>
      </c>
      <c r="N54">
        <v>2.66576729161737</v>
      </c>
      <c r="O54">
        <v>8.0551577318196781</v>
      </c>
      <c r="P54">
        <f t="shared" si="0"/>
        <v>1.6255749928120178E-2</v>
      </c>
      <c r="Q54">
        <f t="shared" si="1"/>
        <v>1.370546004151751</v>
      </c>
      <c r="R54">
        <f t="shared" si="2"/>
        <v>1</v>
      </c>
      <c r="S54">
        <f t="shared" si="3"/>
        <v>0</v>
      </c>
      <c r="T54">
        <f t="shared" si="4"/>
        <v>0</v>
      </c>
      <c r="U54">
        <f t="shared" si="5"/>
        <v>0</v>
      </c>
      <c r="V54">
        <f t="shared" si="6"/>
        <v>0</v>
      </c>
      <c r="W54">
        <f t="shared" si="7"/>
        <v>0</v>
      </c>
    </row>
    <row r="55" spans="1:23" x14ac:dyDescent="0.25">
      <c r="A55" s="1">
        <v>13</v>
      </c>
      <c r="B55" s="1">
        <v>2023</v>
      </c>
      <c r="C55">
        <v>-1.9308834614620309</v>
      </c>
      <c r="D55">
        <v>0.87592696568459394</v>
      </c>
      <c r="E55">
        <v>0.91788945323785209</v>
      </c>
      <c r="F55">
        <v>0.87950225842631924</v>
      </c>
      <c r="G55">
        <v>0.55002710596512761</v>
      </c>
      <c r="H55">
        <v>0.6722809878785605</v>
      </c>
      <c r="I55">
        <v>0.64699852453396511</v>
      </c>
      <c r="J55">
        <v>0.46648573499141283</v>
      </c>
      <c r="K55">
        <v>2.4442681395872339</v>
      </c>
      <c r="L55">
        <v>-1.6486901483693741</v>
      </c>
      <c r="M55">
        <v>2.7403429286794632</v>
      </c>
      <c r="N55">
        <v>2.6820230415454902</v>
      </c>
      <c r="O55">
        <v>8.4658998970286863</v>
      </c>
      <c r="P55">
        <f t="shared" si="0"/>
        <v>5.8319887133972959E-2</v>
      </c>
      <c r="Q55">
        <f t="shared" si="1"/>
        <v>0.41074216520900819</v>
      </c>
      <c r="R55">
        <f t="shared" si="2"/>
        <v>1</v>
      </c>
      <c r="S55">
        <f t="shared" si="3"/>
        <v>0</v>
      </c>
      <c r="T55">
        <f t="shared" si="4"/>
        <v>0</v>
      </c>
      <c r="U55">
        <f t="shared" si="5"/>
        <v>0</v>
      </c>
      <c r="V55">
        <f t="shared" si="6"/>
        <v>0</v>
      </c>
      <c r="W55">
        <f t="shared" si="7"/>
        <v>0</v>
      </c>
    </row>
    <row r="56" spans="1:23" x14ac:dyDescent="0.25">
      <c r="A56" s="1">
        <v>14</v>
      </c>
      <c r="B56" s="1">
        <v>2006</v>
      </c>
      <c r="C56">
        <v>-2.1214280261521119</v>
      </c>
      <c r="D56">
        <v>1.050821624831761</v>
      </c>
      <c r="E56">
        <v>0.97093042083247871</v>
      </c>
      <c r="F56">
        <v>0.82342955082286751</v>
      </c>
      <c r="G56">
        <v>0.80200158547202738</v>
      </c>
      <c r="H56">
        <v>0.74388782226312944</v>
      </c>
      <c r="I56">
        <v>0.56866047543694154</v>
      </c>
      <c r="J56">
        <v>-16.11809565095832</v>
      </c>
      <c r="K56">
        <v>0.96965976941242327</v>
      </c>
      <c r="L56">
        <v>-2.0658096230737839</v>
      </c>
      <c r="M56">
        <v>2.5416151197443391</v>
      </c>
      <c r="N56">
        <v>2.4326114046976972</v>
      </c>
      <c r="O56">
        <v>-11.51292546497023</v>
      </c>
      <c r="P56">
        <f t="shared" si="0"/>
        <v>0.10900371504664186</v>
      </c>
      <c r="Q56">
        <f t="shared" si="1"/>
        <v>0</v>
      </c>
      <c r="R56">
        <f t="shared" si="2"/>
        <v>1</v>
      </c>
      <c r="S56">
        <f t="shared" si="3"/>
        <v>0</v>
      </c>
      <c r="T56">
        <f t="shared" si="4"/>
        <v>0</v>
      </c>
      <c r="U56">
        <f t="shared" si="5"/>
        <v>0</v>
      </c>
      <c r="V56">
        <f t="shared" si="6"/>
        <v>0</v>
      </c>
      <c r="W56">
        <f t="shared" si="7"/>
        <v>0</v>
      </c>
    </row>
    <row r="57" spans="1:23" x14ac:dyDescent="0.25">
      <c r="A57" s="1">
        <v>14</v>
      </c>
      <c r="B57" s="1">
        <v>2007</v>
      </c>
      <c r="C57">
        <v>-2.0488611487842991</v>
      </c>
      <c r="D57">
        <v>0.92715153920690085</v>
      </c>
      <c r="E57">
        <v>1.050821624831761</v>
      </c>
      <c r="F57">
        <v>0.97093042083247871</v>
      </c>
      <c r="G57">
        <v>0.67904825618044362</v>
      </c>
      <c r="H57">
        <v>0.80200158547202738</v>
      </c>
      <c r="I57">
        <v>0.74388782226312944</v>
      </c>
      <c r="J57">
        <v>-16.11809565095832</v>
      </c>
      <c r="K57">
        <v>0.96965976941242327</v>
      </c>
      <c r="L57">
        <v>-1.9236342315961601</v>
      </c>
      <c r="M57">
        <v>2.5678029528627571</v>
      </c>
      <c r="N57">
        <v>2.5299808907507249</v>
      </c>
      <c r="O57">
        <v>-11.51292546497023</v>
      </c>
      <c r="P57">
        <f t="shared" si="0"/>
        <v>3.7822062112032206E-2</v>
      </c>
      <c r="Q57">
        <f t="shared" si="1"/>
        <v>0</v>
      </c>
      <c r="R57">
        <f t="shared" si="2"/>
        <v>1</v>
      </c>
      <c r="S57">
        <f t="shared" si="3"/>
        <v>0</v>
      </c>
      <c r="T57">
        <f t="shared" si="4"/>
        <v>0</v>
      </c>
      <c r="U57">
        <f t="shared" si="5"/>
        <v>0</v>
      </c>
      <c r="V57">
        <f t="shared" si="6"/>
        <v>0</v>
      </c>
      <c r="W57">
        <f t="shared" si="7"/>
        <v>0</v>
      </c>
    </row>
    <row r="58" spans="1:23" x14ac:dyDescent="0.25">
      <c r="A58" s="1">
        <v>14</v>
      </c>
      <c r="B58" s="1">
        <v>2008</v>
      </c>
      <c r="C58">
        <v>-1.8916961888322019</v>
      </c>
      <c r="D58">
        <v>0.8885906012318765</v>
      </c>
      <c r="E58">
        <v>0.92715153920690085</v>
      </c>
      <c r="F58">
        <v>1.050821624831761</v>
      </c>
      <c r="G58">
        <v>0.6598488951584307</v>
      </c>
      <c r="H58">
        <v>0.67904825618044362</v>
      </c>
      <c r="I58">
        <v>0.80200158547202738</v>
      </c>
      <c r="J58">
        <v>-16.11809565095832</v>
      </c>
      <c r="K58">
        <v>0.96965976941242327</v>
      </c>
      <c r="L58">
        <v>-1.786369245775409</v>
      </c>
      <c r="M58">
        <v>2.613589893895834</v>
      </c>
      <c r="N58">
        <v>2.5563049465615411</v>
      </c>
      <c r="O58">
        <v>-11.51292546497023</v>
      </c>
      <c r="P58">
        <f t="shared" si="0"/>
        <v>5.7284947334292902E-2</v>
      </c>
      <c r="Q58">
        <f t="shared" si="1"/>
        <v>0</v>
      </c>
      <c r="R58">
        <f t="shared" si="2"/>
        <v>1</v>
      </c>
      <c r="S58">
        <f t="shared" si="3"/>
        <v>0</v>
      </c>
      <c r="T58">
        <f t="shared" si="4"/>
        <v>0</v>
      </c>
      <c r="U58">
        <f t="shared" si="5"/>
        <v>0</v>
      </c>
      <c r="V58">
        <f t="shared" si="6"/>
        <v>0</v>
      </c>
      <c r="W58">
        <f t="shared" si="7"/>
        <v>0</v>
      </c>
    </row>
    <row r="59" spans="1:23" x14ac:dyDescent="0.25">
      <c r="A59" s="1">
        <v>14</v>
      </c>
      <c r="B59" s="1">
        <v>2009</v>
      </c>
      <c r="C59">
        <v>-1.731314898936454</v>
      </c>
      <c r="D59">
        <v>0.85010819341370714</v>
      </c>
      <c r="E59">
        <v>0.8885906012318765</v>
      </c>
      <c r="F59">
        <v>0.92715153920690085</v>
      </c>
      <c r="G59">
        <v>0.6269539578251464</v>
      </c>
      <c r="H59">
        <v>0.6598488951584307</v>
      </c>
      <c r="I59">
        <v>0.67904825618044362</v>
      </c>
      <c r="J59">
        <v>-6.0438174049598743</v>
      </c>
      <c r="K59">
        <v>0.96965976941242327</v>
      </c>
      <c r="L59">
        <v>-1.6727758863447291</v>
      </c>
      <c r="M59">
        <v>2.680348433775428</v>
      </c>
      <c r="N59">
        <v>2.59269452008478</v>
      </c>
      <c r="O59">
        <v>-11.51292546497023</v>
      </c>
      <c r="P59">
        <f t="shared" si="0"/>
        <v>8.7653913690648011E-2</v>
      </c>
      <c r="Q59">
        <f t="shared" si="1"/>
        <v>0</v>
      </c>
      <c r="R59">
        <f t="shared" si="2"/>
        <v>1</v>
      </c>
      <c r="S59">
        <f t="shared" si="3"/>
        <v>0</v>
      </c>
      <c r="T59">
        <f t="shared" si="4"/>
        <v>0</v>
      </c>
      <c r="U59">
        <f t="shared" si="5"/>
        <v>0</v>
      </c>
      <c r="V59">
        <f t="shared" si="6"/>
        <v>0</v>
      </c>
      <c r="W59">
        <f t="shared" si="7"/>
        <v>0</v>
      </c>
    </row>
    <row r="60" spans="1:23" x14ac:dyDescent="0.25">
      <c r="A60" s="1">
        <v>14</v>
      </c>
      <c r="B60" s="1">
        <v>2010</v>
      </c>
      <c r="C60">
        <v>-1.6370132101979851</v>
      </c>
      <c r="D60">
        <v>0.83971201764178083</v>
      </c>
      <c r="E60">
        <v>0.85010819341370714</v>
      </c>
      <c r="F60">
        <v>0.8885906012318765</v>
      </c>
      <c r="G60">
        <v>0.63668264357881876</v>
      </c>
      <c r="H60">
        <v>0.6269539578251464</v>
      </c>
      <c r="I60">
        <v>0.6598488951584307</v>
      </c>
      <c r="J60">
        <v>-6.0886638504851271</v>
      </c>
      <c r="K60">
        <v>0.96965976941242327</v>
      </c>
      <c r="L60">
        <v>-1.5818013322830919</v>
      </c>
      <c r="M60">
        <v>2.712075371742944</v>
      </c>
      <c r="N60">
        <v>2.6355019882501809</v>
      </c>
      <c r="O60">
        <v>-11.51292546497023</v>
      </c>
      <c r="P60">
        <f t="shared" si="0"/>
        <v>7.6573383492763103E-2</v>
      </c>
      <c r="Q60">
        <f t="shared" si="1"/>
        <v>0</v>
      </c>
      <c r="R60">
        <f t="shared" si="2"/>
        <v>1</v>
      </c>
      <c r="S60">
        <f t="shared" si="3"/>
        <v>0</v>
      </c>
      <c r="T60">
        <f t="shared" si="4"/>
        <v>0</v>
      </c>
      <c r="U60">
        <f t="shared" si="5"/>
        <v>0</v>
      </c>
      <c r="V60">
        <f t="shared" si="6"/>
        <v>0</v>
      </c>
      <c r="W60">
        <f t="shared" si="7"/>
        <v>0</v>
      </c>
    </row>
    <row r="61" spans="1:23" x14ac:dyDescent="0.25">
      <c r="A61" s="1">
        <v>14</v>
      </c>
      <c r="B61" s="1">
        <v>2011</v>
      </c>
      <c r="C61">
        <v>-1.6511480036138131</v>
      </c>
      <c r="D61">
        <v>0.78024188741087908</v>
      </c>
      <c r="E61">
        <v>0.83971201764178083</v>
      </c>
      <c r="F61">
        <v>0.85010819341370714</v>
      </c>
      <c r="G61">
        <v>0.63254755843101573</v>
      </c>
      <c r="H61">
        <v>0.63668264357881876</v>
      </c>
      <c r="I61">
        <v>0.6269539578251464</v>
      </c>
      <c r="J61">
        <v>-4.1856749717641</v>
      </c>
      <c r="K61">
        <v>0.96965976941242327</v>
      </c>
      <c r="L61">
        <v>-1.524027786338819</v>
      </c>
      <c r="M61">
        <v>2.6846472020599572</v>
      </c>
      <c r="N61">
        <v>2.6691541014086368</v>
      </c>
      <c r="O61">
        <v>-11.51292546497023</v>
      </c>
      <c r="P61">
        <f t="shared" si="0"/>
        <v>1.5493100651320368E-2</v>
      </c>
      <c r="Q61">
        <f t="shared" si="1"/>
        <v>0</v>
      </c>
      <c r="R61">
        <f t="shared" si="2"/>
        <v>1</v>
      </c>
      <c r="S61">
        <f t="shared" si="3"/>
        <v>0</v>
      </c>
      <c r="T61">
        <f t="shared" si="4"/>
        <v>0</v>
      </c>
      <c r="U61">
        <f t="shared" si="5"/>
        <v>0</v>
      </c>
      <c r="V61">
        <f t="shared" si="6"/>
        <v>0</v>
      </c>
      <c r="W61">
        <f t="shared" si="7"/>
        <v>0</v>
      </c>
    </row>
    <row r="62" spans="1:23" x14ac:dyDescent="0.25">
      <c r="A62" s="1">
        <v>14</v>
      </c>
      <c r="B62" s="1">
        <v>2012</v>
      </c>
      <c r="C62">
        <v>-1.552265536560707</v>
      </c>
      <c r="D62">
        <v>0.73400117456821146</v>
      </c>
      <c r="E62">
        <v>0.78024188741087908</v>
      </c>
      <c r="F62">
        <v>0.83971201764178083</v>
      </c>
      <c r="G62">
        <v>0.61971590247406239</v>
      </c>
      <c r="H62">
        <v>0.63254755843101573</v>
      </c>
      <c r="I62">
        <v>0.63668264357881876</v>
      </c>
      <c r="J62">
        <v>-3.849134322558645</v>
      </c>
      <c r="K62">
        <v>0.96965976941242327</v>
      </c>
      <c r="L62">
        <v>-1.457586424516502</v>
      </c>
      <c r="M62">
        <v>2.6424033786447718</v>
      </c>
      <c r="N62">
        <v>2.6645129073266771</v>
      </c>
      <c r="O62">
        <v>-11.51292546497023</v>
      </c>
      <c r="P62">
        <f t="shared" si="0"/>
        <v>-2.2109528681905299E-2</v>
      </c>
      <c r="Q62">
        <f t="shared" si="1"/>
        <v>0</v>
      </c>
      <c r="R62">
        <f t="shared" si="2"/>
        <v>1</v>
      </c>
      <c r="S62">
        <f t="shared" si="3"/>
        <v>0</v>
      </c>
      <c r="T62">
        <f t="shared" si="4"/>
        <v>0</v>
      </c>
      <c r="U62">
        <f t="shared" si="5"/>
        <v>0</v>
      </c>
      <c r="V62">
        <f t="shared" si="6"/>
        <v>0</v>
      </c>
      <c r="W62">
        <f t="shared" si="7"/>
        <v>0</v>
      </c>
    </row>
    <row r="63" spans="1:23" x14ac:dyDescent="0.25">
      <c r="A63" s="1">
        <v>14</v>
      </c>
      <c r="B63" s="1">
        <v>2013</v>
      </c>
      <c r="C63">
        <v>-1.5003883410751231</v>
      </c>
      <c r="D63">
        <v>0.72420970601176304</v>
      </c>
      <c r="E63">
        <v>0.73400117456821146</v>
      </c>
      <c r="F63">
        <v>0.78024188741087908</v>
      </c>
      <c r="G63">
        <v>0.61550991083279283</v>
      </c>
      <c r="H63">
        <v>0.61971590247406239</v>
      </c>
      <c r="I63">
        <v>0.63254755843101573</v>
      </c>
      <c r="J63">
        <v>-2.932366397932173</v>
      </c>
      <c r="K63">
        <v>0.96965976941242327</v>
      </c>
      <c r="L63">
        <v>-1.4167828025081901</v>
      </c>
      <c r="M63">
        <v>2.687003829487947</v>
      </c>
      <c r="N63">
        <v>2.603659858243808</v>
      </c>
      <c r="O63">
        <v>-11.51292546497023</v>
      </c>
      <c r="P63">
        <f t="shared" si="0"/>
        <v>8.3343971244139059E-2</v>
      </c>
      <c r="Q63">
        <f t="shared" si="1"/>
        <v>0</v>
      </c>
      <c r="R63">
        <f t="shared" si="2"/>
        <v>1</v>
      </c>
      <c r="S63">
        <f t="shared" si="3"/>
        <v>0</v>
      </c>
      <c r="T63">
        <f t="shared" si="4"/>
        <v>0</v>
      </c>
      <c r="U63">
        <f t="shared" si="5"/>
        <v>0</v>
      </c>
      <c r="V63">
        <f t="shared" si="6"/>
        <v>0</v>
      </c>
      <c r="W63">
        <f t="shared" si="7"/>
        <v>0</v>
      </c>
    </row>
    <row r="64" spans="1:23" x14ac:dyDescent="0.25">
      <c r="A64" s="1">
        <v>14</v>
      </c>
      <c r="B64" s="1">
        <v>2014</v>
      </c>
      <c r="C64">
        <v>-1.397781435692395</v>
      </c>
      <c r="D64">
        <v>0.69154589919297138</v>
      </c>
      <c r="E64">
        <v>0.72420970601176304</v>
      </c>
      <c r="F64">
        <v>0.73400117456821146</v>
      </c>
      <c r="G64">
        <v>0.57537664482543749</v>
      </c>
      <c r="H64">
        <v>0.61550991083279283</v>
      </c>
      <c r="I64">
        <v>0.61971590247406239</v>
      </c>
      <c r="J64">
        <v>-2.2964382397407608</v>
      </c>
      <c r="K64">
        <v>0.96965976941242327</v>
      </c>
      <c r="L64">
        <v>-1.360431158802089</v>
      </c>
      <c r="M64">
        <v>2.6717135384811321</v>
      </c>
      <c r="N64">
        <v>2.669005520272695</v>
      </c>
      <c r="O64">
        <v>-11.51292546497023</v>
      </c>
      <c r="P64">
        <f t="shared" si="0"/>
        <v>2.7080182084371351E-3</v>
      </c>
      <c r="Q64">
        <f t="shared" si="1"/>
        <v>0</v>
      </c>
      <c r="R64">
        <f t="shared" si="2"/>
        <v>1</v>
      </c>
      <c r="S64">
        <f t="shared" si="3"/>
        <v>0</v>
      </c>
      <c r="T64">
        <f t="shared" si="4"/>
        <v>0</v>
      </c>
      <c r="U64">
        <f t="shared" si="5"/>
        <v>0</v>
      </c>
      <c r="V64">
        <f t="shared" si="6"/>
        <v>0</v>
      </c>
      <c r="W64">
        <f t="shared" si="7"/>
        <v>0</v>
      </c>
    </row>
    <row r="65" spans="1:23" x14ac:dyDescent="0.25">
      <c r="A65" s="1">
        <v>14</v>
      </c>
      <c r="B65" s="1">
        <v>2015</v>
      </c>
      <c r="C65">
        <v>-1.406478382367957</v>
      </c>
      <c r="D65">
        <v>0.72851432439723662</v>
      </c>
      <c r="E65">
        <v>0.69154589919297138</v>
      </c>
      <c r="F65">
        <v>0.72420970601176304</v>
      </c>
      <c r="G65">
        <v>0.57391309263624701</v>
      </c>
      <c r="H65">
        <v>0.57537664482543749</v>
      </c>
      <c r="I65">
        <v>0.61550991083279283</v>
      </c>
      <c r="J65">
        <v>-1.895141054409754</v>
      </c>
      <c r="K65">
        <v>0.96965976941242327</v>
      </c>
      <c r="L65">
        <v>-1.315803727531329</v>
      </c>
      <c r="M65">
        <v>2.6312853746276921</v>
      </c>
      <c r="N65">
        <v>2.6543003889539531</v>
      </c>
      <c r="O65">
        <v>-11.51292546497023</v>
      </c>
      <c r="P65">
        <f t="shared" si="0"/>
        <v>-2.3015014326261074E-2</v>
      </c>
      <c r="Q65">
        <f t="shared" si="1"/>
        <v>0</v>
      </c>
      <c r="R65">
        <f t="shared" si="2"/>
        <v>1</v>
      </c>
      <c r="S65">
        <f t="shared" si="3"/>
        <v>0</v>
      </c>
      <c r="T65">
        <f t="shared" si="4"/>
        <v>0</v>
      </c>
      <c r="U65">
        <f t="shared" si="5"/>
        <v>0</v>
      </c>
      <c r="V65">
        <f t="shared" si="6"/>
        <v>0</v>
      </c>
      <c r="W65">
        <f t="shared" si="7"/>
        <v>1</v>
      </c>
    </row>
    <row r="66" spans="1:23" x14ac:dyDescent="0.25">
      <c r="A66" s="1">
        <v>14</v>
      </c>
      <c r="B66" s="1">
        <v>2016</v>
      </c>
      <c r="C66">
        <v>-1.3755681813668039</v>
      </c>
      <c r="D66">
        <v>0.75358354936377603</v>
      </c>
      <c r="E66">
        <v>0.72851432439723662</v>
      </c>
      <c r="F66">
        <v>0.69154589919297138</v>
      </c>
      <c r="G66">
        <v>0.70066882195879143</v>
      </c>
      <c r="H66">
        <v>0.57391309263624701</v>
      </c>
      <c r="I66">
        <v>0.57537664482543749</v>
      </c>
      <c r="J66">
        <v>-1.542188325737653</v>
      </c>
      <c r="K66">
        <v>0.96965976941242327</v>
      </c>
      <c r="L66">
        <v>-1.28585620413132</v>
      </c>
      <c r="M66">
        <v>2.6090838390708408</v>
      </c>
      <c r="N66">
        <v>2.614491077793708</v>
      </c>
      <c r="O66">
        <v>-11.51292546497023</v>
      </c>
      <c r="P66">
        <f t="shared" si="0"/>
        <v>-5.4072387228671914E-3</v>
      </c>
      <c r="Q66">
        <f t="shared" si="1"/>
        <v>0</v>
      </c>
      <c r="R66">
        <f t="shared" si="2"/>
        <v>1</v>
      </c>
      <c r="S66">
        <f t="shared" si="3"/>
        <v>0</v>
      </c>
      <c r="T66">
        <f t="shared" si="4"/>
        <v>0</v>
      </c>
      <c r="U66">
        <f t="shared" si="5"/>
        <v>0</v>
      </c>
      <c r="V66">
        <f t="shared" si="6"/>
        <v>0</v>
      </c>
      <c r="W66">
        <f t="shared" si="7"/>
        <v>1</v>
      </c>
    </row>
    <row r="67" spans="1:23" x14ac:dyDescent="0.25">
      <c r="A67" s="1">
        <v>14</v>
      </c>
      <c r="B67" s="1">
        <v>2017</v>
      </c>
      <c r="C67">
        <v>-1.3358158736813781</v>
      </c>
      <c r="D67">
        <v>0.69309717930990367</v>
      </c>
      <c r="E67">
        <v>0.75358354936377603</v>
      </c>
      <c r="F67">
        <v>0.72851432439723662</v>
      </c>
      <c r="G67">
        <v>0.6661356313130955</v>
      </c>
      <c r="H67">
        <v>0.70066882195879143</v>
      </c>
      <c r="I67">
        <v>0.57391309263624701</v>
      </c>
      <c r="J67">
        <v>-0.87898788351104096</v>
      </c>
      <c r="K67">
        <v>0.96965976941242327</v>
      </c>
      <c r="L67">
        <v>-1.262937275707122</v>
      </c>
      <c r="M67">
        <v>2.651307984761778</v>
      </c>
      <c r="N67">
        <v>2.5928672935494101</v>
      </c>
      <c r="O67">
        <v>-11.51292546497023</v>
      </c>
      <c r="P67">
        <f t="shared" ref="P67:P130" si="8">M67-N67</f>
        <v>5.8440691212367835E-2</v>
      </c>
      <c r="Q67">
        <f t="shared" ref="Q67:Q130" si="9">IF(B67=2006,0,O67-O66)</f>
        <v>0</v>
      </c>
      <c r="R67">
        <f t="shared" ref="R67:R130" si="10">IF(ROUNDDOWN($A67/10, 0)=1, 1, 0)</f>
        <v>1</v>
      </c>
      <c r="S67">
        <f t="shared" ref="S67:S130" si="11">IF(ROUNDDOWN($A67/10, 0)=2, 1, 0)</f>
        <v>0</v>
      </c>
      <c r="T67">
        <f t="shared" ref="T67:T130" si="12">IF(ROUNDDOWN($A67/10, 0)=3, 1, 0)</f>
        <v>0</v>
      </c>
      <c r="U67">
        <f t="shared" ref="U67:U130" si="13">IF(ROUNDDOWN($A67/10, 0)=5, 1, 0)</f>
        <v>0</v>
      </c>
      <c r="V67">
        <f t="shared" ref="V67:V130" si="14">IF($B67=2020, 1, 0)</f>
        <v>0</v>
      </c>
      <c r="W67">
        <f t="shared" ref="W67:W130" si="15">IF(AND($B67&gt;=2015,$B67&lt;=2021), 1, 0)</f>
        <v>1</v>
      </c>
    </row>
    <row r="68" spans="1:23" x14ac:dyDescent="0.25">
      <c r="A68" s="1">
        <v>14</v>
      </c>
      <c r="B68" s="1">
        <v>2018</v>
      </c>
      <c r="C68">
        <v>-1.4085563991275289</v>
      </c>
      <c r="D68">
        <v>0.78115805788265869</v>
      </c>
      <c r="E68">
        <v>0.69309717930990367</v>
      </c>
      <c r="F68">
        <v>0.75358354936377603</v>
      </c>
      <c r="G68">
        <v>0.6562757057840406</v>
      </c>
      <c r="H68">
        <v>0.6661356313130955</v>
      </c>
      <c r="I68">
        <v>0.70066882195879143</v>
      </c>
      <c r="J68">
        <v>-0.58565216278882493</v>
      </c>
      <c r="K68">
        <v>0.96965976941242327</v>
      </c>
      <c r="L68">
        <v>-1.324389958640908</v>
      </c>
      <c r="M68">
        <v>2.608562867960984</v>
      </c>
      <c r="N68">
        <v>2.5530999358944371</v>
      </c>
      <c r="O68">
        <v>3.2580965380214821</v>
      </c>
      <c r="P68">
        <f t="shared" si="8"/>
        <v>5.5462932066546955E-2</v>
      </c>
      <c r="Q68">
        <f t="shared" si="9"/>
        <v>14.771022002991712</v>
      </c>
      <c r="R68">
        <f t="shared" si="10"/>
        <v>1</v>
      </c>
      <c r="S68">
        <f t="shared" si="11"/>
        <v>0</v>
      </c>
      <c r="T68">
        <f t="shared" si="12"/>
        <v>0</v>
      </c>
      <c r="U68">
        <f t="shared" si="13"/>
        <v>0</v>
      </c>
      <c r="V68">
        <f t="shared" si="14"/>
        <v>0</v>
      </c>
      <c r="W68">
        <f t="shared" si="15"/>
        <v>1</v>
      </c>
    </row>
    <row r="69" spans="1:23" x14ac:dyDescent="0.25">
      <c r="A69" s="1">
        <v>14</v>
      </c>
      <c r="B69" s="1">
        <v>2019</v>
      </c>
      <c r="C69">
        <v>-1.3716381828919499</v>
      </c>
      <c r="D69">
        <v>0.70309751141311339</v>
      </c>
      <c r="E69">
        <v>0.78115805788265869</v>
      </c>
      <c r="F69">
        <v>0.69309717930990367</v>
      </c>
      <c r="G69">
        <v>0.62202704805681974</v>
      </c>
      <c r="H69">
        <v>0.6562757057840406</v>
      </c>
      <c r="I69">
        <v>0.6661356313130955</v>
      </c>
      <c r="J69">
        <v>8.1198499646209024E-2</v>
      </c>
      <c r="K69">
        <v>0.96965976941242327</v>
      </c>
      <c r="L69">
        <v>-1.3347112254365761</v>
      </c>
      <c r="M69">
        <v>2.5844992376152001</v>
      </c>
      <c r="N69">
        <v>2.5591706350414238</v>
      </c>
      <c r="O69">
        <v>5.393627546352362</v>
      </c>
      <c r="P69">
        <f t="shared" si="8"/>
        <v>2.5328602573776227E-2</v>
      </c>
      <c r="Q69">
        <f t="shared" si="9"/>
        <v>2.1355310083308798</v>
      </c>
      <c r="R69">
        <f t="shared" si="10"/>
        <v>1</v>
      </c>
      <c r="S69">
        <f t="shared" si="11"/>
        <v>0</v>
      </c>
      <c r="T69">
        <f t="shared" si="12"/>
        <v>0</v>
      </c>
      <c r="U69">
        <f t="shared" si="13"/>
        <v>0</v>
      </c>
      <c r="V69">
        <f t="shared" si="14"/>
        <v>0</v>
      </c>
      <c r="W69">
        <f t="shared" si="15"/>
        <v>1</v>
      </c>
    </row>
    <row r="70" spans="1:23" x14ac:dyDescent="0.25">
      <c r="A70" s="1">
        <v>14</v>
      </c>
      <c r="B70" s="1">
        <v>2020</v>
      </c>
      <c r="C70">
        <v>-1.394184195864542</v>
      </c>
      <c r="D70">
        <v>0.62924845470971358</v>
      </c>
      <c r="E70">
        <v>0.70309751141311339</v>
      </c>
      <c r="F70">
        <v>0.78115805788265869</v>
      </c>
      <c r="G70">
        <v>0.55382764031053344</v>
      </c>
      <c r="H70">
        <v>0.62202704805681974</v>
      </c>
      <c r="I70">
        <v>0.6562757057840406</v>
      </c>
      <c r="J70">
        <v>0.69681451263670058</v>
      </c>
      <c r="K70">
        <v>0.96965976941242327</v>
      </c>
      <c r="L70">
        <v>-1.3391835643458849</v>
      </c>
      <c r="M70">
        <v>2.5950645419388749</v>
      </c>
      <c r="N70">
        <v>2.543392088769163</v>
      </c>
      <c r="O70">
        <v>5.9914645471079817</v>
      </c>
      <c r="P70">
        <f t="shared" si="8"/>
        <v>5.1672453169711918E-2</v>
      </c>
      <c r="Q70">
        <f t="shared" si="9"/>
        <v>0.59783700075561974</v>
      </c>
      <c r="R70">
        <f t="shared" si="10"/>
        <v>1</v>
      </c>
      <c r="S70">
        <f t="shared" si="11"/>
        <v>0</v>
      </c>
      <c r="T70">
        <f t="shared" si="12"/>
        <v>0</v>
      </c>
      <c r="U70">
        <f t="shared" si="13"/>
        <v>0</v>
      </c>
      <c r="V70">
        <f t="shared" si="14"/>
        <v>1</v>
      </c>
      <c r="W70">
        <f t="shared" si="15"/>
        <v>1</v>
      </c>
    </row>
    <row r="71" spans="1:23" x14ac:dyDescent="0.25">
      <c r="A71" s="1">
        <v>14</v>
      </c>
      <c r="B71" s="1">
        <v>2021</v>
      </c>
      <c r="C71">
        <v>-1.3579953094350481</v>
      </c>
      <c r="D71">
        <v>0.85437277405916545</v>
      </c>
      <c r="E71">
        <v>0.62924845470971358</v>
      </c>
      <c r="F71">
        <v>0.70309751141311339</v>
      </c>
      <c r="G71">
        <v>0.74293684506246094</v>
      </c>
      <c r="H71">
        <v>0.55382764031053344</v>
      </c>
      <c r="I71">
        <v>0.62202704805681974</v>
      </c>
      <c r="J71">
        <v>1.1994999048513719</v>
      </c>
      <c r="K71">
        <v>0.96965976941242327</v>
      </c>
      <c r="L71">
        <v>-1.3385504162023421</v>
      </c>
      <c r="M71">
        <v>2.5663181660538141</v>
      </c>
      <c r="N71">
        <v>2.56151968691375</v>
      </c>
      <c r="O71">
        <v>6.6846117276679271</v>
      </c>
      <c r="P71">
        <f t="shared" si="8"/>
        <v>4.7984791400641491E-3</v>
      </c>
      <c r="Q71">
        <f t="shared" si="9"/>
        <v>0.6931471805599454</v>
      </c>
      <c r="R71">
        <f t="shared" si="10"/>
        <v>1</v>
      </c>
      <c r="S71">
        <f t="shared" si="11"/>
        <v>0</v>
      </c>
      <c r="T71">
        <f t="shared" si="12"/>
        <v>0</v>
      </c>
      <c r="U71">
        <f t="shared" si="13"/>
        <v>0</v>
      </c>
      <c r="V71">
        <f t="shared" si="14"/>
        <v>0</v>
      </c>
      <c r="W71">
        <f t="shared" si="15"/>
        <v>1</v>
      </c>
    </row>
    <row r="72" spans="1:23" x14ac:dyDescent="0.25">
      <c r="A72" s="1">
        <v>14</v>
      </c>
      <c r="B72" s="1">
        <v>2022</v>
      </c>
      <c r="C72">
        <v>-1.256103145630141</v>
      </c>
      <c r="D72">
        <v>0.91625073107413368</v>
      </c>
      <c r="E72">
        <v>0.85437277405916545</v>
      </c>
      <c r="F72">
        <v>0.62924845470971358</v>
      </c>
      <c r="G72">
        <v>0.82850814849039722</v>
      </c>
      <c r="H72">
        <v>0.74293684506246094</v>
      </c>
      <c r="I72">
        <v>0.55382764031053344</v>
      </c>
      <c r="J72">
        <v>1.728170888937373</v>
      </c>
      <c r="K72">
        <v>0.96965976941242327</v>
      </c>
      <c r="L72">
        <v>-1.302099310445449</v>
      </c>
      <c r="M72">
        <v>2.6316037050358618</v>
      </c>
      <c r="N72">
        <v>2.5663181660538141</v>
      </c>
      <c r="O72">
        <v>8.0551577318196781</v>
      </c>
      <c r="P72">
        <f t="shared" si="8"/>
        <v>6.5285538982047697E-2</v>
      </c>
      <c r="Q72">
        <f t="shared" si="9"/>
        <v>1.370546004151751</v>
      </c>
      <c r="R72">
        <f t="shared" si="10"/>
        <v>1</v>
      </c>
      <c r="S72">
        <f t="shared" si="11"/>
        <v>0</v>
      </c>
      <c r="T72">
        <f t="shared" si="12"/>
        <v>0</v>
      </c>
      <c r="U72">
        <f t="shared" si="13"/>
        <v>0</v>
      </c>
      <c r="V72">
        <f t="shared" si="14"/>
        <v>0</v>
      </c>
      <c r="W72">
        <f t="shared" si="15"/>
        <v>0</v>
      </c>
    </row>
    <row r="73" spans="1:23" x14ac:dyDescent="0.25">
      <c r="A73" s="1">
        <v>14</v>
      </c>
      <c r="B73" s="1">
        <v>2023</v>
      </c>
      <c r="C73">
        <v>-1.270274722254032</v>
      </c>
      <c r="D73">
        <v>0.81801616260581456</v>
      </c>
      <c r="E73">
        <v>0.91625073107413368</v>
      </c>
      <c r="F73">
        <v>0.85437277405916545</v>
      </c>
      <c r="G73">
        <v>0.64752200253366976</v>
      </c>
      <c r="H73">
        <v>0.82850814849039722</v>
      </c>
      <c r="I73">
        <v>0.74293684506246094</v>
      </c>
      <c r="J73">
        <v>2.3604553240936168</v>
      </c>
      <c r="K73">
        <v>0.96965976941242327</v>
      </c>
      <c r="L73">
        <v>-1.2773671272837059</v>
      </c>
      <c r="M73">
        <v>2.7560989929225941</v>
      </c>
      <c r="N73">
        <v>2.6316037050358618</v>
      </c>
      <c r="O73">
        <v>8.4658998970286863</v>
      </c>
      <c r="P73">
        <f t="shared" si="8"/>
        <v>0.12449528788673225</v>
      </c>
      <c r="Q73">
        <f t="shared" si="9"/>
        <v>0.41074216520900819</v>
      </c>
      <c r="R73">
        <f t="shared" si="10"/>
        <v>1</v>
      </c>
      <c r="S73">
        <f t="shared" si="11"/>
        <v>0</v>
      </c>
      <c r="T73">
        <f t="shared" si="12"/>
        <v>0</v>
      </c>
      <c r="U73">
        <f t="shared" si="13"/>
        <v>0</v>
      </c>
      <c r="V73">
        <f t="shared" si="14"/>
        <v>0</v>
      </c>
      <c r="W73">
        <f t="shared" si="15"/>
        <v>0</v>
      </c>
    </row>
    <row r="74" spans="1:23" x14ac:dyDescent="0.25">
      <c r="A74" s="1">
        <v>15</v>
      </c>
      <c r="B74" s="1">
        <v>2006</v>
      </c>
      <c r="C74">
        <v>-2.791819724517338</v>
      </c>
      <c r="D74">
        <v>0.97832612279360776</v>
      </c>
      <c r="E74">
        <v>0.93106111077760501</v>
      </c>
      <c r="F74">
        <v>0.94067110059953318</v>
      </c>
      <c r="G74">
        <v>0.84156718567821853</v>
      </c>
      <c r="H74">
        <v>0.73400117456821146</v>
      </c>
      <c r="I74">
        <v>0.7437927652288373</v>
      </c>
      <c r="J74">
        <v>-16.11809565095832</v>
      </c>
      <c r="K74">
        <v>2.658156590148268</v>
      </c>
      <c r="L74">
        <v>-2.8864098341244109</v>
      </c>
      <c r="M74">
        <v>2.164708222438771</v>
      </c>
      <c r="N74">
        <v>2.1038497784591632</v>
      </c>
      <c r="O74">
        <v>-11.51292546497023</v>
      </c>
      <c r="P74">
        <f t="shared" si="8"/>
        <v>6.0858443979607824E-2</v>
      </c>
      <c r="Q74">
        <f t="shared" si="9"/>
        <v>0</v>
      </c>
      <c r="R74">
        <f t="shared" si="10"/>
        <v>1</v>
      </c>
      <c r="S74">
        <f t="shared" si="11"/>
        <v>0</v>
      </c>
      <c r="T74">
        <f t="shared" si="12"/>
        <v>0</v>
      </c>
      <c r="U74">
        <f t="shared" si="13"/>
        <v>0</v>
      </c>
      <c r="V74">
        <f t="shared" si="14"/>
        <v>0</v>
      </c>
      <c r="W74">
        <f t="shared" si="15"/>
        <v>0</v>
      </c>
    </row>
    <row r="75" spans="1:23" x14ac:dyDescent="0.25">
      <c r="A75" s="1">
        <v>15</v>
      </c>
      <c r="B75" s="1">
        <v>2007</v>
      </c>
      <c r="C75">
        <v>-2.6827612243448291</v>
      </c>
      <c r="D75">
        <v>0.92334578634783215</v>
      </c>
      <c r="E75">
        <v>0.97832612279360776</v>
      </c>
      <c r="F75">
        <v>0.93106111077760501</v>
      </c>
      <c r="G75">
        <v>0.71250853403856518</v>
      </c>
      <c r="H75">
        <v>0.84156718567821853</v>
      </c>
      <c r="I75">
        <v>0.73400117456821146</v>
      </c>
      <c r="J75">
        <v>-16.11809565095832</v>
      </c>
      <c r="K75">
        <v>2.658156590148268</v>
      </c>
      <c r="L75">
        <v>-2.761647926588747</v>
      </c>
      <c r="M75">
        <v>2.2075982400187821</v>
      </c>
      <c r="N75">
        <v>2.149978130984072</v>
      </c>
      <c r="O75">
        <v>-11.51292546497023</v>
      </c>
      <c r="P75">
        <f t="shared" si="8"/>
        <v>5.7620109034710154E-2</v>
      </c>
      <c r="Q75">
        <f t="shared" si="9"/>
        <v>0</v>
      </c>
      <c r="R75">
        <f t="shared" si="10"/>
        <v>1</v>
      </c>
      <c r="S75">
        <f t="shared" si="11"/>
        <v>0</v>
      </c>
      <c r="T75">
        <f t="shared" si="12"/>
        <v>0</v>
      </c>
      <c r="U75">
        <f t="shared" si="13"/>
        <v>0</v>
      </c>
      <c r="V75">
        <f t="shared" si="14"/>
        <v>0</v>
      </c>
      <c r="W75">
        <f t="shared" si="15"/>
        <v>0</v>
      </c>
    </row>
    <row r="76" spans="1:23" x14ac:dyDescent="0.25">
      <c r="A76" s="1">
        <v>15</v>
      </c>
      <c r="B76" s="1">
        <v>2008</v>
      </c>
      <c r="C76">
        <v>-2.572277832481626</v>
      </c>
      <c r="D76">
        <v>0.91063476701799762</v>
      </c>
      <c r="E76">
        <v>0.92334578634783215</v>
      </c>
      <c r="F76">
        <v>0.97832612279360776</v>
      </c>
      <c r="G76">
        <v>0.66449047131014083</v>
      </c>
      <c r="H76">
        <v>0.71250853403856518</v>
      </c>
      <c r="I76">
        <v>0.84156718567821853</v>
      </c>
      <c r="J76">
        <v>-16.11809565095832</v>
      </c>
      <c r="K76">
        <v>2.658156590148268</v>
      </c>
      <c r="L76">
        <v>-2.6214783804307662</v>
      </c>
      <c r="M76">
        <v>2.2708117660566969</v>
      </c>
      <c r="N76">
        <v>2.1930821148220612</v>
      </c>
      <c r="O76">
        <v>-11.51292546497023</v>
      </c>
      <c r="P76">
        <f t="shared" si="8"/>
        <v>7.772965123463571E-2</v>
      </c>
      <c r="Q76">
        <f t="shared" si="9"/>
        <v>0</v>
      </c>
      <c r="R76">
        <f t="shared" si="10"/>
        <v>1</v>
      </c>
      <c r="S76">
        <f t="shared" si="11"/>
        <v>0</v>
      </c>
      <c r="T76">
        <f t="shared" si="12"/>
        <v>0</v>
      </c>
      <c r="U76">
        <f t="shared" si="13"/>
        <v>0</v>
      </c>
      <c r="V76">
        <f t="shared" si="14"/>
        <v>0</v>
      </c>
      <c r="W76">
        <f t="shared" si="15"/>
        <v>0</v>
      </c>
    </row>
    <row r="77" spans="1:23" x14ac:dyDescent="0.25">
      <c r="A77" s="1">
        <v>15</v>
      </c>
      <c r="B77" s="1">
        <v>2009</v>
      </c>
      <c r="C77">
        <v>-2.5411629062929411</v>
      </c>
      <c r="D77">
        <v>0.87208802919442241</v>
      </c>
      <c r="E77">
        <v>0.91063476701799762</v>
      </c>
      <c r="F77">
        <v>0.92334578634783215</v>
      </c>
      <c r="G77">
        <v>0.5987815545242241</v>
      </c>
      <c r="H77">
        <v>0.66449047131014083</v>
      </c>
      <c r="I77">
        <v>0.71250853403856518</v>
      </c>
      <c r="J77">
        <v>-16.11809565095832</v>
      </c>
      <c r="K77">
        <v>2.658156590148268</v>
      </c>
      <c r="L77">
        <v>-2.4867244716184009</v>
      </c>
      <c r="M77">
        <v>2.196928113362755</v>
      </c>
      <c r="N77">
        <v>2.255962494629093</v>
      </c>
      <c r="O77">
        <v>-11.51292546497023</v>
      </c>
      <c r="P77">
        <f t="shared" si="8"/>
        <v>-5.9034381266338087E-2</v>
      </c>
      <c r="Q77">
        <f t="shared" si="9"/>
        <v>0</v>
      </c>
      <c r="R77">
        <f t="shared" si="10"/>
        <v>1</v>
      </c>
      <c r="S77">
        <f t="shared" si="11"/>
        <v>0</v>
      </c>
      <c r="T77">
        <f t="shared" si="12"/>
        <v>0</v>
      </c>
      <c r="U77">
        <f t="shared" si="13"/>
        <v>0</v>
      </c>
      <c r="V77">
        <f t="shared" si="14"/>
        <v>0</v>
      </c>
      <c r="W77">
        <f t="shared" si="15"/>
        <v>0</v>
      </c>
    </row>
    <row r="78" spans="1:23" x14ac:dyDescent="0.25">
      <c r="A78" s="1">
        <v>15</v>
      </c>
      <c r="B78" s="1">
        <v>2010</v>
      </c>
      <c r="C78">
        <v>-2.415976061203883</v>
      </c>
      <c r="D78">
        <v>0.81828091131671099</v>
      </c>
      <c r="E78">
        <v>0.87208802919442241</v>
      </c>
      <c r="F78">
        <v>0.91063476701799762</v>
      </c>
      <c r="G78">
        <v>0.55555039254549876</v>
      </c>
      <c r="H78">
        <v>0.5987815545242241</v>
      </c>
      <c r="I78">
        <v>0.66449047131014083</v>
      </c>
      <c r="J78">
        <v>-8.9306008074694034</v>
      </c>
      <c r="K78">
        <v>2.658156590148268</v>
      </c>
      <c r="L78">
        <v>-2.3643504076358099</v>
      </c>
      <c r="M78">
        <v>2.3921868492462859</v>
      </c>
      <c r="N78">
        <v>2.1797457154757458</v>
      </c>
      <c r="O78">
        <v>-11.51292546497023</v>
      </c>
      <c r="P78">
        <f t="shared" si="8"/>
        <v>0.21244113377054008</v>
      </c>
      <c r="Q78">
        <f t="shared" si="9"/>
        <v>0</v>
      </c>
      <c r="R78">
        <f t="shared" si="10"/>
        <v>1</v>
      </c>
      <c r="S78">
        <f t="shared" si="11"/>
        <v>0</v>
      </c>
      <c r="T78">
        <f t="shared" si="12"/>
        <v>0</v>
      </c>
      <c r="U78">
        <f t="shared" si="13"/>
        <v>0</v>
      </c>
      <c r="V78">
        <f t="shared" si="14"/>
        <v>0</v>
      </c>
      <c r="W78">
        <f t="shared" si="15"/>
        <v>0</v>
      </c>
    </row>
    <row r="79" spans="1:23" x14ac:dyDescent="0.25">
      <c r="A79" s="1">
        <v>15</v>
      </c>
      <c r="B79" s="1">
        <v>2011</v>
      </c>
      <c r="C79">
        <v>-2.3029320827237609</v>
      </c>
      <c r="D79">
        <v>0.77320527273052442</v>
      </c>
      <c r="E79">
        <v>0.81828091131671099</v>
      </c>
      <c r="F79">
        <v>0.87208802919442241</v>
      </c>
      <c r="G79">
        <v>0.58661931715011228</v>
      </c>
      <c r="H79">
        <v>0.55555039254549876</v>
      </c>
      <c r="I79">
        <v>0.5987815545242241</v>
      </c>
      <c r="J79">
        <v>-7.155733611642173</v>
      </c>
      <c r="K79">
        <v>2.658156590148268</v>
      </c>
      <c r="L79">
        <v>-2.244777471879833</v>
      </c>
      <c r="M79">
        <v>2.472549286109806</v>
      </c>
      <c r="N79">
        <v>2.3752945758448392</v>
      </c>
      <c r="O79">
        <v>-11.51292546497023</v>
      </c>
      <c r="P79">
        <f t="shared" si="8"/>
        <v>9.7254710264966793E-2</v>
      </c>
      <c r="Q79">
        <f t="shared" si="9"/>
        <v>0</v>
      </c>
      <c r="R79">
        <f t="shared" si="10"/>
        <v>1</v>
      </c>
      <c r="S79">
        <f t="shared" si="11"/>
        <v>0</v>
      </c>
      <c r="T79">
        <f t="shared" si="12"/>
        <v>0</v>
      </c>
      <c r="U79">
        <f t="shared" si="13"/>
        <v>0</v>
      </c>
      <c r="V79">
        <f t="shared" si="14"/>
        <v>0</v>
      </c>
      <c r="W79">
        <f t="shared" si="15"/>
        <v>0</v>
      </c>
    </row>
    <row r="80" spans="1:23" x14ac:dyDescent="0.25">
      <c r="A80" s="1">
        <v>15</v>
      </c>
      <c r="B80" s="1">
        <v>2012</v>
      </c>
      <c r="C80">
        <v>-2.1460947892716802</v>
      </c>
      <c r="D80">
        <v>0.7234823803560182</v>
      </c>
      <c r="E80">
        <v>0.77320527273052442</v>
      </c>
      <c r="F80">
        <v>0.81828091131671099</v>
      </c>
      <c r="G80">
        <v>0.52986325264312839</v>
      </c>
      <c r="H80">
        <v>0.58661931715011228</v>
      </c>
      <c r="I80">
        <v>0.55555039254549876</v>
      </c>
      <c r="J80">
        <v>-6.7617711801891964</v>
      </c>
      <c r="K80">
        <v>2.658156590148268</v>
      </c>
      <c r="L80">
        <v>-2.1238520324279468</v>
      </c>
      <c r="M80">
        <v>2.466003040936068</v>
      </c>
      <c r="N80">
        <v>2.4610466094545189</v>
      </c>
      <c r="O80">
        <v>-11.51292546497023</v>
      </c>
      <c r="P80">
        <f t="shared" si="8"/>
        <v>4.9564314815491173E-3</v>
      </c>
      <c r="Q80">
        <f t="shared" si="9"/>
        <v>0</v>
      </c>
      <c r="R80">
        <f t="shared" si="10"/>
        <v>1</v>
      </c>
      <c r="S80">
        <f t="shared" si="11"/>
        <v>0</v>
      </c>
      <c r="T80">
        <f t="shared" si="12"/>
        <v>0</v>
      </c>
      <c r="U80">
        <f t="shared" si="13"/>
        <v>0</v>
      </c>
      <c r="V80">
        <f t="shared" si="14"/>
        <v>0</v>
      </c>
      <c r="W80">
        <f t="shared" si="15"/>
        <v>0</v>
      </c>
    </row>
    <row r="81" spans="1:23" x14ac:dyDescent="0.25">
      <c r="A81" s="1">
        <v>15</v>
      </c>
      <c r="B81" s="1">
        <v>2013</v>
      </c>
      <c r="C81">
        <v>-2.0794751396877462</v>
      </c>
      <c r="D81">
        <v>0.71417454775202094</v>
      </c>
      <c r="E81">
        <v>0.7234823803560182</v>
      </c>
      <c r="F81">
        <v>0.77320527273052442</v>
      </c>
      <c r="G81">
        <v>0.55048854682236659</v>
      </c>
      <c r="H81">
        <v>0.52986325264312839</v>
      </c>
      <c r="I81">
        <v>0.58661931715011228</v>
      </c>
      <c r="J81">
        <v>-5.9388739203204928</v>
      </c>
      <c r="K81">
        <v>2.658156590148268</v>
      </c>
      <c r="L81">
        <v>-2.0273691443881439</v>
      </c>
      <c r="M81">
        <v>2.4933019337384188</v>
      </c>
      <c r="N81">
        <v>2.4416024404175549</v>
      </c>
      <c r="O81">
        <v>-11.51292546497023</v>
      </c>
      <c r="P81">
        <f t="shared" si="8"/>
        <v>5.1699493320863876E-2</v>
      </c>
      <c r="Q81">
        <f t="shared" si="9"/>
        <v>0</v>
      </c>
      <c r="R81">
        <f t="shared" si="10"/>
        <v>1</v>
      </c>
      <c r="S81">
        <f t="shared" si="11"/>
        <v>0</v>
      </c>
      <c r="T81">
        <f t="shared" si="12"/>
        <v>0</v>
      </c>
      <c r="U81">
        <f t="shared" si="13"/>
        <v>0</v>
      </c>
      <c r="V81">
        <f t="shared" si="14"/>
        <v>0</v>
      </c>
      <c r="W81">
        <f t="shared" si="15"/>
        <v>0</v>
      </c>
    </row>
    <row r="82" spans="1:23" x14ac:dyDescent="0.25">
      <c r="A82" s="1">
        <v>15</v>
      </c>
      <c r="B82" s="1">
        <v>2014</v>
      </c>
      <c r="C82">
        <v>-1.9944988859265049</v>
      </c>
      <c r="D82">
        <v>0.69798545720019456</v>
      </c>
      <c r="E82">
        <v>0.71417454775202094</v>
      </c>
      <c r="F82">
        <v>0.7234823803560182</v>
      </c>
      <c r="G82">
        <v>0.54968088553466399</v>
      </c>
      <c r="H82">
        <v>0.55048854682236659</v>
      </c>
      <c r="I82">
        <v>0.52986325264312839</v>
      </c>
      <c r="J82">
        <v>-5.3075154343242641</v>
      </c>
      <c r="K82">
        <v>2.658156590148268</v>
      </c>
      <c r="L82">
        <v>-1.937401166075847</v>
      </c>
      <c r="M82">
        <v>2.4321034362056979</v>
      </c>
      <c r="N82">
        <v>2.4803034033441338</v>
      </c>
      <c r="O82">
        <v>-11.51292546497023</v>
      </c>
      <c r="P82">
        <f t="shared" si="8"/>
        <v>-4.8199967138435884E-2</v>
      </c>
      <c r="Q82">
        <f t="shared" si="9"/>
        <v>0</v>
      </c>
      <c r="R82">
        <f t="shared" si="10"/>
        <v>1</v>
      </c>
      <c r="S82">
        <f t="shared" si="11"/>
        <v>0</v>
      </c>
      <c r="T82">
        <f t="shared" si="12"/>
        <v>0</v>
      </c>
      <c r="U82">
        <f t="shared" si="13"/>
        <v>0</v>
      </c>
      <c r="V82">
        <f t="shared" si="14"/>
        <v>0</v>
      </c>
      <c r="W82">
        <f t="shared" si="15"/>
        <v>0</v>
      </c>
    </row>
    <row r="83" spans="1:23" x14ac:dyDescent="0.25">
      <c r="A83" s="1">
        <v>15</v>
      </c>
      <c r="B83" s="1">
        <v>2015</v>
      </c>
      <c r="C83">
        <v>-1.977138365634671</v>
      </c>
      <c r="D83">
        <v>0.72290013870929315</v>
      </c>
      <c r="E83">
        <v>0.69798545720019456</v>
      </c>
      <c r="F83">
        <v>0.71417454775202094</v>
      </c>
      <c r="G83">
        <v>0.53719487878605887</v>
      </c>
      <c r="H83">
        <v>0.54968088553466399</v>
      </c>
      <c r="I83">
        <v>0.55048854682236659</v>
      </c>
      <c r="J83">
        <v>-4.914505256077792</v>
      </c>
      <c r="K83">
        <v>2.658156590148268</v>
      </c>
      <c r="L83">
        <v>-1.8675500656126871</v>
      </c>
      <c r="M83">
        <v>2.3961545716299142</v>
      </c>
      <c r="N83">
        <v>2.419648506343997</v>
      </c>
      <c r="O83">
        <v>-11.51292546497023</v>
      </c>
      <c r="P83">
        <f t="shared" si="8"/>
        <v>-2.3493934714082787E-2</v>
      </c>
      <c r="Q83">
        <f t="shared" si="9"/>
        <v>0</v>
      </c>
      <c r="R83">
        <f t="shared" si="10"/>
        <v>1</v>
      </c>
      <c r="S83">
        <f t="shared" si="11"/>
        <v>0</v>
      </c>
      <c r="T83">
        <f t="shared" si="12"/>
        <v>0</v>
      </c>
      <c r="U83">
        <f t="shared" si="13"/>
        <v>0</v>
      </c>
      <c r="V83">
        <f t="shared" si="14"/>
        <v>0</v>
      </c>
      <c r="W83">
        <f t="shared" si="15"/>
        <v>1</v>
      </c>
    </row>
    <row r="84" spans="1:23" x14ac:dyDescent="0.25">
      <c r="A84" s="1">
        <v>15</v>
      </c>
      <c r="B84" s="1">
        <v>2016</v>
      </c>
      <c r="C84">
        <v>-1.969222467654441</v>
      </c>
      <c r="D84">
        <v>0.77904960956064861</v>
      </c>
      <c r="E84">
        <v>0.72290013870929315</v>
      </c>
      <c r="F84">
        <v>0.69798545720019456</v>
      </c>
      <c r="G84">
        <v>0.66186289052017888</v>
      </c>
      <c r="H84">
        <v>0.53719487878605887</v>
      </c>
      <c r="I84">
        <v>0.54968088553466399</v>
      </c>
      <c r="J84">
        <v>-4.5780678606058327</v>
      </c>
      <c r="K84">
        <v>2.658156590148268</v>
      </c>
      <c r="L84">
        <v>-1.8200658920119981</v>
      </c>
      <c r="M84">
        <v>2.359967969315607</v>
      </c>
      <c r="N84">
        <v>2.384285272833663</v>
      </c>
      <c r="O84">
        <v>-11.51292546497023</v>
      </c>
      <c r="P84">
        <f t="shared" si="8"/>
        <v>-2.4317303518055944E-2</v>
      </c>
      <c r="Q84">
        <f t="shared" si="9"/>
        <v>0</v>
      </c>
      <c r="R84">
        <f t="shared" si="10"/>
        <v>1</v>
      </c>
      <c r="S84">
        <f t="shared" si="11"/>
        <v>0</v>
      </c>
      <c r="T84">
        <f t="shared" si="12"/>
        <v>0</v>
      </c>
      <c r="U84">
        <f t="shared" si="13"/>
        <v>0</v>
      </c>
      <c r="V84">
        <f t="shared" si="14"/>
        <v>0</v>
      </c>
      <c r="W84">
        <f t="shared" si="15"/>
        <v>1</v>
      </c>
    </row>
    <row r="85" spans="1:23" x14ac:dyDescent="0.25">
      <c r="A85" s="1">
        <v>15</v>
      </c>
      <c r="B85" s="1">
        <v>2017</v>
      </c>
      <c r="C85">
        <v>-1.980966370515546</v>
      </c>
      <c r="D85">
        <v>0.75996435359726244</v>
      </c>
      <c r="E85">
        <v>0.77904960956064861</v>
      </c>
      <c r="F85">
        <v>0.72290013870929315</v>
      </c>
      <c r="G85">
        <v>0.64961317853621692</v>
      </c>
      <c r="H85">
        <v>0.66186289052017888</v>
      </c>
      <c r="I85">
        <v>0.53719487878605887</v>
      </c>
      <c r="J85">
        <v>-3.8787146204293661</v>
      </c>
      <c r="K85">
        <v>2.658156590148268</v>
      </c>
      <c r="L85">
        <v>-1.78349431897405</v>
      </c>
      <c r="M85">
        <v>2.429515831059414</v>
      </c>
      <c r="N85">
        <v>2.348680871484607</v>
      </c>
      <c r="O85">
        <v>-11.51292546497023</v>
      </c>
      <c r="P85">
        <f t="shared" si="8"/>
        <v>8.0834959574807019E-2</v>
      </c>
      <c r="Q85">
        <f t="shared" si="9"/>
        <v>0</v>
      </c>
      <c r="R85">
        <f t="shared" si="10"/>
        <v>1</v>
      </c>
      <c r="S85">
        <f t="shared" si="11"/>
        <v>0</v>
      </c>
      <c r="T85">
        <f t="shared" si="12"/>
        <v>0</v>
      </c>
      <c r="U85">
        <f t="shared" si="13"/>
        <v>0</v>
      </c>
      <c r="V85">
        <f t="shared" si="14"/>
        <v>0</v>
      </c>
      <c r="W85">
        <f t="shared" si="15"/>
        <v>1</v>
      </c>
    </row>
    <row r="86" spans="1:23" x14ac:dyDescent="0.25">
      <c r="A86" s="1">
        <v>15</v>
      </c>
      <c r="B86" s="1">
        <v>2018</v>
      </c>
      <c r="C86">
        <v>-2.0136574169095001</v>
      </c>
      <c r="D86">
        <v>0.83373486886959214</v>
      </c>
      <c r="E86">
        <v>0.75996435359726244</v>
      </c>
      <c r="F86">
        <v>0.77904960956064861</v>
      </c>
      <c r="G86">
        <v>0.63747589568948049</v>
      </c>
      <c r="H86">
        <v>0.64961317853621692</v>
      </c>
      <c r="I86">
        <v>0.66186289052017888</v>
      </c>
      <c r="J86">
        <v>-3.4772540333013628</v>
      </c>
      <c r="K86">
        <v>2.658156590148268</v>
      </c>
      <c r="L86">
        <v>-1.7534362500636049</v>
      </c>
      <c r="M86">
        <v>2.4068090466206389</v>
      </c>
      <c r="N86">
        <v>2.412113980507431</v>
      </c>
      <c r="O86">
        <v>3.2580965380214821</v>
      </c>
      <c r="P86">
        <f t="shared" si="8"/>
        <v>-5.3049338867920959E-3</v>
      </c>
      <c r="Q86">
        <f t="shared" si="9"/>
        <v>14.771022002991712</v>
      </c>
      <c r="R86">
        <f t="shared" si="10"/>
        <v>1</v>
      </c>
      <c r="S86">
        <f t="shared" si="11"/>
        <v>0</v>
      </c>
      <c r="T86">
        <f t="shared" si="12"/>
        <v>0</v>
      </c>
      <c r="U86">
        <f t="shared" si="13"/>
        <v>0</v>
      </c>
      <c r="V86">
        <f t="shared" si="14"/>
        <v>0</v>
      </c>
      <c r="W86">
        <f t="shared" si="15"/>
        <v>1</v>
      </c>
    </row>
    <row r="87" spans="1:23" x14ac:dyDescent="0.25">
      <c r="A87" s="1">
        <v>15</v>
      </c>
      <c r="B87" s="1">
        <v>2019</v>
      </c>
      <c r="C87">
        <v>-1.989495320601522</v>
      </c>
      <c r="D87">
        <v>0.80258437525832049</v>
      </c>
      <c r="E87">
        <v>0.83373486886959214</v>
      </c>
      <c r="F87">
        <v>0.75996435359726244</v>
      </c>
      <c r="G87">
        <v>0.6141039732194925</v>
      </c>
      <c r="H87">
        <v>0.63747589568948049</v>
      </c>
      <c r="I87">
        <v>0.64961317853621692</v>
      </c>
      <c r="J87">
        <v>-2.7020082997897301</v>
      </c>
      <c r="K87">
        <v>2.658156590148268</v>
      </c>
      <c r="L87">
        <v>-1.7152019280639921</v>
      </c>
      <c r="M87">
        <v>2.4553175654782078</v>
      </c>
      <c r="N87">
        <v>2.3963665458019352</v>
      </c>
      <c r="O87">
        <v>5.393627546352362</v>
      </c>
      <c r="P87">
        <f t="shared" si="8"/>
        <v>5.8951019676272587E-2</v>
      </c>
      <c r="Q87">
        <f t="shared" si="9"/>
        <v>2.1355310083308798</v>
      </c>
      <c r="R87">
        <f t="shared" si="10"/>
        <v>1</v>
      </c>
      <c r="S87">
        <f t="shared" si="11"/>
        <v>0</v>
      </c>
      <c r="T87">
        <f t="shared" si="12"/>
        <v>0</v>
      </c>
      <c r="U87">
        <f t="shared" si="13"/>
        <v>0</v>
      </c>
      <c r="V87">
        <f t="shared" si="14"/>
        <v>0</v>
      </c>
      <c r="W87">
        <f t="shared" si="15"/>
        <v>1</v>
      </c>
    </row>
    <row r="88" spans="1:23" x14ac:dyDescent="0.25">
      <c r="A88" s="1">
        <v>15</v>
      </c>
      <c r="B88" s="1">
        <v>2020</v>
      </c>
      <c r="C88">
        <v>-1.9726510838674469</v>
      </c>
      <c r="D88">
        <v>0.72251178918984926</v>
      </c>
      <c r="E88">
        <v>0.80258437525832049</v>
      </c>
      <c r="F88">
        <v>0.83373486886959214</v>
      </c>
      <c r="G88">
        <v>0.59094832823969778</v>
      </c>
      <c r="H88">
        <v>0.6141039732194925</v>
      </c>
      <c r="I88">
        <v>0.63747589568948049</v>
      </c>
      <c r="J88">
        <v>-1.9471472867106581</v>
      </c>
      <c r="K88">
        <v>2.658156590148268</v>
      </c>
      <c r="L88">
        <v>-1.6794511083473891</v>
      </c>
      <c r="M88">
        <v>2.5735186755350341</v>
      </c>
      <c r="N88">
        <v>2.4451541864662971</v>
      </c>
      <c r="O88">
        <v>5.9914645471079817</v>
      </c>
      <c r="P88">
        <f t="shared" si="8"/>
        <v>0.12836448906873699</v>
      </c>
      <c r="Q88">
        <f t="shared" si="9"/>
        <v>0.59783700075561974</v>
      </c>
      <c r="R88">
        <f t="shared" si="10"/>
        <v>1</v>
      </c>
      <c r="S88">
        <f t="shared" si="11"/>
        <v>0</v>
      </c>
      <c r="T88">
        <f t="shared" si="12"/>
        <v>0</v>
      </c>
      <c r="U88">
        <f t="shared" si="13"/>
        <v>0</v>
      </c>
      <c r="V88">
        <f t="shared" si="14"/>
        <v>1</v>
      </c>
      <c r="W88">
        <f t="shared" si="15"/>
        <v>1</v>
      </c>
    </row>
    <row r="89" spans="1:23" x14ac:dyDescent="0.25">
      <c r="A89" s="1">
        <v>15</v>
      </c>
      <c r="B89" s="1">
        <v>2021</v>
      </c>
      <c r="C89">
        <v>-1.9530323459470831</v>
      </c>
      <c r="D89">
        <v>0.91432880856061438</v>
      </c>
      <c r="E89">
        <v>0.72251178918984926</v>
      </c>
      <c r="F89">
        <v>0.80258437525832049</v>
      </c>
      <c r="G89">
        <v>0.80209126754912441</v>
      </c>
      <c r="H89">
        <v>0.59094832823969778</v>
      </c>
      <c r="I89">
        <v>0.6141039732194925</v>
      </c>
      <c r="J89">
        <v>-1.327568907024141</v>
      </c>
      <c r="K89">
        <v>2.658156590148268</v>
      </c>
      <c r="L89">
        <v>-1.6435472986523569</v>
      </c>
      <c r="M89">
        <v>2.637780974935688</v>
      </c>
      <c r="N89">
        <v>2.563628550518342</v>
      </c>
      <c r="O89">
        <v>6.6846117276679271</v>
      </c>
      <c r="P89">
        <f t="shared" si="8"/>
        <v>7.415242441734593E-2</v>
      </c>
      <c r="Q89">
        <f t="shared" si="9"/>
        <v>0.6931471805599454</v>
      </c>
      <c r="R89">
        <f t="shared" si="10"/>
        <v>1</v>
      </c>
      <c r="S89">
        <f t="shared" si="11"/>
        <v>0</v>
      </c>
      <c r="T89">
        <f t="shared" si="12"/>
        <v>0</v>
      </c>
      <c r="U89">
        <f t="shared" si="13"/>
        <v>0</v>
      </c>
      <c r="V89">
        <f t="shared" si="14"/>
        <v>0</v>
      </c>
      <c r="W89">
        <f t="shared" si="15"/>
        <v>1</v>
      </c>
    </row>
    <row r="90" spans="1:23" x14ac:dyDescent="0.25">
      <c r="A90" s="1">
        <v>15</v>
      </c>
      <c r="B90" s="1">
        <v>2022</v>
      </c>
      <c r="C90">
        <v>-1.908586636941215</v>
      </c>
      <c r="D90">
        <v>0.91464938560202946</v>
      </c>
      <c r="E90">
        <v>0.91432880856061438</v>
      </c>
      <c r="F90">
        <v>0.72251178918984926</v>
      </c>
      <c r="G90">
        <v>0.79443943204181766</v>
      </c>
      <c r="H90">
        <v>0.80209126754912441</v>
      </c>
      <c r="I90">
        <v>0.59094832823969778</v>
      </c>
      <c r="J90">
        <v>-1.0537338753800061</v>
      </c>
      <c r="K90">
        <v>2.658156590148268</v>
      </c>
      <c r="L90">
        <v>-1.5993037542301021</v>
      </c>
      <c r="M90">
        <v>2.448217692813218</v>
      </c>
      <c r="N90">
        <v>2.637780974935688</v>
      </c>
      <c r="O90">
        <v>8.0551577318196781</v>
      </c>
      <c r="P90">
        <f t="shared" si="8"/>
        <v>-0.18956328212246998</v>
      </c>
      <c r="Q90">
        <f t="shared" si="9"/>
        <v>1.370546004151751</v>
      </c>
      <c r="R90">
        <f t="shared" si="10"/>
        <v>1</v>
      </c>
      <c r="S90">
        <f t="shared" si="11"/>
        <v>0</v>
      </c>
      <c r="T90">
        <f t="shared" si="12"/>
        <v>0</v>
      </c>
      <c r="U90">
        <f t="shared" si="13"/>
        <v>0</v>
      </c>
      <c r="V90">
        <f t="shared" si="14"/>
        <v>0</v>
      </c>
      <c r="W90">
        <f t="shared" si="15"/>
        <v>0</v>
      </c>
    </row>
    <row r="91" spans="1:23" x14ac:dyDescent="0.25">
      <c r="A91" s="1">
        <v>15</v>
      </c>
      <c r="B91" s="1">
        <v>2023</v>
      </c>
      <c r="C91">
        <v>-1.847081082694251</v>
      </c>
      <c r="D91">
        <v>0.75832612158491663</v>
      </c>
      <c r="E91">
        <v>0.91464938560202946</v>
      </c>
      <c r="F91">
        <v>0.91432880856061438</v>
      </c>
      <c r="G91">
        <v>0.56326625970542532</v>
      </c>
      <c r="H91">
        <v>0.79443943204181766</v>
      </c>
      <c r="I91">
        <v>0.80209126754912441</v>
      </c>
      <c r="J91">
        <v>-0.52137701541721804</v>
      </c>
      <c r="K91">
        <v>2.658156590148268</v>
      </c>
      <c r="L91">
        <v>-1.548441725126622</v>
      </c>
      <c r="M91">
        <v>2.4729604138669519</v>
      </c>
      <c r="N91">
        <v>2.448217692813218</v>
      </c>
      <c r="O91">
        <v>8.4658998970286863</v>
      </c>
      <c r="P91">
        <f t="shared" si="8"/>
        <v>2.4742721053733874E-2</v>
      </c>
      <c r="Q91">
        <f t="shared" si="9"/>
        <v>0.41074216520900819</v>
      </c>
      <c r="R91">
        <f t="shared" si="10"/>
        <v>1</v>
      </c>
      <c r="S91">
        <f t="shared" si="11"/>
        <v>0</v>
      </c>
      <c r="T91">
        <f t="shared" si="12"/>
        <v>0</v>
      </c>
      <c r="U91">
        <f t="shared" si="13"/>
        <v>0</v>
      </c>
      <c r="V91">
        <f t="shared" si="14"/>
        <v>0</v>
      </c>
      <c r="W91">
        <f t="shared" si="15"/>
        <v>0</v>
      </c>
    </row>
    <row r="92" spans="1:23" x14ac:dyDescent="0.25">
      <c r="A92" s="1">
        <v>16</v>
      </c>
      <c r="B92" s="1">
        <v>2006</v>
      </c>
      <c r="C92">
        <v>-2.253877144019103</v>
      </c>
      <c r="D92">
        <v>0.94778939893352609</v>
      </c>
      <c r="E92">
        <v>0.93106111077760501</v>
      </c>
      <c r="F92">
        <v>0.91916659261961942</v>
      </c>
      <c r="G92">
        <v>0.78390154382840938</v>
      </c>
      <c r="H92">
        <v>0.73400117456821146</v>
      </c>
      <c r="I92">
        <v>0.71221424327717098</v>
      </c>
      <c r="J92">
        <v>-16.11809565095832</v>
      </c>
      <c r="K92">
        <v>0.40282887289318459</v>
      </c>
      <c r="L92">
        <v>-2.549210999081668</v>
      </c>
      <c r="M92">
        <v>2.4470563670874861</v>
      </c>
      <c r="N92">
        <v>2.308626042536269</v>
      </c>
      <c r="O92">
        <v>-11.51292546497023</v>
      </c>
      <c r="P92">
        <f t="shared" si="8"/>
        <v>0.13843032455121707</v>
      </c>
      <c r="Q92">
        <f t="shared" si="9"/>
        <v>0</v>
      </c>
      <c r="R92">
        <f t="shared" si="10"/>
        <v>1</v>
      </c>
      <c r="S92">
        <f t="shared" si="11"/>
        <v>0</v>
      </c>
      <c r="T92">
        <f t="shared" si="12"/>
        <v>0</v>
      </c>
      <c r="U92">
        <f t="shared" si="13"/>
        <v>0</v>
      </c>
      <c r="V92">
        <f t="shared" si="14"/>
        <v>0</v>
      </c>
      <c r="W92">
        <f t="shared" si="15"/>
        <v>0</v>
      </c>
    </row>
    <row r="93" spans="1:23" x14ac:dyDescent="0.25">
      <c r="A93" s="1">
        <v>16</v>
      </c>
      <c r="B93" s="1">
        <v>2007</v>
      </c>
      <c r="C93">
        <v>-2.139332813232802</v>
      </c>
      <c r="D93">
        <v>0.84835444486232792</v>
      </c>
      <c r="E93">
        <v>0.94778939893352609</v>
      </c>
      <c r="F93">
        <v>0.93106111077760501</v>
      </c>
      <c r="G93">
        <v>0.64950872353011579</v>
      </c>
      <c r="H93">
        <v>0.78390154382840938</v>
      </c>
      <c r="I93">
        <v>0.73400117456821146</v>
      </c>
      <c r="J93">
        <v>-16.11809565095832</v>
      </c>
      <c r="K93">
        <v>0.40282887289318459</v>
      </c>
      <c r="L93">
        <v>-2.398758219080602</v>
      </c>
      <c r="M93">
        <v>2.5164897477429151</v>
      </c>
      <c r="N93">
        <v>2.4491292773411559</v>
      </c>
      <c r="O93">
        <v>-11.51292546497023</v>
      </c>
      <c r="P93">
        <f t="shared" si="8"/>
        <v>6.7360470401759187E-2</v>
      </c>
      <c r="Q93">
        <f t="shared" si="9"/>
        <v>0</v>
      </c>
      <c r="R93">
        <f t="shared" si="10"/>
        <v>1</v>
      </c>
      <c r="S93">
        <f t="shared" si="11"/>
        <v>0</v>
      </c>
      <c r="T93">
        <f t="shared" si="12"/>
        <v>0</v>
      </c>
      <c r="U93">
        <f t="shared" si="13"/>
        <v>0</v>
      </c>
      <c r="V93">
        <f t="shared" si="14"/>
        <v>0</v>
      </c>
      <c r="W93">
        <f t="shared" si="15"/>
        <v>0</v>
      </c>
    </row>
    <row r="94" spans="1:23" x14ac:dyDescent="0.25">
      <c r="A94" s="1">
        <v>16</v>
      </c>
      <c r="B94" s="1">
        <v>2008</v>
      </c>
      <c r="C94">
        <v>-2.0057206848228928</v>
      </c>
      <c r="D94">
        <v>0.85840734942560504</v>
      </c>
      <c r="E94">
        <v>0.84835444486232792</v>
      </c>
      <c r="F94">
        <v>0.94778939893352609</v>
      </c>
      <c r="G94">
        <v>0.6598488951584307</v>
      </c>
      <c r="H94">
        <v>0.64950872353011579</v>
      </c>
      <c r="I94">
        <v>0.78390154382840938</v>
      </c>
      <c r="J94">
        <v>-16.11809565095832</v>
      </c>
      <c r="K94">
        <v>0.40282887289318459</v>
      </c>
      <c r="L94">
        <v>-2.2470832121638229</v>
      </c>
      <c r="M94">
        <v>2.57937795119713</v>
      </c>
      <c r="N94">
        <v>2.5185653329997022</v>
      </c>
      <c r="O94">
        <v>-11.51292546497023</v>
      </c>
      <c r="P94">
        <f t="shared" si="8"/>
        <v>6.0812618197427781E-2</v>
      </c>
      <c r="Q94">
        <f t="shared" si="9"/>
        <v>0</v>
      </c>
      <c r="R94">
        <f t="shared" si="10"/>
        <v>1</v>
      </c>
      <c r="S94">
        <f t="shared" si="11"/>
        <v>0</v>
      </c>
      <c r="T94">
        <f t="shared" si="12"/>
        <v>0</v>
      </c>
      <c r="U94">
        <f t="shared" si="13"/>
        <v>0</v>
      </c>
      <c r="V94">
        <f t="shared" si="14"/>
        <v>0</v>
      </c>
      <c r="W94">
        <f t="shared" si="15"/>
        <v>0</v>
      </c>
    </row>
    <row r="95" spans="1:23" x14ac:dyDescent="0.25">
      <c r="A95" s="1">
        <v>16</v>
      </c>
      <c r="B95" s="1">
        <v>2009</v>
      </c>
      <c r="C95">
        <v>-1.9859295162137669</v>
      </c>
      <c r="D95">
        <v>0.85377682648491271</v>
      </c>
      <c r="E95">
        <v>0.85840734942560504</v>
      </c>
      <c r="F95">
        <v>0.84835444486232792</v>
      </c>
      <c r="G95">
        <v>0.55995858631620055</v>
      </c>
      <c r="H95">
        <v>0.6598488951584307</v>
      </c>
      <c r="I95">
        <v>0.64950872353011579</v>
      </c>
      <c r="J95">
        <v>-16.11809565095832</v>
      </c>
      <c r="K95">
        <v>0.40282887289318459</v>
      </c>
      <c r="L95">
        <v>-2.1205439204507179</v>
      </c>
      <c r="M95">
        <v>2.561962092626465</v>
      </c>
      <c r="N95">
        <v>2.5576909081762151</v>
      </c>
      <c r="O95">
        <v>-11.51292546497023</v>
      </c>
      <c r="P95">
        <f t="shared" si="8"/>
        <v>4.2711844502498764E-3</v>
      </c>
      <c r="Q95">
        <f t="shared" si="9"/>
        <v>0</v>
      </c>
      <c r="R95">
        <f t="shared" si="10"/>
        <v>1</v>
      </c>
      <c r="S95">
        <f t="shared" si="11"/>
        <v>0</v>
      </c>
      <c r="T95">
        <f t="shared" si="12"/>
        <v>0</v>
      </c>
      <c r="U95">
        <f t="shared" si="13"/>
        <v>0</v>
      </c>
      <c r="V95">
        <f t="shared" si="14"/>
        <v>0</v>
      </c>
      <c r="W95">
        <f t="shared" si="15"/>
        <v>0</v>
      </c>
    </row>
    <row r="96" spans="1:23" x14ac:dyDescent="0.25">
      <c r="A96" s="1">
        <v>16</v>
      </c>
      <c r="B96" s="1">
        <v>2010</v>
      </c>
      <c r="C96">
        <v>-1.886218851799045</v>
      </c>
      <c r="D96">
        <v>0.84672626848824584</v>
      </c>
      <c r="E96">
        <v>0.85377682648491271</v>
      </c>
      <c r="F96">
        <v>0.85840734942560504</v>
      </c>
      <c r="G96">
        <v>0.57874592024996996</v>
      </c>
      <c r="H96">
        <v>0.55995858631620055</v>
      </c>
      <c r="I96">
        <v>0.6598488951584307</v>
      </c>
      <c r="J96">
        <v>-6.4853357535740814</v>
      </c>
      <c r="K96">
        <v>0.40282887289318459</v>
      </c>
      <c r="L96">
        <v>-2.013719817614553</v>
      </c>
      <c r="M96">
        <v>2.5311522364316139</v>
      </c>
      <c r="N96">
        <v>2.516949080697501</v>
      </c>
      <c r="O96">
        <v>-11.51292546497023</v>
      </c>
      <c r="P96">
        <f t="shared" si="8"/>
        <v>1.4203155734112904E-2</v>
      </c>
      <c r="Q96">
        <f t="shared" si="9"/>
        <v>0</v>
      </c>
      <c r="R96">
        <f t="shared" si="10"/>
        <v>1</v>
      </c>
      <c r="S96">
        <f t="shared" si="11"/>
        <v>0</v>
      </c>
      <c r="T96">
        <f t="shared" si="12"/>
        <v>0</v>
      </c>
      <c r="U96">
        <f t="shared" si="13"/>
        <v>0</v>
      </c>
      <c r="V96">
        <f t="shared" si="14"/>
        <v>0</v>
      </c>
      <c r="W96">
        <f t="shared" si="15"/>
        <v>0</v>
      </c>
    </row>
    <row r="97" spans="1:23" x14ac:dyDescent="0.25">
      <c r="A97" s="1">
        <v>16</v>
      </c>
      <c r="B97" s="1">
        <v>2011</v>
      </c>
      <c r="C97">
        <v>-1.8323425651355261</v>
      </c>
      <c r="D97">
        <v>0.76607231057450187</v>
      </c>
      <c r="E97">
        <v>0.84672626848824584</v>
      </c>
      <c r="F97">
        <v>0.85377682648491271</v>
      </c>
      <c r="G97">
        <v>0.56064383074685153</v>
      </c>
      <c r="H97">
        <v>0.57874592024996996</v>
      </c>
      <c r="I97">
        <v>0.55995858631620055</v>
      </c>
      <c r="J97">
        <v>-4.7366501007701718</v>
      </c>
      <c r="K97">
        <v>0.40282887289318459</v>
      </c>
      <c r="L97">
        <v>-1.9358485464253019</v>
      </c>
      <c r="M97">
        <v>2.5411299922494281</v>
      </c>
      <c r="N97">
        <v>2.488078420007426</v>
      </c>
      <c r="O97">
        <v>-11.51292546497023</v>
      </c>
      <c r="P97">
        <f t="shared" si="8"/>
        <v>5.3051572242002187E-2</v>
      </c>
      <c r="Q97">
        <f t="shared" si="9"/>
        <v>0</v>
      </c>
      <c r="R97">
        <f t="shared" si="10"/>
        <v>1</v>
      </c>
      <c r="S97">
        <f t="shared" si="11"/>
        <v>0</v>
      </c>
      <c r="T97">
        <f t="shared" si="12"/>
        <v>0</v>
      </c>
      <c r="U97">
        <f t="shared" si="13"/>
        <v>0</v>
      </c>
      <c r="V97">
        <f t="shared" si="14"/>
        <v>0</v>
      </c>
      <c r="W97">
        <f t="shared" si="15"/>
        <v>0</v>
      </c>
    </row>
    <row r="98" spans="1:23" x14ac:dyDescent="0.25">
      <c r="A98" s="1">
        <v>16</v>
      </c>
      <c r="B98" s="1">
        <v>2012</v>
      </c>
      <c r="C98">
        <v>-1.697172032400051</v>
      </c>
      <c r="D98">
        <v>0.67666204430008292</v>
      </c>
      <c r="E98">
        <v>0.76607231057450187</v>
      </c>
      <c r="F98">
        <v>0.84672626848824584</v>
      </c>
      <c r="G98">
        <v>0.50386142996435779</v>
      </c>
      <c r="H98">
        <v>0.56064383074685153</v>
      </c>
      <c r="I98">
        <v>0.57874592024996996</v>
      </c>
      <c r="J98">
        <v>-4.2464961022431877</v>
      </c>
      <c r="K98">
        <v>0.40282887289318459</v>
      </c>
      <c r="L98">
        <v>-1.8797725681329061</v>
      </c>
      <c r="M98">
        <v>2.6120553067830841</v>
      </c>
      <c r="N98">
        <v>2.5204583670104239</v>
      </c>
      <c r="O98">
        <v>-11.51292546497023</v>
      </c>
      <c r="P98">
        <f t="shared" si="8"/>
        <v>9.1596939772660146E-2</v>
      </c>
      <c r="Q98">
        <f t="shared" si="9"/>
        <v>0</v>
      </c>
      <c r="R98">
        <f t="shared" si="10"/>
        <v>1</v>
      </c>
      <c r="S98">
        <f t="shared" si="11"/>
        <v>0</v>
      </c>
      <c r="T98">
        <f t="shared" si="12"/>
        <v>0</v>
      </c>
      <c r="U98">
        <f t="shared" si="13"/>
        <v>0</v>
      </c>
      <c r="V98">
        <f t="shared" si="14"/>
        <v>0</v>
      </c>
      <c r="W98">
        <f t="shared" si="15"/>
        <v>0</v>
      </c>
    </row>
    <row r="99" spans="1:23" x14ac:dyDescent="0.25">
      <c r="A99" s="1">
        <v>16</v>
      </c>
      <c r="B99" s="1">
        <v>2013</v>
      </c>
      <c r="C99">
        <v>-1.673337722549276</v>
      </c>
      <c r="D99">
        <v>0.66957144403123958</v>
      </c>
      <c r="E99">
        <v>0.67666204430008292</v>
      </c>
      <c r="F99">
        <v>0.76607231057450187</v>
      </c>
      <c r="G99">
        <v>0.50603416302985993</v>
      </c>
      <c r="H99">
        <v>0.50386142996435779</v>
      </c>
      <c r="I99">
        <v>0.56064383074685153</v>
      </c>
      <c r="J99">
        <v>-3.421811226673213</v>
      </c>
      <c r="K99">
        <v>0.40282887289318459</v>
      </c>
      <c r="L99">
        <v>-1.857649659108747</v>
      </c>
      <c r="M99">
        <v>2.625774611983184</v>
      </c>
      <c r="N99">
        <v>2.561271444999154</v>
      </c>
      <c r="O99">
        <v>-11.51292546497023</v>
      </c>
      <c r="P99">
        <f t="shared" si="8"/>
        <v>6.4503166984029914E-2</v>
      </c>
      <c r="Q99">
        <f t="shared" si="9"/>
        <v>0</v>
      </c>
      <c r="R99">
        <f t="shared" si="10"/>
        <v>1</v>
      </c>
      <c r="S99">
        <f t="shared" si="11"/>
        <v>0</v>
      </c>
      <c r="T99">
        <f t="shared" si="12"/>
        <v>0</v>
      </c>
      <c r="U99">
        <f t="shared" si="13"/>
        <v>0</v>
      </c>
      <c r="V99">
        <f t="shared" si="14"/>
        <v>0</v>
      </c>
      <c r="W99">
        <f t="shared" si="15"/>
        <v>0</v>
      </c>
    </row>
    <row r="100" spans="1:23" x14ac:dyDescent="0.25">
      <c r="A100" s="1">
        <v>16</v>
      </c>
      <c r="B100" s="1">
        <v>2014</v>
      </c>
      <c r="C100">
        <v>-1.5816291422594899</v>
      </c>
      <c r="D100">
        <v>0.64532155107734079</v>
      </c>
      <c r="E100">
        <v>0.66957144403123958</v>
      </c>
      <c r="F100">
        <v>0.67666204430008292</v>
      </c>
      <c r="G100">
        <v>0.58978466756479209</v>
      </c>
      <c r="H100">
        <v>0.50603416302985993</v>
      </c>
      <c r="I100">
        <v>0.50386142996435779</v>
      </c>
      <c r="J100">
        <v>-2.7926470713120639</v>
      </c>
      <c r="K100">
        <v>0.40282887289318459</v>
      </c>
      <c r="L100">
        <v>-1.807593059522477</v>
      </c>
      <c r="M100">
        <v>2.5774979851936082</v>
      </c>
      <c r="N100">
        <v>2.6043512012031829</v>
      </c>
      <c r="O100">
        <v>-11.51292546497023</v>
      </c>
      <c r="P100">
        <f t="shared" si="8"/>
        <v>-2.6853216009574687E-2</v>
      </c>
      <c r="Q100">
        <f t="shared" si="9"/>
        <v>0</v>
      </c>
      <c r="R100">
        <f t="shared" si="10"/>
        <v>1</v>
      </c>
      <c r="S100">
        <f t="shared" si="11"/>
        <v>0</v>
      </c>
      <c r="T100">
        <f t="shared" si="12"/>
        <v>0</v>
      </c>
      <c r="U100">
        <f t="shared" si="13"/>
        <v>0</v>
      </c>
      <c r="V100">
        <f t="shared" si="14"/>
        <v>0</v>
      </c>
      <c r="W100">
        <f t="shared" si="15"/>
        <v>0</v>
      </c>
    </row>
    <row r="101" spans="1:23" x14ac:dyDescent="0.25">
      <c r="A101" s="1">
        <v>16</v>
      </c>
      <c r="B101" s="1">
        <v>2015</v>
      </c>
      <c r="C101">
        <v>-1.606719350519505</v>
      </c>
      <c r="D101">
        <v>0.66474770603824729</v>
      </c>
      <c r="E101">
        <v>0.64532155107734079</v>
      </c>
      <c r="F101">
        <v>0.66957144403123958</v>
      </c>
      <c r="G101">
        <v>0.50609444939008918</v>
      </c>
      <c r="H101">
        <v>0.58978466756479209</v>
      </c>
      <c r="I101">
        <v>0.50603416302985993</v>
      </c>
      <c r="J101">
        <v>-2.437375580685293</v>
      </c>
      <c r="K101">
        <v>0.40282887289318459</v>
      </c>
      <c r="L101">
        <v>-1.7745875972242799</v>
      </c>
      <c r="M101">
        <v>2.517606577909357</v>
      </c>
      <c r="N101">
        <v>2.5567182529185071</v>
      </c>
      <c r="O101">
        <v>-11.51292546497023</v>
      </c>
      <c r="P101">
        <f t="shared" si="8"/>
        <v>-3.9111675009150026E-2</v>
      </c>
      <c r="Q101">
        <f t="shared" si="9"/>
        <v>0</v>
      </c>
      <c r="R101">
        <f t="shared" si="10"/>
        <v>1</v>
      </c>
      <c r="S101">
        <f t="shared" si="11"/>
        <v>0</v>
      </c>
      <c r="T101">
        <f t="shared" si="12"/>
        <v>0</v>
      </c>
      <c r="U101">
        <f t="shared" si="13"/>
        <v>0</v>
      </c>
      <c r="V101">
        <f t="shared" si="14"/>
        <v>0</v>
      </c>
      <c r="W101">
        <f t="shared" si="15"/>
        <v>1</v>
      </c>
    </row>
    <row r="102" spans="1:23" x14ac:dyDescent="0.25">
      <c r="A102" s="1">
        <v>16</v>
      </c>
      <c r="B102" s="1">
        <v>2016</v>
      </c>
      <c r="C102">
        <v>-1.6413975343736871</v>
      </c>
      <c r="D102">
        <v>0.6924969692183589</v>
      </c>
      <c r="E102">
        <v>0.66474770603824729</v>
      </c>
      <c r="F102">
        <v>0.64532155107734079</v>
      </c>
      <c r="G102">
        <v>0.69524497864209145</v>
      </c>
      <c r="H102">
        <v>0.50609444939008918</v>
      </c>
      <c r="I102">
        <v>0.58978466756479209</v>
      </c>
      <c r="J102">
        <v>-2.1189371249906608</v>
      </c>
      <c r="K102">
        <v>0.40282887289318459</v>
      </c>
      <c r="L102">
        <v>-1.7664090653759601</v>
      </c>
      <c r="M102">
        <v>2.453624418700683</v>
      </c>
      <c r="N102">
        <v>2.4974428707249521</v>
      </c>
      <c r="O102">
        <v>-11.51292546497023</v>
      </c>
      <c r="P102">
        <f t="shared" si="8"/>
        <v>-4.3818452024269039E-2</v>
      </c>
      <c r="Q102">
        <f t="shared" si="9"/>
        <v>0</v>
      </c>
      <c r="R102">
        <f t="shared" si="10"/>
        <v>1</v>
      </c>
      <c r="S102">
        <f t="shared" si="11"/>
        <v>0</v>
      </c>
      <c r="T102">
        <f t="shared" si="12"/>
        <v>0</v>
      </c>
      <c r="U102">
        <f t="shared" si="13"/>
        <v>0</v>
      </c>
      <c r="V102">
        <f t="shared" si="14"/>
        <v>0</v>
      </c>
      <c r="W102">
        <f t="shared" si="15"/>
        <v>1</v>
      </c>
    </row>
    <row r="103" spans="1:23" x14ac:dyDescent="0.25">
      <c r="A103" s="1">
        <v>16</v>
      </c>
      <c r="B103" s="1">
        <v>2017</v>
      </c>
      <c r="C103">
        <v>-1.640089231748751</v>
      </c>
      <c r="D103">
        <v>0.67701779863006162</v>
      </c>
      <c r="E103">
        <v>0.6924969692183589</v>
      </c>
      <c r="F103">
        <v>0.66474770603824729</v>
      </c>
      <c r="G103">
        <v>0.68778281806079467</v>
      </c>
      <c r="H103">
        <v>0.69524497864209145</v>
      </c>
      <c r="I103">
        <v>0.50609444939008918</v>
      </c>
      <c r="J103">
        <v>-1.4832631345614169</v>
      </c>
      <c r="K103">
        <v>0.40282887289318459</v>
      </c>
      <c r="L103">
        <v>-1.7503629032432411</v>
      </c>
      <c r="M103">
        <v>2.4745106219275401</v>
      </c>
      <c r="N103">
        <v>2.4340961601341049</v>
      </c>
      <c r="O103">
        <v>-11.51292546497023</v>
      </c>
      <c r="P103">
        <f t="shared" si="8"/>
        <v>4.0414461793435219E-2</v>
      </c>
      <c r="Q103">
        <f t="shared" si="9"/>
        <v>0</v>
      </c>
      <c r="R103">
        <f t="shared" si="10"/>
        <v>1</v>
      </c>
      <c r="S103">
        <f t="shared" si="11"/>
        <v>0</v>
      </c>
      <c r="T103">
        <f t="shared" si="12"/>
        <v>0</v>
      </c>
      <c r="U103">
        <f t="shared" si="13"/>
        <v>0</v>
      </c>
      <c r="V103">
        <f t="shared" si="14"/>
        <v>0</v>
      </c>
      <c r="W103">
        <f t="shared" si="15"/>
        <v>1</v>
      </c>
    </row>
    <row r="104" spans="1:23" x14ac:dyDescent="0.25">
      <c r="A104" s="1">
        <v>16</v>
      </c>
      <c r="B104" s="1">
        <v>2018</v>
      </c>
      <c r="C104">
        <v>-1.6581562884260019</v>
      </c>
      <c r="D104">
        <v>0.73553594705173186</v>
      </c>
      <c r="E104">
        <v>0.67701779863006162</v>
      </c>
      <c r="F104">
        <v>0.6924969692183589</v>
      </c>
      <c r="G104">
        <v>0.6773226302129739</v>
      </c>
      <c r="H104">
        <v>0.68778281806079467</v>
      </c>
      <c r="I104">
        <v>0.69524497864209145</v>
      </c>
      <c r="J104">
        <v>-1.082461206997537</v>
      </c>
      <c r="K104">
        <v>0.40282887289318459</v>
      </c>
      <c r="L104">
        <v>-1.7459804863662149</v>
      </c>
      <c r="M104">
        <v>2.4729213320469849</v>
      </c>
      <c r="N104">
        <v>2.4354549114234989</v>
      </c>
      <c r="O104">
        <v>3.2580965380214821</v>
      </c>
      <c r="P104">
        <f t="shared" si="8"/>
        <v>3.7466420623486041E-2</v>
      </c>
      <c r="Q104">
        <f t="shared" si="9"/>
        <v>14.771022002991712</v>
      </c>
      <c r="R104">
        <f t="shared" si="10"/>
        <v>1</v>
      </c>
      <c r="S104">
        <f t="shared" si="11"/>
        <v>0</v>
      </c>
      <c r="T104">
        <f t="shared" si="12"/>
        <v>0</v>
      </c>
      <c r="U104">
        <f t="shared" si="13"/>
        <v>0</v>
      </c>
      <c r="V104">
        <f t="shared" si="14"/>
        <v>0</v>
      </c>
      <c r="W104">
        <f t="shared" si="15"/>
        <v>1</v>
      </c>
    </row>
    <row r="105" spans="1:23" x14ac:dyDescent="0.25">
      <c r="A105" s="1">
        <v>16</v>
      </c>
      <c r="B105" s="1">
        <v>2019</v>
      </c>
      <c r="C105">
        <v>-1.603972938715956</v>
      </c>
      <c r="D105">
        <v>0.6634093622959889</v>
      </c>
      <c r="E105">
        <v>0.73553594705173186</v>
      </c>
      <c r="F105">
        <v>0.67701779863006162</v>
      </c>
      <c r="G105">
        <v>0.60070289016866529</v>
      </c>
      <c r="H105">
        <v>0.6773226302129739</v>
      </c>
      <c r="I105">
        <v>0.68778281806079467</v>
      </c>
      <c r="J105">
        <v>-0.38409368144506473</v>
      </c>
      <c r="K105">
        <v>0.40282887289318459</v>
      </c>
      <c r="L105">
        <v>-1.713594278535002</v>
      </c>
      <c r="M105">
        <v>2.45307765398797</v>
      </c>
      <c r="N105">
        <v>2.4535358662373121</v>
      </c>
      <c r="O105">
        <v>5.393627546352362</v>
      </c>
      <c r="P105">
        <f t="shared" si="8"/>
        <v>-4.5821224934217142E-4</v>
      </c>
      <c r="Q105">
        <f t="shared" si="9"/>
        <v>2.1355310083308798</v>
      </c>
      <c r="R105">
        <f t="shared" si="10"/>
        <v>1</v>
      </c>
      <c r="S105">
        <f t="shared" si="11"/>
        <v>0</v>
      </c>
      <c r="T105">
        <f t="shared" si="12"/>
        <v>0</v>
      </c>
      <c r="U105">
        <f t="shared" si="13"/>
        <v>0</v>
      </c>
      <c r="V105">
        <f t="shared" si="14"/>
        <v>0</v>
      </c>
      <c r="W105">
        <f t="shared" si="15"/>
        <v>1</v>
      </c>
    </row>
    <row r="106" spans="1:23" x14ac:dyDescent="0.25">
      <c r="A106" s="1">
        <v>16</v>
      </c>
      <c r="B106" s="1">
        <v>2020</v>
      </c>
      <c r="C106">
        <v>-1.603693240766175</v>
      </c>
      <c r="D106">
        <v>0.50675735959003665</v>
      </c>
      <c r="E106">
        <v>0.6634093622959889</v>
      </c>
      <c r="F106">
        <v>0.73553594705173186</v>
      </c>
      <c r="G106">
        <v>0.57784855619648245</v>
      </c>
      <c r="H106">
        <v>0.60070289016866529</v>
      </c>
      <c r="I106">
        <v>0.6773226302129739</v>
      </c>
      <c r="J106">
        <v>0.21548701610898499</v>
      </c>
      <c r="K106">
        <v>0.40282887289318459</v>
      </c>
      <c r="L106">
        <v>-1.688855747449572</v>
      </c>
      <c r="M106">
        <v>2.4256603698466122</v>
      </c>
      <c r="N106">
        <v>2.4342871012128651</v>
      </c>
      <c r="O106">
        <v>5.9914645471079817</v>
      </c>
      <c r="P106">
        <f t="shared" si="8"/>
        <v>-8.6267313662529155E-3</v>
      </c>
      <c r="Q106">
        <f t="shared" si="9"/>
        <v>0.59783700075561974</v>
      </c>
      <c r="R106">
        <f t="shared" si="10"/>
        <v>1</v>
      </c>
      <c r="S106">
        <f t="shared" si="11"/>
        <v>0</v>
      </c>
      <c r="T106">
        <f t="shared" si="12"/>
        <v>0</v>
      </c>
      <c r="U106">
        <f t="shared" si="13"/>
        <v>0</v>
      </c>
      <c r="V106">
        <f t="shared" si="14"/>
        <v>1</v>
      </c>
      <c r="W106">
        <f t="shared" si="15"/>
        <v>1</v>
      </c>
    </row>
    <row r="107" spans="1:23" x14ac:dyDescent="0.25">
      <c r="A107" s="1">
        <v>16</v>
      </c>
      <c r="B107" s="1">
        <v>2021</v>
      </c>
      <c r="C107">
        <v>-1.528306146515986</v>
      </c>
      <c r="D107">
        <v>0.76504914984902317</v>
      </c>
      <c r="E107">
        <v>0.50675735959003665</v>
      </c>
      <c r="F107">
        <v>0.6634093622959889</v>
      </c>
      <c r="G107">
        <v>0.81920698022067795</v>
      </c>
      <c r="H107">
        <v>0.57784855619648245</v>
      </c>
      <c r="I107">
        <v>0.60070289016866529</v>
      </c>
      <c r="J107">
        <v>0.70660096568781861</v>
      </c>
      <c r="K107">
        <v>0.40282887289318459</v>
      </c>
      <c r="L107">
        <v>-1.675913481839175</v>
      </c>
      <c r="M107">
        <v>2.3693990305980459</v>
      </c>
      <c r="N107">
        <v>2.4074465427846561</v>
      </c>
      <c r="O107">
        <v>6.6846117276679271</v>
      </c>
      <c r="P107">
        <f t="shared" si="8"/>
        <v>-3.8047512186610177E-2</v>
      </c>
      <c r="Q107">
        <f t="shared" si="9"/>
        <v>0.6931471805599454</v>
      </c>
      <c r="R107">
        <f t="shared" si="10"/>
        <v>1</v>
      </c>
      <c r="S107">
        <f t="shared" si="11"/>
        <v>0</v>
      </c>
      <c r="T107">
        <f t="shared" si="12"/>
        <v>0</v>
      </c>
      <c r="U107">
        <f t="shared" si="13"/>
        <v>0</v>
      </c>
      <c r="V107">
        <f t="shared" si="14"/>
        <v>0</v>
      </c>
      <c r="W107">
        <f t="shared" si="15"/>
        <v>1</v>
      </c>
    </row>
    <row r="108" spans="1:23" x14ac:dyDescent="0.25">
      <c r="A108" s="1">
        <v>16</v>
      </c>
      <c r="B108" s="1">
        <v>2022</v>
      </c>
      <c r="C108">
        <v>-1.4997510253728921</v>
      </c>
      <c r="D108">
        <v>0.79624513856351264</v>
      </c>
      <c r="E108">
        <v>0.76504914984902317</v>
      </c>
      <c r="F108">
        <v>0.50675735959003665</v>
      </c>
      <c r="G108">
        <v>0.85462807148204811</v>
      </c>
      <c r="H108">
        <v>0.81920698022067795</v>
      </c>
      <c r="I108">
        <v>0.57784855619648245</v>
      </c>
      <c r="J108">
        <v>1.24896447296841</v>
      </c>
      <c r="K108">
        <v>0.40282887289318459</v>
      </c>
      <c r="L108">
        <v>-1.6517963590735101</v>
      </c>
      <c r="M108">
        <v>2.4483353558842298</v>
      </c>
      <c r="N108">
        <v>2.3693990305980459</v>
      </c>
      <c r="O108">
        <v>8.0551577318196781</v>
      </c>
      <c r="P108">
        <f t="shared" si="8"/>
        <v>7.8936325286183884E-2</v>
      </c>
      <c r="Q108">
        <f t="shared" si="9"/>
        <v>1.370546004151751</v>
      </c>
      <c r="R108">
        <f t="shared" si="10"/>
        <v>1</v>
      </c>
      <c r="S108">
        <f t="shared" si="11"/>
        <v>0</v>
      </c>
      <c r="T108">
        <f t="shared" si="12"/>
        <v>0</v>
      </c>
      <c r="U108">
        <f t="shared" si="13"/>
        <v>0</v>
      </c>
      <c r="V108">
        <f t="shared" si="14"/>
        <v>0</v>
      </c>
      <c r="W108">
        <f t="shared" si="15"/>
        <v>0</v>
      </c>
    </row>
    <row r="109" spans="1:23" x14ac:dyDescent="0.25">
      <c r="A109" s="1">
        <v>16</v>
      </c>
      <c r="B109" s="1">
        <v>2023</v>
      </c>
      <c r="C109">
        <v>-1.4824782413667701</v>
      </c>
      <c r="D109">
        <v>0.70255280863404101</v>
      </c>
      <c r="E109">
        <v>0.79624513856351264</v>
      </c>
      <c r="F109">
        <v>0.76504914984902317</v>
      </c>
      <c r="G109">
        <v>0.72338536362055528</v>
      </c>
      <c r="H109">
        <v>0.85462807148204811</v>
      </c>
      <c r="I109">
        <v>0.81920698022067795</v>
      </c>
      <c r="J109">
        <v>1.877485982623855</v>
      </c>
      <c r="K109">
        <v>0.40282887289318459</v>
      </c>
      <c r="L109">
        <v>-1.6311483237791999</v>
      </c>
      <c r="M109">
        <v>2.5690980120587579</v>
      </c>
      <c r="N109">
        <v>2.4483353558842298</v>
      </c>
      <c r="O109">
        <v>8.4658998970286863</v>
      </c>
      <c r="P109">
        <f t="shared" si="8"/>
        <v>0.12076265617452808</v>
      </c>
      <c r="Q109">
        <f t="shared" si="9"/>
        <v>0.41074216520900819</v>
      </c>
      <c r="R109">
        <f t="shared" si="10"/>
        <v>1</v>
      </c>
      <c r="S109">
        <f t="shared" si="11"/>
        <v>0</v>
      </c>
      <c r="T109">
        <f t="shared" si="12"/>
        <v>0</v>
      </c>
      <c r="U109">
        <f t="shared" si="13"/>
        <v>0</v>
      </c>
      <c r="V109">
        <f t="shared" si="14"/>
        <v>0</v>
      </c>
      <c r="W109">
        <f t="shared" si="15"/>
        <v>0</v>
      </c>
    </row>
    <row r="110" spans="1:23" x14ac:dyDescent="0.25">
      <c r="A110" s="1">
        <v>17</v>
      </c>
      <c r="B110" s="1">
        <v>2006</v>
      </c>
      <c r="C110">
        <v>-2.302468246616844</v>
      </c>
      <c r="D110">
        <v>1.0116009116784801</v>
      </c>
      <c r="E110">
        <v>0.94720783450887658</v>
      </c>
      <c r="F110">
        <v>0.8792532337715917</v>
      </c>
      <c r="G110">
        <v>0.70309751141311339</v>
      </c>
      <c r="H110">
        <v>0.51950782414882457</v>
      </c>
      <c r="I110">
        <v>0.40832767372164103</v>
      </c>
      <c r="J110">
        <v>-16.11809565095832</v>
      </c>
      <c r="K110">
        <v>1.221842963958693</v>
      </c>
      <c r="L110">
        <v>-2.1105228304649279</v>
      </c>
      <c r="M110">
        <v>2.1691989286444682</v>
      </c>
      <c r="N110">
        <v>2.1187108704670079</v>
      </c>
      <c r="O110">
        <v>-11.51292546497023</v>
      </c>
      <c r="P110">
        <f t="shared" si="8"/>
        <v>5.0488058177460271E-2</v>
      </c>
      <c r="Q110">
        <f t="shared" si="9"/>
        <v>0</v>
      </c>
      <c r="R110">
        <f t="shared" si="10"/>
        <v>1</v>
      </c>
      <c r="S110">
        <f t="shared" si="11"/>
        <v>0</v>
      </c>
      <c r="T110">
        <f t="shared" si="12"/>
        <v>0</v>
      </c>
      <c r="U110">
        <f t="shared" si="13"/>
        <v>0</v>
      </c>
      <c r="V110">
        <f t="shared" si="14"/>
        <v>0</v>
      </c>
      <c r="W110">
        <f t="shared" si="15"/>
        <v>0</v>
      </c>
    </row>
    <row r="111" spans="1:23" x14ac:dyDescent="0.25">
      <c r="A111" s="1">
        <v>17</v>
      </c>
      <c r="B111" s="1">
        <v>2007</v>
      </c>
      <c r="C111">
        <v>-2.11853423260757</v>
      </c>
      <c r="D111">
        <v>0.96065205557290867</v>
      </c>
      <c r="E111">
        <v>1.0116009116784801</v>
      </c>
      <c r="F111">
        <v>0.94720783450887658</v>
      </c>
      <c r="G111">
        <v>0.51024545550092504</v>
      </c>
      <c r="H111">
        <v>0.70309751141311339</v>
      </c>
      <c r="I111">
        <v>0.51950782414882457</v>
      </c>
      <c r="J111">
        <v>-16.11809565095832</v>
      </c>
      <c r="K111">
        <v>1.221842963958693</v>
      </c>
      <c r="L111">
        <v>-1.9746220161420369</v>
      </c>
      <c r="M111">
        <v>2.2899529957657978</v>
      </c>
      <c r="N111">
        <v>2.1888773255111871</v>
      </c>
      <c r="O111">
        <v>-11.51292546497023</v>
      </c>
      <c r="P111">
        <f t="shared" si="8"/>
        <v>0.10107567025461073</v>
      </c>
      <c r="Q111">
        <f t="shared" si="9"/>
        <v>0</v>
      </c>
      <c r="R111">
        <f t="shared" si="10"/>
        <v>1</v>
      </c>
      <c r="S111">
        <f t="shared" si="11"/>
        <v>0</v>
      </c>
      <c r="T111">
        <f t="shared" si="12"/>
        <v>0</v>
      </c>
      <c r="U111">
        <f t="shared" si="13"/>
        <v>0</v>
      </c>
      <c r="V111">
        <f t="shared" si="14"/>
        <v>0</v>
      </c>
      <c r="W111">
        <f t="shared" si="15"/>
        <v>0</v>
      </c>
    </row>
    <row r="112" spans="1:23" x14ac:dyDescent="0.25">
      <c r="A112" s="1">
        <v>17</v>
      </c>
      <c r="B112" s="1">
        <v>2008</v>
      </c>
      <c r="C112">
        <v>-1.995429635360918</v>
      </c>
      <c r="D112">
        <v>0.90700777827523826</v>
      </c>
      <c r="E112">
        <v>0.96065205557290867</v>
      </c>
      <c r="F112">
        <v>1.0116009116784801</v>
      </c>
      <c r="G112">
        <v>0.4529210492644597</v>
      </c>
      <c r="H112">
        <v>0.51024545550092504</v>
      </c>
      <c r="I112">
        <v>0.70309751141311339</v>
      </c>
      <c r="J112">
        <v>-16.11809565095832</v>
      </c>
      <c r="K112">
        <v>1.221842963958693</v>
      </c>
      <c r="L112">
        <v>-1.841829783458155</v>
      </c>
      <c r="M112">
        <v>2.398755838764338</v>
      </c>
      <c r="N112">
        <v>2.3100264184129382</v>
      </c>
      <c r="O112">
        <v>-11.51292546497023</v>
      </c>
      <c r="P112">
        <f t="shared" si="8"/>
        <v>8.8729420351399746E-2</v>
      </c>
      <c r="Q112">
        <f t="shared" si="9"/>
        <v>0</v>
      </c>
      <c r="R112">
        <f t="shared" si="10"/>
        <v>1</v>
      </c>
      <c r="S112">
        <f t="shared" si="11"/>
        <v>0</v>
      </c>
      <c r="T112">
        <f t="shared" si="12"/>
        <v>0</v>
      </c>
      <c r="U112">
        <f t="shared" si="13"/>
        <v>0</v>
      </c>
      <c r="V112">
        <f t="shared" si="14"/>
        <v>0</v>
      </c>
      <c r="W112">
        <f t="shared" si="15"/>
        <v>0</v>
      </c>
    </row>
    <row r="113" spans="1:23" x14ac:dyDescent="0.25">
      <c r="A113" s="1">
        <v>17</v>
      </c>
      <c r="B113" s="1">
        <v>2009</v>
      </c>
      <c r="C113">
        <v>-1.9843049276434861</v>
      </c>
      <c r="D113">
        <v>0.86478688900703937</v>
      </c>
      <c r="E113">
        <v>0.90700777827523826</v>
      </c>
      <c r="F113">
        <v>0.96065205557290867</v>
      </c>
      <c r="G113">
        <v>0.40499833251872053</v>
      </c>
      <c r="H113">
        <v>0.4529210492644597</v>
      </c>
      <c r="I113">
        <v>0.51024545550092504</v>
      </c>
      <c r="J113">
        <v>-16.11809565095832</v>
      </c>
      <c r="K113">
        <v>1.221842963958693</v>
      </c>
      <c r="L113">
        <v>-1.742575435337741</v>
      </c>
      <c r="M113">
        <v>2.4412936220622892</v>
      </c>
      <c r="N113">
        <v>2.3897857393889552</v>
      </c>
      <c r="O113">
        <v>-11.51292546497023</v>
      </c>
      <c r="P113">
        <f t="shared" si="8"/>
        <v>5.1507882673333949E-2</v>
      </c>
      <c r="Q113">
        <f t="shared" si="9"/>
        <v>0</v>
      </c>
      <c r="R113">
        <f t="shared" si="10"/>
        <v>1</v>
      </c>
      <c r="S113">
        <f t="shared" si="11"/>
        <v>0</v>
      </c>
      <c r="T113">
        <f t="shared" si="12"/>
        <v>0</v>
      </c>
      <c r="U113">
        <f t="shared" si="13"/>
        <v>0</v>
      </c>
      <c r="V113">
        <f t="shared" si="14"/>
        <v>0</v>
      </c>
      <c r="W113">
        <f t="shared" si="15"/>
        <v>0</v>
      </c>
    </row>
    <row r="114" spans="1:23" x14ac:dyDescent="0.25">
      <c r="A114" s="1">
        <v>17</v>
      </c>
      <c r="B114" s="1">
        <v>2010</v>
      </c>
      <c r="C114">
        <v>-1.824144273938767</v>
      </c>
      <c r="D114">
        <v>0.83616468739487027</v>
      </c>
      <c r="E114">
        <v>0.86478688900703937</v>
      </c>
      <c r="F114">
        <v>0.90700777827523826</v>
      </c>
      <c r="G114">
        <v>0.43599431314298731</v>
      </c>
      <c r="H114">
        <v>0.40499833251872053</v>
      </c>
      <c r="I114">
        <v>0.4529210492644597</v>
      </c>
      <c r="J114">
        <v>-7.2052431173826657</v>
      </c>
      <c r="K114">
        <v>1.221842963958693</v>
      </c>
      <c r="L114">
        <v>-1.6607651362205169</v>
      </c>
      <c r="M114">
        <v>2.5000871118570078</v>
      </c>
      <c r="N114">
        <v>2.4000366619273419</v>
      </c>
      <c r="O114">
        <v>-11.51292546497023</v>
      </c>
      <c r="P114">
        <f t="shared" si="8"/>
        <v>0.10005044992966594</v>
      </c>
      <c r="Q114">
        <f t="shared" si="9"/>
        <v>0</v>
      </c>
      <c r="R114">
        <f t="shared" si="10"/>
        <v>1</v>
      </c>
      <c r="S114">
        <f t="shared" si="11"/>
        <v>0</v>
      </c>
      <c r="T114">
        <f t="shared" si="12"/>
        <v>0</v>
      </c>
      <c r="U114">
        <f t="shared" si="13"/>
        <v>0</v>
      </c>
      <c r="V114">
        <f t="shared" si="14"/>
        <v>0</v>
      </c>
      <c r="W114">
        <f t="shared" si="15"/>
        <v>0</v>
      </c>
    </row>
    <row r="115" spans="1:23" x14ac:dyDescent="0.25">
      <c r="A115" s="1">
        <v>17</v>
      </c>
      <c r="B115" s="1">
        <v>2011</v>
      </c>
      <c r="C115">
        <v>-1.7247077077691031</v>
      </c>
      <c r="D115">
        <v>0.80459910585408823</v>
      </c>
      <c r="E115">
        <v>0.83616468739487027</v>
      </c>
      <c r="F115">
        <v>0.86478688900703937</v>
      </c>
      <c r="G115">
        <v>0.48316661577201642</v>
      </c>
      <c r="H115">
        <v>0.43599431314298731</v>
      </c>
      <c r="I115">
        <v>0.40499833251872053</v>
      </c>
      <c r="J115">
        <v>-5.4531049863431234</v>
      </c>
      <c r="K115">
        <v>1.221842963958693</v>
      </c>
      <c r="L115">
        <v>-1.5932247588185009</v>
      </c>
      <c r="M115">
        <v>2.4923787573361502</v>
      </c>
      <c r="N115">
        <v>2.460465773668489</v>
      </c>
      <c r="O115">
        <v>-11.51292546497023</v>
      </c>
      <c r="P115">
        <f t="shared" si="8"/>
        <v>3.1912983667661265E-2</v>
      </c>
      <c r="Q115">
        <f t="shared" si="9"/>
        <v>0</v>
      </c>
      <c r="R115">
        <f t="shared" si="10"/>
        <v>1</v>
      </c>
      <c r="S115">
        <f t="shared" si="11"/>
        <v>0</v>
      </c>
      <c r="T115">
        <f t="shared" si="12"/>
        <v>0</v>
      </c>
      <c r="U115">
        <f t="shared" si="13"/>
        <v>0</v>
      </c>
      <c r="V115">
        <f t="shared" si="14"/>
        <v>0</v>
      </c>
      <c r="W115">
        <f t="shared" si="15"/>
        <v>0</v>
      </c>
    </row>
    <row r="116" spans="1:23" x14ac:dyDescent="0.25">
      <c r="A116" s="1">
        <v>17</v>
      </c>
      <c r="B116" s="1">
        <v>2012</v>
      </c>
      <c r="C116">
        <v>-1.5657446252089551</v>
      </c>
      <c r="D116">
        <v>0.74782474185064107</v>
      </c>
      <c r="E116">
        <v>0.80459910585408823</v>
      </c>
      <c r="F116">
        <v>0.83616468739487027</v>
      </c>
      <c r="G116">
        <v>0.45444573032978619</v>
      </c>
      <c r="H116">
        <v>0.48316661577201642</v>
      </c>
      <c r="I116">
        <v>0.43599431314298731</v>
      </c>
      <c r="J116">
        <v>-5.0595623095713167</v>
      </c>
      <c r="K116">
        <v>1.221842963958693</v>
      </c>
      <c r="L116">
        <v>-1.5064707603457781</v>
      </c>
      <c r="M116">
        <v>2.5240087087748391</v>
      </c>
      <c r="N116">
        <v>2.4804563259997732</v>
      </c>
      <c r="O116">
        <v>-11.51292546497023</v>
      </c>
      <c r="P116">
        <f t="shared" si="8"/>
        <v>4.3552382775065901E-2</v>
      </c>
      <c r="Q116">
        <f t="shared" si="9"/>
        <v>0</v>
      </c>
      <c r="R116">
        <f t="shared" si="10"/>
        <v>1</v>
      </c>
      <c r="S116">
        <f t="shared" si="11"/>
        <v>0</v>
      </c>
      <c r="T116">
        <f t="shared" si="12"/>
        <v>0</v>
      </c>
      <c r="U116">
        <f t="shared" si="13"/>
        <v>0</v>
      </c>
      <c r="V116">
        <f t="shared" si="14"/>
        <v>0</v>
      </c>
      <c r="W116">
        <f t="shared" si="15"/>
        <v>0</v>
      </c>
    </row>
    <row r="117" spans="1:23" x14ac:dyDescent="0.25">
      <c r="A117" s="1">
        <v>17</v>
      </c>
      <c r="B117" s="1">
        <v>2013</v>
      </c>
      <c r="C117">
        <v>-1.5546741198978691</v>
      </c>
      <c r="D117">
        <v>0.73414515959401738</v>
      </c>
      <c r="E117">
        <v>0.74782474185064107</v>
      </c>
      <c r="F117">
        <v>0.80459910585408823</v>
      </c>
      <c r="G117">
        <v>0.43320996841672321</v>
      </c>
      <c r="H117">
        <v>0.45444573032978619</v>
      </c>
      <c r="I117">
        <v>0.48316661577201642</v>
      </c>
      <c r="J117">
        <v>-4.2075136027519253</v>
      </c>
      <c r="K117">
        <v>1.221842963958693</v>
      </c>
      <c r="L117">
        <v>-1.4613651130510541</v>
      </c>
      <c r="M117">
        <v>2.550040241402205</v>
      </c>
      <c r="N117">
        <v>2.4822395395721339</v>
      </c>
      <c r="O117">
        <v>-11.51292546497023</v>
      </c>
      <c r="P117">
        <f t="shared" si="8"/>
        <v>6.7800701830071031E-2</v>
      </c>
      <c r="Q117">
        <f t="shared" si="9"/>
        <v>0</v>
      </c>
      <c r="R117">
        <f t="shared" si="10"/>
        <v>1</v>
      </c>
      <c r="S117">
        <f t="shared" si="11"/>
        <v>0</v>
      </c>
      <c r="T117">
        <f t="shared" si="12"/>
        <v>0</v>
      </c>
      <c r="U117">
        <f t="shared" si="13"/>
        <v>0</v>
      </c>
      <c r="V117">
        <f t="shared" si="14"/>
        <v>0</v>
      </c>
      <c r="W117">
        <f t="shared" si="15"/>
        <v>0</v>
      </c>
    </row>
    <row r="118" spans="1:23" x14ac:dyDescent="0.25">
      <c r="A118" s="1">
        <v>17</v>
      </c>
      <c r="B118" s="1">
        <v>2014</v>
      </c>
      <c r="C118">
        <v>-1.4522185817100099</v>
      </c>
      <c r="D118">
        <v>0.69798545720019456</v>
      </c>
      <c r="E118">
        <v>0.73414515959401738</v>
      </c>
      <c r="F118">
        <v>0.74782474185064107</v>
      </c>
      <c r="G118">
        <v>0.41031997083434663</v>
      </c>
      <c r="H118">
        <v>0.43320996841672321</v>
      </c>
      <c r="I118">
        <v>0.45444573032978619</v>
      </c>
      <c r="J118">
        <v>-3.5044757311156589</v>
      </c>
      <c r="K118">
        <v>1.221842963958693</v>
      </c>
      <c r="L118">
        <v>-1.396360352554918</v>
      </c>
      <c r="M118">
        <v>2.5577241399757078</v>
      </c>
      <c r="N118">
        <v>2.5374580766264669</v>
      </c>
      <c r="O118">
        <v>-11.51292546497023</v>
      </c>
      <c r="P118">
        <f t="shared" si="8"/>
        <v>2.0266063349240859E-2</v>
      </c>
      <c r="Q118">
        <f t="shared" si="9"/>
        <v>0</v>
      </c>
      <c r="R118">
        <f t="shared" si="10"/>
        <v>1</v>
      </c>
      <c r="S118">
        <f t="shared" si="11"/>
        <v>0</v>
      </c>
      <c r="T118">
        <f t="shared" si="12"/>
        <v>0</v>
      </c>
      <c r="U118">
        <f t="shared" si="13"/>
        <v>0</v>
      </c>
      <c r="V118">
        <f t="shared" si="14"/>
        <v>0</v>
      </c>
      <c r="W118">
        <f t="shared" si="15"/>
        <v>0</v>
      </c>
    </row>
    <row r="119" spans="1:23" x14ac:dyDescent="0.25">
      <c r="A119" s="1">
        <v>17</v>
      </c>
      <c r="B119" s="1">
        <v>2015</v>
      </c>
      <c r="C119">
        <v>-1.470524415473089</v>
      </c>
      <c r="D119">
        <v>0.71720544565301625</v>
      </c>
      <c r="E119">
        <v>0.69798545720019456</v>
      </c>
      <c r="F119">
        <v>0.73414515959401738</v>
      </c>
      <c r="G119">
        <v>0.4295071025884023</v>
      </c>
      <c r="H119">
        <v>0.41031997083434663</v>
      </c>
      <c r="I119">
        <v>0.43320996841672321</v>
      </c>
      <c r="J119">
        <v>-3.060574005760694</v>
      </c>
      <c r="K119">
        <v>1.221842963958693</v>
      </c>
      <c r="L119">
        <v>-1.3427466483832651</v>
      </c>
      <c r="M119">
        <v>2.5722097934308761</v>
      </c>
      <c r="N119">
        <v>2.5456084780596759</v>
      </c>
      <c r="O119">
        <v>-11.51292546497023</v>
      </c>
      <c r="P119">
        <f t="shared" si="8"/>
        <v>2.660131537120014E-2</v>
      </c>
      <c r="Q119">
        <f t="shared" si="9"/>
        <v>0</v>
      </c>
      <c r="R119">
        <f t="shared" si="10"/>
        <v>1</v>
      </c>
      <c r="S119">
        <f t="shared" si="11"/>
        <v>0</v>
      </c>
      <c r="T119">
        <f t="shared" si="12"/>
        <v>0</v>
      </c>
      <c r="U119">
        <f t="shared" si="13"/>
        <v>0</v>
      </c>
      <c r="V119">
        <f t="shared" si="14"/>
        <v>0</v>
      </c>
      <c r="W119">
        <f t="shared" si="15"/>
        <v>1</v>
      </c>
    </row>
    <row r="120" spans="1:23" x14ac:dyDescent="0.25">
      <c r="A120" s="1">
        <v>17</v>
      </c>
      <c r="B120" s="1">
        <v>2016</v>
      </c>
      <c r="C120">
        <v>-1.438978308135985</v>
      </c>
      <c r="D120">
        <v>0.74843996630865406</v>
      </c>
      <c r="E120">
        <v>0.71720544565301625</v>
      </c>
      <c r="F120">
        <v>0.69798545720019456</v>
      </c>
      <c r="G120">
        <v>0.57334961710434951</v>
      </c>
      <c r="H120">
        <v>0.4295071025884023</v>
      </c>
      <c r="I120">
        <v>0.41031997083434663</v>
      </c>
      <c r="J120">
        <v>-2.6809575997302382</v>
      </c>
      <c r="K120">
        <v>1.221842963958693</v>
      </c>
      <c r="L120">
        <v>-1.313431115730904</v>
      </c>
      <c r="M120">
        <v>2.5704131665247072</v>
      </c>
      <c r="N120">
        <v>2.560545726345123</v>
      </c>
      <c r="O120">
        <v>-11.51292546497023</v>
      </c>
      <c r="P120">
        <f t="shared" si="8"/>
        <v>9.867440179584186E-3</v>
      </c>
      <c r="Q120">
        <f t="shared" si="9"/>
        <v>0</v>
      </c>
      <c r="R120">
        <f t="shared" si="10"/>
        <v>1</v>
      </c>
      <c r="S120">
        <f t="shared" si="11"/>
        <v>0</v>
      </c>
      <c r="T120">
        <f t="shared" si="12"/>
        <v>0</v>
      </c>
      <c r="U120">
        <f t="shared" si="13"/>
        <v>0</v>
      </c>
      <c r="V120">
        <f t="shared" si="14"/>
        <v>0</v>
      </c>
      <c r="W120">
        <f t="shared" si="15"/>
        <v>1</v>
      </c>
    </row>
    <row r="121" spans="1:23" x14ac:dyDescent="0.25">
      <c r="A121" s="1">
        <v>17</v>
      </c>
      <c r="B121" s="1">
        <v>2017</v>
      </c>
      <c r="C121">
        <v>-1.407715696413816</v>
      </c>
      <c r="D121">
        <v>0.724500488217941</v>
      </c>
      <c r="E121">
        <v>0.74843996630865406</v>
      </c>
      <c r="F121">
        <v>0.71720544565301625</v>
      </c>
      <c r="G121">
        <v>0.58950740580018557</v>
      </c>
      <c r="H121">
        <v>0.57334961710434951</v>
      </c>
      <c r="I121">
        <v>0.4295071025884023</v>
      </c>
      <c r="J121">
        <v>-2.0182591945820141</v>
      </c>
      <c r="K121">
        <v>1.221842963958693</v>
      </c>
      <c r="L121">
        <v>-1.2870098313439291</v>
      </c>
      <c r="M121">
        <v>2.5999991389301131</v>
      </c>
      <c r="N121">
        <v>2.559195753040874</v>
      </c>
      <c r="O121">
        <v>-11.51292546497023</v>
      </c>
      <c r="P121">
        <f t="shared" si="8"/>
        <v>4.0803385889239152E-2</v>
      </c>
      <c r="Q121">
        <f t="shared" si="9"/>
        <v>0</v>
      </c>
      <c r="R121">
        <f t="shared" si="10"/>
        <v>1</v>
      </c>
      <c r="S121">
        <f t="shared" si="11"/>
        <v>0</v>
      </c>
      <c r="T121">
        <f t="shared" si="12"/>
        <v>0</v>
      </c>
      <c r="U121">
        <f t="shared" si="13"/>
        <v>0</v>
      </c>
      <c r="V121">
        <f t="shared" si="14"/>
        <v>0</v>
      </c>
      <c r="W121">
        <f t="shared" si="15"/>
        <v>1</v>
      </c>
    </row>
    <row r="122" spans="1:23" x14ac:dyDescent="0.25">
      <c r="A122" s="1">
        <v>17</v>
      </c>
      <c r="B122" s="1">
        <v>2018</v>
      </c>
      <c r="C122">
        <v>-1.4943806311362959</v>
      </c>
      <c r="D122">
        <v>0.86873780201460749</v>
      </c>
      <c r="E122">
        <v>0.724500488217941</v>
      </c>
      <c r="F122">
        <v>0.74843996630865406</v>
      </c>
      <c r="G122">
        <v>0.63206933105135488</v>
      </c>
      <c r="H122">
        <v>0.58950740580018557</v>
      </c>
      <c r="I122">
        <v>0.57334961710434951</v>
      </c>
      <c r="J122">
        <v>-1.5873266978714839</v>
      </c>
      <c r="K122">
        <v>1.221842963958693</v>
      </c>
      <c r="L122">
        <v>-1.2511554948762029</v>
      </c>
      <c r="M122">
        <v>2.5974685645963511</v>
      </c>
      <c r="N122">
        <v>2.5967564216500461</v>
      </c>
      <c r="O122">
        <v>3.2580965380214821</v>
      </c>
      <c r="P122">
        <f t="shared" si="8"/>
        <v>7.1214294630506103E-4</v>
      </c>
      <c r="Q122">
        <f t="shared" si="9"/>
        <v>14.771022002991712</v>
      </c>
      <c r="R122">
        <f t="shared" si="10"/>
        <v>1</v>
      </c>
      <c r="S122">
        <f t="shared" si="11"/>
        <v>0</v>
      </c>
      <c r="T122">
        <f t="shared" si="12"/>
        <v>0</v>
      </c>
      <c r="U122">
        <f t="shared" si="13"/>
        <v>0</v>
      </c>
      <c r="V122">
        <f t="shared" si="14"/>
        <v>0</v>
      </c>
      <c r="W122">
        <f t="shared" si="15"/>
        <v>1</v>
      </c>
    </row>
    <row r="123" spans="1:23" x14ac:dyDescent="0.25">
      <c r="A123" s="1">
        <v>17</v>
      </c>
      <c r="B123" s="1">
        <v>2019</v>
      </c>
      <c r="C123">
        <v>-1.4596560471649751</v>
      </c>
      <c r="D123">
        <v>0.80919537892261229</v>
      </c>
      <c r="E123">
        <v>0.86873780201460749</v>
      </c>
      <c r="F123">
        <v>0.724500488217941</v>
      </c>
      <c r="G123">
        <v>0.59260835518133248</v>
      </c>
      <c r="H123">
        <v>0.63206933105135488</v>
      </c>
      <c r="I123">
        <v>0.58950740580018557</v>
      </c>
      <c r="J123">
        <v>-0.81386930112935651</v>
      </c>
      <c r="K123">
        <v>1.221842963958693</v>
      </c>
      <c r="L123">
        <v>-1.222852066708241</v>
      </c>
      <c r="M123">
        <v>2.6432611633831229</v>
      </c>
      <c r="N123">
        <v>2.5861919333581311</v>
      </c>
      <c r="O123">
        <v>5.393627546352362</v>
      </c>
      <c r="P123">
        <f t="shared" si="8"/>
        <v>5.7069230024991757E-2</v>
      </c>
      <c r="Q123">
        <f t="shared" si="9"/>
        <v>2.1355310083308798</v>
      </c>
      <c r="R123">
        <f t="shared" si="10"/>
        <v>1</v>
      </c>
      <c r="S123">
        <f t="shared" si="11"/>
        <v>0</v>
      </c>
      <c r="T123">
        <f t="shared" si="12"/>
        <v>0</v>
      </c>
      <c r="U123">
        <f t="shared" si="13"/>
        <v>0</v>
      </c>
      <c r="V123">
        <f t="shared" si="14"/>
        <v>0</v>
      </c>
      <c r="W123">
        <f t="shared" si="15"/>
        <v>1</v>
      </c>
    </row>
    <row r="124" spans="1:23" x14ac:dyDescent="0.25">
      <c r="A124" s="1">
        <v>17</v>
      </c>
      <c r="B124" s="1">
        <v>2020</v>
      </c>
      <c r="C124">
        <v>-1.5052165785067599</v>
      </c>
      <c r="D124">
        <v>0.76057215687473445</v>
      </c>
      <c r="E124">
        <v>0.80919537892261229</v>
      </c>
      <c r="F124">
        <v>0.86873780201460749</v>
      </c>
      <c r="G124">
        <v>0.52915658045071412</v>
      </c>
      <c r="H124">
        <v>0.59260835518133248</v>
      </c>
      <c r="I124">
        <v>0.63206933105135488</v>
      </c>
      <c r="J124">
        <v>-0.14907923907206291</v>
      </c>
      <c r="K124">
        <v>1.221842963958693</v>
      </c>
      <c r="L124">
        <v>-1.195705225362957</v>
      </c>
      <c r="M124">
        <v>2.673105898450244</v>
      </c>
      <c r="N124">
        <v>2.63227061737877</v>
      </c>
      <c r="O124">
        <v>5.9914645471079817</v>
      </c>
      <c r="P124">
        <f t="shared" si="8"/>
        <v>4.083528107147405E-2</v>
      </c>
      <c r="Q124">
        <f t="shared" si="9"/>
        <v>0.59783700075561974</v>
      </c>
      <c r="R124">
        <f t="shared" si="10"/>
        <v>1</v>
      </c>
      <c r="S124">
        <f t="shared" si="11"/>
        <v>0</v>
      </c>
      <c r="T124">
        <f t="shared" si="12"/>
        <v>0</v>
      </c>
      <c r="U124">
        <f t="shared" si="13"/>
        <v>0</v>
      </c>
      <c r="V124">
        <f t="shared" si="14"/>
        <v>1</v>
      </c>
      <c r="W124">
        <f t="shared" si="15"/>
        <v>1</v>
      </c>
    </row>
    <row r="125" spans="1:23" x14ac:dyDescent="0.25">
      <c r="A125" s="1">
        <v>17</v>
      </c>
      <c r="B125" s="1">
        <v>2021</v>
      </c>
      <c r="C125">
        <v>-1.472059130755873</v>
      </c>
      <c r="D125">
        <v>0.94468380637537297</v>
      </c>
      <c r="E125">
        <v>0.76057215687473445</v>
      </c>
      <c r="F125">
        <v>0.80919537892261229</v>
      </c>
      <c r="G125">
        <v>0.75902854967345812</v>
      </c>
      <c r="H125">
        <v>0.52915658045071412</v>
      </c>
      <c r="I125">
        <v>0.59260835518133248</v>
      </c>
      <c r="J125">
        <v>0.44249546405242501</v>
      </c>
      <c r="K125">
        <v>1.221842963958693</v>
      </c>
      <c r="L125">
        <v>-1.168648539218301</v>
      </c>
      <c r="M125">
        <v>2.7105608839877759</v>
      </c>
      <c r="N125">
        <v>2.662400929370047</v>
      </c>
      <c r="O125">
        <v>6.6846117276679271</v>
      </c>
      <c r="P125">
        <f t="shared" si="8"/>
        <v>4.8159954617728928E-2</v>
      </c>
      <c r="Q125">
        <f t="shared" si="9"/>
        <v>0.6931471805599454</v>
      </c>
      <c r="R125">
        <f t="shared" si="10"/>
        <v>1</v>
      </c>
      <c r="S125">
        <f t="shared" si="11"/>
        <v>0</v>
      </c>
      <c r="T125">
        <f t="shared" si="12"/>
        <v>0</v>
      </c>
      <c r="U125">
        <f t="shared" si="13"/>
        <v>0</v>
      </c>
      <c r="V125">
        <f t="shared" si="14"/>
        <v>0</v>
      </c>
      <c r="W125">
        <f t="shared" si="15"/>
        <v>1</v>
      </c>
    </row>
    <row r="126" spans="1:23" x14ac:dyDescent="0.25">
      <c r="A126" s="1">
        <v>17</v>
      </c>
      <c r="B126" s="1">
        <v>2022</v>
      </c>
      <c r="C126">
        <v>-1.4005988251003509</v>
      </c>
      <c r="D126">
        <v>0.94491706066247805</v>
      </c>
      <c r="E126">
        <v>0.94468380637537297</v>
      </c>
      <c r="F126">
        <v>0.76057215687473445</v>
      </c>
      <c r="G126">
        <v>0.75155758810636775</v>
      </c>
      <c r="H126">
        <v>0.75902854967345812</v>
      </c>
      <c r="I126">
        <v>0.52915658045071412</v>
      </c>
      <c r="J126">
        <v>0.94077266061330322</v>
      </c>
      <c r="K126">
        <v>1.221842963958693</v>
      </c>
      <c r="L126">
        <v>-1.132133701084872</v>
      </c>
      <c r="M126">
        <v>2.745375215049402</v>
      </c>
      <c r="N126">
        <v>2.7105608839877759</v>
      </c>
      <c r="O126">
        <v>8.0551577318196781</v>
      </c>
      <c r="P126">
        <f t="shared" si="8"/>
        <v>3.4814331061626014E-2</v>
      </c>
      <c r="Q126">
        <f t="shared" si="9"/>
        <v>1.370546004151751</v>
      </c>
      <c r="R126">
        <f t="shared" si="10"/>
        <v>1</v>
      </c>
      <c r="S126">
        <f t="shared" si="11"/>
        <v>0</v>
      </c>
      <c r="T126">
        <f t="shared" si="12"/>
        <v>0</v>
      </c>
      <c r="U126">
        <f t="shared" si="13"/>
        <v>0</v>
      </c>
      <c r="V126">
        <f t="shared" si="14"/>
        <v>0</v>
      </c>
      <c r="W126">
        <f t="shared" si="15"/>
        <v>0</v>
      </c>
    </row>
    <row r="127" spans="1:23" x14ac:dyDescent="0.25">
      <c r="A127" s="1">
        <v>17</v>
      </c>
      <c r="B127" s="1">
        <v>2023</v>
      </c>
      <c r="C127">
        <v>-1.3222695926871251</v>
      </c>
      <c r="D127">
        <v>0.79908253096861415</v>
      </c>
      <c r="E127">
        <v>0.94491706066247805</v>
      </c>
      <c r="F127">
        <v>0.94468380637537297</v>
      </c>
      <c r="G127">
        <v>0.538829820175588</v>
      </c>
      <c r="H127">
        <v>0.75155758810636775</v>
      </c>
      <c r="I127">
        <v>0.75902854967345812</v>
      </c>
      <c r="J127">
        <v>1.498096223740661</v>
      </c>
      <c r="K127">
        <v>1.221842963958693</v>
      </c>
      <c r="L127">
        <v>-1.0940140857053751</v>
      </c>
      <c r="M127">
        <v>2.794865533481202</v>
      </c>
      <c r="N127">
        <v>2.745375215049402</v>
      </c>
      <c r="O127">
        <v>8.4658998970286863</v>
      </c>
      <c r="P127">
        <f t="shared" si="8"/>
        <v>4.9490318431800073E-2</v>
      </c>
      <c r="Q127">
        <f t="shared" si="9"/>
        <v>0.41074216520900819</v>
      </c>
      <c r="R127">
        <f t="shared" si="10"/>
        <v>1</v>
      </c>
      <c r="S127">
        <f t="shared" si="11"/>
        <v>0</v>
      </c>
      <c r="T127">
        <f t="shared" si="12"/>
        <v>0</v>
      </c>
      <c r="U127">
        <f t="shared" si="13"/>
        <v>0</v>
      </c>
      <c r="V127">
        <f t="shared" si="14"/>
        <v>0</v>
      </c>
      <c r="W127">
        <f t="shared" si="15"/>
        <v>0</v>
      </c>
    </row>
    <row r="128" spans="1:23" x14ac:dyDescent="0.25">
      <c r="A128" s="1">
        <v>21</v>
      </c>
      <c r="B128" s="1">
        <v>2006</v>
      </c>
      <c r="C128">
        <v>-3.005073666255865</v>
      </c>
      <c r="D128">
        <v>1.004301609196868</v>
      </c>
      <c r="E128">
        <v>0.88533655655224996</v>
      </c>
      <c r="F128">
        <v>0.83768033129224362</v>
      </c>
      <c r="G128">
        <v>0.72754860727727766</v>
      </c>
      <c r="H128">
        <v>0.62972803269029043</v>
      </c>
      <c r="I128">
        <v>0.59305056402166012</v>
      </c>
      <c r="J128">
        <v>-16.11809565095832</v>
      </c>
      <c r="K128">
        <v>1.9117730239483881</v>
      </c>
      <c r="L128">
        <v>-2.9883568839150541</v>
      </c>
      <c r="M128">
        <v>1.86745654039763</v>
      </c>
      <c r="N128">
        <v>1.7645335624207239</v>
      </c>
      <c r="O128">
        <v>-11.51292546497023</v>
      </c>
      <c r="P128">
        <f t="shared" si="8"/>
        <v>0.10292297797690608</v>
      </c>
      <c r="Q128">
        <f t="shared" si="9"/>
        <v>0</v>
      </c>
      <c r="R128">
        <f t="shared" si="10"/>
        <v>0</v>
      </c>
      <c r="S128">
        <f t="shared" si="11"/>
        <v>1</v>
      </c>
      <c r="T128">
        <f t="shared" si="12"/>
        <v>0</v>
      </c>
      <c r="U128">
        <f t="shared" si="13"/>
        <v>0</v>
      </c>
      <c r="V128">
        <f t="shared" si="14"/>
        <v>0</v>
      </c>
      <c r="W128">
        <f t="shared" si="15"/>
        <v>0</v>
      </c>
    </row>
    <row r="129" spans="1:23" x14ac:dyDescent="0.25">
      <c r="A129" s="1">
        <v>21</v>
      </c>
      <c r="B129" s="1">
        <v>2007</v>
      </c>
      <c r="C129">
        <v>-2.9476599042238991</v>
      </c>
      <c r="D129">
        <v>0.96065205557290867</v>
      </c>
      <c r="E129">
        <v>1.004301609196868</v>
      </c>
      <c r="F129">
        <v>0.88533655655224996</v>
      </c>
      <c r="G129">
        <v>0.58232734545470155</v>
      </c>
      <c r="H129">
        <v>0.72754860727727766</v>
      </c>
      <c r="I129">
        <v>0.62972803269029043</v>
      </c>
      <c r="J129">
        <v>-16.11809565095832</v>
      </c>
      <c r="K129">
        <v>1.9117730239483881</v>
      </c>
      <c r="L129">
        <v>-2.8345867363429988</v>
      </c>
      <c r="M129">
        <v>1.829081620106173</v>
      </c>
      <c r="N129">
        <v>1.857721618177999</v>
      </c>
      <c r="O129">
        <v>-11.51292546497023</v>
      </c>
      <c r="P129">
        <f t="shared" si="8"/>
        <v>-2.8639998071825934E-2</v>
      </c>
      <c r="Q129">
        <f t="shared" si="9"/>
        <v>0</v>
      </c>
      <c r="R129">
        <f t="shared" si="10"/>
        <v>0</v>
      </c>
      <c r="S129">
        <f t="shared" si="11"/>
        <v>1</v>
      </c>
      <c r="T129">
        <f t="shared" si="12"/>
        <v>0</v>
      </c>
      <c r="U129">
        <f t="shared" si="13"/>
        <v>0</v>
      </c>
      <c r="V129">
        <f t="shared" si="14"/>
        <v>0</v>
      </c>
      <c r="W129">
        <f t="shared" si="15"/>
        <v>0</v>
      </c>
    </row>
    <row r="130" spans="1:23" x14ac:dyDescent="0.25">
      <c r="A130" s="1">
        <v>21</v>
      </c>
      <c r="B130" s="1">
        <v>2008</v>
      </c>
      <c r="C130">
        <v>-2.8313528680447839</v>
      </c>
      <c r="D130">
        <v>0.87359197734103988</v>
      </c>
      <c r="E130">
        <v>0.96065205557290867</v>
      </c>
      <c r="F130">
        <v>1.004301609196868</v>
      </c>
      <c r="G130">
        <v>0.48679928916313631</v>
      </c>
      <c r="H130">
        <v>0.58232734545470155</v>
      </c>
      <c r="I130">
        <v>0.72754860727727766</v>
      </c>
      <c r="J130">
        <v>-16.11809565095832</v>
      </c>
      <c r="K130">
        <v>1.9117730239483881</v>
      </c>
      <c r="L130">
        <v>-2.681932127359647</v>
      </c>
      <c r="M130">
        <v>1.945834833156987</v>
      </c>
      <c r="N130">
        <v>1.81944071224341</v>
      </c>
      <c r="O130">
        <v>-11.51292546497023</v>
      </c>
      <c r="P130">
        <f t="shared" si="8"/>
        <v>0.12639412091357705</v>
      </c>
      <c r="Q130">
        <f t="shared" si="9"/>
        <v>0</v>
      </c>
      <c r="R130">
        <f t="shared" si="10"/>
        <v>0</v>
      </c>
      <c r="S130">
        <f t="shared" si="11"/>
        <v>1</v>
      </c>
      <c r="T130">
        <f t="shared" si="12"/>
        <v>0</v>
      </c>
      <c r="U130">
        <f t="shared" si="13"/>
        <v>0</v>
      </c>
      <c r="V130">
        <f t="shared" si="14"/>
        <v>0</v>
      </c>
      <c r="W130">
        <f t="shared" si="15"/>
        <v>0</v>
      </c>
    </row>
    <row r="131" spans="1:23" x14ac:dyDescent="0.25">
      <c r="A131" s="1">
        <v>21</v>
      </c>
      <c r="B131" s="1">
        <v>2009</v>
      </c>
      <c r="C131">
        <v>-2.786799355345857</v>
      </c>
      <c r="D131">
        <v>0.81235142803842186</v>
      </c>
      <c r="E131">
        <v>0.87359197734103988</v>
      </c>
      <c r="F131">
        <v>0.96065205557290867</v>
      </c>
      <c r="G131">
        <v>0.43346930451776172</v>
      </c>
      <c r="H131">
        <v>0.48679928916313631</v>
      </c>
      <c r="I131">
        <v>0.58232734545470155</v>
      </c>
      <c r="J131">
        <v>-16.11809565095832</v>
      </c>
      <c r="K131">
        <v>1.9117730239483881</v>
      </c>
      <c r="L131">
        <v>-2.5194505085653351</v>
      </c>
      <c r="M131">
        <v>1.9431627463908681</v>
      </c>
      <c r="N131">
        <v>1.936112894388776</v>
      </c>
      <c r="O131">
        <v>-11.51292546497023</v>
      </c>
      <c r="P131">
        <f t="shared" ref="P131:P194" si="16">M131-N131</f>
        <v>7.0498520020920719E-3</v>
      </c>
      <c r="Q131">
        <f t="shared" ref="Q131:Q194" si="17">IF(B131=2006,0,O131-O130)</f>
        <v>0</v>
      </c>
      <c r="R131">
        <f t="shared" ref="R131:R194" si="18">IF(ROUNDDOWN($A131/10, 0)=1, 1, 0)</f>
        <v>0</v>
      </c>
      <c r="S131">
        <f t="shared" ref="S131:S194" si="19">IF(ROUNDDOWN($A131/10, 0)=2, 1, 0)</f>
        <v>1</v>
      </c>
      <c r="T131">
        <f t="shared" ref="T131:T194" si="20">IF(ROUNDDOWN($A131/10, 0)=3, 1, 0)</f>
        <v>0</v>
      </c>
      <c r="U131">
        <f t="shared" ref="U131:U194" si="21">IF(ROUNDDOWN($A131/10, 0)=5, 1, 0)</f>
        <v>0</v>
      </c>
      <c r="V131">
        <f t="shared" ref="V131:V194" si="22">IF($B131=2020, 1, 0)</f>
        <v>0</v>
      </c>
      <c r="W131">
        <f t="shared" ref="W131:W194" si="23">IF(AND($B131&gt;=2015,$B131&lt;=2021), 1, 0)</f>
        <v>0</v>
      </c>
    </row>
    <row r="132" spans="1:23" x14ac:dyDescent="0.25">
      <c r="A132" s="1">
        <v>21</v>
      </c>
      <c r="B132" s="1">
        <v>2010</v>
      </c>
      <c r="C132">
        <v>-2.5223313753588679</v>
      </c>
      <c r="D132">
        <v>0.74720913865847582</v>
      </c>
      <c r="E132">
        <v>0.81235142803842186</v>
      </c>
      <c r="F132">
        <v>0.87359197734103988</v>
      </c>
      <c r="G132">
        <v>0.44654306986601078</v>
      </c>
      <c r="H132">
        <v>0.43346930451776172</v>
      </c>
      <c r="I132">
        <v>0.48679928916313631</v>
      </c>
      <c r="J132">
        <v>-16.11809565095832</v>
      </c>
      <c r="K132">
        <v>1.9117730239483881</v>
      </c>
      <c r="L132">
        <v>-2.357243868179896</v>
      </c>
      <c r="M132">
        <v>1.9625560030249369</v>
      </c>
      <c r="N132">
        <v>1.921518828866686</v>
      </c>
      <c r="O132">
        <v>-11.51292546497023</v>
      </c>
      <c r="P132">
        <f t="shared" si="16"/>
        <v>4.1037174158250922E-2</v>
      </c>
      <c r="Q132">
        <f t="shared" si="17"/>
        <v>0</v>
      </c>
      <c r="R132">
        <f t="shared" si="18"/>
        <v>0</v>
      </c>
      <c r="S132">
        <f t="shared" si="19"/>
        <v>1</v>
      </c>
      <c r="T132">
        <f t="shared" si="20"/>
        <v>0</v>
      </c>
      <c r="U132">
        <f t="shared" si="21"/>
        <v>0</v>
      </c>
      <c r="V132">
        <f t="shared" si="22"/>
        <v>0</v>
      </c>
      <c r="W132">
        <f t="shared" si="23"/>
        <v>0</v>
      </c>
    </row>
    <row r="133" spans="1:23" x14ac:dyDescent="0.25">
      <c r="A133" s="1">
        <v>21</v>
      </c>
      <c r="B133" s="1">
        <v>2011</v>
      </c>
      <c r="C133">
        <v>-2.3577793505236322</v>
      </c>
      <c r="D133">
        <v>0.71098709868827636</v>
      </c>
      <c r="E133">
        <v>0.74720913865847582</v>
      </c>
      <c r="F133">
        <v>0.81235142803842186</v>
      </c>
      <c r="G133">
        <v>0.52034021613457626</v>
      </c>
      <c r="H133">
        <v>0.44654306986601078</v>
      </c>
      <c r="I133">
        <v>0.43346930451776172</v>
      </c>
      <c r="J133">
        <v>-7.7031221981193232</v>
      </c>
      <c r="K133">
        <v>1.9117730239483881</v>
      </c>
      <c r="L133">
        <v>-2.2084365600939542</v>
      </c>
      <c r="M133">
        <v>1.98011437004853</v>
      </c>
      <c r="N133">
        <v>1.941370787801832</v>
      </c>
      <c r="O133">
        <v>-11.51292546497023</v>
      </c>
      <c r="P133">
        <f t="shared" si="16"/>
        <v>3.8743582246697938E-2</v>
      </c>
      <c r="Q133">
        <f t="shared" si="17"/>
        <v>0</v>
      </c>
      <c r="R133">
        <f t="shared" si="18"/>
        <v>0</v>
      </c>
      <c r="S133">
        <f t="shared" si="19"/>
        <v>1</v>
      </c>
      <c r="T133">
        <f t="shared" si="20"/>
        <v>0</v>
      </c>
      <c r="U133">
        <f t="shared" si="21"/>
        <v>0</v>
      </c>
      <c r="V133">
        <f t="shared" si="22"/>
        <v>0</v>
      </c>
      <c r="W133">
        <f t="shared" si="23"/>
        <v>0</v>
      </c>
    </row>
    <row r="134" spans="1:23" x14ac:dyDescent="0.25">
      <c r="A134" s="1">
        <v>21</v>
      </c>
      <c r="B134" s="1">
        <v>2012</v>
      </c>
      <c r="C134">
        <v>-2.190907054860967</v>
      </c>
      <c r="D134">
        <v>0.65044842602683006</v>
      </c>
      <c r="E134">
        <v>0.71098709868827636</v>
      </c>
      <c r="F134">
        <v>0.74720913865847582</v>
      </c>
      <c r="G134">
        <v>0.46360822215687519</v>
      </c>
      <c r="H134">
        <v>0.52034021613457626</v>
      </c>
      <c r="I134">
        <v>0.44654306986601078</v>
      </c>
      <c r="J134">
        <v>-7.2025590319598756</v>
      </c>
      <c r="K134">
        <v>1.9117730239483881</v>
      </c>
      <c r="L134">
        <v>-2.0839929282431999</v>
      </c>
      <c r="M134">
        <v>2.0418972720225601</v>
      </c>
      <c r="N134">
        <v>1.969851912441885</v>
      </c>
      <c r="O134">
        <v>-11.51292546497023</v>
      </c>
      <c r="P134">
        <f t="shared" si="16"/>
        <v>7.204535958067515E-2</v>
      </c>
      <c r="Q134">
        <f t="shared" si="17"/>
        <v>0</v>
      </c>
      <c r="R134">
        <f t="shared" si="18"/>
        <v>0</v>
      </c>
      <c r="S134">
        <f t="shared" si="19"/>
        <v>1</v>
      </c>
      <c r="T134">
        <f t="shared" si="20"/>
        <v>0</v>
      </c>
      <c r="U134">
        <f t="shared" si="21"/>
        <v>0</v>
      </c>
      <c r="V134">
        <f t="shared" si="22"/>
        <v>0</v>
      </c>
      <c r="W134">
        <f t="shared" si="23"/>
        <v>0</v>
      </c>
    </row>
    <row r="135" spans="1:23" x14ac:dyDescent="0.25">
      <c r="A135" s="1">
        <v>21</v>
      </c>
      <c r="B135" s="1">
        <v>2013</v>
      </c>
      <c r="C135">
        <v>-2.135224945684894</v>
      </c>
      <c r="D135">
        <v>0.65902146583056942</v>
      </c>
      <c r="E135">
        <v>0.65044842602683006</v>
      </c>
      <c r="F135">
        <v>0.71098709868827636</v>
      </c>
      <c r="G135">
        <v>0.47666886711449652</v>
      </c>
      <c r="H135">
        <v>0.46360822215687519</v>
      </c>
      <c r="I135">
        <v>0.52034021613457626</v>
      </c>
      <c r="J135">
        <v>-6.1847821219213737</v>
      </c>
      <c r="K135">
        <v>1.9117730239483881</v>
      </c>
      <c r="L135">
        <v>-1.9804072502349901</v>
      </c>
      <c r="M135">
        <v>2.0702218116349851</v>
      </c>
      <c r="N135">
        <v>2.030054764879913</v>
      </c>
      <c r="O135">
        <v>-11.51292546497023</v>
      </c>
      <c r="P135">
        <f t="shared" si="16"/>
        <v>4.01670467550721E-2</v>
      </c>
      <c r="Q135">
        <f t="shared" si="17"/>
        <v>0</v>
      </c>
      <c r="R135">
        <f t="shared" si="18"/>
        <v>0</v>
      </c>
      <c r="S135">
        <f t="shared" si="19"/>
        <v>1</v>
      </c>
      <c r="T135">
        <f t="shared" si="20"/>
        <v>0</v>
      </c>
      <c r="U135">
        <f t="shared" si="21"/>
        <v>0</v>
      </c>
      <c r="V135">
        <f t="shared" si="22"/>
        <v>0</v>
      </c>
      <c r="W135">
        <f t="shared" si="23"/>
        <v>0</v>
      </c>
    </row>
    <row r="136" spans="1:23" x14ac:dyDescent="0.25">
      <c r="A136" s="1">
        <v>21</v>
      </c>
      <c r="B136" s="1">
        <v>2014</v>
      </c>
      <c r="C136">
        <v>-2.044258364194691</v>
      </c>
      <c r="D136">
        <v>0.6553933909480294</v>
      </c>
      <c r="E136">
        <v>0.65902146583056942</v>
      </c>
      <c r="F136">
        <v>0.65044842602683006</v>
      </c>
      <c r="G136">
        <v>0.49231536100689388</v>
      </c>
      <c r="H136">
        <v>0.47666886711449652</v>
      </c>
      <c r="I136">
        <v>0.46360822215687519</v>
      </c>
      <c r="J136">
        <v>-5.464837144038321</v>
      </c>
      <c r="K136">
        <v>1.9117730239483881</v>
      </c>
      <c r="L136">
        <v>-1.891020291388652</v>
      </c>
      <c r="M136">
        <v>2.1131293082677032</v>
      </c>
      <c r="N136">
        <v>2.0619282891468131</v>
      </c>
      <c r="O136">
        <v>-11.51292546497023</v>
      </c>
      <c r="P136">
        <f t="shared" si="16"/>
        <v>5.1201019120890034E-2</v>
      </c>
      <c r="Q136">
        <f t="shared" si="17"/>
        <v>0</v>
      </c>
      <c r="R136">
        <f t="shared" si="18"/>
        <v>0</v>
      </c>
      <c r="S136">
        <f t="shared" si="19"/>
        <v>1</v>
      </c>
      <c r="T136">
        <f t="shared" si="20"/>
        <v>0</v>
      </c>
      <c r="U136">
        <f t="shared" si="21"/>
        <v>0</v>
      </c>
      <c r="V136">
        <f t="shared" si="22"/>
        <v>0</v>
      </c>
      <c r="W136">
        <f t="shared" si="23"/>
        <v>0</v>
      </c>
    </row>
    <row r="137" spans="1:23" x14ac:dyDescent="0.25">
      <c r="A137" s="1">
        <v>21</v>
      </c>
      <c r="B137" s="1">
        <v>2015</v>
      </c>
      <c r="C137">
        <v>-2.0487350496512291</v>
      </c>
      <c r="D137">
        <v>0.65570488508407532</v>
      </c>
      <c r="E137">
        <v>0.6553933909480294</v>
      </c>
      <c r="F137">
        <v>0.65902146583056942</v>
      </c>
      <c r="G137">
        <v>0.46304195291218431</v>
      </c>
      <c r="H137">
        <v>0.49231536100689388</v>
      </c>
      <c r="I137">
        <v>0.47666886711449652</v>
      </c>
      <c r="J137">
        <v>-5.1022215211707733</v>
      </c>
      <c r="K137">
        <v>1.9117730239483881</v>
      </c>
      <c r="L137">
        <v>-1.8198934792654149</v>
      </c>
      <c r="M137">
        <v>2.05347612818084</v>
      </c>
      <c r="N137">
        <v>2.1053711428383539</v>
      </c>
      <c r="O137">
        <v>-11.51292546497023</v>
      </c>
      <c r="P137">
        <f t="shared" si="16"/>
        <v>-5.1895014657513894E-2</v>
      </c>
      <c r="Q137">
        <f t="shared" si="17"/>
        <v>0</v>
      </c>
      <c r="R137">
        <f t="shared" si="18"/>
        <v>0</v>
      </c>
      <c r="S137">
        <f t="shared" si="19"/>
        <v>1</v>
      </c>
      <c r="T137">
        <f t="shared" si="20"/>
        <v>0</v>
      </c>
      <c r="U137">
        <f t="shared" si="21"/>
        <v>0</v>
      </c>
      <c r="V137">
        <f t="shared" si="22"/>
        <v>0</v>
      </c>
      <c r="W137">
        <f t="shared" si="23"/>
        <v>1</v>
      </c>
    </row>
    <row r="138" spans="1:23" x14ac:dyDescent="0.25">
      <c r="A138" s="1">
        <v>21</v>
      </c>
      <c r="B138" s="1">
        <v>2016</v>
      </c>
      <c r="C138">
        <v>-2.0136726042920658</v>
      </c>
      <c r="D138">
        <v>0.67309752275424151</v>
      </c>
      <c r="E138">
        <v>0.65570488508407532</v>
      </c>
      <c r="F138">
        <v>0.6553933909480294</v>
      </c>
      <c r="G138">
        <v>0.56713033997645834</v>
      </c>
      <c r="H138">
        <v>0.46304195291218431</v>
      </c>
      <c r="I138">
        <v>0.49231536100689388</v>
      </c>
      <c r="J138">
        <v>-4.7039427630394961</v>
      </c>
      <c r="K138">
        <v>1.9117730239483881</v>
      </c>
      <c r="L138">
        <v>-1.7743265505814669</v>
      </c>
      <c r="M138">
        <v>2.0518692545532669</v>
      </c>
      <c r="N138">
        <v>2.04628977820395</v>
      </c>
      <c r="O138">
        <v>-11.51292546497023</v>
      </c>
      <c r="P138">
        <f t="shared" si="16"/>
        <v>5.5794763493168809E-3</v>
      </c>
      <c r="Q138">
        <f t="shared" si="17"/>
        <v>0</v>
      </c>
      <c r="R138">
        <f t="shared" si="18"/>
        <v>0</v>
      </c>
      <c r="S138">
        <f t="shared" si="19"/>
        <v>1</v>
      </c>
      <c r="T138">
        <f t="shared" si="20"/>
        <v>0</v>
      </c>
      <c r="U138">
        <f t="shared" si="21"/>
        <v>0</v>
      </c>
      <c r="V138">
        <f t="shared" si="22"/>
        <v>0</v>
      </c>
      <c r="W138">
        <f t="shared" si="23"/>
        <v>1</v>
      </c>
    </row>
    <row r="139" spans="1:23" x14ac:dyDescent="0.25">
      <c r="A139" s="1">
        <v>21</v>
      </c>
      <c r="B139" s="1">
        <v>2017</v>
      </c>
      <c r="C139">
        <v>-1.9919801311725109</v>
      </c>
      <c r="D139">
        <v>0.64684142768343389</v>
      </c>
      <c r="E139">
        <v>0.67309752275424151</v>
      </c>
      <c r="F139">
        <v>0.65570488508407532</v>
      </c>
      <c r="G139">
        <v>0.55652530301698111</v>
      </c>
      <c r="H139">
        <v>0.56713033997645834</v>
      </c>
      <c r="I139">
        <v>0.46304195291218431</v>
      </c>
      <c r="J139">
        <v>-4.0745746486765393</v>
      </c>
      <c r="K139">
        <v>1.9117730239483881</v>
      </c>
      <c r="L139">
        <v>-1.7337510635998139</v>
      </c>
      <c r="M139">
        <v>2.0576167726293</v>
      </c>
      <c r="N139">
        <v>2.0452486021962279</v>
      </c>
      <c r="O139">
        <v>-11.51292546497023</v>
      </c>
      <c r="P139">
        <f t="shared" si="16"/>
        <v>1.2368170433072034E-2</v>
      </c>
      <c r="Q139">
        <f t="shared" si="17"/>
        <v>0</v>
      </c>
      <c r="R139">
        <f t="shared" si="18"/>
        <v>0</v>
      </c>
      <c r="S139">
        <f t="shared" si="19"/>
        <v>1</v>
      </c>
      <c r="T139">
        <f t="shared" si="20"/>
        <v>0</v>
      </c>
      <c r="U139">
        <f t="shared" si="21"/>
        <v>0</v>
      </c>
      <c r="V139">
        <f t="shared" si="22"/>
        <v>0</v>
      </c>
      <c r="W139">
        <f t="shared" si="23"/>
        <v>1</v>
      </c>
    </row>
    <row r="140" spans="1:23" x14ac:dyDescent="0.25">
      <c r="A140" s="1">
        <v>21</v>
      </c>
      <c r="B140" s="1">
        <v>2018</v>
      </c>
      <c r="C140">
        <v>-2.0092145665183549</v>
      </c>
      <c r="D140">
        <v>0.75738878262140996</v>
      </c>
      <c r="E140">
        <v>0.64684142768343389</v>
      </c>
      <c r="F140">
        <v>0.67309752275424151</v>
      </c>
      <c r="G140">
        <v>0.59597526880767171</v>
      </c>
      <c r="H140">
        <v>0.55652530301698111</v>
      </c>
      <c r="I140">
        <v>0.56713033997645834</v>
      </c>
      <c r="J140">
        <v>-3.5959705986656392</v>
      </c>
      <c r="K140">
        <v>1.9117730239483881</v>
      </c>
      <c r="L140">
        <v>-1.694604976055627</v>
      </c>
      <c r="M140">
        <v>2.1007802679097818</v>
      </c>
      <c r="N140">
        <v>2.052654126846841</v>
      </c>
      <c r="O140">
        <v>3.2580965380214821</v>
      </c>
      <c r="P140">
        <f t="shared" si="16"/>
        <v>4.8126141062940775E-2</v>
      </c>
      <c r="Q140">
        <f t="shared" si="17"/>
        <v>14.771022002991712</v>
      </c>
      <c r="R140">
        <f t="shared" si="18"/>
        <v>0</v>
      </c>
      <c r="S140">
        <f t="shared" si="19"/>
        <v>1</v>
      </c>
      <c r="T140">
        <f t="shared" si="20"/>
        <v>0</v>
      </c>
      <c r="U140">
        <f t="shared" si="21"/>
        <v>0</v>
      </c>
      <c r="V140">
        <f t="shared" si="22"/>
        <v>0</v>
      </c>
      <c r="W140">
        <f t="shared" si="23"/>
        <v>1</v>
      </c>
    </row>
    <row r="141" spans="1:23" x14ac:dyDescent="0.25">
      <c r="A141" s="1">
        <v>21</v>
      </c>
      <c r="B141" s="1">
        <v>2019</v>
      </c>
      <c r="C141">
        <v>-2.0085411139061842</v>
      </c>
      <c r="D141">
        <v>0.76216005184689939</v>
      </c>
      <c r="E141">
        <v>0.75738878262140996</v>
      </c>
      <c r="F141">
        <v>0.64684142768343389</v>
      </c>
      <c r="G141">
        <v>0.58439202072290786</v>
      </c>
      <c r="H141">
        <v>0.59597526880767171</v>
      </c>
      <c r="I141">
        <v>0.55652530301698111</v>
      </c>
      <c r="J141">
        <v>-2.9163133160424231</v>
      </c>
      <c r="K141">
        <v>1.9117730239483881</v>
      </c>
      <c r="L141">
        <v>-1.6580637480208309</v>
      </c>
      <c r="M141">
        <v>2.045129995645639</v>
      </c>
      <c r="N141">
        <v>2.095092750257237</v>
      </c>
      <c r="O141">
        <v>5.393627546352362</v>
      </c>
      <c r="P141">
        <f t="shared" si="16"/>
        <v>-4.9962754611597937E-2</v>
      </c>
      <c r="Q141">
        <f t="shared" si="17"/>
        <v>2.1355310083308798</v>
      </c>
      <c r="R141">
        <f t="shared" si="18"/>
        <v>0</v>
      </c>
      <c r="S141">
        <f t="shared" si="19"/>
        <v>1</v>
      </c>
      <c r="T141">
        <f t="shared" si="20"/>
        <v>0</v>
      </c>
      <c r="U141">
        <f t="shared" si="21"/>
        <v>0</v>
      </c>
      <c r="V141">
        <f t="shared" si="22"/>
        <v>0</v>
      </c>
      <c r="W141">
        <f t="shared" si="23"/>
        <v>1</v>
      </c>
    </row>
    <row r="142" spans="1:23" x14ac:dyDescent="0.25">
      <c r="A142" s="1">
        <v>21</v>
      </c>
      <c r="B142" s="1">
        <v>2020</v>
      </c>
      <c r="C142">
        <v>-2.0383230366867711</v>
      </c>
      <c r="D142">
        <v>0.67818581541978507</v>
      </c>
      <c r="E142">
        <v>0.76216005184689939</v>
      </c>
      <c r="F142">
        <v>0.75738878262140996</v>
      </c>
      <c r="G142">
        <v>0.53192153206072357</v>
      </c>
      <c r="H142">
        <v>0.58439202072290786</v>
      </c>
      <c r="I142">
        <v>0.59597526880767171</v>
      </c>
      <c r="J142">
        <v>-2.2498308020460218</v>
      </c>
      <c r="K142">
        <v>1.9117730239483881</v>
      </c>
      <c r="L142">
        <v>-1.624555692732911</v>
      </c>
      <c r="M142">
        <v>2.0706915026668651</v>
      </c>
      <c r="N142">
        <v>2.039574292292329</v>
      </c>
      <c r="O142">
        <v>5.9914645471079817</v>
      </c>
      <c r="P142">
        <f t="shared" si="16"/>
        <v>3.1117210374536075E-2</v>
      </c>
      <c r="Q142">
        <f t="shared" si="17"/>
        <v>0.59783700075561974</v>
      </c>
      <c r="R142">
        <f t="shared" si="18"/>
        <v>0</v>
      </c>
      <c r="S142">
        <f t="shared" si="19"/>
        <v>1</v>
      </c>
      <c r="T142">
        <f t="shared" si="20"/>
        <v>0</v>
      </c>
      <c r="U142">
        <f t="shared" si="21"/>
        <v>0</v>
      </c>
      <c r="V142">
        <f t="shared" si="22"/>
        <v>1</v>
      </c>
      <c r="W142">
        <f t="shared" si="23"/>
        <v>1</v>
      </c>
    </row>
    <row r="143" spans="1:23" x14ac:dyDescent="0.25">
      <c r="A143" s="1">
        <v>21</v>
      </c>
      <c r="B143" s="1">
        <v>2021</v>
      </c>
      <c r="C143">
        <v>-2.0070508998401348</v>
      </c>
      <c r="D143">
        <v>0.87771620989437926</v>
      </c>
      <c r="E143">
        <v>0.67818581541978507</v>
      </c>
      <c r="F143">
        <v>0.76216005184689939</v>
      </c>
      <c r="G143">
        <v>0.73476885525076474</v>
      </c>
      <c r="H143">
        <v>0.53192153206072357</v>
      </c>
      <c r="I143">
        <v>0.58439202072290786</v>
      </c>
      <c r="J143">
        <v>-1.662292095590983</v>
      </c>
      <c r="K143">
        <v>1.9117730239483881</v>
      </c>
      <c r="L143">
        <v>-1.5916949111130609</v>
      </c>
      <c r="M143">
        <v>2.0987281041157519</v>
      </c>
      <c r="N143">
        <v>2.0652717558173901</v>
      </c>
      <c r="O143">
        <v>6.6846117276679271</v>
      </c>
      <c r="P143">
        <f t="shared" si="16"/>
        <v>3.345634829836186E-2</v>
      </c>
      <c r="Q143">
        <f t="shared" si="17"/>
        <v>0.6931471805599454</v>
      </c>
      <c r="R143">
        <f t="shared" si="18"/>
        <v>0</v>
      </c>
      <c r="S143">
        <f t="shared" si="19"/>
        <v>1</v>
      </c>
      <c r="T143">
        <f t="shared" si="20"/>
        <v>0</v>
      </c>
      <c r="U143">
        <f t="shared" si="21"/>
        <v>0</v>
      </c>
      <c r="V143">
        <f t="shared" si="22"/>
        <v>0</v>
      </c>
      <c r="W143">
        <f t="shared" si="23"/>
        <v>1</v>
      </c>
    </row>
    <row r="144" spans="1:23" x14ac:dyDescent="0.25">
      <c r="A144" s="1">
        <v>21</v>
      </c>
      <c r="B144" s="1">
        <v>2022</v>
      </c>
      <c r="C144">
        <v>-1.96379964741039</v>
      </c>
      <c r="D144">
        <v>0.8950262365694307</v>
      </c>
      <c r="E144">
        <v>0.87771620989437926</v>
      </c>
      <c r="F144">
        <v>0.67818581541978507</v>
      </c>
      <c r="G144">
        <v>0.75155758810636775</v>
      </c>
      <c r="H144">
        <v>0.73476885525076474</v>
      </c>
      <c r="I144">
        <v>0.53192153206072357</v>
      </c>
      <c r="J144">
        <v>-1.1691607852262771</v>
      </c>
      <c r="K144">
        <v>1.9117730239483881</v>
      </c>
      <c r="L144">
        <v>-1.553505106231033</v>
      </c>
      <c r="M144">
        <v>2.1285004102261289</v>
      </c>
      <c r="N144">
        <v>2.0987281041157519</v>
      </c>
      <c r="O144">
        <v>8.0551577318196781</v>
      </c>
      <c r="P144">
        <f t="shared" si="16"/>
        <v>2.9772306110376956E-2</v>
      </c>
      <c r="Q144">
        <f t="shared" si="17"/>
        <v>1.370546004151751</v>
      </c>
      <c r="R144">
        <f t="shared" si="18"/>
        <v>0</v>
      </c>
      <c r="S144">
        <f t="shared" si="19"/>
        <v>1</v>
      </c>
      <c r="T144">
        <f t="shared" si="20"/>
        <v>0</v>
      </c>
      <c r="U144">
        <f t="shared" si="21"/>
        <v>0</v>
      </c>
      <c r="V144">
        <f t="shared" si="22"/>
        <v>0</v>
      </c>
      <c r="W144">
        <f t="shared" si="23"/>
        <v>0</v>
      </c>
    </row>
    <row r="145" spans="1:23" x14ac:dyDescent="0.25">
      <c r="A145" s="1">
        <v>21</v>
      </c>
      <c r="B145" s="1">
        <v>2023</v>
      </c>
      <c r="C145">
        <v>-1.8928906138512589</v>
      </c>
      <c r="D145">
        <v>0.71397869013987836</v>
      </c>
      <c r="E145">
        <v>0.8950262365694307</v>
      </c>
      <c r="F145">
        <v>0.87771620989437926</v>
      </c>
      <c r="G145">
        <v>0.538829820175588</v>
      </c>
      <c r="H145">
        <v>0.75155758810636775</v>
      </c>
      <c r="I145">
        <v>0.73476885525076474</v>
      </c>
      <c r="J145">
        <v>-0.64634611206753934</v>
      </c>
      <c r="K145">
        <v>1.9117730239483881</v>
      </c>
      <c r="L145">
        <v>-1.512016901871964</v>
      </c>
      <c r="M145">
        <v>2.1435270983319512</v>
      </c>
      <c r="N145">
        <v>2.1285004102261289</v>
      </c>
      <c r="O145">
        <v>8.4658998970286863</v>
      </c>
      <c r="P145">
        <f t="shared" si="16"/>
        <v>1.5026688105822306E-2</v>
      </c>
      <c r="Q145">
        <f t="shared" si="17"/>
        <v>0.41074216520900819</v>
      </c>
      <c r="R145">
        <f t="shared" si="18"/>
        <v>0</v>
      </c>
      <c r="S145">
        <f t="shared" si="19"/>
        <v>1</v>
      </c>
      <c r="T145">
        <f t="shared" si="20"/>
        <v>0</v>
      </c>
      <c r="U145">
        <f t="shared" si="21"/>
        <v>0</v>
      </c>
      <c r="V145">
        <f t="shared" si="22"/>
        <v>0</v>
      </c>
      <c r="W145">
        <f t="shared" si="23"/>
        <v>0</v>
      </c>
    </row>
    <row r="146" spans="1:23" x14ac:dyDescent="0.25">
      <c r="A146" s="1">
        <v>22</v>
      </c>
      <c r="B146" s="1">
        <v>2006</v>
      </c>
      <c r="C146">
        <v>-2.7417032668890182</v>
      </c>
      <c r="D146">
        <v>0.9242589015233319</v>
      </c>
      <c r="E146">
        <v>0.91880756199842939</v>
      </c>
      <c r="F146">
        <v>0.86558673749944925</v>
      </c>
      <c r="G146">
        <v>0.75141608868392118</v>
      </c>
      <c r="H146">
        <v>0.6832483483806977</v>
      </c>
      <c r="I146">
        <v>0.58700858449827797</v>
      </c>
      <c r="J146">
        <v>-16.11809565095832</v>
      </c>
      <c r="K146">
        <v>1.090797042355631</v>
      </c>
      <c r="L146">
        <v>-2.4851958602947479</v>
      </c>
      <c r="M146">
        <v>1.7796680853385549</v>
      </c>
      <c r="N146">
        <v>1.624263083542117</v>
      </c>
      <c r="O146">
        <v>-11.51292546497023</v>
      </c>
      <c r="P146">
        <f t="shared" si="16"/>
        <v>0.1554050017964379</v>
      </c>
      <c r="Q146">
        <f t="shared" si="17"/>
        <v>0</v>
      </c>
      <c r="R146">
        <f t="shared" si="18"/>
        <v>0</v>
      </c>
      <c r="S146">
        <f t="shared" si="19"/>
        <v>1</v>
      </c>
      <c r="T146">
        <f t="shared" si="20"/>
        <v>0</v>
      </c>
      <c r="U146">
        <f t="shared" si="21"/>
        <v>0</v>
      </c>
      <c r="V146">
        <f t="shared" si="22"/>
        <v>0</v>
      </c>
      <c r="W146">
        <f t="shared" si="23"/>
        <v>0</v>
      </c>
    </row>
    <row r="147" spans="1:23" x14ac:dyDescent="0.25">
      <c r="A147" s="1">
        <v>22</v>
      </c>
      <c r="B147" s="1">
        <v>2007</v>
      </c>
      <c r="C147">
        <v>-2.6679518417291561</v>
      </c>
      <c r="D147">
        <v>0.89637369803379618</v>
      </c>
      <c r="E147">
        <v>0.9242589015233319</v>
      </c>
      <c r="F147">
        <v>0.91880756199842939</v>
      </c>
      <c r="G147">
        <v>0.60867802393349535</v>
      </c>
      <c r="H147">
        <v>0.75141608868392118</v>
      </c>
      <c r="I147">
        <v>0.6832483483806977</v>
      </c>
      <c r="J147">
        <v>-16.11809565095832</v>
      </c>
      <c r="K147">
        <v>1.090797042355631</v>
      </c>
      <c r="L147">
        <v>-2.364682292812764</v>
      </c>
      <c r="M147">
        <v>1.732619982246111</v>
      </c>
      <c r="N147">
        <v>1.767296839428945</v>
      </c>
      <c r="O147">
        <v>-11.51292546497023</v>
      </c>
      <c r="P147">
        <f t="shared" si="16"/>
        <v>-3.4676857182833976E-2</v>
      </c>
      <c r="Q147">
        <f t="shared" si="17"/>
        <v>0</v>
      </c>
      <c r="R147">
        <f t="shared" si="18"/>
        <v>0</v>
      </c>
      <c r="S147">
        <f t="shared" si="19"/>
        <v>1</v>
      </c>
      <c r="T147">
        <f t="shared" si="20"/>
        <v>0</v>
      </c>
      <c r="U147">
        <f t="shared" si="21"/>
        <v>0</v>
      </c>
      <c r="V147">
        <f t="shared" si="22"/>
        <v>0</v>
      </c>
      <c r="W147">
        <f t="shared" si="23"/>
        <v>0</v>
      </c>
    </row>
    <row r="148" spans="1:23" x14ac:dyDescent="0.25">
      <c r="A148" s="1">
        <v>22</v>
      </c>
      <c r="B148" s="1">
        <v>2008</v>
      </c>
      <c r="C148">
        <v>-2.5370566115124791</v>
      </c>
      <c r="D148">
        <v>0.8545429795827455</v>
      </c>
      <c r="E148">
        <v>0.89637369803379618</v>
      </c>
      <c r="F148">
        <v>0.9242589015233319</v>
      </c>
      <c r="G148">
        <v>0.54615415681928514</v>
      </c>
      <c r="H148">
        <v>0.60867802393349535</v>
      </c>
      <c r="I148">
        <v>0.75141608868392118</v>
      </c>
      <c r="J148">
        <v>-16.11809565095832</v>
      </c>
      <c r="K148">
        <v>1.090797042355631</v>
      </c>
      <c r="L148">
        <v>-2.2254787055347012</v>
      </c>
      <c r="M148">
        <v>1.8014473158845341</v>
      </c>
      <c r="N148">
        <v>1.7204002370384639</v>
      </c>
      <c r="O148">
        <v>-11.51292546497023</v>
      </c>
      <c r="P148">
        <f t="shared" si="16"/>
        <v>8.1047078846070209E-2</v>
      </c>
      <c r="Q148">
        <f t="shared" si="17"/>
        <v>0</v>
      </c>
      <c r="R148">
        <f t="shared" si="18"/>
        <v>0</v>
      </c>
      <c r="S148">
        <f t="shared" si="19"/>
        <v>1</v>
      </c>
      <c r="T148">
        <f t="shared" si="20"/>
        <v>0</v>
      </c>
      <c r="U148">
        <f t="shared" si="21"/>
        <v>0</v>
      </c>
      <c r="V148">
        <f t="shared" si="22"/>
        <v>0</v>
      </c>
      <c r="W148">
        <f t="shared" si="23"/>
        <v>0</v>
      </c>
    </row>
    <row r="149" spans="1:23" x14ac:dyDescent="0.25">
      <c r="A149" s="1">
        <v>22</v>
      </c>
      <c r="B149" s="1">
        <v>2009</v>
      </c>
      <c r="C149">
        <v>-2.4214216906929669</v>
      </c>
      <c r="D149">
        <v>0.80074519115796339</v>
      </c>
      <c r="E149">
        <v>0.8545429795827455</v>
      </c>
      <c r="F149">
        <v>0.89637369803379618</v>
      </c>
      <c r="G149">
        <v>0.49341493350619681</v>
      </c>
      <c r="H149">
        <v>0.54615415681928514</v>
      </c>
      <c r="I149">
        <v>0.60867802393349535</v>
      </c>
      <c r="J149">
        <v>-16.11809565095832</v>
      </c>
      <c r="K149">
        <v>1.090797042355631</v>
      </c>
      <c r="L149">
        <v>-2.0901934209052611</v>
      </c>
      <c r="M149">
        <v>1.8765724808055899</v>
      </c>
      <c r="N149">
        <v>1.790757458948911</v>
      </c>
      <c r="O149">
        <v>-11.51292546497023</v>
      </c>
      <c r="P149">
        <f t="shared" si="16"/>
        <v>8.5815021856678886E-2</v>
      </c>
      <c r="Q149">
        <f t="shared" si="17"/>
        <v>0</v>
      </c>
      <c r="R149">
        <f t="shared" si="18"/>
        <v>0</v>
      </c>
      <c r="S149">
        <f t="shared" si="19"/>
        <v>1</v>
      </c>
      <c r="T149">
        <f t="shared" si="20"/>
        <v>0</v>
      </c>
      <c r="U149">
        <f t="shared" si="21"/>
        <v>0</v>
      </c>
      <c r="V149">
        <f t="shared" si="22"/>
        <v>0</v>
      </c>
      <c r="W149">
        <f t="shared" si="23"/>
        <v>0</v>
      </c>
    </row>
    <row r="150" spans="1:23" x14ac:dyDescent="0.25">
      <c r="A150" s="1">
        <v>22</v>
      </c>
      <c r="B150" s="1">
        <v>2010</v>
      </c>
      <c r="C150">
        <v>-2.2082007102813228</v>
      </c>
      <c r="D150">
        <v>0.7236763855947681</v>
      </c>
      <c r="E150">
        <v>0.80074519115796339</v>
      </c>
      <c r="F150">
        <v>0.8545429795827455</v>
      </c>
      <c r="G150">
        <v>0.49255981495909817</v>
      </c>
      <c r="H150">
        <v>0.49341493350619681</v>
      </c>
      <c r="I150">
        <v>0.54615415681928514</v>
      </c>
      <c r="J150">
        <v>-16.11809565095832</v>
      </c>
      <c r="K150">
        <v>1.090797042355631</v>
      </c>
      <c r="L150">
        <v>-1.931148313878714</v>
      </c>
      <c r="M150">
        <v>1.95807987253376</v>
      </c>
      <c r="N150">
        <v>1.8773673090886771</v>
      </c>
      <c r="O150">
        <v>-11.51292546497023</v>
      </c>
      <c r="P150">
        <f t="shared" si="16"/>
        <v>8.071256344508293E-2</v>
      </c>
      <c r="Q150">
        <f t="shared" si="17"/>
        <v>0</v>
      </c>
      <c r="R150">
        <f t="shared" si="18"/>
        <v>0</v>
      </c>
      <c r="S150">
        <f t="shared" si="19"/>
        <v>1</v>
      </c>
      <c r="T150">
        <f t="shared" si="20"/>
        <v>0</v>
      </c>
      <c r="U150">
        <f t="shared" si="21"/>
        <v>0</v>
      </c>
      <c r="V150">
        <f t="shared" si="22"/>
        <v>0</v>
      </c>
      <c r="W150">
        <f t="shared" si="23"/>
        <v>0</v>
      </c>
    </row>
    <row r="151" spans="1:23" x14ac:dyDescent="0.25">
      <c r="A151" s="1">
        <v>22</v>
      </c>
      <c r="B151" s="1">
        <v>2011</v>
      </c>
      <c r="C151">
        <v>-2.127864435876516</v>
      </c>
      <c r="D151">
        <v>0.71476189053235328</v>
      </c>
      <c r="E151">
        <v>0.7236763855947681</v>
      </c>
      <c r="F151">
        <v>0.80074519115796339</v>
      </c>
      <c r="G151">
        <v>0.56064383074685153</v>
      </c>
      <c r="H151">
        <v>0.49255981495909817</v>
      </c>
      <c r="I151">
        <v>0.49341493350619681</v>
      </c>
      <c r="J151">
        <v>-6.6657881709257252</v>
      </c>
      <c r="K151">
        <v>1.090797042355631</v>
      </c>
      <c r="L151">
        <v>-1.7876086576556209</v>
      </c>
      <c r="M151">
        <v>2.0316048036389418</v>
      </c>
      <c r="N151">
        <v>1.9588750146332901</v>
      </c>
      <c r="O151">
        <v>-11.51292546497023</v>
      </c>
      <c r="P151">
        <f t="shared" si="16"/>
        <v>7.2729789005651746E-2</v>
      </c>
      <c r="Q151">
        <f t="shared" si="17"/>
        <v>0</v>
      </c>
      <c r="R151">
        <f t="shared" si="18"/>
        <v>0</v>
      </c>
      <c r="S151">
        <f t="shared" si="19"/>
        <v>1</v>
      </c>
      <c r="T151">
        <f t="shared" si="20"/>
        <v>0</v>
      </c>
      <c r="U151">
        <f t="shared" si="21"/>
        <v>0</v>
      </c>
      <c r="V151">
        <f t="shared" si="22"/>
        <v>0</v>
      </c>
      <c r="W151">
        <f t="shared" si="23"/>
        <v>0</v>
      </c>
    </row>
    <row r="152" spans="1:23" x14ac:dyDescent="0.25">
      <c r="A152" s="1">
        <v>22</v>
      </c>
      <c r="B152" s="1">
        <v>2012</v>
      </c>
      <c r="C152">
        <v>-1.9384638846484969</v>
      </c>
      <c r="D152">
        <v>0.62748803175367107</v>
      </c>
      <c r="E152">
        <v>0.71476189053235328</v>
      </c>
      <c r="F152">
        <v>0.7236763855947681</v>
      </c>
      <c r="G152">
        <v>0.50386142996435779</v>
      </c>
      <c r="H152">
        <v>0.56064383074685153</v>
      </c>
      <c r="I152">
        <v>0.49255981495909817</v>
      </c>
      <c r="J152">
        <v>-6.4491260749965029</v>
      </c>
      <c r="K152">
        <v>1.090797042355631</v>
      </c>
      <c r="L152">
        <v>-1.669451473269018</v>
      </c>
      <c r="M152">
        <v>2.047573872737356</v>
      </c>
      <c r="N152">
        <v>2.025123348253953</v>
      </c>
      <c r="O152">
        <v>-11.51292546497023</v>
      </c>
      <c r="P152">
        <f t="shared" si="16"/>
        <v>2.2450524483403012E-2</v>
      </c>
      <c r="Q152">
        <f t="shared" si="17"/>
        <v>0</v>
      </c>
      <c r="R152">
        <f t="shared" si="18"/>
        <v>0</v>
      </c>
      <c r="S152">
        <f t="shared" si="19"/>
        <v>1</v>
      </c>
      <c r="T152">
        <f t="shared" si="20"/>
        <v>0</v>
      </c>
      <c r="U152">
        <f t="shared" si="21"/>
        <v>0</v>
      </c>
      <c r="V152">
        <f t="shared" si="22"/>
        <v>0</v>
      </c>
      <c r="W152">
        <f t="shared" si="23"/>
        <v>0</v>
      </c>
    </row>
    <row r="153" spans="1:23" x14ac:dyDescent="0.25">
      <c r="A153" s="1">
        <v>22</v>
      </c>
      <c r="B153" s="1">
        <v>2013</v>
      </c>
      <c r="C153">
        <v>-1.851334602865897</v>
      </c>
      <c r="D153">
        <v>0.62288564751927877</v>
      </c>
      <c r="E153">
        <v>0.62748803175367107</v>
      </c>
      <c r="F153">
        <v>0.71476189053235328</v>
      </c>
      <c r="G153">
        <v>0.5019261405789579</v>
      </c>
      <c r="H153">
        <v>0.50386142996435779</v>
      </c>
      <c r="I153">
        <v>0.56064383074685153</v>
      </c>
      <c r="J153">
        <v>-5.5009963238221262</v>
      </c>
      <c r="K153">
        <v>1.090797042355631</v>
      </c>
      <c r="L153">
        <v>-1.5648872687125539</v>
      </c>
      <c r="M153">
        <v>2.056199324434782</v>
      </c>
      <c r="N153">
        <v>2.0401921788843018</v>
      </c>
      <c r="O153">
        <v>-11.51292546497023</v>
      </c>
      <c r="P153">
        <f t="shared" si="16"/>
        <v>1.6007145550480217E-2</v>
      </c>
      <c r="Q153">
        <f t="shared" si="17"/>
        <v>0</v>
      </c>
      <c r="R153">
        <f t="shared" si="18"/>
        <v>0</v>
      </c>
      <c r="S153">
        <f t="shared" si="19"/>
        <v>1</v>
      </c>
      <c r="T153">
        <f t="shared" si="20"/>
        <v>0</v>
      </c>
      <c r="U153">
        <f t="shared" si="21"/>
        <v>0</v>
      </c>
      <c r="V153">
        <f t="shared" si="22"/>
        <v>0</v>
      </c>
      <c r="W153">
        <f t="shared" si="23"/>
        <v>0</v>
      </c>
    </row>
    <row r="154" spans="1:23" x14ac:dyDescent="0.25">
      <c r="A154" s="1">
        <v>22</v>
      </c>
      <c r="B154" s="1">
        <v>2014</v>
      </c>
      <c r="C154">
        <v>-1.7250043316309409</v>
      </c>
      <c r="D154">
        <v>0.60042863955673875</v>
      </c>
      <c r="E154">
        <v>0.62288564751927877</v>
      </c>
      <c r="F154">
        <v>0.62748803175367107</v>
      </c>
      <c r="G154">
        <v>0.49621947137662858</v>
      </c>
      <c r="H154">
        <v>0.5019261405789579</v>
      </c>
      <c r="I154">
        <v>0.50386142996435779</v>
      </c>
      <c r="J154">
        <v>-4.6680567183432871</v>
      </c>
      <c r="K154">
        <v>1.090797042355631</v>
      </c>
      <c r="L154">
        <v>-1.4703241790521</v>
      </c>
      <c r="M154">
        <v>2.1645396151373499</v>
      </c>
      <c r="N154">
        <v>2.052890905712994</v>
      </c>
      <c r="O154">
        <v>-11.51292546497023</v>
      </c>
      <c r="P154">
        <f t="shared" si="16"/>
        <v>0.1116487094243559</v>
      </c>
      <c r="Q154">
        <f t="shared" si="17"/>
        <v>0</v>
      </c>
      <c r="R154">
        <f t="shared" si="18"/>
        <v>0</v>
      </c>
      <c r="S154">
        <f t="shared" si="19"/>
        <v>1</v>
      </c>
      <c r="T154">
        <f t="shared" si="20"/>
        <v>0</v>
      </c>
      <c r="U154">
        <f t="shared" si="21"/>
        <v>0</v>
      </c>
      <c r="V154">
        <f t="shared" si="22"/>
        <v>0</v>
      </c>
      <c r="W154">
        <f t="shared" si="23"/>
        <v>0</v>
      </c>
    </row>
    <row r="155" spans="1:23" x14ac:dyDescent="0.25">
      <c r="A155" s="1">
        <v>22</v>
      </c>
      <c r="B155" s="1">
        <v>2015</v>
      </c>
      <c r="C155">
        <v>-1.709276608751034</v>
      </c>
      <c r="D155">
        <v>0.64048452797663935</v>
      </c>
      <c r="E155">
        <v>0.60042863955673875</v>
      </c>
      <c r="F155">
        <v>0.62288564751927877</v>
      </c>
      <c r="G155">
        <v>0.46304195291218431</v>
      </c>
      <c r="H155">
        <v>0.49621947137662858</v>
      </c>
      <c r="I155">
        <v>0.5019261405789579</v>
      </c>
      <c r="J155">
        <v>-4.2655015574558997</v>
      </c>
      <c r="K155">
        <v>1.090797042355631</v>
      </c>
      <c r="L155">
        <v>-1.3976885176837111</v>
      </c>
      <c r="M155">
        <v>2.1258028532792732</v>
      </c>
      <c r="N155">
        <v>2.1616296679165679</v>
      </c>
      <c r="O155">
        <v>-11.51292546497023</v>
      </c>
      <c r="P155">
        <f t="shared" si="16"/>
        <v>-3.5826814637294646E-2</v>
      </c>
      <c r="Q155">
        <f t="shared" si="17"/>
        <v>0</v>
      </c>
      <c r="R155">
        <f t="shared" si="18"/>
        <v>0</v>
      </c>
      <c r="S155">
        <f t="shared" si="19"/>
        <v>1</v>
      </c>
      <c r="T155">
        <f t="shared" si="20"/>
        <v>0</v>
      </c>
      <c r="U155">
        <f t="shared" si="21"/>
        <v>0</v>
      </c>
      <c r="V155">
        <f t="shared" si="22"/>
        <v>0</v>
      </c>
      <c r="W155">
        <f t="shared" si="23"/>
        <v>1</v>
      </c>
    </row>
    <row r="156" spans="1:23" x14ac:dyDescent="0.25">
      <c r="A156" s="1">
        <v>22</v>
      </c>
      <c r="B156" s="1">
        <v>2016</v>
      </c>
      <c r="C156">
        <v>-1.684419044627796</v>
      </c>
      <c r="D156">
        <v>0.69524497864209145</v>
      </c>
      <c r="E156">
        <v>0.64048452797663935</v>
      </c>
      <c r="F156">
        <v>0.60042863955673875</v>
      </c>
      <c r="G156">
        <v>0.52591126118403153</v>
      </c>
      <c r="H156">
        <v>0.46304195291218431</v>
      </c>
      <c r="I156">
        <v>0.49621947137662858</v>
      </c>
      <c r="J156">
        <v>-3.8850503713206179</v>
      </c>
      <c r="K156">
        <v>1.090797042355631</v>
      </c>
      <c r="L156">
        <v>-1.3445155182719659</v>
      </c>
      <c r="M156">
        <v>2.1016394077339058</v>
      </c>
      <c r="N156">
        <v>2.1232617871584529</v>
      </c>
      <c r="O156">
        <v>-11.51292546497023</v>
      </c>
      <c r="P156">
        <f t="shared" si="16"/>
        <v>-2.1622379424547145E-2</v>
      </c>
      <c r="Q156">
        <f t="shared" si="17"/>
        <v>0</v>
      </c>
      <c r="R156">
        <f t="shared" si="18"/>
        <v>0</v>
      </c>
      <c r="S156">
        <f t="shared" si="19"/>
        <v>1</v>
      </c>
      <c r="T156">
        <f t="shared" si="20"/>
        <v>0</v>
      </c>
      <c r="U156">
        <f t="shared" si="21"/>
        <v>0</v>
      </c>
      <c r="V156">
        <f t="shared" si="22"/>
        <v>0</v>
      </c>
      <c r="W156">
        <f t="shared" si="23"/>
        <v>1</v>
      </c>
    </row>
    <row r="157" spans="1:23" x14ac:dyDescent="0.25">
      <c r="A157" s="1">
        <v>22</v>
      </c>
      <c r="B157" s="1">
        <v>2017</v>
      </c>
      <c r="C157">
        <v>-1.667094603337729</v>
      </c>
      <c r="D157">
        <v>0.6634093622959889</v>
      </c>
      <c r="E157">
        <v>0.69524497864209145</v>
      </c>
      <c r="F157">
        <v>0.64048452797663935</v>
      </c>
      <c r="G157">
        <v>0.49035757512612699</v>
      </c>
      <c r="H157">
        <v>0.52591126118403153</v>
      </c>
      <c r="I157">
        <v>0.46304195291218431</v>
      </c>
      <c r="J157">
        <v>-3.1941039439846679</v>
      </c>
      <c r="K157">
        <v>1.090797042355631</v>
      </c>
      <c r="L157">
        <v>-1.29862280126731</v>
      </c>
      <c r="M157">
        <v>2.1544456128443699</v>
      </c>
      <c r="N157">
        <v>2.0994386545099091</v>
      </c>
      <c r="O157">
        <v>-11.51292546497023</v>
      </c>
      <c r="P157">
        <f t="shared" si="16"/>
        <v>5.5006958334460787E-2</v>
      </c>
      <c r="Q157">
        <f t="shared" si="17"/>
        <v>0</v>
      </c>
      <c r="R157">
        <f t="shared" si="18"/>
        <v>0</v>
      </c>
      <c r="S157">
        <f t="shared" si="19"/>
        <v>1</v>
      </c>
      <c r="T157">
        <f t="shared" si="20"/>
        <v>0</v>
      </c>
      <c r="U157">
        <f t="shared" si="21"/>
        <v>0</v>
      </c>
      <c r="V157">
        <f t="shared" si="22"/>
        <v>0</v>
      </c>
      <c r="W157">
        <f t="shared" si="23"/>
        <v>1</v>
      </c>
    </row>
    <row r="158" spans="1:23" x14ac:dyDescent="0.25">
      <c r="A158" s="1">
        <v>22</v>
      </c>
      <c r="B158" s="1">
        <v>2018</v>
      </c>
      <c r="C158">
        <v>-1.7671186474372851</v>
      </c>
      <c r="D158">
        <v>0.81801616260581456</v>
      </c>
      <c r="E158">
        <v>0.6634093622959889</v>
      </c>
      <c r="F158">
        <v>0.69524497864209145</v>
      </c>
      <c r="G158">
        <v>0.55566513723868272</v>
      </c>
      <c r="H158">
        <v>0.49035757512612699</v>
      </c>
      <c r="I158">
        <v>0.52591126118403153</v>
      </c>
      <c r="J158">
        <v>-2.7248953716540978</v>
      </c>
      <c r="K158">
        <v>1.090797042355631</v>
      </c>
      <c r="L158">
        <v>-1.2680772242681011</v>
      </c>
      <c r="M158">
        <v>2.2013351426972991</v>
      </c>
      <c r="N158">
        <v>2.1404800927394581</v>
      </c>
      <c r="O158">
        <v>3.2580965380214821</v>
      </c>
      <c r="P158">
        <f t="shared" si="16"/>
        <v>6.0855049957841079E-2</v>
      </c>
      <c r="Q158">
        <f t="shared" si="17"/>
        <v>14.771022002991712</v>
      </c>
      <c r="R158">
        <f t="shared" si="18"/>
        <v>0</v>
      </c>
      <c r="S158">
        <f t="shared" si="19"/>
        <v>1</v>
      </c>
      <c r="T158">
        <f t="shared" si="20"/>
        <v>0</v>
      </c>
      <c r="U158">
        <f t="shared" si="21"/>
        <v>0</v>
      </c>
      <c r="V158">
        <f t="shared" si="22"/>
        <v>0</v>
      </c>
      <c r="W158">
        <f t="shared" si="23"/>
        <v>1</v>
      </c>
    </row>
    <row r="159" spans="1:23" x14ac:dyDescent="0.25">
      <c r="A159" s="1">
        <v>22</v>
      </c>
      <c r="B159" s="1">
        <v>2019</v>
      </c>
      <c r="C159">
        <v>-1.764018016116248</v>
      </c>
      <c r="D159">
        <v>0.80258437525832049</v>
      </c>
      <c r="E159">
        <v>0.81801616260581456</v>
      </c>
      <c r="F159">
        <v>0.6634093622959889</v>
      </c>
      <c r="G159">
        <v>0.52514264436078373</v>
      </c>
      <c r="H159">
        <v>0.55566513723868272</v>
      </c>
      <c r="I159">
        <v>0.49035757512612699</v>
      </c>
      <c r="J159">
        <v>-1.986508739685457</v>
      </c>
      <c r="K159">
        <v>1.090797042355631</v>
      </c>
      <c r="L159">
        <v>-1.22934168582551</v>
      </c>
      <c r="M159">
        <v>2.2038845100015569</v>
      </c>
      <c r="N159">
        <v>2.1986749019455369</v>
      </c>
      <c r="O159">
        <v>5.393627546352362</v>
      </c>
      <c r="P159">
        <f t="shared" si="16"/>
        <v>5.2096080560199987E-3</v>
      </c>
      <c r="Q159">
        <f t="shared" si="17"/>
        <v>2.1355310083308798</v>
      </c>
      <c r="R159">
        <f t="shared" si="18"/>
        <v>0</v>
      </c>
      <c r="S159">
        <f t="shared" si="19"/>
        <v>1</v>
      </c>
      <c r="T159">
        <f t="shared" si="20"/>
        <v>0</v>
      </c>
      <c r="U159">
        <f t="shared" si="21"/>
        <v>0</v>
      </c>
      <c r="V159">
        <f t="shared" si="22"/>
        <v>0</v>
      </c>
      <c r="W159">
        <f t="shared" si="23"/>
        <v>1</v>
      </c>
    </row>
    <row r="160" spans="1:23" x14ac:dyDescent="0.25">
      <c r="A160" s="1">
        <v>22</v>
      </c>
      <c r="B160" s="1">
        <v>2020</v>
      </c>
      <c r="C160">
        <v>-1.8427194394348461</v>
      </c>
      <c r="D160">
        <v>0.72479118589440672</v>
      </c>
      <c r="E160">
        <v>0.80258437525832049</v>
      </c>
      <c r="F160">
        <v>0.81801616260581456</v>
      </c>
      <c r="G160">
        <v>0.47803380094099979</v>
      </c>
      <c r="H160">
        <v>0.52514264436078373</v>
      </c>
      <c r="I160">
        <v>0.55566513723868272</v>
      </c>
      <c r="J160">
        <v>-1.3426119005236929</v>
      </c>
      <c r="K160">
        <v>1.090797042355631</v>
      </c>
      <c r="L160">
        <v>-1.202562850060513</v>
      </c>
      <c r="M160">
        <v>2.2048166968771068</v>
      </c>
      <c r="N160">
        <v>2.2013663183077949</v>
      </c>
      <c r="O160">
        <v>5.9914645471079817</v>
      </c>
      <c r="P160">
        <f t="shared" si="16"/>
        <v>3.4503785693118516E-3</v>
      </c>
      <c r="Q160">
        <f t="shared" si="17"/>
        <v>0.59783700075561974</v>
      </c>
      <c r="R160">
        <f t="shared" si="18"/>
        <v>0</v>
      </c>
      <c r="S160">
        <f t="shared" si="19"/>
        <v>1</v>
      </c>
      <c r="T160">
        <f t="shared" si="20"/>
        <v>0</v>
      </c>
      <c r="U160">
        <f t="shared" si="21"/>
        <v>0</v>
      </c>
      <c r="V160">
        <f t="shared" si="22"/>
        <v>1</v>
      </c>
      <c r="W160">
        <f t="shared" si="23"/>
        <v>1</v>
      </c>
    </row>
    <row r="161" spans="1:23" x14ac:dyDescent="0.25">
      <c r="A161" s="1">
        <v>22</v>
      </c>
      <c r="B161" s="1">
        <v>2021</v>
      </c>
      <c r="C161">
        <v>-1.814326231350831</v>
      </c>
      <c r="D161">
        <v>0.95789322172866853</v>
      </c>
      <c r="E161">
        <v>0.72479118589440672</v>
      </c>
      <c r="F161">
        <v>0.80258437525832049</v>
      </c>
      <c r="G161">
        <v>0.74088917654536646</v>
      </c>
      <c r="H161">
        <v>0.47803380094099979</v>
      </c>
      <c r="I161">
        <v>0.52514264436078373</v>
      </c>
      <c r="J161">
        <v>-0.77723845825946336</v>
      </c>
      <c r="K161">
        <v>1.090797042355631</v>
      </c>
      <c r="L161">
        <v>-1.1732130300297841</v>
      </c>
      <c r="M161">
        <v>2.2067905766247828</v>
      </c>
      <c r="N161">
        <v>2.2024395009996378</v>
      </c>
      <c r="O161">
        <v>6.6846117276679271</v>
      </c>
      <c r="P161">
        <f t="shared" si="16"/>
        <v>4.3510756251450289E-3</v>
      </c>
      <c r="Q161">
        <f t="shared" si="17"/>
        <v>0.6931471805599454</v>
      </c>
      <c r="R161">
        <f t="shared" si="18"/>
        <v>0</v>
      </c>
      <c r="S161">
        <f t="shared" si="19"/>
        <v>1</v>
      </c>
      <c r="T161">
        <f t="shared" si="20"/>
        <v>0</v>
      </c>
      <c r="U161">
        <f t="shared" si="21"/>
        <v>0</v>
      </c>
      <c r="V161">
        <f t="shared" si="22"/>
        <v>0</v>
      </c>
      <c r="W161">
        <f t="shared" si="23"/>
        <v>1</v>
      </c>
    </row>
    <row r="162" spans="1:23" x14ac:dyDescent="0.25">
      <c r="A162" s="1">
        <v>22</v>
      </c>
      <c r="B162" s="1">
        <v>2022</v>
      </c>
      <c r="C162">
        <v>-1.784177638624346</v>
      </c>
      <c r="D162">
        <v>0.9681998366115846</v>
      </c>
      <c r="E162">
        <v>0.95789322172866853</v>
      </c>
      <c r="F162">
        <v>0.72479118589440672</v>
      </c>
      <c r="G162">
        <v>0.71074148896089639</v>
      </c>
      <c r="H162">
        <v>0.74088917654536646</v>
      </c>
      <c r="I162">
        <v>0.47803380094099979</v>
      </c>
      <c r="J162">
        <v>-0.26720680039464911</v>
      </c>
      <c r="K162">
        <v>1.090797042355631</v>
      </c>
      <c r="L162">
        <v>-1.1438969346607319</v>
      </c>
      <c r="M162">
        <v>2.2534517562846741</v>
      </c>
      <c r="N162">
        <v>2.2067905766247828</v>
      </c>
      <c r="O162">
        <v>8.0551577318196781</v>
      </c>
      <c r="P162">
        <f t="shared" si="16"/>
        <v>4.666117965989125E-2</v>
      </c>
      <c r="Q162">
        <f t="shared" si="17"/>
        <v>1.370546004151751</v>
      </c>
      <c r="R162">
        <f t="shared" si="18"/>
        <v>0</v>
      </c>
      <c r="S162">
        <f t="shared" si="19"/>
        <v>1</v>
      </c>
      <c r="T162">
        <f t="shared" si="20"/>
        <v>0</v>
      </c>
      <c r="U162">
        <f t="shared" si="21"/>
        <v>0</v>
      </c>
      <c r="V162">
        <f t="shared" si="22"/>
        <v>0</v>
      </c>
      <c r="W162">
        <f t="shared" si="23"/>
        <v>0</v>
      </c>
    </row>
    <row r="163" spans="1:23" x14ac:dyDescent="0.25">
      <c r="A163" s="1">
        <v>22</v>
      </c>
      <c r="B163" s="1">
        <v>2023</v>
      </c>
      <c r="C163">
        <v>-1.665849576435277</v>
      </c>
      <c r="D163">
        <v>0.7437927652288373</v>
      </c>
      <c r="E163">
        <v>0.9681998366115846</v>
      </c>
      <c r="F163">
        <v>0.95789322172866853</v>
      </c>
      <c r="G163">
        <v>0.49743638664697459</v>
      </c>
      <c r="H163">
        <v>0.71074148896089639</v>
      </c>
      <c r="I163">
        <v>0.74088917654536646</v>
      </c>
      <c r="J163">
        <v>0.29546796007280218</v>
      </c>
      <c r="K163">
        <v>1.090797042355631</v>
      </c>
      <c r="L163">
        <v>-1.1046766252508049</v>
      </c>
      <c r="M163">
        <v>2.3083760538358988</v>
      </c>
      <c r="N163">
        <v>2.2534517562846741</v>
      </c>
      <c r="O163">
        <v>8.4658998970286863</v>
      </c>
      <c r="P163">
        <f t="shared" si="16"/>
        <v>5.4924297551224743E-2</v>
      </c>
      <c r="Q163">
        <f t="shared" si="17"/>
        <v>0.41074216520900819</v>
      </c>
      <c r="R163">
        <f t="shared" si="18"/>
        <v>0</v>
      </c>
      <c r="S163">
        <f t="shared" si="19"/>
        <v>1</v>
      </c>
      <c r="T163">
        <f t="shared" si="20"/>
        <v>0</v>
      </c>
      <c r="U163">
        <f t="shared" si="21"/>
        <v>0</v>
      </c>
      <c r="V163">
        <f t="shared" si="22"/>
        <v>0</v>
      </c>
      <c r="W163">
        <f t="shared" si="23"/>
        <v>0</v>
      </c>
    </row>
    <row r="164" spans="1:23" x14ac:dyDescent="0.25">
      <c r="A164" s="1">
        <v>23</v>
      </c>
      <c r="B164" s="1">
        <v>2006</v>
      </c>
      <c r="C164">
        <v>-2.7400225207029112</v>
      </c>
      <c r="D164">
        <v>0.99325177301028345</v>
      </c>
      <c r="E164">
        <v>0.92290878417573041</v>
      </c>
      <c r="F164">
        <v>0.88826155915265215</v>
      </c>
      <c r="G164">
        <v>0.65232518603969014</v>
      </c>
      <c r="H164">
        <v>0.54371866706801619</v>
      </c>
      <c r="I164">
        <v>0.47828177068996119</v>
      </c>
      <c r="J164">
        <v>-16.11809565095832</v>
      </c>
      <c r="K164">
        <v>0.94240070955773636</v>
      </c>
      <c r="L164">
        <v>-2.275966422923585</v>
      </c>
      <c r="M164">
        <v>2.031247207311957</v>
      </c>
      <c r="N164">
        <v>1.9723560596672469</v>
      </c>
      <c r="O164">
        <v>-11.51292546497023</v>
      </c>
      <c r="P164">
        <f t="shared" si="16"/>
        <v>5.889114764471004E-2</v>
      </c>
      <c r="Q164">
        <f t="shared" si="17"/>
        <v>0</v>
      </c>
      <c r="R164">
        <f t="shared" si="18"/>
        <v>0</v>
      </c>
      <c r="S164">
        <f t="shared" si="19"/>
        <v>1</v>
      </c>
      <c r="T164">
        <f t="shared" si="20"/>
        <v>0</v>
      </c>
      <c r="U164">
        <f t="shared" si="21"/>
        <v>0</v>
      </c>
      <c r="V164">
        <f t="shared" si="22"/>
        <v>0</v>
      </c>
      <c r="W164">
        <f t="shared" si="23"/>
        <v>0</v>
      </c>
    </row>
    <row r="165" spans="1:23" x14ac:dyDescent="0.25">
      <c r="A165" s="1">
        <v>23</v>
      </c>
      <c r="B165" s="1">
        <v>2007</v>
      </c>
      <c r="C165">
        <v>-2.713468700183479</v>
      </c>
      <c r="D165">
        <v>0.91573057501559185</v>
      </c>
      <c r="E165">
        <v>0.99325177301028345</v>
      </c>
      <c r="F165">
        <v>0.92290878417573041</v>
      </c>
      <c r="G165">
        <v>0.50446544061330811</v>
      </c>
      <c r="H165">
        <v>0.65232518603969014</v>
      </c>
      <c r="I165">
        <v>0.54371866706801619</v>
      </c>
      <c r="J165">
        <v>-16.11809565095832</v>
      </c>
      <c r="K165">
        <v>0.94240070955773636</v>
      </c>
      <c r="L165">
        <v>-2.176155426655149</v>
      </c>
      <c r="M165">
        <v>2.0435463985610518</v>
      </c>
      <c r="N165">
        <v>2.0171424760238659</v>
      </c>
      <c r="O165">
        <v>-11.51292546497023</v>
      </c>
      <c r="P165">
        <f t="shared" si="16"/>
        <v>2.6403922537185931E-2</v>
      </c>
      <c r="Q165">
        <f t="shared" si="17"/>
        <v>0</v>
      </c>
      <c r="R165">
        <f t="shared" si="18"/>
        <v>0</v>
      </c>
      <c r="S165">
        <f t="shared" si="19"/>
        <v>1</v>
      </c>
      <c r="T165">
        <f t="shared" si="20"/>
        <v>0</v>
      </c>
      <c r="U165">
        <f t="shared" si="21"/>
        <v>0</v>
      </c>
      <c r="V165">
        <f t="shared" si="22"/>
        <v>0</v>
      </c>
      <c r="W165">
        <f t="shared" si="23"/>
        <v>0</v>
      </c>
    </row>
    <row r="166" spans="1:23" x14ac:dyDescent="0.25">
      <c r="A166" s="1">
        <v>23</v>
      </c>
      <c r="B166" s="1">
        <v>2008</v>
      </c>
      <c r="C166">
        <v>-2.6194848246392071</v>
      </c>
      <c r="D166">
        <v>0.8429455456483399</v>
      </c>
      <c r="E166">
        <v>0.91573057501559185</v>
      </c>
      <c r="F166">
        <v>0.99325177301028345</v>
      </c>
      <c r="G166">
        <v>0.49786195737413202</v>
      </c>
      <c r="H166">
        <v>0.50446544061330811</v>
      </c>
      <c r="I166">
        <v>0.65232518603969014</v>
      </c>
      <c r="J166">
        <v>-16.11809565095832</v>
      </c>
      <c r="K166">
        <v>0.94240070955773636</v>
      </c>
      <c r="L166">
        <v>-2.0768434254588288</v>
      </c>
      <c r="M166">
        <v>2.1184752833322422</v>
      </c>
      <c r="N166">
        <v>2.0296377285285612</v>
      </c>
      <c r="O166">
        <v>-11.51292546497023</v>
      </c>
      <c r="P166">
        <f t="shared" si="16"/>
        <v>8.8837554803681051E-2</v>
      </c>
      <c r="Q166">
        <f t="shared" si="17"/>
        <v>0</v>
      </c>
      <c r="R166">
        <f t="shared" si="18"/>
        <v>0</v>
      </c>
      <c r="S166">
        <f t="shared" si="19"/>
        <v>1</v>
      </c>
      <c r="T166">
        <f t="shared" si="20"/>
        <v>0</v>
      </c>
      <c r="U166">
        <f t="shared" si="21"/>
        <v>0</v>
      </c>
      <c r="V166">
        <f t="shared" si="22"/>
        <v>0</v>
      </c>
      <c r="W166">
        <f t="shared" si="23"/>
        <v>0</v>
      </c>
    </row>
    <row r="167" spans="1:23" x14ac:dyDescent="0.25">
      <c r="A167" s="1">
        <v>23</v>
      </c>
      <c r="B167" s="1">
        <v>2009</v>
      </c>
      <c r="C167">
        <v>-2.5522791844167401</v>
      </c>
      <c r="D167">
        <v>0.78900266620346671</v>
      </c>
      <c r="E167">
        <v>0.8429455456483399</v>
      </c>
      <c r="F167">
        <v>0.91573057501559185</v>
      </c>
      <c r="G167">
        <v>0.44462171664268602</v>
      </c>
      <c r="H167">
        <v>0.49786195737413202</v>
      </c>
      <c r="I167">
        <v>0.50446544061330811</v>
      </c>
      <c r="J167">
        <v>-16.11809565095832</v>
      </c>
      <c r="K167">
        <v>0.94240070955773636</v>
      </c>
      <c r="L167">
        <v>-1.96366765203261</v>
      </c>
      <c r="M167">
        <v>2.142870807876518</v>
      </c>
      <c r="N167">
        <v>2.1070292151570942</v>
      </c>
      <c r="O167">
        <v>-11.51292546497023</v>
      </c>
      <c r="P167">
        <f t="shared" si="16"/>
        <v>3.5841592719423776E-2</v>
      </c>
      <c r="Q167">
        <f t="shared" si="17"/>
        <v>0</v>
      </c>
      <c r="R167">
        <f t="shared" si="18"/>
        <v>0</v>
      </c>
      <c r="S167">
        <f t="shared" si="19"/>
        <v>1</v>
      </c>
      <c r="T167">
        <f t="shared" si="20"/>
        <v>0</v>
      </c>
      <c r="U167">
        <f t="shared" si="21"/>
        <v>0</v>
      </c>
      <c r="V167">
        <f t="shared" si="22"/>
        <v>0</v>
      </c>
      <c r="W167">
        <f t="shared" si="23"/>
        <v>0</v>
      </c>
    </row>
    <row r="168" spans="1:23" x14ac:dyDescent="0.25">
      <c r="A168" s="1">
        <v>23</v>
      </c>
      <c r="B168" s="1">
        <v>2010</v>
      </c>
      <c r="C168">
        <v>-2.3428914998236441</v>
      </c>
      <c r="D168">
        <v>0.766397642299538</v>
      </c>
      <c r="E168">
        <v>0.78900266620346671</v>
      </c>
      <c r="F168">
        <v>0.8429455456483399</v>
      </c>
      <c r="G168">
        <v>0.44654306986601078</v>
      </c>
      <c r="H168">
        <v>0.44462171664268602</v>
      </c>
      <c r="I168">
        <v>0.49786195737413202</v>
      </c>
      <c r="J168">
        <v>-9.0523970759305676</v>
      </c>
      <c r="K168">
        <v>0.94240070955773636</v>
      </c>
      <c r="L168">
        <v>-1.822121436694923</v>
      </c>
      <c r="M168">
        <v>2.2290539697095291</v>
      </c>
      <c r="N168">
        <v>2.1439040037276569</v>
      </c>
      <c r="O168">
        <v>-11.51292546497023</v>
      </c>
      <c r="P168">
        <f t="shared" si="16"/>
        <v>8.5149965981872189E-2</v>
      </c>
      <c r="Q168">
        <f t="shared" si="17"/>
        <v>0</v>
      </c>
      <c r="R168">
        <f t="shared" si="18"/>
        <v>0</v>
      </c>
      <c r="S168">
        <f t="shared" si="19"/>
        <v>1</v>
      </c>
      <c r="T168">
        <f t="shared" si="20"/>
        <v>0</v>
      </c>
      <c r="U168">
        <f t="shared" si="21"/>
        <v>0</v>
      </c>
      <c r="V168">
        <f t="shared" si="22"/>
        <v>0</v>
      </c>
      <c r="W168">
        <f t="shared" si="23"/>
        <v>0</v>
      </c>
    </row>
    <row r="169" spans="1:23" x14ac:dyDescent="0.25">
      <c r="A169" s="1">
        <v>23</v>
      </c>
      <c r="B169" s="1">
        <v>2011</v>
      </c>
      <c r="C169">
        <v>-2.2019487102344648</v>
      </c>
      <c r="D169">
        <v>0.73706836761787342</v>
      </c>
      <c r="E169">
        <v>0.766397642299538</v>
      </c>
      <c r="F169">
        <v>0.78900266620346671</v>
      </c>
      <c r="G169">
        <v>0.49255981495909817</v>
      </c>
      <c r="H169">
        <v>0.44654306986601078</v>
      </c>
      <c r="I169">
        <v>0.44462171664268602</v>
      </c>
      <c r="J169">
        <v>-7.441924899047299</v>
      </c>
      <c r="K169">
        <v>0.94240070955773636</v>
      </c>
      <c r="L169">
        <v>-1.6897625030897661</v>
      </c>
      <c r="M169">
        <v>2.272910098304564</v>
      </c>
      <c r="N169">
        <v>2.2300882341585</v>
      </c>
      <c r="O169">
        <v>-11.51292546497023</v>
      </c>
      <c r="P169">
        <f t="shared" si="16"/>
        <v>4.2821864146064037E-2</v>
      </c>
      <c r="Q169">
        <f t="shared" si="17"/>
        <v>0</v>
      </c>
      <c r="R169">
        <f t="shared" si="18"/>
        <v>0</v>
      </c>
      <c r="S169">
        <f t="shared" si="19"/>
        <v>1</v>
      </c>
      <c r="T169">
        <f t="shared" si="20"/>
        <v>0</v>
      </c>
      <c r="U169">
        <f t="shared" si="21"/>
        <v>0</v>
      </c>
      <c r="V169">
        <f t="shared" si="22"/>
        <v>0</v>
      </c>
      <c r="W169">
        <f t="shared" si="23"/>
        <v>0</v>
      </c>
    </row>
    <row r="170" spans="1:23" x14ac:dyDescent="0.25">
      <c r="A170" s="1">
        <v>23</v>
      </c>
      <c r="B170" s="1">
        <v>2012</v>
      </c>
      <c r="C170">
        <v>-2.0384463184817809</v>
      </c>
      <c r="D170">
        <v>0.67666204430008292</v>
      </c>
      <c r="E170">
        <v>0.73706836761787342</v>
      </c>
      <c r="F170">
        <v>0.766397642299538</v>
      </c>
      <c r="G170">
        <v>0.44980092192821608</v>
      </c>
      <c r="H170">
        <v>0.49255981495909817</v>
      </c>
      <c r="I170">
        <v>0.44654306986601078</v>
      </c>
      <c r="J170">
        <v>-7.1143053453331477</v>
      </c>
      <c r="K170">
        <v>0.94240070955773636</v>
      </c>
      <c r="L170">
        <v>-1.5917296205276319</v>
      </c>
      <c r="M170">
        <v>2.2656392122203219</v>
      </c>
      <c r="N170">
        <v>2.2640574153974211</v>
      </c>
      <c r="O170">
        <v>-11.51292546497023</v>
      </c>
      <c r="P170">
        <f t="shared" si="16"/>
        <v>1.5817968229008272E-3</v>
      </c>
      <c r="Q170">
        <f t="shared" si="17"/>
        <v>0</v>
      </c>
      <c r="R170">
        <f t="shared" si="18"/>
        <v>0</v>
      </c>
      <c r="S170">
        <f t="shared" si="19"/>
        <v>1</v>
      </c>
      <c r="T170">
        <f t="shared" si="20"/>
        <v>0</v>
      </c>
      <c r="U170">
        <f t="shared" si="21"/>
        <v>0</v>
      </c>
      <c r="V170">
        <f t="shared" si="22"/>
        <v>0</v>
      </c>
      <c r="W170">
        <f t="shared" si="23"/>
        <v>0</v>
      </c>
    </row>
    <row r="171" spans="1:23" x14ac:dyDescent="0.25">
      <c r="A171" s="1">
        <v>23</v>
      </c>
      <c r="B171" s="1">
        <v>2013</v>
      </c>
      <c r="C171">
        <v>-1.9764717302603569</v>
      </c>
      <c r="D171">
        <v>0.6660842610102562</v>
      </c>
      <c r="E171">
        <v>0.67666204430008292</v>
      </c>
      <c r="F171">
        <v>0.73706836761787342</v>
      </c>
      <c r="G171">
        <v>0.46812686923287539</v>
      </c>
      <c r="H171">
        <v>0.44980092192821608</v>
      </c>
      <c r="I171">
        <v>0.49255981495909817</v>
      </c>
      <c r="J171">
        <v>-6.2468561426310938</v>
      </c>
      <c r="K171">
        <v>0.94240070955773636</v>
      </c>
      <c r="L171">
        <v>-1.5165408069304569</v>
      </c>
      <c r="M171">
        <v>2.290664946370319</v>
      </c>
      <c r="N171">
        <v>2.2457852199213981</v>
      </c>
      <c r="O171">
        <v>-11.51292546497023</v>
      </c>
      <c r="P171">
        <f t="shared" si="16"/>
        <v>4.4879726448920909E-2</v>
      </c>
      <c r="Q171">
        <f t="shared" si="17"/>
        <v>0</v>
      </c>
      <c r="R171">
        <f t="shared" si="18"/>
        <v>0</v>
      </c>
      <c r="S171">
        <f t="shared" si="19"/>
        <v>1</v>
      </c>
      <c r="T171">
        <f t="shared" si="20"/>
        <v>0</v>
      </c>
      <c r="U171">
        <f t="shared" si="21"/>
        <v>0</v>
      </c>
      <c r="V171">
        <f t="shared" si="22"/>
        <v>0</v>
      </c>
      <c r="W171">
        <f t="shared" si="23"/>
        <v>0</v>
      </c>
    </row>
    <row r="172" spans="1:23" x14ac:dyDescent="0.25">
      <c r="A172" s="1">
        <v>23</v>
      </c>
      <c r="B172" s="1">
        <v>2014</v>
      </c>
      <c r="C172">
        <v>-1.8804784092060529</v>
      </c>
      <c r="D172">
        <v>0.6553933909480294</v>
      </c>
      <c r="E172">
        <v>0.6660842610102562</v>
      </c>
      <c r="F172">
        <v>0.67666204430008292</v>
      </c>
      <c r="G172">
        <v>0.46033200954900449</v>
      </c>
      <c r="H172">
        <v>0.46812686923287539</v>
      </c>
      <c r="I172">
        <v>0.44980092192821608</v>
      </c>
      <c r="J172">
        <v>-5.4764399171390501</v>
      </c>
      <c r="K172">
        <v>0.94240070955773636</v>
      </c>
      <c r="L172">
        <v>-1.440590910345094</v>
      </c>
      <c r="M172">
        <v>2.3528668534425492</v>
      </c>
      <c r="N172">
        <v>2.2833766032743652</v>
      </c>
      <c r="O172">
        <v>-11.51292546497023</v>
      </c>
      <c r="P172">
        <f t="shared" si="16"/>
        <v>6.9490250168183998E-2</v>
      </c>
      <c r="Q172">
        <f t="shared" si="17"/>
        <v>0</v>
      </c>
      <c r="R172">
        <f t="shared" si="18"/>
        <v>0</v>
      </c>
      <c r="S172">
        <f t="shared" si="19"/>
        <v>1</v>
      </c>
      <c r="T172">
        <f t="shared" si="20"/>
        <v>0</v>
      </c>
      <c r="U172">
        <f t="shared" si="21"/>
        <v>0</v>
      </c>
      <c r="V172">
        <f t="shared" si="22"/>
        <v>0</v>
      </c>
      <c r="W172">
        <f t="shared" si="23"/>
        <v>0</v>
      </c>
    </row>
    <row r="173" spans="1:23" x14ac:dyDescent="0.25">
      <c r="A173" s="1">
        <v>23</v>
      </c>
      <c r="B173" s="1">
        <v>2015</v>
      </c>
      <c r="C173">
        <v>-1.900325340922125</v>
      </c>
      <c r="D173">
        <v>0.69713920182948275</v>
      </c>
      <c r="E173">
        <v>0.6553933909480294</v>
      </c>
      <c r="F173">
        <v>0.6660842610102562</v>
      </c>
      <c r="G173">
        <v>0.44455760791426069</v>
      </c>
      <c r="H173">
        <v>0.46033200954900449</v>
      </c>
      <c r="I173">
        <v>0.46812686923287539</v>
      </c>
      <c r="J173">
        <v>-5.0869742562594968</v>
      </c>
      <c r="K173">
        <v>0.94240070955773636</v>
      </c>
      <c r="L173">
        <v>-1.3804406487253209</v>
      </c>
      <c r="M173">
        <v>2.308634800602293</v>
      </c>
      <c r="N173">
        <v>2.345917241733849</v>
      </c>
      <c r="O173">
        <v>-11.51292546497023</v>
      </c>
      <c r="P173">
        <f t="shared" si="16"/>
        <v>-3.7282441131555988E-2</v>
      </c>
      <c r="Q173">
        <f t="shared" si="17"/>
        <v>0</v>
      </c>
      <c r="R173">
        <f t="shared" si="18"/>
        <v>0</v>
      </c>
      <c r="S173">
        <f t="shared" si="19"/>
        <v>1</v>
      </c>
      <c r="T173">
        <f t="shared" si="20"/>
        <v>0</v>
      </c>
      <c r="U173">
        <f t="shared" si="21"/>
        <v>0</v>
      </c>
      <c r="V173">
        <f t="shared" si="22"/>
        <v>0</v>
      </c>
      <c r="W173">
        <f t="shared" si="23"/>
        <v>1</v>
      </c>
    </row>
    <row r="174" spans="1:23" x14ac:dyDescent="0.25">
      <c r="A174" s="1">
        <v>23</v>
      </c>
      <c r="B174" s="1">
        <v>2016</v>
      </c>
      <c r="C174">
        <v>-1.876780802351339</v>
      </c>
      <c r="D174">
        <v>0.76127300960754574</v>
      </c>
      <c r="E174">
        <v>0.69713920182948275</v>
      </c>
      <c r="F174">
        <v>0.6553933909480294</v>
      </c>
      <c r="G174">
        <v>0.56713033997645834</v>
      </c>
      <c r="H174">
        <v>0.44455760791426069</v>
      </c>
      <c r="I174">
        <v>0.46033200954900449</v>
      </c>
      <c r="J174">
        <v>-4.7314863869233648</v>
      </c>
      <c r="K174">
        <v>0.94240070955773636</v>
      </c>
      <c r="L174">
        <v>-1.34328618401536</v>
      </c>
      <c r="M174">
        <v>2.282031132172003</v>
      </c>
      <c r="N174">
        <v>2.3020080027038801</v>
      </c>
      <c r="O174">
        <v>-11.51292546497023</v>
      </c>
      <c r="P174">
        <f t="shared" si="16"/>
        <v>-1.9976870531877022E-2</v>
      </c>
      <c r="Q174">
        <f t="shared" si="17"/>
        <v>0</v>
      </c>
      <c r="R174">
        <f t="shared" si="18"/>
        <v>0</v>
      </c>
      <c r="S174">
        <f t="shared" si="19"/>
        <v>1</v>
      </c>
      <c r="T174">
        <f t="shared" si="20"/>
        <v>0</v>
      </c>
      <c r="U174">
        <f t="shared" si="21"/>
        <v>0</v>
      </c>
      <c r="V174">
        <f t="shared" si="22"/>
        <v>0</v>
      </c>
      <c r="W174">
        <f t="shared" si="23"/>
        <v>1</v>
      </c>
    </row>
    <row r="175" spans="1:23" x14ac:dyDescent="0.25">
      <c r="A175" s="1">
        <v>23</v>
      </c>
      <c r="B175" s="1">
        <v>2017</v>
      </c>
      <c r="C175">
        <v>-1.8762247898236599</v>
      </c>
      <c r="D175">
        <v>0.73730759634559995</v>
      </c>
      <c r="E175">
        <v>0.76127300960754574</v>
      </c>
      <c r="F175">
        <v>0.69713920182948275</v>
      </c>
      <c r="G175">
        <v>0.55348273343197063</v>
      </c>
      <c r="H175">
        <v>0.56713033997645834</v>
      </c>
      <c r="I175">
        <v>0.44455760791426069</v>
      </c>
      <c r="J175">
        <v>-4.0768126881465969</v>
      </c>
      <c r="K175">
        <v>0.94240070955773636</v>
      </c>
      <c r="L175">
        <v>-1.3129630208470151</v>
      </c>
      <c r="M175">
        <v>2.306030019327109</v>
      </c>
      <c r="N175">
        <v>2.275714762023346</v>
      </c>
      <c r="O175">
        <v>-11.51292546497023</v>
      </c>
      <c r="P175">
        <f t="shared" si="16"/>
        <v>3.0315257303763055E-2</v>
      </c>
      <c r="Q175">
        <f t="shared" si="17"/>
        <v>0</v>
      </c>
      <c r="R175">
        <f t="shared" si="18"/>
        <v>0</v>
      </c>
      <c r="S175">
        <f t="shared" si="19"/>
        <v>1</v>
      </c>
      <c r="T175">
        <f t="shared" si="20"/>
        <v>0</v>
      </c>
      <c r="U175">
        <f t="shared" si="21"/>
        <v>0</v>
      </c>
      <c r="V175">
        <f t="shared" si="22"/>
        <v>0</v>
      </c>
      <c r="W175">
        <f t="shared" si="23"/>
        <v>1</v>
      </c>
    </row>
    <row r="176" spans="1:23" x14ac:dyDescent="0.25">
      <c r="A176" s="1">
        <v>23</v>
      </c>
      <c r="B176" s="1">
        <v>2018</v>
      </c>
      <c r="C176">
        <v>-1.9205895670859261</v>
      </c>
      <c r="D176">
        <v>0.83594797919161656</v>
      </c>
      <c r="E176">
        <v>0.73730759634559995</v>
      </c>
      <c r="F176">
        <v>0.76127300960754574</v>
      </c>
      <c r="G176">
        <v>0.61003727383693873</v>
      </c>
      <c r="H176">
        <v>0.55348273343197063</v>
      </c>
      <c r="I176">
        <v>0.56713033997645834</v>
      </c>
      <c r="J176">
        <v>-3.6410794980560079</v>
      </c>
      <c r="K176">
        <v>0.94240070955773636</v>
      </c>
      <c r="L176">
        <v>-1.2814082160523841</v>
      </c>
      <c r="M176">
        <v>2.3085327992865792</v>
      </c>
      <c r="N176">
        <v>2.299930457138661</v>
      </c>
      <c r="O176">
        <v>3.2580965380214821</v>
      </c>
      <c r="P176">
        <f t="shared" si="16"/>
        <v>8.6023421479182183E-3</v>
      </c>
      <c r="Q176">
        <f t="shared" si="17"/>
        <v>14.771022002991712</v>
      </c>
      <c r="R176">
        <f t="shared" si="18"/>
        <v>0</v>
      </c>
      <c r="S176">
        <f t="shared" si="19"/>
        <v>1</v>
      </c>
      <c r="T176">
        <f t="shared" si="20"/>
        <v>0</v>
      </c>
      <c r="U176">
        <f t="shared" si="21"/>
        <v>0</v>
      </c>
      <c r="V176">
        <f t="shared" si="22"/>
        <v>0</v>
      </c>
      <c r="W176">
        <f t="shared" si="23"/>
        <v>1</v>
      </c>
    </row>
    <row r="177" spans="1:23" x14ac:dyDescent="0.25">
      <c r="A177" s="1">
        <v>23</v>
      </c>
      <c r="B177" s="1">
        <v>2019</v>
      </c>
      <c r="C177">
        <v>-1.885905559529534</v>
      </c>
      <c r="D177">
        <v>0.79818264339382605</v>
      </c>
      <c r="E177">
        <v>0.83594797919161656</v>
      </c>
      <c r="F177">
        <v>0.73730759634559995</v>
      </c>
      <c r="G177">
        <v>0.59801198544490664</v>
      </c>
      <c r="H177">
        <v>0.61003727383693873</v>
      </c>
      <c r="I177">
        <v>0.55348273343197063</v>
      </c>
      <c r="J177">
        <v>-2.908948471981462</v>
      </c>
      <c r="K177">
        <v>0.94240070955773636</v>
      </c>
      <c r="L177">
        <v>-1.2479508548670499</v>
      </c>
      <c r="M177">
        <v>2.308993984237167</v>
      </c>
      <c r="N177">
        <v>2.302334422007946</v>
      </c>
      <c r="O177">
        <v>5.393627546352362</v>
      </c>
      <c r="P177">
        <f t="shared" si="16"/>
        <v>6.6595622292209278E-3</v>
      </c>
      <c r="Q177">
        <f t="shared" si="17"/>
        <v>2.1355310083308798</v>
      </c>
      <c r="R177">
        <f t="shared" si="18"/>
        <v>0</v>
      </c>
      <c r="S177">
        <f t="shared" si="19"/>
        <v>1</v>
      </c>
      <c r="T177">
        <f t="shared" si="20"/>
        <v>0</v>
      </c>
      <c r="U177">
        <f t="shared" si="21"/>
        <v>0</v>
      </c>
      <c r="V177">
        <f t="shared" si="22"/>
        <v>0</v>
      </c>
      <c r="W177">
        <f t="shared" si="23"/>
        <v>1</v>
      </c>
    </row>
    <row r="178" spans="1:23" x14ac:dyDescent="0.25">
      <c r="A178" s="1">
        <v>23</v>
      </c>
      <c r="B178" s="1">
        <v>2020</v>
      </c>
      <c r="C178">
        <v>-1.972287231124215</v>
      </c>
      <c r="D178">
        <v>0.72706539876340592</v>
      </c>
      <c r="E178">
        <v>0.79818264339382605</v>
      </c>
      <c r="F178">
        <v>0.83594797919161656</v>
      </c>
      <c r="G178">
        <v>0.53467885978815022</v>
      </c>
      <c r="H178">
        <v>0.59801198544490664</v>
      </c>
      <c r="I178">
        <v>0.61003727383693873</v>
      </c>
      <c r="J178">
        <v>-2.3165166256601419</v>
      </c>
      <c r="K178">
        <v>0.94240070955773636</v>
      </c>
      <c r="L178">
        <v>-1.2230636868595159</v>
      </c>
      <c r="M178">
        <v>2.2604783764800769</v>
      </c>
      <c r="N178">
        <v>2.3029866015401592</v>
      </c>
      <c r="O178">
        <v>5.9914645471079817</v>
      </c>
      <c r="P178">
        <f t="shared" si="16"/>
        <v>-4.2508225060082339E-2</v>
      </c>
      <c r="Q178">
        <f t="shared" si="17"/>
        <v>0.59783700075561974</v>
      </c>
      <c r="R178">
        <f t="shared" si="18"/>
        <v>0</v>
      </c>
      <c r="S178">
        <f t="shared" si="19"/>
        <v>1</v>
      </c>
      <c r="T178">
        <f t="shared" si="20"/>
        <v>0</v>
      </c>
      <c r="U178">
        <f t="shared" si="21"/>
        <v>0</v>
      </c>
      <c r="V178">
        <f t="shared" si="22"/>
        <v>1</v>
      </c>
      <c r="W178">
        <f t="shared" si="23"/>
        <v>1</v>
      </c>
    </row>
    <row r="179" spans="1:23" x14ac:dyDescent="0.25">
      <c r="A179" s="1">
        <v>23</v>
      </c>
      <c r="B179" s="1">
        <v>2021</v>
      </c>
      <c r="C179">
        <v>-1.941188736177095</v>
      </c>
      <c r="D179">
        <v>0.91776963775355425</v>
      </c>
      <c r="E179">
        <v>0.72706539876340592</v>
      </c>
      <c r="F179">
        <v>0.79818264339382605</v>
      </c>
      <c r="G179">
        <v>0.75902854967345812</v>
      </c>
      <c r="H179">
        <v>0.53467885978815022</v>
      </c>
      <c r="I179">
        <v>0.59801198544490664</v>
      </c>
      <c r="J179">
        <v>-1.7301286688154971</v>
      </c>
      <c r="K179">
        <v>0.94240070955773636</v>
      </c>
      <c r="L179">
        <v>-1.199099363373487</v>
      </c>
      <c r="M179">
        <v>2.2869410639737482</v>
      </c>
      <c r="N179">
        <v>2.2546743749546869</v>
      </c>
      <c r="O179">
        <v>6.6846117276679271</v>
      </c>
      <c r="P179">
        <f t="shared" si="16"/>
        <v>3.2266689019061268E-2</v>
      </c>
      <c r="Q179">
        <f t="shared" si="17"/>
        <v>0.6931471805599454</v>
      </c>
      <c r="R179">
        <f t="shared" si="18"/>
        <v>0</v>
      </c>
      <c r="S179">
        <f t="shared" si="19"/>
        <v>1</v>
      </c>
      <c r="T179">
        <f t="shared" si="20"/>
        <v>0</v>
      </c>
      <c r="U179">
        <f t="shared" si="21"/>
        <v>0</v>
      </c>
      <c r="V179">
        <f t="shared" si="22"/>
        <v>0</v>
      </c>
      <c r="W179">
        <f t="shared" si="23"/>
        <v>1</v>
      </c>
    </row>
    <row r="180" spans="1:23" x14ac:dyDescent="0.25">
      <c r="A180" s="1">
        <v>23</v>
      </c>
      <c r="B180" s="1">
        <v>2022</v>
      </c>
      <c r="C180">
        <v>-1.865273851998017</v>
      </c>
      <c r="D180">
        <v>0.92271008367633833</v>
      </c>
      <c r="E180">
        <v>0.91776963775355425</v>
      </c>
      <c r="F180">
        <v>0.72706539876340592</v>
      </c>
      <c r="G180">
        <v>0.75724810596646897</v>
      </c>
      <c r="H180">
        <v>0.75902854967345812</v>
      </c>
      <c r="I180">
        <v>0.53467885978815022</v>
      </c>
      <c r="J180">
        <v>-1.2570011084986299</v>
      </c>
      <c r="K180">
        <v>0.94240070955773636</v>
      </c>
      <c r="L180">
        <v>-1.1721363853870821</v>
      </c>
      <c r="M180">
        <v>2.2964373068991701</v>
      </c>
      <c r="N180">
        <v>2.2869410639737482</v>
      </c>
      <c r="O180">
        <v>8.0551577318196781</v>
      </c>
      <c r="P180">
        <f t="shared" si="16"/>
        <v>9.4962429254219494E-3</v>
      </c>
      <c r="Q180">
        <f t="shared" si="17"/>
        <v>1.370546004151751</v>
      </c>
      <c r="R180">
        <f t="shared" si="18"/>
        <v>0</v>
      </c>
      <c r="S180">
        <f t="shared" si="19"/>
        <v>1</v>
      </c>
      <c r="T180">
        <f t="shared" si="20"/>
        <v>0</v>
      </c>
      <c r="U180">
        <f t="shared" si="21"/>
        <v>0</v>
      </c>
      <c r="V180">
        <f t="shared" si="22"/>
        <v>0</v>
      </c>
      <c r="W180">
        <f t="shared" si="23"/>
        <v>0</v>
      </c>
    </row>
    <row r="181" spans="1:23" x14ac:dyDescent="0.25">
      <c r="A181" s="1">
        <v>23</v>
      </c>
      <c r="B181" s="1">
        <v>2023</v>
      </c>
      <c r="C181">
        <v>-1.8008710027392021</v>
      </c>
      <c r="D181">
        <v>0.79908253096861415</v>
      </c>
      <c r="E181">
        <v>0.92271008367633833</v>
      </c>
      <c r="F181">
        <v>0.91776963775355425</v>
      </c>
      <c r="G181">
        <v>0.56984896421545173</v>
      </c>
      <c r="H181">
        <v>0.75724810596646897</v>
      </c>
      <c r="I181">
        <v>0.75902854967345812</v>
      </c>
      <c r="J181">
        <v>-0.7159780079589585</v>
      </c>
      <c r="K181">
        <v>0.94240070955773636</v>
      </c>
      <c r="L181">
        <v>-1.1419418669119821</v>
      </c>
      <c r="M181">
        <v>2.329789097685202</v>
      </c>
      <c r="N181">
        <v>2.2964373068991701</v>
      </c>
      <c r="O181">
        <v>8.4658998970286863</v>
      </c>
      <c r="P181">
        <f t="shared" si="16"/>
        <v>3.3351790786031899E-2</v>
      </c>
      <c r="Q181">
        <f t="shared" si="17"/>
        <v>0.41074216520900819</v>
      </c>
      <c r="R181">
        <f t="shared" si="18"/>
        <v>0</v>
      </c>
      <c r="S181">
        <f t="shared" si="19"/>
        <v>1</v>
      </c>
      <c r="T181">
        <f t="shared" si="20"/>
        <v>0</v>
      </c>
      <c r="U181">
        <f t="shared" si="21"/>
        <v>0</v>
      </c>
      <c r="V181">
        <f t="shared" si="22"/>
        <v>0</v>
      </c>
      <c r="W181">
        <f t="shared" si="23"/>
        <v>0</v>
      </c>
    </row>
    <row r="182" spans="1:23" x14ac:dyDescent="0.25">
      <c r="A182" s="1">
        <v>24</v>
      </c>
      <c r="B182" s="1">
        <v>2006</v>
      </c>
      <c r="C182">
        <v>-2.4349504883525261</v>
      </c>
      <c r="D182">
        <v>0.96317431777300555</v>
      </c>
      <c r="E182">
        <v>0.88107797611841054</v>
      </c>
      <c r="F182">
        <v>0.82342955082286751</v>
      </c>
      <c r="G182">
        <v>0.636576829071551</v>
      </c>
      <c r="H182">
        <v>0.53168651443331993</v>
      </c>
      <c r="I182">
        <v>0.42983246455645868</v>
      </c>
      <c r="J182">
        <v>-16.11809565095832</v>
      </c>
      <c r="K182">
        <v>0.60360268067701006</v>
      </c>
      <c r="L182">
        <v>-2.1371338032071021</v>
      </c>
      <c r="M182">
        <v>2.315615472719339</v>
      </c>
      <c r="N182">
        <v>2.2445335580631198</v>
      </c>
      <c r="O182">
        <v>-11.51292546497023</v>
      </c>
      <c r="P182">
        <f t="shared" si="16"/>
        <v>7.1081914656219158E-2</v>
      </c>
      <c r="Q182">
        <f t="shared" si="17"/>
        <v>0</v>
      </c>
      <c r="R182">
        <f t="shared" si="18"/>
        <v>0</v>
      </c>
      <c r="S182">
        <f t="shared" si="19"/>
        <v>1</v>
      </c>
      <c r="T182">
        <f t="shared" si="20"/>
        <v>0</v>
      </c>
      <c r="U182">
        <f t="shared" si="21"/>
        <v>0</v>
      </c>
      <c r="V182">
        <f t="shared" si="22"/>
        <v>0</v>
      </c>
      <c r="W182">
        <f t="shared" si="23"/>
        <v>0</v>
      </c>
    </row>
    <row r="183" spans="1:23" x14ac:dyDescent="0.25">
      <c r="A183" s="1">
        <v>24</v>
      </c>
      <c r="B183" s="1">
        <v>2007</v>
      </c>
      <c r="C183">
        <v>-2.424065218979786</v>
      </c>
      <c r="D183">
        <v>0.8924487573885842</v>
      </c>
      <c r="E183">
        <v>0.96317431777300555</v>
      </c>
      <c r="F183">
        <v>0.88107797611841054</v>
      </c>
      <c r="G183">
        <v>0.45717165043035718</v>
      </c>
      <c r="H183">
        <v>0.636576829071551</v>
      </c>
      <c r="I183">
        <v>0.53168651443331993</v>
      </c>
      <c r="J183">
        <v>-16.11809565095832</v>
      </c>
      <c r="K183">
        <v>0.60360268067701006</v>
      </c>
      <c r="L183">
        <v>-2.008082809411563</v>
      </c>
      <c r="M183">
        <v>2.3825274780410539</v>
      </c>
      <c r="N183">
        <v>2.3053722953143039</v>
      </c>
      <c r="O183">
        <v>-11.51292546497023</v>
      </c>
      <c r="P183">
        <f t="shared" si="16"/>
        <v>7.7155182726750038E-2</v>
      </c>
      <c r="Q183">
        <f t="shared" si="17"/>
        <v>0</v>
      </c>
      <c r="R183">
        <f t="shared" si="18"/>
        <v>0</v>
      </c>
      <c r="S183">
        <f t="shared" si="19"/>
        <v>1</v>
      </c>
      <c r="T183">
        <f t="shared" si="20"/>
        <v>0</v>
      </c>
      <c r="U183">
        <f t="shared" si="21"/>
        <v>0</v>
      </c>
      <c r="V183">
        <f t="shared" si="22"/>
        <v>0</v>
      </c>
      <c r="W183">
        <f t="shared" si="23"/>
        <v>0</v>
      </c>
    </row>
    <row r="184" spans="1:23" x14ac:dyDescent="0.25">
      <c r="A184" s="1">
        <v>24</v>
      </c>
      <c r="B184" s="1">
        <v>2008</v>
      </c>
      <c r="C184">
        <v>-2.32403325281124</v>
      </c>
      <c r="D184">
        <v>0.85070633066131007</v>
      </c>
      <c r="E184">
        <v>0.8924487573885842</v>
      </c>
      <c r="F184">
        <v>0.96317431777300555</v>
      </c>
      <c r="G184">
        <v>0.49237648009746082</v>
      </c>
      <c r="H184">
        <v>0.45717165043035718</v>
      </c>
      <c r="I184">
        <v>0.636576829071551</v>
      </c>
      <c r="J184">
        <v>-16.11809565095832</v>
      </c>
      <c r="K184">
        <v>0.60360268067701006</v>
      </c>
      <c r="L184">
        <v>-1.8931114226758019</v>
      </c>
      <c r="M184">
        <v>2.3817833481987249</v>
      </c>
      <c r="N184">
        <v>2.3723881603646371</v>
      </c>
      <c r="O184">
        <v>-11.51292546497023</v>
      </c>
      <c r="P184">
        <f t="shared" si="16"/>
        <v>9.3951878340878814E-3</v>
      </c>
      <c r="Q184">
        <f t="shared" si="17"/>
        <v>0</v>
      </c>
      <c r="R184">
        <f t="shared" si="18"/>
        <v>0</v>
      </c>
      <c r="S184">
        <f t="shared" si="19"/>
        <v>1</v>
      </c>
      <c r="T184">
        <f t="shared" si="20"/>
        <v>0</v>
      </c>
      <c r="U184">
        <f t="shared" si="21"/>
        <v>0</v>
      </c>
      <c r="V184">
        <f t="shared" si="22"/>
        <v>0</v>
      </c>
      <c r="W184">
        <f t="shared" si="23"/>
        <v>0</v>
      </c>
    </row>
    <row r="185" spans="1:23" x14ac:dyDescent="0.25">
      <c r="A185" s="1">
        <v>24</v>
      </c>
      <c r="B185" s="1">
        <v>2009</v>
      </c>
      <c r="C185">
        <v>-2.2391758099955328</v>
      </c>
      <c r="D185">
        <v>0.80848277923984968</v>
      </c>
      <c r="E185">
        <v>0.85070633066131007</v>
      </c>
      <c r="F185">
        <v>0.8924487573885842</v>
      </c>
      <c r="G185">
        <v>0.46115206952241822</v>
      </c>
      <c r="H185">
        <v>0.49237648009746082</v>
      </c>
      <c r="I185">
        <v>0.45717165043035718</v>
      </c>
      <c r="J185">
        <v>-16.11809565095832</v>
      </c>
      <c r="K185">
        <v>0.60360268067701006</v>
      </c>
      <c r="L185">
        <v>-1.793837456195611</v>
      </c>
      <c r="M185">
        <v>2.3695177165425099</v>
      </c>
      <c r="N185">
        <v>2.3718200644428848</v>
      </c>
      <c r="O185">
        <v>-11.51292546497023</v>
      </c>
      <c r="P185">
        <f t="shared" si="16"/>
        <v>-2.3023479003749792E-3</v>
      </c>
      <c r="Q185">
        <f t="shared" si="17"/>
        <v>0</v>
      </c>
      <c r="R185">
        <f t="shared" si="18"/>
        <v>0</v>
      </c>
      <c r="S185">
        <f t="shared" si="19"/>
        <v>1</v>
      </c>
      <c r="T185">
        <f t="shared" si="20"/>
        <v>0</v>
      </c>
      <c r="U185">
        <f t="shared" si="21"/>
        <v>0</v>
      </c>
      <c r="V185">
        <f t="shared" si="22"/>
        <v>0</v>
      </c>
      <c r="W185">
        <f t="shared" si="23"/>
        <v>0</v>
      </c>
    </row>
    <row r="186" spans="1:23" x14ac:dyDescent="0.25">
      <c r="A186" s="1">
        <v>24</v>
      </c>
      <c r="B186" s="1">
        <v>2010</v>
      </c>
      <c r="C186">
        <v>-2.0605872757379622</v>
      </c>
      <c r="D186">
        <v>0.78522486876085318</v>
      </c>
      <c r="E186">
        <v>0.80848277923984968</v>
      </c>
      <c r="F186">
        <v>0.85070633066131007</v>
      </c>
      <c r="G186">
        <v>0.47237581339079121</v>
      </c>
      <c r="H186">
        <v>0.46115206952241822</v>
      </c>
      <c r="I186">
        <v>0.49237648009746082</v>
      </c>
      <c r="J186">
        <v>-8.0608870024461652</v>
      </c>
      <c r="K186">
        <v>0.60360268067701006</v>
      </c>
      <c r="L186">
        <v>-1.6886326266371581</v>
      </c>
      <c r="M186">
        <v>2.4354991821506609</v>
      </c>
      <c r="N186">
        <v>2.359825365180205</v>
      </c>
      <c r="O186">
        <v>-11.51292546497023</v>
      </c>
      <c r="P186">
        <f t="shared" si="16"/>
        <v>7.5673816970455832E-2</v>
      </c>
      <c r="Q186">
        <f t="shared" si="17"/>
        <v>0</v>
      </c>
      <c r="R186">
        <f t="shared" si="18"/>
        <v>0</v>
      </c>
      <c r="S186">
        <f t="shared" si="19"/>
        <v>1</v>
      </c>
      <c r="T186">
        <f t="shared" si="20"/>
        <v>0</v>
      </c>
      <c r="U186">
        <f t="shared" si="21"/>
        <v>0</v>
      </c>
      <c r="V186">
        <f t="shared" si="22"/>
        <v>0</v>
      </c>
      <c r="W186">
        <f t="shared" si="23"/>
        <v>0</v>
      </c>
    </row>
    <row r="187" spans="1:23" x14ac:dyDescent="0.25">
      <c r="A187" s="1">
        <v>24</v>
      </c>
      <c r="B187" s="1">
        <v>2011</v>
      </c>
      <c r="C187">
        <v>-1.887333588368725</v>
      </c>
      <c r="D187">
        <v>0.73706836761787342</v>
      </c>
      <c r="E187">
        <v>0.78522486876085318</v>
      </c>
      <c r="F187">
        <v>0.80848277923984968</v>
      </c>
      <c r="G187">
        <v>0.53397558366469022</v>
      </c>
      <c r="H187">
        <v>0.47237581339079121</v>
      </c>
      <c r="I187">
        <v>0.46115206952241822</v>
      </c>
      <c r="J187">
        <v>-6.2787268439663473</v>
      </c>
      <c r="K187">
        <v>0.60360268067701006</v>
      </c>
      <c r="L187">
        <v>-1.598679576902704</v>
      </c>
      <c r="M187">
        <v>2.4707618300385872</v>
      </c>
      <c r="N187">
        <v>2.4258998714023359</v>
      </c>
      <c r="O187">
        <v>-11.51292546497023</v>
      </c>
      <c r="P187">
        <f t="shared" si="16"/>
        <v>4.4861958636251309E-2</v>
      </c>
      <c r="Q187">
        <f t="shared" si="17"/>
        <v>0</v>
      </c>
      <c r="R187">
        <f t="shared" si="18"/>
        <v>0</v>
      </c>
      <c r="S187">
        <f t="shared" si="19"/>
        <v>1</v>
      </c>
      <c r="T187">
        <f t="shared" si="20"/>
        <v>0</v>
      </c>
      <c r="U187">
        <f t="shared" si="21"/>
        <v>0</v>
      </c>
      <c r="V187">
        <f t="shared" si="22"/>
        <v>0</v>
      </c>
      <c r="W187">
        <f t="shared" si="23"/>
        <v>0</v>
      </c>
    </row>
    <row r="188" spans="1:23" x14ac:dyDescent="0.25">
      <c r="A188" s="1">
        <v>24</v>
      </c>
      <c r="B188" s="1">
        <v>2012</v>
      </c>
      <c r="C188">
        <v>-1.7483490252738081</v>
      </c>
      <c r="D188">
        <v>0.67294447324242579</v>
      </c>
      <c r="E188">
        <v>0.73706836761787342</v>
      </c>
      <c r="F188">
        <v>0.78522486876085318</v>
      </c>
      <c r="G188">
        <v>0.48168513401957352</v>
      </c>
      <c r="H188">
        <v>0.53397558366469022</v>
      </c>
      <c r="I188">
        <v>0.47237581339079121</v>
      </c>
      <c r="J188">
        <v>-5.8824547884624812</v>
      </c>
      <c r="K188">
        <v>0.60360268067701006</v>
      </c>
      <c r="L188">
        <v>-1.51478770487112</v>
      </c>
      <c r="M188">
        <v>2.509297514626756</v>
      </c>
      <c r="N188">
        <v>2.4615687774342709</v>
      </c>
      <c r="O188">
        <v>-11.51292546497023</v>
      </c>
      <c r="P188">
        <f t="shared" si="16"/>
        <v>4.7728737192485049E-2</v>
      </c>
      <c r="Q188">
        <f t="shared" si="17"/>
        <v>0</v>
      </c>
      <c r="R188">
        <f t="shared" si="18"/>
        <v>0</v>
      </c>
      <c r="S188">
        <f t="shared" si="19"/>
        <v>1</v>
      </c>
      <c r="T188">
        <f t="shared" si="20"/>
        <v>0</v>
      </c>
      <c r="U188">
        <f t="shared" si="21"/>
        <v>0</v>
      </c>
      <c r="V188">
        <f t="shared" si="22"/>
        <v>0</v>
      </c>
      <c r="W188">
        <f t="shared" si="23"/>
        <v>0</v>
      </c>
    </row>
    <row r="189" spans="1:23" x14ac:dyDescent="0.25">
      <c r="A189" s="1">
        <v>24</v>
      </c>
      <c r="B189" s="1">
        <v>2013</v>
      </c>
      <c r="C189">
        <v>-1.7176212697949069</v>
      </c>
      <c r="D189">
        <v>0.68006194101128981</v>
      </c>
      <c r="E189">
        <v>0.67294447324242579</v>
      </c>
      <c r="F189">
        <v>0.73706836761787342</v>
      </c>
      <c r="G189">
        <v>0.50603416302985993</v>
      </c>
      <c r="H189">
        <v>0.48168513401957352</v>
      </c>
      <c r="I189">
        <v>0.53397558366469022</v>
      </c>
      <c r="J189">
        <v>-5.079319673559997</v>
      </c>
      <c r="K189">
        <v>0.60360268067701006</v>
      </c>
      <c r="L189">
        <v>-1.475912521678826</v>
      </c>
      <c r="M189">
        <v>2.497149251437806</v>
      </c>
      <c r="N189">
        <v>2.4651347691420278</v>
      </c>
      <c r="O189">
        <v>-11.51292546497023</v>
      </c>
      <c r="P189">
        <f t="shared" si="16"/>
        <v>3.201448229577819E-2</v>
      </c>
      <c r="Q189">
        <f t="shared" si="17"/>
        <v>0</v>
      </c>
      <c r="R189">
        <f t="shared" si="18"/>
        <v>0</v>
      </c>
      <c r="S189">
        <f t="shared" si="19"/>
        <v>1</v>
      </c>
      <c r="T189">
        <f t="shared" si="20"/>
        <v>0</v>
      </c>
      <c r="U189">
        <f t="shared" si="21"/>
        <v>0</v>
      </c>
      <c r="V189">
        <f t="shared" si="22"/>
        <v>0</v>
      </c>
      <c r="W189">
        <f t="shared" si="23"/>
        <v>0</v>
      </c>
    </row>
    <row r="190" spans="1:23" x14ac:dyDescent="0.25">
      <c r="A190" s="1">
        <v>24</v>
      </c>
      <c r="B190" s="1">
        <v>2014</v>
      </c>
      <c r="C190">
        <v>-1.6534556585645781</v>
      </c>
      <c r="D190">
        <v>0.66870078765501906</v>
      </c>
      <c r="E190">
        <v>0.68006194101128981</v>
      </c>
      <c r="F190">
        <v>0.67294447324242579</v>
      </c>
      <c r="G190">
        <v>0.52330740126804653</v>
      </c>
      <c r="H190">
        <v>0.50603416302985993</v>
      </c>
      <c r="I190">
        <v>0.48168513401957352</v>
      </c>
      <c r="J190">
        <v>-4.4204584579360944</v>
      </c>
      <c r="K190">
        <v>0.60360268067701006</v>
      </c>
      <c r="L190">
        <v>-1.413824844881286</v>
      </c>
      <c r="M190">
        <v>2.458882208951175</v>
      </c>
      <c r="N190">
        <v>2.4869608380808188</v>
      </c>
      <c r="O190">
        <v>-11.51292546497023</v>
      </c>
      <c r="P190">
        <f t="shared" si="16"/>
        <v>-2.8078629129643762E-2</v>
      </c>
      <c r="Q190">
        <f t="shared" si="17"/>
        <v>0</v>
      </c>
      <c r="R190">
        <f t="shared" si="18"/>
        <v>0</v>
      </c>
      <c r="S190">
        <f t="shared" si="19"/>
        <v>1</v>
      </c>
      <c r="T190">
        <f t="shared" si="20"/>
        <v>0</v>
      </c>
      <c r="U190">
        <f t="shared" si="21"/>
        <v>0</v>
      </c>
      <c r="V190">
        <f t="shared" si="22"/>
        <v>0</v>
      </c>
      <c r="W190">
        <f t="shared" si="23"/>
        <v>0</v>
      </c>
    </row>
    <row r="191" spans="1:23" x14ac:dyDescent="0.25">
      <c r="A191" s="1">
        <v>24</v>
      </c>
      <c r="B191" s="1">
        <v>2015</v>
      </c>
      <c r="C191">
        <v>-1.674943828750509</v>
      </c>
      <c r="D191">
        <v>0.67365850397608285</v>
      </c>
      <c r="E191">
        <v>0.66870078765501906</v>
      </c>
      <c r="F191">
        <v>0.68006194101128981</v>
      </c>
      <c r="G191">
        <v>0.45203057725548518</v>
      </c>
      <c r="H191">
        <v>0.52330740126804653</v>
      </c>
      <c r="I191">
        <v>0.50603416302985993</v>
      </c>
      <c r="J191">
        <v>-4.0167244329673659</v>
      </c>
      <c r="K191">
        <v>0.60360268067701006</v>
      </c>
      <c r="L191">
        <v>-1.3656918586521201</v>
      </c>
      <c r="M191">
        <v>2.4341584669458749</v>
      </c>
      <c r="N191">
        <v>2.4490539155791202</v>
      </c>
      <c r="O191">
        <v>-11.51292546497023</v>
      </c>
      <c r="P191">
        <f t="shared" si="16"/>
        <v>-1.4895448633245323E-2</v>
      </c>
      <c r="Q191">
        <f t="shared" si="17"/>
        <v>0</v>
      </c>
      <c r="R191">
        <f t="shared" si="18"/>
        <v>0</v>
      </c>
      <c r="S191">
        <f t="shared" si="19"/>
        <v>1</v>
      </c>
      <c r="T191">
        <f t="shared" si="20"/>
        <v>0</v>
      </c>
      <c r="U191">
        <f t="shared" si="21"/>
        <v>0</v>
      </c>
      <c r="V191">
        <f t="shared" si="22"/>
        <v>0</v>
      </c>
      <c r="W191">
        <f t="shared" si="23"/>
        <v>1</v>
      </c>
    </row>
    <row r="192" spans="1:23" x14ac:dyDescent="0.25">
      <c r="A192" s="1">
        <v>24</v>
      </c>
      <c r="B192" s="1">
        <v>2016</v>
      </c>
      <c r="C192">
        <v>-1.6737951702802141</v>
      </c>
      <c r="D192">
        <v>0.74060312171624065</v>
      </c>
      <c r="E192">
        <v>0.67365850397608285</v>
      </c>
      <c r="F192">
        <v>0.66870078765501906</v>
      </c>
      <c r="G192">
        <v>0.55778554262926883</v>
      </c>
      <c r="H192">
        <v>0.45203057725548518</v>
      </c>
      <c r="I192">
        <v>0.52330740126804653</v>
      </c>
      <c r="J192">
        <v>-3.676012367980952</v>
      </c>
      <c r="K192">
        <v>0.60360268067701006</v>
      </c>
      <c r="L192">
        <v>-1.3317652697381079</v>
      </c>
      <c r="M192">
        <v>2.3882586401077348</v>
      </c>
      <c r="N192">
        <v>2.4246681024991741</v>
      </c>
      <c r="O192">
        <v>-11.51292546497023</v>
      </c>
      <c r="P192">
        <f t="shared" si="16"/>
        <v>-3.6409462391439273E-2</v>
      </c>
      <c r="Q192">
        <f t="shared" si="17"/>
        <v>0</v>
      </c>
      <c r="R192">
        <f t="shared" si="18"/>
        <v>0</v>
      </c>
      <c r="S192">
        <f t="shared" si="19"/>
        <v>1</v>
      </c>
      <c r="T192">
        <f t="shared" si="20"/>
        <v>0</v>
      </c>
      <c r="U192">
        <f t="shared" si="21"/>
        <v>0</v>
      </c>
      <c r="V192">
        <f t="shared" si="22"/>
        <v>0</v>
      </c>
      <c r="W192">
        <f t="shared" si="23"/>
        <v>1</v>
      </c>
    </row>
    <row r="193" spans="1:23" x14ac:dyDescent="0.25">
      <c r="A193" s="1">
        <v>24</v>
      </c>
      <c r="B193" s="1">
        <v>2017</v>
      </c>
      <c r="C193">
        <v>-1.6687327971979049</v>
      </c>
      <c r="D193">
        <v>0.71935084605658173</v>
      </c>
      <c r="E193">
        <v>0.74060312171624065</v>
      </c>
      <c r="F193">
        <v>0.67365850397608285</v>
      </c>
      <c r="G193">
        <v>0.53807107265618603</v>
      </c>
      <c r="H193">
        <v>0.55778554262926883</v>
      </c>
      <c r="I193">
        <v>0.45203057725548518</v>
      </c>
      <c r="J193">
        <v>-3.0208535490691468</v>
      </c>
      <c r="K193">
        <v>0.60360268067701006</v>
      </c>
      <c r="L193">
        <v>-1.298643706120147</v>
      </c>
      <c r="M193">
        <v>2.4177344275341879</v>
      </c>
      <c r="N193">
        <v>2.3790907169950879</v>
      </c>
      <c r="O193">
        <v>-11.51292546497023</v>
      </c>
      <c r="P193">
        <f t="shared" si="16"/>
        <v>3.8643710539099985E-2</v>
      </c>
      <c r="Q193">
        <f t="shared" si="17"/>
        <v>0</v>
      </c>
      <c r="R193">
        <f t="shared" si="18"/>
        <v>0</v>
      </c>
      <c r="S193">
        <f t="shared" si="19"/>
        <v>1</v>
      </c>
      <c r="T193">
        <f t="shared" si="20"/>
        <v>0</v>
      </c>
      <c r="U193">
        <f t="shared" si="21"/>
        <v>0</v>
      </c>
      <c r="V193">
        <f t="shared" si="22"/>
        <v>0</v>
      </c>
      <c r="W193">
        <f t="shared" si="23"/>
        <v>1</v>
      </c>
    </row>
    <row r="194" spans="1:23" x14ac:dyDescent="0.25">
      <c r="A194" s="1">
        <v>24</v>
      </c>
      <c r="B194" s="1">
        <v>2018</v>
      </c>
      <c r="C194">
        <v>-1.744181599365112</v>
      </c>
      <c r="D194">
        <v>0.81801616260581456</v>
      </c>
      <c r="E194">
        <v>0.71935084605658173</v>
      </c>
      <c r="F194">
        <v>0.74060312171624065</v>
      </c>
      <c r="G194">
        <v>0.57605140868369809</v>
      </c>
      <c r="H194">
        <v>0.53807107265618603</v>
      </c>
      <c r="I194">
        <v>0.55778554262926883</v>
      </c>
      <c r="J194">
        <v>-2.5672543911367551</v>
      </c>
      <c r="K194">
        <v>0.60360268067701006</v>
      </c>
      <c r="L194">
        <v>-1.2524127864998951</v>
      </c>
      <c r="M194">
        <v>2.422378828415336</v>
      </c>
      <c r="N194">
        <v>2.4257484835689902</v>
      </c>
      <c r="O194">
        <v>3.2580965380214821</v>
      </c>
      <c r="P194">
        <f t="shared" si="16"/>
        <v>-3.3696551536541719E-3</v>
      </c>
      <c r="Q194">
        <f t="shared" si="17"/>
        <v>14.771022002991712</v>
      </c>
      <c r="R194">
        <f t="shared" si="18"/>
        <v>0</v>
      </c>
      <c r="S194">
        <f t="shared" si="19"/>
        <v>1</v>
      </c>
      <c r="T194">
        <f t="shared" si="20"/>
        <v>0</v>
      </c>
      <c r="U194">
        <f t="shared" si="21"/>
        <v>0</v>
      </c>
      <c r="V194">
        <f t="shared" si="22"/>
        <v>0</v>
      </c>
      <c r="W194">
        <f t="shared" si="23"/>
        <v>1</v>
      </c>
    </row>
    <row r="195" spans="1:23" x14ac:dyDescent="0.25">
      <c r="A195" s="1">
        <v>24</v>
      </c>
      <c r="B195" s="1">
        <v>2019</v>
      </c>
      <c r="C195">
        <v>-1.7319081974415671</v>
      </c>
      <c r="D195">
        <v>0.79154350241613858</v>
      </c>
      <c r="E195">
        <v>0.81801616260581456</v>
      </c>
      <c r="F195">
        <v>0.71935084605658173</v>
      </c>
      <c r="G195">
        <v>0.57340597894739664</v>
      </c>
      <c r="H195">
        <v>0.57605140868369809</v>
      </c>
      <c r="I195">
        <v>0.53807107265618603</v>
      </c>
      <c r="J195">
        <v>-1.8238802548908231</v>
      </c>
      <c r="K195">
        <v>0.60360268067701006</v>
      </c>
      <c r="L195">
        <v>-1.223270775918895</v>
      </c>
      <c r="M195">
        <v>2.4362066432551361</v>
      </c>
      <c r="N195">
        <v>2.4144075448583329</v>
      </c>
      <c r="O195">
        <v>5.393627546352362</v>
      </c>
      <c r="P195">
        <f t="shared" ref="P195:P258" si="24">M195-N195</f>
        <v>2.1799098396803274E-2</v>
      </c>
      <c r="Q195">
        <f t="shared" ref="Q195:Q258" si="25">IF(B195=2006,0,O195-O194)</f>
        <v>2.1355310083308798</v>
      </c>
      <c r="R195">
        <f t="shared" ref="R195:R258" si="26">IF(ROUNDDOWN($A195/10, 0)=1, 1, 0)</f>
        <v>0</v>
      </c>
      <c r="S195">
        <f t="shared" ref="S195:S258" si="27">IF(ROUNDDOWN($A195/10, 0)=2, 1, 0)</f>
        <v>1</v>
      </c>
      <c r="T195">
        <f t="shared" ref="T195:T258" si="28">IF(ROUNDDOWN($A195/10, 0)=3, 1, 0)</f>
        <v>0</v>
      </c>
      <c r="U195">
        <f t="shared" ref="U195:U258" si="29">IF(ROUNDDOWN($A195/10, 0)=5, 1, 0)</f>
        <v>0</v>
      </c>
      <c r="V195">
        <f t="shared" ref="V195:V258" si="30">IF($B195=2020, 1, 0)</f>
        <v>0</v>
      </c>
      <c r="W195">
        <f t="shared" ref="W195:W258" si="31">IF(AND($B195&gt;=2015,$B195&lt;=2021), 1, 0)</f>
        <v>1</v>
      </c>
    </row>
    <row r="196" spans="1:23" x14ac:dyDescent="0.25">
      <c r="A196" s="1">
        <v>24</v>
      </c>
      <c r="B196" s="1">
        <v>2020</v>
      </c>
      <c r="C196">
        <v>-1.81103430428288</v>
      </c>
      <c r="D196">
        <v>0.74507527342030444</v>
      </c>
      <c r="E196">
        <v>0.79154350241613858</v>
      </c>
      <c r="F196">
        <v>0.81801616260581456</v>
      </c>
      <c r="G196">
        <v>0.52915658045071412</v>
      </c>
      <c r="H196">
        <v>0.57340597894739664</v>
      </c>
      <c r="I196">
        <v>0.57605140868369809</v>
      </c>
      <c r="J196">
        <v>-1.2525267312583299</v>
      </c>
      <c r="K196">
        <v>0.60360268067701006</v>
      </c>
      <c r="L196">
        <v>-1.2030013353163891</v>
      </c>
      <c r="M196">
        <v>2.3690953343502521</v>
      </c>
      <c r="N196">
        <v>2.4284486352555081</v>
      </c>
      <c r="O196">
        <v>5.9914645471079817</v>
      </c>
      <c r="P196">
        <f t="shared" si="24"/>
        <v>-5.9353300905256035E-2</v>
      </c>
      <c r="Q196">
        <f t="shared" si="25"/>
        <v>0.59783700075561974</v>
      </c>
      <c r="R196">
        <f t="shared" si="26"/>
        <v>0</v>
      </c>
      <c r="S196">
        <f t="shared" si="27"/>
        <v>1</v>
      </c>
      <c r="T196">
        <f t="shared" si="28"/>
        <v>0</v>
      </c>
      <c r="U196">
        <f t="shared" si="29"/>
        <v>0</v>
      </c>
      <c r="V196">
        <f t="shared" si="30"/>
        <v>1</v>
      </c>
      <c r="W196">
        <f t="shared" si="31"/>
        <v>1</v>
      </c>
    </row>
    <row r="197" spans="1:23" x14ac:dyDescent="0.25">
      <c r="A197" s="1">
        <v>24</v>
      </c>
      <c r="B197" s="1">
        <v>2021</v>
      </c>
      <c r="C197">
        <v>-1.788809764201982</v>
      </c>
      <c r="D197">
        <v>0.95624194737638279</v>
      </c>
      <c r="E197">
        <v>0.74507527342030444</v>
      </c>
      <c r="F197">
        <v>0.79154350241613858</v>
      </c>
      <c r="G197">
        <v>0.78472312404715483</v>
      </c>
      <c r="H197">
        <v>0.52915658045071412</v>
      </c>
      <c r="I197">
        <v>0.57340597894739664</v>
      </c>
      <c r="J197">
        <v>-0.71096996834871751</v>
      </c>
      <c r="K197">
        <v>0.60360268067701006</v>
      </c>
      <c r="L197">
        <v>-1.179439725978024</v>
      </c>
      <c r="M197">
        <v>2.3524061814011019</v>
      </c>
      <c r="N197">
        <v>2.3615582320765669</v>
      </c>
      <c r="O197">
        <v>6.6846117276679271</v>
      </c>
      <c r="P197">
        <f t="shared" si="24"/>
        <v>-9.1520506754649844E-3</v>
      </c>
      <c r="Q197">
        <f t="shared" si="25"/>
        <v>0.6931471805599454</v>
      </c>
      <c r="R197">
        <f t="shared" si="26"/>
        <v>0</v>
      </c>
      <c r="S197">
        <f t="shared" si="27"/>
        <v>1</v>
      </c>
      <c r="T197">
        <f t="shared" si="28"/>
        <v>0</v>
      </c>
      <c r="U197">
        <f t="shared" si="29"/>
        <v>0</v>
      </c>
      <c r="V197">
        <f t="shared" si="30"/>
        <v>0</v>
      </c>
      <c r="W197">
        <f t="shared" si="31"/>
        <v>1</v>
      </c>
    </row>
    <row r="198" spans="1:23" x14ac:dyDescent="0.25">
      <c r="A198" s="1">
        <v>24</v>
      </c>
      <c r="B198" s="1">
        <v>2022</v>
      </c>
      <c r="C198">
        <v>-1.752015770360724</v>
      </c>
      <c r="D198">
        <v>0.95896700615459141</v>
      </c>
      <c r="E198">
        <v>0.95624194737638279</v>
      </c>
      <c r="F198">
        <v>0.74507527342030444</v>
      </c>
      <c r="G198">
        <v>0.75912216948347822</v>
      </c>
      <c r="H198">
        <v>0.78472312404715483</v>
      </c>
      <c r="I198">
        <v>0.52915658045071412</v>
      </c>
      <c r="J198">
        <v>-0.1727360987302094</v>
      </c>
      <c r="K198">
        <v>0.60360268067701006</v>
      </c>
      <c r="L198">
        <v>-1.1500920847820439</v>
      </c>
      <c r="M198">
        <v>2.4272900357337601</v>
      </c>
      <c r="N198">
        <v>2.3524061814011019</v>
      </c>
      <c r="O198">
        <v>8.0551577318196781</v>
      </c>
      <c r="P198">
        <f t="shared" si="24"/>
        <v>7.4883854332658206E-2</v>
      </c>
      <c r="Q198">
        <f t="shared" si="25"/>
        <v>1.370546004151751</v>
      </c>
      <c r="R198">
        <f t="shared" si="26"/>
        <v>0</v>
      </c>
      <c r="S198">
        <f t="shared" si="27"/>
        <v>1</v>
      </c>
      <c r="T198">
        <f t="shared" si="28"/>
        <v>0</v>
      </c>
      <c r="U198">
        <f t="shared" si="29"/>
        <v>0</v>
      </c>
      <c r="V198">
        <f t="shared" si="30"/>
        <v>0</v>
      </c>
      <c r="W198">
        <f t="shared" si="31"/>
        <v>0</v>
      </c>
    </row>
    <row r="199" spans="1:23" x14ac:dyDescent="0.25">
      <c r="A199" s="1">
        <v>24</v>
      </c>
      <c r="B199" s="1">
        <v>2023</v>
      </c>
      <c r="C199">
        <v>-1.667685180494805</v>
      </c>
      <c r="D199">
        <v>0.79389708366008849</v>
      </c>
      <c r="E199">
        <v>0.95896700615459141</v>
      </c>
      <c r="F199">
        <v>0.95624194737638279</v>
      </c>
      <c r="G199">
        <v>0.56326625970542532</v>
      </c>
      <c r="H199">
        <v>0.75912216948347822</v>
      </c>
      <c r="I199">
        <v>0.78472312404715483</v>
      </c>
      <c r="J199">
        <v>0.36587091806376609</v>
      </c>
      <c r="K199">
        <v>0.60360268067701006</v>
      </c>
      <c r="L199">
        <v>-1.1176948748155009</v>
      </c>
      <c r="M199">
        <v>2.4580347094703971</v>
      </c>
      <c r="N199">
        <v>2.4272900357337601</v>
      </c>
      <c r="O199">
        <v>8.4658998970286863</v>
      </c>
      <c r="P199">
        <f t="shared" si="24"/>
        <v>3.0744673736637029E-2</v>
      </c>
      <c r="Q199">
        <f t="shared" si="25"/>
        <v>0.41074216520900819</v>
      </c>
      <c r="R199">
        <f t="shared" si="26"/>
        <v>0</v>
      </c>
      <c r="S199">
        <f t="shared" si="27"/>
        <v>1</v>
      </c>
      <c r="T199">
        <f t="shared" si="28"/>
        <v>0</v>
      </c>
      <c r="U199">
        <f t="shared" si="29"/>
        <v>0</v>
      </c>
      <c r="V199">
        <f t="shared" si="30"/>
        <v>0</v>
      </c>
      <c r="W199">
        <f t="shared" si="31"/>
        <v>0</v>
      </c>
    </row>
    <row r="200" spans="1:23" x14ac:dyDescent="0.25">
      <c r="A200" s="1">
        <v>25</v>
      </c>
      <c r="B200" s="1">
        <v>2006</v>
      </c>
      <c r="C200">
        <v>-2.5567321498197288</v>
      </c>
      <c r="D200">
        <v>0.95165787571144633</v>
      </c>
      <c r="E200">
        <v>0.88107797611841054</v>
      </c>
      <c r="F200">
        <v>0.80897274606553571</v>
      </c>
      <c r="G200">
        <v>0.636576829071551</v>
      </c>
      <c r="H200">
        <v>0.52561570923862611</v>
      </c>
      <c r="I200">
        <v>0.42271546151469203</v>
      </c>
      <c r="J200">
        <v>-16.11809565095832</v>
      </c>
      <c r="K200">
        <v>0.66290777834686254</v>
      </c>
      <c r="L200">
        <v>-2.3834282850965671</v>
      </c>
      <c r="M200">
        <v>2.0474207723978028</v>
      </c>
      <c r="N200">
        <v>1.941654197132562</v>
      </c>
      <c r="O200">
        <v>-11.51292546497023</v>
      </c>
      <c r="P200">
        <f t="shared" si="24"/>
        <v>0.1057665752652408</v>
      </c>
      <c r="Q200">
        <f t="shared" si="25"/>
        <v>0</v>
      </c>
      <c r="R200">
        <f t="shared" si="26"/>
        <v>0</v>
      </c>
      <c r="S200">
        <f t="shared" si="27"/>
        <v>1</v>
      </c>
      <c r="T200">
        <f t="shared" si="28"/>
        <v>0</v>
      </c>
      <c r="U200">
        <f t="shared" si="29"/>
        <v>0</v>
      </c>
      <c r="V200">
        <f t="shared" si="30"/>
        <v>0</v>
      </c>
      <c r="W200">
        <f t="shared" si="31"/>
        <v>0</v>
      </c>
    </row>
    <row r="201" spans="1:23" x14ac:dyDescent="0.25">
      <c r="A201" s="1">
        <v>25</v>
      </c>
      <c r="B201" s="1">
        <v>2007</v>
      </c>
      <c r="C201">
        <v>-2.5042752606476011</v>
      </c>
      <c r="D201">
        <v>0.88459364513090055</v>
      </c>
      <c r="E201">
        <v>0.95165787571144633</v>
      </c>
      <c r="F201">
        <v>0.88107797611841054</v>
      </c>
      <c r="G201">
        <v>0.50446544061330811</v>
      </c>
      <c r="H201">
        <v>0.636576829071551</v>
      </c>
      <c r="I201">
        <v>0.52561570923862611</v>
      </c>
      <c r="J201">
        <v>-16.11809565095832</v>
      </c>
      <c r="K201">
        <v>0.66290777834686254</v>
      </c>
      <c r="L201">
        <v>-2.270006468399421</v>
      </c>
      <c r="M201">
        <v>2.06346333805116</v>
      </c>
      <c r="N201">
        <v>2.0310793250721</v>
      </c>
      <c r="O201">
        <v>-11.51292546497023</v>
      </c>
      <c r="P201">
        <f t="shared" si="24"/>
        <v>3.2384012979060017E-2</v>
      </c>
      <c r="Q201">
        <f t="shared" si="25"/>
        <v>0</v>
      </c>
      <c r="R201">
        <f t="shared" si="26"/>
        <v>0</v>
      </c>
      <c r="S201">
        <f t="shared" si="27"/>
        <v>1</v>
      </c>
      <c r="T201">
        <f t="shared" si="28"/>
        <v>0</v>
      </c>
      <c r="U201">
        <f t="shared" si="29"/>
        <v>0</v>
      </c>
      <c r="V201">
        <f t="shared" si="30"/>
        <v>0</v>
      </c>
      <c r="W201">
        <f t="shared" si="31"/>
        <v>0</v>
      </c>
    </row>
    <row r="202" spans="1:23" x14ac:dyDescent="0.25">
      <c r="A202" s="1">
        <v>25</v>
      </c>
      <c r="B202" s="1">
        <v>2008</v>
      </c>
      <c r="C202">
        <v>-2.394683198451248</v>
      </c>
      <c r="D202">
        <v>0.79511695414366257</v>
      </c>
      <c r="E202">
        <v>0.88459364513090055</v>
      </c>
      <c r="F202">
        <v>0.95165787571144633</v>
      </c>
      <c r="G202">
        <v>0.46436274935564981</v>
      </c>
      <c r="H202">
        <v>0.50446544061330811</v>
      </c>
      <c r="I202">
        <v>0.636576829071551</v>
      </c>
      <c r="J202">
        <v>-16.11809565095832</v>
      </c>
      <c r="K202">
        <v>0.66290777834686254</v>
      </c>
      <c r="L202">
        <v>-2.1509158248815639</v>
      </c>
      <c r="M202">
        <v>2.123414253380127</v>
      </c>
      <c r="N202">
        <v>2.047384912778214</v>
      </c>
      <c r="O202">
        <v>-11.51292546497023</v>
      </c>
      <c r="P202">
        <f t="shared" si="24"/>
        <v>7.602934060191302E-2</v>
      </c>
      <c r="Q202">
        <f t="shared" si="25"/>
        <v>0</v>
      </c>
      <c r="R202">
        <f t="shared" si="26"/>
        <v>0</v>
      </c>
      <c r="S202">
        <f t="shared" si="27"/>
        <v>1</v>
      </c>
      <c r="T202">
        <f t="shared" si="28"/>
        <v>0</v>
      </c>
      <c r="U202">
        <f t="shared" si="29"/>
        <v>0</v>
      </c>
      <c r="V202">
        <f t="shared" si="30"/>
        <v>0</v>
      </c>
      <c r="W202">
        <f t="shared" si="31"/>
        <v>0</v>
      </c>
    </row>
    <row r="203" spans="1:23" x14ac:dyDescent="0.25">
      <c r="A203" s="1">
        <v>25</v>
      </c>
      <c r="B203" s="1">
        <v>2009</v>
      </c>
      <c r="C203">
        <v>-2.3512659415167949</v>
      </c>
      <c r="D203">
        <v>0.74060312171624065</v>
      </c>
      <c r="E203">
        <v>0.79511695414366257</v>
      </c>
      <c r="F203">
        <v>0.88459364513090055</v>
      </c>
      <c r="G203">
        <v>0.38158216764483233</v>
      </c>
      <c r="H203">
        <v>0.46436274935564981</v>
      </c>
      <c r="I203">
        <v>0.50446544061330811</v>
      </c>
      <c r="J203">
        <v>-16.11809565095832</v>
      </c>
      <c r="K203">
        <v>0.66290777834686254</v>
      </c>
      <c r="L203">
        <v>-2.0323858331525919</v>
      </c>
      <c r="M203">
        <v>2.1626525165686892</v>
      </c>
      <c r="N203">
        <v>2.1161269785712711</v>
      </c>
      <c r="O203">
        <v>-11.51292546497023</v>
      </c>
      <c r="P203">
        <f t="shared" si="24"/>
        <v>4.6525537997418098E-2</v>
      </c>
      <c r="Q203">
        <f t="shared" si="25"/>
        <v>0</v>
      </c>
      <c r="R203">
        <f t="shared" si="26"/>
        <v>0</v>
      </c>
      <c r="S203">
        <f t="shared" si="27"/>
        <v>1</v>
      </c>
      <c r="T203">
        <f t="shared" si="28"/>
        <v>0</v>
      </c>
      <c r="U203">
        <f t="shared" si="29"/>
        <v>0</v>
      </c>
      <c r="V203">
        <f t="shared" si="30"/>
        <v>0</v>
      </c>
      <c r="W203">
        <f t="shared" si="31"/>
        <v>0</v>
      </c>
    </row>
    <row r="204" spans="1:23" x14ac:dyDescent="0.25">
      <c r="A204" s="1">
        <v>25</v>
      </c>
      <c r="B204" s="1">
        <v>2010</v>
      </c>
      <c r="C204">
        <v>-2.1399677883229629</v>
      </c>
      <c r="D204">
        <v>0.6954944236282935</v>
      </c>
      <c r="E204">
        <v>0.74060312171624065</v>
      </c>
      <c r="F204">
        <v>0.79511695414366257</v>
      </c>
      <c r="G204">
        <v>0.41462304589292998</v>
      </c>
      <c r="H204">
        <v>0.38158216764483233</v>
      </c>
      <c r="I204">
        <v>0.46436274935564981</v>
      </c>
      <c r="J204">
        <v>-8.2376501734829866</v>
      </c>
      <c r="K204">
        <v>0.66290777834686254</v>
      </c>
      <c r="L204">
        <v>-1.900139721059356</v>
      </c>
      <c r="M204">
        <v>2.1823217220252009</v>
      </c>
      <c r="N204">
        <v>2.1598265227134981</v>
      </c>
      <c r="O204">
        <v>-11.51292546497023</v>
      </c>
      <c r="P204">
        <f t="shared" si="24"/>
        <v>2.2495199311702851E-2</v>
      </c>
      <c r="Q204">
        <f t="shared" si="25"/>
        <v>0</v>
      </c>
      <c r="R204">
        <f t="shared" si="26"/>
        <v>0</v>
      </c>
      <c r="S204">
        <f t="shared" si="27"/>
        <v>1</v>
      </c>
      <c r="T204">
        <f t="shared" si="28"/>
        <v>0</v>
      </c>
      <c r="U204">
        <f t="shared" si="29"/>
        <v>0</v>
      </c>
      <c r="V204">
        <f t="shared" si="30"/>
        <v>0</v>
      </c>
      <c r="W204">
        <f t="shared" si="31"/>
        <v>0</v>
      </c>
    </row>
    <row r="205" spans="1:23" x14ac:dyDescent="0.25">
      <c r="A205" s="1">
        <v>25</v>
      </c>
      <c r="B205" s="1">
        <v>2011</v>
      </c>
      <c r="C205">
        <v>-2.0027505400651182</v>
      </c>
      <c r="D205">
        <v>0.67645869927370994</v>
      </c>
      <c r="E205">
        <v>0.6954944236282935</v>
      </c>
      <c r="F205">
        <v>0.74060312171624065</v>
      </c>
      <c r="G205">
        <v>0.47840573250987939</v>
      </c>
      <c r="H205">
        <v>0.41462304589292998</v>
      </c>
      <c r="I205">
        <v>0.38158216764483233</v>
      </c>
      <c r="J205">
        <v>-6.8541738424771443</v>
      </c>
      <c r="K205">
        <v>0.66290777834686254</v>
      </c>
      <c r="L205">
        <v>-1.7739440801117641</v>
      </c>
      <c r="M205">
        <v>2.2012436684120029</v>
      </c>
      <c r="N205">
        <v>2.1795036919110808</v>
      </c>
      <c r="O205">
        <v>-11.51292546497023</v>
      </c>
      <c r="P205">
        <f t="shared" si="24"/>
        <v>2.1739976500922076E-2</v>
      </c>
      <c r="Q205">
        <f t="shared" si="25"/>
        <v>0</v>
      </c>
      <c r="R205">
        <f t="shared" si="26"/>
        <v>0</v>
      </c>
      <c r="S205">
        <f t="shared" si="27"/>
        <v>1</v>
      </c>
      <c r="T205">
        <f t="shared" si="28"/>
        <v>0</v>
      </c>
      <c r="U205">
        <f t="shared" si="29"/>
        <v>0</v>
      </c>
      <c r="V205">
        <f t="shared" si="30"/>
        <v>0</v>
      </c>
      <c r="W205">
        <f t="shared" si="31"/>
        <v>0</v>
      </c>
    </row>
    <row r="206" spans="1:23" x14ac:dyDescent="0.25">
      <c r="A206" s="1">
        <v>25</v>
      </c>
      <c r="B206" s="1">
        <v>2012</v>
      </c>
      <c r="C206">
        <v>-1.869420099610005</v>
      </c>
      <c r="D206">
        <v>0.63520022060509562</v>
      </c>
      <c r="E206">
        <v>0.67645869927370994</v>
      </c>
      <c r="F206">
        <v>0.6954944236282935</v>
      </c>
      <c r="G206">
        <v>0.45444573032978619</v>
      </c>
      <c r="H206">
        <v>0.47840573250987939</v>
      </c>
      <c r="I206">
        <v>0.41462304589292998</v>
      </c>
      <c r="J206">
        <v>-6.3008306167255776</v>
      </c>
      <c r="K206">
        <v>0.66290777834686254</v>
      </c>
      <c r="L206">
        <v>-1.679318968441075</v>
      </c>
      <c r="M206">
        <v>2.2539034837379779</v>
      </c>
      <c r="N206">
        <v>2.1949711062281301</v>
      </c>
      <c r="O206">
        <v>-11.51292546497023</v>
      </c>
      <c r="P206">
        <f t="shared" si="24"/>
        <v>5.8932377509847811E-2</v>
      </c>
      <c r="Q206">
        <f t="shared" si="25"/>
        <v>0</v>
      </c>
      <c r="R206">
        <f t="shared" si="26"/>
        <v>0</v>
      </c>
      <c r="S206">
        <f t="shared" si="27"/>
        <v>1</v>
      </c>
      <c r="T206">
        <f t="shared" si="28"/>
        <v>0</v>
      </c>
      <c r="U206">
        <f t="shared" si="29"/>
        <v>0</v>
      </c>
      <c r="V206">
        <f t="shared" si="30"/>
        <v>0</v>
      </c>
      <c r="W206">
        <f t="shared" si="31"/>
        <v>0</v>
      </c>
    </row>
    <row r="207" spans="1:23" x14ac:dyDescent="0.25">
      <c r="A207" s="1">
        <v>25</v>
      </c>
      <c r="B207" s="1">
        <v>2013</v>
      </c>
      <c r="C207">
        <v>-1.8343803932772089</v>
      </c>
      <c r="D207">
        <v>0.64474444133177788</v>
      </c>
      <c r="E207">
        <v>0.63520022060509562</v>
      </c>
      <c r="F207">
        <v>0.67645869927370994</v>
      </c>
      <c r="G207">
        <v>0.43760956143473151</v>
      </c>
      <c r="H207">
        <v>0.45444573032978619</v>
      </c>
      <c r="I207">
        <v>0.47840573250987939</v>
      </c>
      <c r="J207">
        <v>-5.4998339825276146</v>
      </c>
      <c r="K207">
        <v>0.66290777834686254</v>
      </c>
      <c r="L207">
        <v>-1.620454268991969</v>
      </c>
      <c r="M207">
        <v>2.2434386199640328</v>
      </c>
      <c r="N207">
        <v>2.2282215447514639</v>
      </c>
      <c r="O207">
        <v>-11.51292546497023</v>
      </c>
      <c r="P207">
        <f t="shared" si="24"/>
        <v>1.5217075212568876E-2</v>
      </c>
      <c r="Q207">
        <f t="shared" si="25"/>
        <v>0</v>
      </c>
      <c r="R207">
        <f t="shared" si="26"/>
        <v>0</v>
      </c>
      <c r="S207">
        <f t="shared" si="27"/>
        <v>1</v>
      </c>
      <c r="T207">
        <f t="shared" si="28"/>
        <v>0</v>
      </c>
      <c r="U207">
        <f t="shared" si="29"/>
        <v>0</v>
      </c>
      <c r="V207">
        <f t="shared" si="30"/>
        <v>0</v>
      </c>
      <c r="W207">
        <f t="shared" si="31"/>
        <v>0</v>
      </c>
    </row>
    <row r="208" spans="1:23" x14ac:dyDescent="0.25">
      <c r="A208" s="1">
        <v>25</v>
      </c>
      <c r="B208" s="1">
        <v>2014</v>
      </c>
      <c r="C208">
        <v>-1.7486504936429701</v>
      </c>
      <c r="D208">
        <v>0.61096050957199821</v>
      </c>
      <c r="E208">
        <v>0.64474444133177788</v>
      </c>
      <c r="F208">
        <v>0.63520022060509562</v>
      </c>
      <c r="G208">
        <v>0.38872578410386638</v>
      </c>
      <c r="H208">
        <v>0.43760956143473151</v>
      </c>
      <c r="I208">
        <v>0.45444573032978619</v>
      </c>
      <c r="J208">
        <v>-4.7535610324662514</v>
      </c>
      <c r="K208">
        <v>0.66290777834686254</v>
      </c>
      <c r="L208">
        <v>-1.553078029137535</v>
      </c>
      <c r="M208">
        <v>2.292681756046643</v>
      </c>
      <c r="N208">
        <v>2.235939767649016</v>
      </c>
      <c r="O208">
        <v>-11.51292546497023</v>
      </c>
      <c r="P208">
        <f t="shared" si="24"/>
        <v>5.6741988397627008E-2</v>
      </c>
      <c r="Q208">
        <f t="shared" si="25"/>
        <v>0</v>
      </c>
      <c r="R208">
        <f t="shared" si="26"/>
        <v>0</v>
      </c>
      <c r="S208">
        <f t="shared" si="27"/>
        <v>1</v>
      </c>
      <c r="T208">
        <f t="shared" si="28"/>
        <v>0</v>
      </c>
      <c r="U208">
        <f t="shared" si="29"/>
        <v>0</v>
      </c>
      <c r="V208">
        <f t="shared" si="30"/>
        <v>0</v>
      </c>
      <c r="W208">
        <f t="shared" si="31"/>
        <v>0</v>
      </c>
    </row>
    <row r="209" spans="1:23" x14ac:dyDescent="0.25">
      <c r="A209" s="1">
        <v>25</v>
      </c>
      <c r="B209" s="1">
        <v>2015</v>
      </c>
      <c r="C209">
        <v>-1.7912111832058371</v>
      </c>
      <c r="D209">
        <v>0.61880071843128848</v>
      </c>
      <c r="E209">
        <v>0.61096050957199821</v>
      </c>
      <c r="F209">
        <v>0.64474444133177788</v>
      </c>
      <c r="G209">
        <v>0.3342554957513682</v>
      </c>
      <c r="H209">
        <v>0.38872578410386638</v>
      </c>
      <c r="I209">
        <v>0.43760956143473151</v>
      </c>
      <c r="J209">
        <v>-4.316783966311764</v>
      </c>
      <c r="K209">
        <v>0.66290777834686254</v>
      </c>
      <c r="L209">
        <v>-1.4964916988102199</v>
      </c>
      <c r="M209">
        <v>2.2713808548730379</v>
      </c>
      <c r="N209">
        <v>2.2855274332651661</v>
      </c>
      <c r="O209">
        <v>-11.51292546497023</v>
      </c>
      <c r="P209">
        <f t="shared" si="24"/>
        <v>-1.4146578392128184E-2</v>
      </c>
      <c r="Q209">
        <f t="shared" si="25"/>
        <v>0</v>
      </c>
      <c r="R209">
        <f t="shared" si="26"/>
        <v>0</v>
      </c>
      <c r="S209">
        <f t="shared" si="27"/>
        <v>1</v>
      </c>
      <c r="T209">
        <f t="shared" si="28"/>
        <v>0</v>
      </c>
      <c r="U209">
        <f t="shared" si="29"/>
        <v>0</v>
      </c>
      <c r="V209">
        <f t="shared" si="30"/>
        <v>0</v>
      </c>
      <c r="W209">
        <f t="shared" si="31"/>
        <v>1</v>
      </c>
    </row>
    <row r="210" spans="1:23" x14ac:dyDescent="0.25">
      <c r="A210" s="1">
        <v>25</v>
      </c>
      <c r="B210" s="1">
        <v>2016</v>
      </c>
      <c r="C210">
        <v>-1.7505820678848021</v>
      </c>
      <c r="D210">
        <v>0.69524497864209145</v>
      </c>
      <c r="E210">
        <v>0.61880071843128848</v>
      </c>
      <c r="F210">
        <v>0.61096050957199821</v>
      </c>
      <c r="G210">
        <v>0.50301520167401359</v>
      </c>
      <c r="H210">
        <v>0.3342554957513682</v>
      </c>
      <c r="I210">
        <v>0.38872578410386638</v>
      </c>
      <c r="J210">
        <v>-3.9631700391201239</v>
      </c>
      <c r="K210">
        <v>0.66290777834686254</v>
      </c>
      <c r="L210">
        <v>-1.4557608068263881</v>
      </c>
      <c r="M210">
        <v>2.238063056147455</v>
      </c>
      <c r="N210">
        <v>2.2645533553304689</v>
      </c>
      <c r="O210">
        <v>-11.51292546497023</v>
      </c>
      <c r="P210">
        <f t="shared" si="24"/>
        <v>-2.6490299183013821E-2</v>
      </c>
      <c r="Q210">
        <f t="shared" si="25"/>
        <v>0</v>
      </c>
      <c r="R210">
        <f t="shared" si="26"/>
        <v>0</v>
      </c>
      <c r="S210">
        <f t="shared" si="27"/>
        <v>1</v>
      </c>
      <c r="T210">
        <f t="shared" si="28"/>
        <v>0</v>
      </c>
      <c r="U210">
        <f t="shared" si="29"/>
        <v>0</v>
      </c>
      <c r="V210">
        <f t="shared" si="30"/>
        <v>0</v>
      </c>
      <c r="W210">
        <f t="shared" si="31"/>
        <v>1</v>
      </c>
    </row>
    <row r="211" spans="1:23" x14ac:dyDescent="0.25">
      <c r="A211" s="1">
        <v>25</v>
      </c>
      <c r="B211" s="1">
        <v>2017</v>
      </c>
      <c r="C211">
        <v>-1.730906748678263</v>
      </c>
      <c r="D211">
        <v>0.6634093622959889</v>
      </c>
      <c r="E211">
        <v>0.69524497864209145</v>
      </c>
      <c r="F211">
        <v>0.61880071843128848</v>
      </c>
      <c r="G211">
        <v>0.46731251143424452</v>
      </c>
      <c r="H211">
        <v>0.50301520167401359</v>
      </c>
      <c r="I211">
        <v>0.3342554957513682</v>
      </c>
      <c r="J211">
        <v>-3.3236850713637218</v>
      </c>
      <c r="K211">
        <v>0.66290777834686254</v>
      </c>
      <c r="L211">
        <v>-1.419417244995647</v>
      </c>
      <c r="M211">
        <v>2.2496934649603402</v>
      </c>
      <c r="N211">
        <v>2.231547621769614</v>
      </c>
      <c r="O211">
        <v>-11.51292546497023</v>
      </c>
      <c r="P211">
        <f t="shared" si="24"/>
        <v>1.8145843190726207E-2</v>
      </c>
      <c r="Q211">
        <f t="shared" si="25"/>
        <v>0</v>
      </c>
      <c r="R211">
        <f t="shared" si="26"/>
        <v>0</v>
      </c>
      <c r="S211">
        <f t="shared" si="27"/>
        <v>1</v>
      </c>
      <c r="T211">
        <f t="shared" si="28"/>
        <v>0</v>
      </c>
      <c r="U211">
        <f t="shared" si="29"/>
        <v>0</v>
      </c>
      <c r="V211">
        <f t="shared" si="30"/>
        <v>0</v>
      </c>
      <c r="W211">
        <f t="shared" si="31"/>
        <v>1</v>
      </c>
    </row>
    <row r="212" spans="1:23" x14ac:dyDescent="0.25">
      <c r="A212" s="1">
        <v>25</v>
      </c>
      <c r="B212" s="1">
        <v>2018</v>
      </c>
      <c r="C212">
        <v>-1.8351671753535841</v>
      </c>
      <c r="D212">
        <v>0.77408179805594457</v>
      </c>
      <c r="E212">
        <v>0.6634093622959889</v>
      </c>
      <c r="F212">
        <v>0.69524497864209145</v>
      </c>
      <c r="G212">
        <v>0.4856308851314346</v>
      </c>
      <c r="H212">
        <v>0.46731251143424452</v>
      </c>
      <c r="I212">
        <v>0.50301520167401359</v>
      </c>
      <c r="J212">
        <v>-2.8860014847296882</v>
      </c>
      <c r="K212">
        <v>0.66290777834686254</v>
      </c>
      <c r="L212">
        <v>-1.368520546302926</v>
      </c>
      <c r="M212">
        <v>2.2441739376064671</v>
      </c>
      <c r="N212">
        <v>2.2569390225548291</v>
      </c>
      <c r="O212">
        <v>3.2580965380214821</v>
      </c>
      <c r="P212">
        <f t="shared" si="24"/>
        <v>-1.2765084948362038E-2</v>
      </c>
      <c r="Q212">
        <f t="shared" si="25"/>
        <v>14.771022002991712</v>
      </c>
      <c r="R212">
        <f t="shared" si="26"/>
        <v>0</v>
      </c>
      <c r="S212">
        <f t="shared" si="27"/>
        <v>1</v>
      </c>
      <c r="T212">
        <f t="shared" si="28"/>
        <v>0</v>
      </c>
      <c r="U212">
        <f t="shared" si="29"/>
        <v>0</v>
      </c>
      <c r="V212">
        <f t="shared" si="30"/>
        <v>0</v>
      </c>
      <c r="W212">
        <f t="shared" si="31"/>
        <v>1</v>
      </c>
    </row>
    <row r="213" spans="1:23" x14ac:dyDescent="0.25">
      <c r="A213" s="1">
        <v>25</v>
      </c>
      <c r="B213" s="1">
        <v>2019</v>
      </c>
      <c r="C213">
        <v>-1.816851935449769</v>
      </c>
      <c r="D213">
        <v>0.7412704557416735</v>
      </c>
      <c r="E213">
        <v>0.77408179805594457</v>
      </c>
      <c r="F213">
        <v>0.6634093622959889</v>
      </c>
      <c r="G213">
        <v>0.4775376768998158</v>
      </c>
      <c r="H213">
        <v>0.4856308851314346</v>
      </c>
      <c r="I213">
        <v>0.46731251143424452</v>
      </c>
      <c r="J213">
        <v>-2.1437130586240052</v>
      </c>
      <c r="K213">
        <v>0.66290777834686254</v>
      </c>
      <c r="L213">
        <v>-1.329750878232308</v>
      </c>
      <c r="M213">
        <v>2.2520006708502098</v>
      </c>
      <c r="N213">
        <v>2.2387760411558508</v>
      </c>
      <c r="O213">
        <v>5.393627546352362</v>
      </c>
      <c r="P213">
        <f t="shared" si="24"/>
        <v>1.3224629694359002E-2</v>
      </c>
      <c r="Q213">
        <f t="shared" si="25"/>
        <v>2.1355310083308798</v>
      </c>
      <c r="R213">
        <f t="shared" si="26"/>
        <v>0</v>
      </c>
      <c r="S213">
        <f t="shared" si="27"/>
        <v>1</v>
      </c>
      <c r="T213">
        <f t="shared" si="28"/>
        <v>0</v>
      </c>
      <c r="U213">
        <f t="shared" si="29"/>
        <v>0</v>
      </c>
      <c r="V213">
        <f t="shared" si="30"/>
        <v>0</v>
      </c>
      <c r="W213">
        <f t="shared" si="31"/>
        <v>1</v>
      </c>
    </row>
    <row r="214" spans="1:23" x14ac:dyDescent="0.25">
      <c r="A214" s="1">
        <v>25</v>
      </c>
      <c r="B214" s="1">
        <v>2020</v>
      </c>
      <c r="C214">
        <v>-1.8714313104864531</v>
      </c>
      <c r="D214">
        <v>0.64909079436302541</v>
      </c>
      <c r="E214">
        <v>0.7412704557416735</v>
      </c>
      <c r="F214">
        <v>0.77408179805594457</v>
      </c>
      <c r="G214">
        <v>0.38328766316346141</v>
      </c>
      <c r="H214">
        <v>0.4775376768998158</v>
      </c>
      <c r="I214">
        <v>0.4856308851314346</v>
      </c>
      <c r="J214">
        <v>-1.5376292798834841</v>
      </c>
      <c r="K214">
        <v>0.66290777834686254</v>
      </c>
      <c r="L214">
        <v>-1.2965751946622699</v>
      </c>
      <c r="M214">
        <v>2.2173898707255222</v>
      </c>
      <c r="N214">
        <v>2.2467508289467988</v>
      </c>
      <c r="O214">
        <v>5.9914645471079817</v>
      </c>
      <c r="P214">
        <f t="shared" si="24"/>
        <v>-2.9360958221276601E-2</v>
      </c>
      <c r="Q214">
        <f t="shared" si="25"/>
        <v>0.59783700075561974</v>
      </c>
      <c r="R214">
        <f t="shared" si="26"/>
        <v>0</v>
      </c>
      <c r="S214">
        <f t="shared" si="27"/>
        <v>1</v>
      </c>
      <c r="T214">
        <f t="shared" si="28"/>
        <v>0</v>
      </c>
      <c r="U214">
        <f t="shared" si="29"/>
        <v>0</v>
      </c>
      <c r="V214">
        <f t="shared" si="30"/>
        <v>1</v>
      </c>
      <c r="W214">
        <f t="shared" si="31"/>
        <v>1</v>
      </c>
    </row>
    <row r="215" spans="1:23" x14ac:dyDescent="0.25">
      <c r="A215" s="1">
        <v>25</v>
      </c>
      <c r="B215" s="1">
        <v>2021</v>
      </c>
      <c r="C215">
        <v>-1.8120219515211859</v>
      </c>
      <c r="D215">
        <v>0.8723806407546667</v>
      </c>
      <c r="E215">
        <v>0.64909079436302541</v>
      </c>
      <c r="F215">
        <v>0.7412704557416735</v>
      </c>
      <c r="G215">
        <v>0.68001128116680476</v>
      </c>
      <c r="H215">
        <v>0.38328766316346141</v>
      </c>
      <c r="I215">
        <v>0.4775376768998158</v>
      </c>
      <c r="J215">
        <v>-1.007767047451207</v>
      </c>
      <c r="K215">
        <v>0.66290777834686254</v>
      </c>
      <c r="L215">
        <v>-1.2641710395091319</v>
      </c>
      <c r="M215">
        <v>2.1868725588788012</v>
      </c>
      <c r="N215">
        <v>2.2122960119621169</v>
      </c>
      <c r="O215">
        <v>6.6846117276679271</v>
      </c>
      <c r="P215">
        <f t="shared" si="24"/>
        <v>-2.5423453083315728E-2</v>
      </c>
      <c r="Q215">
        <f t="shared" si="25"/>
        <v>0.6931471805599454</v>
      </c>
      <c r="R215">
        <f t="shared" si="26"/>
        <v>0</v>
      </c>
      <c r="S215">
        <f t="shared" si="27"/>
        <v>1</v>
      </c>
      <c r="T215">
        <f t="shared" si="28"/>
        <v>0</v>
      </c>
      <c r="U215">
        <f t="shared" si="29"/>
        <v>0</v>
      </c>
      <c r="V215">
        <f t="shared" si="30"/>
        <v>0</v>
      </c>
      <c r="W215">
        <f t="shared" si="31"/>
        <v>1</v>
      </c>
    </row>
    <row r="216" spans="1:23" x14ac:dyDescent="0.25">
      <c r="A216" s="1">
        <v>25</v>
      </c>
      <c r="B216" s="1">
        <v>2022</v>
      </c>
      <c r="C216">
        <v>-1.7595164175781499</v>
      </c>
      <c r="D216">
        <v>0.88508898073089048</v>
      </c>
      <c r="E216">
        <v>0.8723806407546667</v>
      </c>
      <c r="F216">
        <v>0.64909079436302541</v>
      </c>
      <c r="G216">
        <v>0.63662973772477349</v>
      </c>
      <c r="H216">
        <v>0.68001128116680476</v>
      </c>
      <c r="I216">
        <v>0.38328766316346141</v>
      </c>
      <c r="J216">
        <v>-0.52111797512606772</v>
      </c>
      <c r="K216">
        <v>0.66290777834686243</v>
      </c>
      <c r="L216">
        <v>-1.234433158724195</v>
      </c>
      <c r="M216">
        <v>2.210215857827595</v>
      </c>
      <c r="N216">
        <v>2.1868725588788012</v>
      </c>
      <c r="O216">
        <v>8.0551577318196781</v>
      </c>
      <c r="P216">
        <f t="shared" si="24"/>
        <v>2.3343298948793834E-2</v>
      </c>
      <c r="Q216">
        <f t="shared" si="25"/>
        <v>1.370546004151751</v>
      </c>
      <c r="R216">
        <f t="shared" si="26"/>
        <v>0</v>
      </c>
      <c r="S216">
        <f t="shared" si="27"/>
        <v>1</v>
      </c>
      <c r="T216">
        <f t="shared" si="28"/>
        <v>0</v>
      </c>
      <c r="U216">
        <f t="shared" si="29"/>
        <v>0</v>
      </c>
      <c r="V216">
        <f t="shared" si="30"/>
        <v>0</v>
      </c>
      <c r="W216">
        <f t="shared" si="31"/>
        <v>0</v>
      </c>
    </row>
    <row r="217" spans="1:23" x14ac:dyDescent="0.25">
      <c r="A217" s="1">
        <v>25</v>
      </c>
      <c r="B217" s="1">
        <v>2023</v>
      </c>
      <c r="C217">
        <v>-1.675578578080767</v>
      </c>
      <c r="D217">
        <v>0.72899683345364252</v>
      </c>
      <c r="E217">
        <v>0.88508898073089048</v>
      </c>
      <c r="F217">
        <v>0.8723806407546667</v>
      </c>
      <c r="G217">
        <v>0.44192560511093881</v>
      </c>
      <c r="H217">
        <v>0.63662973772477349</v>
      </c>
      <c r="I217">
        <v>0.68001128116680476</v>
      </c>
      <c r="J217">
        <v>5.5360231684286013E-2</v>
      </c>
      <c r="K217">
        <v>0.66290777834686243</v>
      </c>
      <c r="L217">
        <v>-1.196518951281881</v>
      </c>
      <c r="M217">
        <v>2.2787973141068578</v>
      </c>
      <c r="N217">
        <v>2.210215857827595</v>
      </c>
      <c r="O217">
        <v>8.4658998970286863</v>
      </c>
      <c r="P217">
        <f t="shared" si="24"/>
        <v>6.858145627926282E-2</v>
      </c>
      <c r="Q217">
        <f t="shared" si="25"/>
        <v>0.41074216520900819</v>
      </c>
      <c r="R217">
        <f t="shared" si="26"/>
        <v>0</v>
      </c>
      <c r="S217">
        <f t="shared" si="27"/>
        <v>1</v>
      </c>
      <c r="T217">
        <f t="shared" si="28"/>
        <v>0</v>
      </c>
      <c r="U217">
        <f t="shared" si="29"/>
        <v>0</v>
      </c>
      <c r="V217">
        <f t="shared" si="30"/>
        <v>0</v>
      </c>
      <c r="W217">
        <f t="shared" si="31"/>
        <v>0</v>
      </c>
    </row>
    <row r="218" spans="1:23" x14ac:dyDescent="0.25">
      <c r="A218" s="1">
        <v>26</v>
      </c>
      <c r="B218" s="1">
        <v>2006</v>
      </c>
      <c r="C218">
        <v>-2.5903450348282231</v>
      </c>
      <c r="D218">
        <v>0.97077891715822484</v>
      </c>
      <c r="E218">
        <v>0.89379969403862336</v>
      </c>
      <c r="F218">
        <v>0.82820241155281016</v>
      </c>
      <c r="G218">
        <v>0.61518563909023349</v>
      </c>
      <c r="H218">
        <v>0.48833458593045898</v>
      </c>
      <c r="I218">
        <v>0.37891577287462791</v>
      </c>
      <c r="J218">
        <v>-16.11809565095832</v>
      </c>
      <c r="K218">
        <v>0.77993525432492927</v>
      </c>
      <c r="L218">
        <v>-2.2336802376436262</v>
      </c>
      <c r="M218">
        <v>2.1737491575544028</v>
      </c>
      <c r="N218">
        <v>2.1399959864850908</v>
      </c>
      <c r="O218">
        <v>-11.51292546497023</v>
      </c>
      <c r="P218">
        <f t="shared" si="24"/>
        <v>3.3753171069311971E-2</v>
      </c>
      <c r="Q218">
        <f t="shared" si="25"/>
        <v>0</v>
      </c>
      <c r="R218">
        <f t="shared" si="26"/>
        <v>0</v>
      </c>
      <c r="S218">
        <f t="shared" si="27"/>
        <v>1</v>
      </c>
      <c r="T218">
        <f t="shared" si="28"/>
        <v>0</v>
      </c>
      <c r="U218">
        <f t="shared" si="29"/>
        <v>0</v>
      </c>
      <c r="V218">
        <f t="shared" si="30"/>
        <v>0</v>
      </c>
      <c r="W218">
        <f t="shared" si="31"/>
        <v>0</v>
      </c>
    </row>
    <row r="219" spans="1:23" x14ac:dyDescent="0.25">
      <c r="A219" s="1">
        <v>26</v>
      </c>
      <c r="B219" s="1">
        <v>2007</v>
      </c>
      <c r="C219">
        <v>-2.6287785958699339</v>
      </c>
      <c r="D219">
        <v>0.91188102338545496</v>
      </c>
      <c r="E219">
        <v>0.97077891715822484</v>
      </c>
      <c r="F219">
        <v>0.89379969403862336</v>
      </c>
      <c r="G219">
        <v>0.43877092681463697</v>
      </c>
      <c r="H219">
        <v>0.61518563909023349</v>
      </c>
      <c r="I219">
        <v>0.48833458593045898</v>
      </c>
      <c r="J219">
        <v>-16.11809565095832</v>
      </c>
      <c r="K219">
        <v>0.77993525432492927</v>
      </c>
      <c r="L219">
        <v>-2.1466279541391269</v>
      </c>
      <c r="M219">
        <v>2.2162173841391639</v>
      </c>
      <c r="N219">
        <v>2.160222056866488</v>
      </c>
      <c r="O219">
        <v>-11.51292546497023</v>
      </c>
      <c r="P219">
        <f t="shared" si="24"/>
        <v>5.5995327272675866E-2</v>
      </c>
      <c r="Q219">
        <f t="shared" si="25"/>
        <v>0</v>
      </c>
      <c r="R219">
        <f t="shared" si="26"/>
        <v>0</v>
      </c>
      <c r="S219">
        <f t="shared" si="27"/>
        <v>1</v>
      </c>
      <c r="T219">
        <f t="shared" si="28"/>
        <v>0</v>
      </c>
      <c r="U219">
        <f t="shared" si="29"/>
        <v>0</v>
      </c>
      <c r="V219">
        <f t="shared" si="30"/>
        <v>0</v>
      </c>
      <c r="W219">
        <f t="shared" si="31"/>
        <v>0</v>
      </c>
    </row>
    <row r="220" spans="1:23" x14ac:dyDescent="0.25">
      <c r="A220" s="1">
        <v>26</v>
      </c>
      <c r="B220" s="1">
        <v>2008</v>
      </c>
      <c r="C220">
        <v>-2.5574184730470502</v>
      </c>
      <c r="D220">
        <v>0.8545429795827455</v>
      </c>
      <c r="E220">
        <v>0.91188102338545496</v>
      </c>
      <c r="F220">
        <v>0.97077891715822484</v>
      </c>
      <c r="G220">
        <v>0.4296372600791496</v>
      </c>
      <c r="H220">
        <v>0.43877092681463697</v>
      </c>
      <c r="I220">
        <v>0.61518563909023349</v>
      </c>
      <c r="J220">
        <v>-16.11809565095832</v>
      </c>
      <c r="K220">
        <v>0.77993525432492927</v>
      </c>
      <c r="L220">
        <v>-2.0506173040819982</v>
      </c>
      <c r="M220">
        <v>2.2386026334478739</v>
      </c>
      <c r="N220">
        <v>2.202870940890401</v>
      </c>
      <c r="O220">
        <v>-11.51292546497023</v>
      </c>
      <c r="P220">
        <f t="shared" si="24"/>
        <v>3.5731692557472883E-2</v>
      </c>
      <c r="Q220">
        <f t="shared" si="25"/>
        <v>0</v>
      </c>
      <c r="R220">
        <f t="shared" si="26"/>
        <v>0</v>
      </c>
      <c r="S220">
        <f t="shared" si="27"/>
        <v>1</v>
      </c>
      <c r="T220">
        <f t="shared" si="28"/>
        <v>0</v>
      </c>
      <c r="U220">
        <f t="shared" si="29"/>
        <v>0</v>
      </c>
      <c r="V220">
        <f t="shared" si="30"/>
        <v>0</v>
      </c>
      <c r="W220">
        <f t="shared" si="31"/>
        <v>0</v>
      </c>
    </row>
    <row r="221" spans="1:23" x14ac:dyDescent="0.25">
      <c r="A221" s="1">
        <v>26</v>
      </c>
      <c r="B221" s="1">
        <v>2009</v>
      </c>
      <c r="C221">
        <v>-2.5307005302531782</v>
      </c>
      <c r="D221">
        <v>0.80074519115796339</v>
      </c>
      <c r="E221">
        <v>0.8545429795827455</v>
      </c>
      <c r="F221">
        <v>0.91188102338545496</v>
      </c>
      <c r="G221">
        <v>0.37562426609714311</v>
      </c>
      <c r="H221">
        <v>0.4296372600791496</v>
      </c>
      <c r="I221">
        <v>0.43877092681463697</v>
      </c>
      <c r="J221">
        <v>-16.11809565095832</v>
      </c>
      <c r="K221">
        <v>0.77993525432492927</v>
      </c>
      <c r="L221">
        <v>-1.94468018103902</v>
      </c>
      <c r="M221">
        <v>2.2839908173468459</v>
      </c>
      <c r="N221">
        <v>2.229932031879803</v>
      </c>
      <c r="O221">
        <v>-11.51292546497023</v>
      </c>
      <c r="P221">
        <f t="shared" si="24"/>
        <v>5.4058785467042902E-2</v>
      </c>
      <c r="Q221">
        <f t="shared" si="25"/>
        <v>0</v>
      </c>
      <c r="R221">
        <f t="shared" si="26"/>
        <v>0</v>
      </c>
      <c r="S221">
        <f t="shared" si="27"/>
        <v>1</v>
      </c>
      <c r="T221">
        <f t="shared" si="28"/>
        <v>0</v>
      </c>
      <c r="U221">
        <f t="shared" si="29"/>
        <v>0</v>
      </c>
      <c r="V221">
        <f t="shared" si="30"/>
        <v>0</v>
      </c>
      <c r="W221">
        <f t="shared" si="31"/>
        <v>0</v>
      </c>
    </row>
    <row r="222" spans="1:23" x14ac:dyDescent="0.25">
      <c r="A222" s="1">
        <v>26</v>
      </c>
      <c r="B222" s="1">
        <v>2010</v>
      </c>
      <c r="C222">
        <v>-2.285560171446392</v>
      </c>
      <c r="D222">
        <v>0.76257995527528211</v>
      </c>
      <c r="E222">
        <v>0.80074519115796339</v>
      </c>
      <c r="F222">
        <v>0.8545429795827455</v>
      </c>
      <c r="G222">
        <v>0.42002525943949409</v>
      </c>
      <c r="H222">
        <v>0.37562426609714311</v>
      </c>
      <c r="I222">
        <v>0.4296372600791496</v>
      </c>
      <c r="J222">
        <v>-9.0867684756508957</v>
      </c>
      <c r="K222">
        <v>0.77993525432492927</v>
      </c>
      <c r="L222">
        <v>-1.822801359947529</v>
      </c>
      <c r="M222">
        <v>2.3976521594538101</v>
      </c>
      <c r="N222">
        <v>2.280894118092859</v>
      </c>
      <c r="O222">
        <v>-11.51292546497023</v>
      </c>
      <c r="P222">
        <f t="shared" si="24"/>
        <v>0.11675804136095103</v>
      </c>
      <c r="Q222">
        <f t="shared" si="25"/>
        <v>0</v>
      </c>
      <c r="R222">
        <f t="shared" si="26"/>
        <v>0</v>
      </c>
      <c r="S222">
        <f t="shared" si="27"/>
        <v>1</v>
      </c>
      <c r="T222">
        <f t="shared" si="28"/>
        <v>0</v>
      </c>
      <c r="U222">
        <f t="shared" si="29"/>
        <v>0</v>
      </c>
      <c r="V222">
        <f t="shared" si="30"/>
        <v>0</v>
      </c>
      <c r="W222">
        <f t="shared" si="31"/>
        <v>0</v>
      </c>
    </row>
    <row r="223" spans="1:23" x14ac:dyDescent="0.25">
      <c r="A223" s="1">
        <v>26</v>
      </c>
      <c r="B223" s="1">
        <v>2011</v>
      </c>
      <c r="C223">
        <v>-2.0805677645541389</v>
      </c>
      <c r="D223">
        <v>0.7185224868911736</v>
      </c>
      <c r="E223">
        <v>0.76257995527528211</v>
      </c>
      <c r="F223">
        <v>0.80074519115796339</v>
      </c>
      <c r="G223">
        <v>0.48316661577201642</v>
      </c>
      <c r="H223">
        <v>0.42002525943949409</v>
      </c>
      <c r="I223">
        <v>0.37562426609714311</v>
      </c>
      <c r="J223">
        <v>-7.2980961457272429</v>
      </c>
      <c r="K223">
        <v>0.77993525432492927</v>
      </c>
      <c r="L223">
        <v>-1.70989039242969</v>
      </c>
      <c r="M223">
        <v>2.4399410439007672</v>
      </c>
      <c r="N223">
        <v>2.39456502014942</v>
      </c>
      <c r="O223">
        <v>-11.51292546497023</v>
      </c>
      <c r="P223">
        <f t="shared" si="24"/>
        <v>4.5376023751347194E-2</v>
      </c>
      <c r="Q223">
        <f t="shared" si="25"/>
        <v>0</v>
      </c>
      <c r="R223">
        <f t="shared" si="26"/>
        <v>0</v>
      </c>
      <c r="S223">
        <f t="shared" si="27"/>
        <v>1</v>
      </c>
      <c r="T223">
        <f t="shared" si="28"/>
        <v>0</v>
      </c>
      <c r="U223">
        <f t="shared" si="29"/>
        <v>0</v>
      </c>
      <c r="V223">
        <f t="shared" si="30"/>
        <v>0</v>
      </c>
      <c r="W223">
        <f t="shared" si="31"/>
        <v>0</v>
      </c>
    </row>
    <row r="224" spans="1:23" x14ac:dyDescent="0.25">
      <c r="A224" s="1">
        <v>26</v>
      </c>
      <c r="B224" s="1">
        <v>2012</v>
      </c>
      <c r="C224">
        <v>-1.934713985007412</v>
      </c>
      <c r="D224">
        <v>0.68031520174456706</v>
      </c>
      <c r="E224">
        <v>0.7185224868911736</v>
      </c>
      <c r="F224">
        <v>0.76257995527528211</v>
      </c>
      <c r="G224">
        <v>0.4405104498509651</v>
      </c>
      <c r="H224">
        <v>0.48316661577201642</v>
      </c>
      <c r="I224">
        <v>0.42002525943949409</v>
      </c>
      <c r="J224">
        <v>-6.90006220749002</v>
      </c>
      <c r="K224">
        <v>0.77993525432492927</v>
      </c>
      <c r="L224">
        <v>-1.6203292439081409</v>
      </c>
      <c r="M224">
        <v>2.5060722262164208</v>
      </c>
      <c r="N224">
        <v>2.4325098740297491</v>
      </c>
      <c r="O224">
        <v>-11.51292546497023</v>
      </c>
      <c r="P224">
        <f t="shared" si="24"/>
        <v>7.3562352186671731E-2</v>
      </c>
      <c r="Q224">
        <f t="shared" si="25"/>
        <v>0</v>
      </c>
      <c r="R224">
        <f t="shared" si="26"/>
        <v>0</v>
      </c>
      <c r="S224">
        <f t="shared" si="27"/>
        <v>1</v>
      </c>
      <c r="T224">
        <f t="shared" si="28"/>
        <v>0</v>
      </c>
      <c r="U224">
        <f t="shared" si="29"/>
        <v>0</v>
      </c>
      <c r="V224">
        <f t="shared" si="30"/>
        <v>0</v>
      </c>
      <c r="W224">
        <f t="shared" si="31"/>
        <v>0</v>
      </c>
    </row>
    <row r="225" spans="1:23" x14ac:dyDescent="0.25">
      <c r="A225" s="1">
        <v>26</v>
      </c>
      <c r="B225" s="1">
        <v>2013</v>
      </c>
      <c r="C225">
        <v>-1.8984148666435801</v>
      </c>
      <c r="D225">
        <v>0.66253332194210901</v>
      </c>
      <c r="E225">
        <v>0.68031520174456706</v>
      </c>
      <c r="F225">
        <v>0.7185224868911736</v>
      </c>
      <c r="G225">
        <v>0.44205415633877998</v>
      </c>
      <c r="H225">
        <v>0.4405104498509651</v>
      </c>
      <c r="I225">
        <v>0.48316661577201642</v>
      </c>
      <c r="J225">
        <v>-6.0833652415634818</v>
      </c>
      <c r="K225">
        <v>0.77993525432492927</v>
      </c>
      <c r="L225">
        <v>-1.569575443327718</v>
      </c>
      <c r="M225">
        <v>2.5009884916538612</v>
      </c>
      <c r="N225">
        <v>2.475471331755736</v>
      </c>
      <c r="O225">
        <v>-11.51292546497023</v>
      </c>
      <c r="P225">
        <f t="shared" si="24"/>
        <v>2.5517159898125197E-2</v>
      </c>
      <c r="Q225">
        <f t="shared" si="25"/>
        <v>0</v>
      </c>
      <c r="R225">
        <f t="shared" si="26"/>
        <v>0</v>
      </c>
      <c r="S225">
        <f t="shared" si="27"/>
        <v>1</v>
      </c>
      <c r="T225">
        <f t="shared" si="28"/>
        <v>0</v>
      </c>
      <c r="U225">
        <f t="shared" si="29"/>
        <v>0</v>
      </c>
      <c r="V225">
        <f t="shared" si="30"/>
        <v>0</v>
      </c>
      <c r="W225">
        <f t="shared" si="31"/>
        <v>0</v>
      </c>
    </row>
    <row r="226" spans="1:23" x14ac:dyDescent="0.25">
      <c r="A226" s="1">
        <v>26</v>
      </c>
      <c r="B226" s="1">
        <v>2014</v>
      </c>
      <c r="C226">
        <v>-1.824005337354704</v>
      </c>
      <c r="D226">
        <v>0.63514723626195657</v>
      </c>
      <c r="E226">
        <v>0.66253332194210901</v>
      </c>
      <c r="F226">
        <v>0.68031520174456706</v>
      </c>
      <c r="G226">
        <v>0.43145768838241799</v>
      </c>
      <c r="H226">
        <v>0.44205415633877998</v>
      </c>
      <c r="I226">
        <v>0.4405104498509651</v>
      </c>
      <c r="J226">
        <v>-5.3741717447402957</v>
      </c>
      <c r="K226">
        <v>0.77993525432492927</v>
      </c>
      <c r="L226">
        <v>-1.510841257086355</v>
      </c>
      <c r="M226">
        <v>2.5124836951737342</v>
      </c>
      <c r="N226">
        <v>2.493504310506899</v>
      </c>
      <c r="O226">
        <v>-11.51292546497023</v>
      </c>
      <c r="P226">
        <f t="shared" si="24"/>
        <v>1.8979384666835131E-2</v>
      </c>
      <c r="Q226">
        <f t="shared" si="25"/>
        <v>0</v>
      </c>
      <c r="R226">
        <f t="shared" si="26"/>
        <v>0</v>
      </c>
      <c r="S226">
        <f t="shared" si="27"/>
        <v>1</v>
      </c>
      <c r="T226">
        <f t="shared" si="28"/>
        <v>0</v>
      </c>
      <c r="U226">
        <f t="shared" si="29"/>
        <v>0</v>
      </c>
      <c r="V226">
        <f t="shared" si="30"/>
        <v>0</v>
      </c>
      <c r="W226">
        <f t="shared" si="31"/>
        <v>0</v>
      </c>
    </row>
    <row r="227" spans="1:23" x14ac:dyDescent="0.25">
      <c r="A227" s="1">
        <v>26</v>
      </c>
      <c r="B227" s="1">
        <v>2015</v>
      </c>
      <c r="C227">
        <v>-1.9144271128298549</v>
      </c>
      <c r="D227">
        <v>0.67661121191984575</v>
      </c>
      <c r="E227">
        <v>0.63514723626195657</v>
      </c>
      <c r="F227">
        <v>0.66253332194210901</v>
      </c>
      <c r="G227">
        <v>0.37101168003878521</v>
      </c>
      <c r="H227">
        <v>0.43145768838241799</v>
      </c>
      <c r="I227">
        <v>0.44205415633877998</v>
      </c>
      <c r="J227">
        <v>-4.9994805059003449</v>
      </c>
      <c r="K227">
        <v>0.77993525432492927</v>
      </c>
      <c r="L227">
        <v>-1.471134558582889</v>
      </c>
      <c r="M227">
        <v>2.44397363079668</v>
      </c>
      <c r="N227">
        <v>2.5052403233157161</v>
      </c>
      <c r="O227">
        <v>-11.51292546497023</v>
      </c>
      <c r="P227">
        <f t="shared" si="24"/>
        <v>-6.1266692519036159E-2</v>
      </c>
      <c r="Q227">
        <f t="shared" si="25"/>
        <v>0</v>
      </c>
      <c r="R227">
        <f t="shared" si="26"/>
        <v>0</v>
      </c>
      <c r="S227">
        <f t="shared" si="27"/>
        <v>1</v>
      </c>
      <c r="T227">
        <f t="shared" si="28"/>
        <v>0</v>
      </c>
      <c r="U227">
        <f t="shared" si="29"/>
        <v>0</v>
      </c>
      <c r="V227">
        <f t="shared" si="30"/>
        <v>0</v>
      </c>
      <c r="W227">
        <f t="shared" si="31"/>
        <v>1</v>
      </c>
    </row>
    <row r="228" spans="1:23" x14ac:dyDescent="0.25">
      <c r="A228" s="1">
        <v>26</v>
      </c>
      <c r="B228" s="1">
        <v>2016</v>
      </c>
      <c r="C228">
        <v>-1.8763673993929531</v>
      </c>
      <c r="D228">
        <v>0.7061127629499685</v>
      </c>
      <c r="E228">
        <v>0.67661121191984575</v>
      </c>
      <c r="F228">
        <v>0.63514723626195657</v>
      </c>
      <c r="G228">
        <v>0.48291985451228192</v>
      </c>
      <c r="H228">
        <v>0.37101168003878521</v>
      </c>
      <c r="I228">
        <v>0.43145768838241799</v>
      </c>
      <c r="J228">
        <v>-4.6387044321201172</v>
      </c>
      <c r="K228">
        <v>0.77993525432492927</v>
      </c>
      <c r="L228">
        <v>-1.447700929104593</v>
      </c>
      <c r="M228">
        <v>2.4231484139469588</v>
      </c>
      <c r="N228">
        <v>2.4370249244515949</v>
      </c>
      <c r="O228">
        <v>-11.51292546497023</v>
      </c>
      <c r="P228">
        <f t="shared" si="24"/>
        <v>-1.3876510504636119E-2</v>
      </c>
      <c r="Q228">
        <f t="shared" si="25"/>
        <v>0</v>
      </c>
      <c r="R228">
        <f t="shared" si="26"/>
        <v>0</v>
      </c>
      <c r="S228">
        <f t="shared" si="27"/>
        <v>1</v>
      </c>
      <c r="T228">
        <f t="shared" si="28"/>
        <v>0</v>
      </c>
      <c r="U228">
        <f t="shared" si="29"/>
        <v>0</v>
      </c>
      <c r="V228">
        <f t="shared" si="30"/>
        <v>0</v>
      </c>
      <c r="W228">
        <f t="shared" si="31"/>
        <v>1</v>
      </c>
    </row>
    <row r="229" spans="1:23" x14ac:dyDescent="0.25">
      <c r="A229" s="1">
        <v>26</v>
      </c>
      <c r="B229" s="1">
        <v>2017</v>
      </c>
      <c r="C229">
        <v>-1.8463595529795001</v>
      </c>
      <c r="D229">
        <v>0.66885448799090075</v>
      </c>
      <c r="E229">
        <v>0.7061127629499685</v>
      </c>
      <c r="F229">
        <v>0.67661121191984575</v>
      </c>
      <c r="G229">
        <v>0.45387424731585202</v>
      </c>
      <c r="H229">
        <v>0.48291985451228192</v>
      </c>
      <c r="I229">
        <v>0.37101168003878521</v>
      </c>
      <c r="J229">
        <v>-3.968843199446316</v>
      </c>
      <c r="K229">
        <v>0.77993525432492927</v>
      </c>
      <c r="L229">
        <v>-1.4235809967904469</v>
      </c>
      <c r="M229">
        <v>2.46222844916471</v>
      </c>
      <c r="N229">
        <v>2.416483347296853</v>
      </c>
      <c r="O229">
        <v>-11.51292546497023</v>
      </c>
      <c r="P229">
        <f t="shared" si="24"/>
        <v>4.5745101867856963E-2</v>
      </c>
      <c r="Q229">
        <f t="shared" si="25"/>
        <v>0</v>
      </c>
      <c r="R229">
        <f t="shared" si="26"/>
        <v>0</v>
      </c>
      <c r="S229">
        <f t="shared" si="27"/>
        <v>1</v>
      </c>
      <c r="T229">
        <f t="shared" si="28"/>
        <v>0</v>
      </c>
      <c r="U229">
        <f t="shared" si="29"/>
        <v>0</v>
      </c>
      <c r="V229">
        <f t="shared" si="30"/>
        <v>0</v>
      </c>
      <c r="W229">
        <f t="shared" si="31"/>
        <v>1</v>
      </c>
    </row>
    <row r="230" spans="1:23" x14ac:dyDescent="0.25">
      <c r="A230" s="1">
        <v>26</v>
      </c>
      <c r="B230" s="1">
        <v>2018</v>
      </c>
      <c r="C230">
        <v>-1.98000640652259</v>
      </c>
      <c r="D230">
        <v>0.79050072581585518</v>
      </c>
      <c r="E230">
        <v>0.66885448799090075</v>
      </c>
      <c r="F230">
        <v>0.7061127629499685</v>
      </c>
      <c r="G230">
        <v>0.50126001889628968</v>
      </c>
      <c r="H230">
        <v>0.45387424731585202</v>
      </c>
      <c r="I230">
        <v>0.48291985451228192</v>
      </c>
      <c r="J230">
        <v>-3.5528548299186249</v>
      </c>
      <c r="K230">
        <v>0.77993525432492927</v>
      </c>
      <c r="L230">
        <v>-1.3924857911114339</v>
      </c>
      <c r="M230">
        <v>2.441623988283482</v>
      </c>
      <c r="N230">
        <v>2.4598005582371569</v>
      </c>
      <c r="O230">
        <v>3.2580965380214821</v>
      </c>
      <c r="P230">
        <f t="shared" si="24"/>
        <v>-1.8176569953674893E-2</v>
      </c>
      <c r="Q230">
        <f t="shared" si="25"/>
        <v>14.771022002991712</v>
      </c>
      <c r="R230">
        <f t="shared" si="26"/>
        <v>0</v>
      </c>
      <c r="S230">
        <f t="shared" si="27"/>
        <v>1</v>
      </c>
      <c r="T230">
        <f t="shared" si="28"/>
        <v>0</v>
      </c>
      <c r="U230">
        <f t="shared" si="29"/>
        <v>0</v>
      </c>
      <c r="V230">
        <f t="shared" si="30"/>
        <v>0</v>
      </c>
      <c r="W230">
        <f t="shared" si="31"/>
        <v>1</v>
      </c>
    </row>
    <row r="231" spans="1:23" x14ac:dyDescent="0.25">
      <c r="A231" s="1">
        <v>26</v>
      </c>
      <c r="B231" s="1">
        <v>2019</v>
      </c>
      <c r="C231">
        <v>-1.9440290434043119</v>
      </c>
      <c r="D231">
        <v>0.75292438459580613</v>
      </c>
      <c r="E231">
        <v>0.79050072581585518</v>
      </c>
      <c r="F231">
        <v>0.66885448799090075</v>
      </c>
      <c r="G231">
        <v>0.50458619897597168</v>
      </c>
      <c r="H231">
        <v>0.50126001889628968</v>
      </c>
      <c r="I231">
        <v>0.45387424731585202</v>
      </c>
      <c r="J231">
        <v>-2.8089289176522461</v>
      </c>
      <c r="K231">
        <v>0.77993525432492927</v>
      </c>
      <c r="L231">
        <v>-1.361739138051314</v>
      </c>
      <c r="M231">
        <v>2.4537585962841439</v>
      </c>
      <c r="N231">
        <v>2.4352443061499658</v>
      </c>
      <c r="O231">
        <v>5.393627546352362</v>
      </c>
      <c r="P231">
        <f t="shared" si="24"/>
        <v>1.8514290134178157E-2</v>
      </c>
      <c r="Q231">
        <f t="shared" si="25"/>
        <v>2.1355310083308798</v>
      </c>
      <c r="R231">
        <f t="shared" si="26"/>
        <v>0</v>
      </c>
      <c r="S231">
        <f t="shared" si="27"/>
        <v>1</v>
      </c>
      <c r="T231">
        <f t="shared" si="28"/>
        <v>0</v>
      </c>
      <c r="U231">
        <f t="shared" si="29"/>
        <v>0</v>
      </c>
      <c r="V231">
        <f t="shared" si="30"/>
        <v>0</v>
      </c>
      <c r="W231">
        <f t="shared" si="31"/>
        <v>1</v>
      </c>
    </row>
    <row r="232" spans="1:23" x14ac:dyDescent="0.25">
      <c r="A232" s="1">
        <v>26</v>
      </c>
      <c r="B232" s="1">
        <v>2020</v>
      </c>
      <c r="C232">
        <v>-2.0220584994331561</v>
      </c>
      <c r="D232">
        <v>0.69708939979256901</v>
      </c>
      <c r="E232">
        <v>0.75292438459580613</v>
      </c>
      <c r="F232">
        <v>0.79050072581585518</v>
      </c>
      <c r="G232">
        <v>0.4633565865239419</v>
      </c>
      <c r="H232">
        <v>0.50458619897597168</v>
      </c>
      <c r="I232">
        <v>0.50126001889628968</v>
      </c>
      <c r="J232">
        <v>-2.2604974465947518</v>
      </c>
      <c r="K232">
        <v>0.77993525432492927</v>
      </c>
      <c r="L232">
        <v>-1.3408826344356339</v>
      </c>
      <c r="M232">
        <v>2.3615853912594869</v>
      </c>
      <c r="N232">
        <v>2.4475469400755929</v>
      </c>
      <c r="O232">
        <v>5.9914645471079817</v>
      </c>
      <c r="P232">
        <f t="shared" si="24"/>
        <v>-8.596154881610607E-2</v>
      </c>
      <c r="Q232">
        <f t="shared" si="25"/>
        <v>0.59783700075561974</v>
      </c>
      <c r="R232">
        <f t="shared" si="26"/>
        <v>0</v>
      </c>
      <c r="S232">
        <f t="shared" si="27"/>
        <v>1</v>
      </c>
      <c r="T232">
        <f t="shared" si="28"/>
        <v>0</v>
      </c>
      <c r="U232">
        <f t="shared" si="29"/>
        <v>0</v>
      </c>
      <c r="V232">
        <f t="shared" si="30"/>
        <v>1</v>
      </c>
      <c r="W232">
        <f t="shared" si="31"/>
        <v>1</v>
      </c>
    </row>
    <row r="233" spans="1:23" x14ac:dyDescent="0.25">
      <c r="A233" s="1">
        <v>26</v>
      </c>
      <c r="B233" s="1">
        <v>2021</v>
      </c>
      <c r="C233">
        <v>-1.993919182597867</v>
      </c>
      <c r="D233">
        <v>0.89881898596211529</v>
      </c>
      <c r="E233">
        <v>0.69708939979256901</v>
      </c>
      <c r="F233">
        <v>0.75292438459580613</v>
      </c>
      <c r="G233">
        <v>0.7098567941228926</v>
      </c>
      <c r="H233">
        <v>0.4633565865239419</v>
      </c>
      <c r="I233">
        <v>0.50458619897597168</v>
      </c>
      <c r="J233">
        <v>-1.6968508162460541</v>
      </c>
      <c r="K233">
        <v>0.77993525432492927</v>
      </c>
      <c r="L233">
        <v>-1.316936669827935</v>
      </c>
      <c r="M233">
        <v>2.3659318077915592</v>
      </c>
      <c r="N233">
        <v>2.3555545034959131</v>
      </c>
      <c r="O233">
        <v>6.6846117276679271</v>
      </c>
      <c r="P233">
        <f t="shared" si="24"/>
        <v>1.0377304295646095E-2</v>
      </c>
      <c r="Q233">
        <f t="shared" si="25"/>
        <v>0.6931471805599454</v>
      </c>
      <c r="R233">
        <f t="shared" si="26"/>
        <v>0</v>
      </c>
      <c r="S233">
        <f t="shared" si="27"/>
        <v>1</v>
      </c>
      <c r="T233">
        <f t="shared" si="28"/>
        <v>0</v>
      </c>
      <c r="U233">
        <f t="shared" si="29"/>
        <v>0</v>
      </c>
      <c r="V233">
        <f t="shared" si="30"/>
        <v>0</v>
      </c>
      <c r="W233">
        <f t="shared" si="31"/>
        <v>1</v>
      </c>
    </row>
    <row r="234" spans="1:23" x14ac:dyDescent="0.25">
      <c r="A234" s="1">
        <v>26</v>
      </c>
      <c r="B234" s="1">
        <v>2022</v>
      </c>
      <c r="C234">
        <v>-1.9661456224685481</v>
      </c>
      <c r="D234">
        <v>0.90490617300751686</v>
      </c>
      <c r="E234">
        <v>0.89881898596211529</v>
      </c>
      <c r="F234">
        <v>0.69708939979256901</v>
      </c>
      <c r="G234">
        <v>0.67849029121631166</v>
      </c>
      <c r="H234">
        <v>0.7098567941228926</v>
      </c>
      <c r="I234">
        <v>0.4633565865239419</v>
      </c>
      <c r="J234">
        <v>-1.2086134218540261</v>
      </c>
      <c r="K234">
        <v>0.77993525432492927</v>
      </c>
      <c r="L234">
        <v>-1.290538163663894</v>
      </c>
      <c r="M234">
        <v>2.391042028589438</v>
      </c>
      <c r="N234">
        <v>2.3659318077915592</v>
      </c>
      <c r="O234">
        <v>8.0551577318196781</v>
      </c>
      <c r="P234">
        <f t="shared" si="24"/>
        <v>2.5110220797878835E-2</v>
      </c>
      <c r="Q234">
        <f t="shared" si="25"/>
        <v>1.370546004151751</v>
      </c>
      <c r="R234">
        <f t="shared" si="26"/>
        <v>0</v>
      </c>
      <c r="S234">
        <f t="shared" si="27"/>
        <v>1</v>
      </c>
      <c r="T234">
        <f t="shared" si="28"/>
        <v>0</v>
      </c>
      <c r="U234">
        <f t="shared" si="29"/>
        <v>0</v>
      </c>
      <c r="V234">
        <f t="shared" si="30"/>
        <v>0</v>
      </c>
      <c r="W234">
        <f t="shared" si="31"/>
        <v>0</v>
      </c>
    </row>
    <row r="235" spans="1:23" x14ac:dyDescent="0.25">
      <c r="A235" s="1">
        <v>26</v>
      </c>
      <c r="B235" s="1">
        <v>2023</v>
      </c>
      <c r="C235">
        <v>-1.8882860952337699</v>
      </c>
      <c r="D235">
        <v>0.74007847524437753</v>
      </c>
      <c r="E235">
        <v>0.90490617300751686</v>
      </c>
      <c r="F235">
        <v>0.89881898596211529</v>
      </c>
      <c r="G235">
        <v>0.47604782623004671</v>
      </c>
      <c r="H235">
        <v>0.67849029121631166</v>
      </c>
      <c r="I235">
        <v>0.7098567941228926</v>
      </c>
      <c r="J235">
        <v>-0.65549647857021687</v>
      </c>
      <c r="K235">
        <v>0.77993525432492927</v>
      </c>
      <c r="L235">
        <v>-1.2581451381638631</v>
      </c>
      <c r="M235">
        <v>2.4362811612601512</v>
      </c>
      <c r="N235">
        <v>2.391042028589438</v>
      </c>
      <c r="O235">
        <v>8.4658998970286863</v>
      </c>
      <c r="P235">
        <f t="shared" si="24"/>
        <v>4.5239132670713111E-2</v>
      </c>
      <c r="Q235">
        <f t="shared" si="25"/>
        <v>0.41074216520900819</v>
      </c>
      <c r="R235">
        <f t="shared" si="26"/>
        <v>0</v>
      </c>
      <c r="S235">
        <f t="shared" si="27"/>
        <v>1</v>
      </c>
      <c r="T235">
        <f t="shared" si="28"/>
        <v>0</v>
      </c>
      <c r="U235">
        <f t="shared" si="29"/>
        <v>0</v>
      </c>
      <c r="V235">
        <f t="shared" si="30"/>
        <v>0</v>
      </c>
      <c r="W235">
        <f t="shared" si="31"/>
        <v>0</v>
      </c>
    </row>
    <row r="236" spans="1:23" x14ac:dyDescent="0.25">
      <c r="A236" s="1">
        <v>27</v>
      </c>
      <c r="B236" s="1">
        <v>2006</v>
      </c>
      <c r="C236">
        <v>-2.893807405044873</v>
      </c>
      <c r="D236">
        <v>1.0296194171811579</v>
      </c>
      <c r="E236">
        <v>0.97093042083247871</v>
      </c>
      <c r="F236">
        <v>0.87016302023036873</v>
      </c>
      <c r="G236">
        <v>0.66782937257565544</v>
      </c>
      <c r="H236">
        <v>0.54371866706801619</v>
      </c>
      <c r="I236">
        <v>0.37891577287462791</v>
      </c>
      <c r="J236">
        <v>-16.11809565095832</v>
      </c>
      <c r="K236">
        <v>0.83755816851655263</v>
      </c>
      <c r="L236">
        <v>-2.6698411578857231</v>
      </c>
      <c r="M236">
        <v>2.0388695587168271</v>
      </c>
      <c r="N236">
        <v>1.9880358888256391</v>
      </c>
      <c r="O236">
        <v>-11.51292546497023</v>
      </c>
      <c r="P236">
        <f t="shared" si="24"/>
        <v>5.0833669891187983E-2</v>
      </c>
      <c r="Q236">
        <f t="shared" si="25"/>
        <v>0</v>
      </c>
      <c r="R236">
        <f t="shared" si="26"/>
        <v>0</v>
      </c>
      <c r="S236">
        <f t="shared" si="27"/>
        <v>1</v>
      </c>
      <c r="T236">
        <f t="shared" si="28"/>
        <v>0</v>
      </c>
      <c r="U236">
        <f t="shared" si="29"/>
        <v>0</v>
      </c>
      <c r="V236">
        <f t="shared" si="30"/>
        <v>0</v>
      </c>
      <c r="W236">
        <f t="shared" si="31"/>
        <v>0</v>
      </c>
    </row>
    <row r="237" spans="1:23" x14ac:dyDescent="0.25">
      <c r="A237" s="1">
        <v>27</v>
      </c>
      <c r="B237" s="1">
        <v>2007</v>
      </c>
      <c r="C237">
        <v>-2.9388830404534758</v>
      </c>
      <c r="D237">
        <v>0.98600334428545533</v>
      </c>
      <c r="E237">
        <v>1.0296194171811579</v>
      </c>
      <c r="F237">
        <v>0.97093042083247871</v>
      </c>
      <c r="G237">
        <v>0.52732869586500486</v>
      </c>
      <c r="H237">
        <v>0.66782937257565544</v>
      </c>
      <c r="I237">
        <v>0.54371866706801619</v>
      </c>
      <c r="J237">
        <v>-16.11809565095832</v>
      </c>
      <c r="K237">
        <v>0.83755816851655263</v>
      </c>
      <c r="L237">
        <v>-2.576804968778645</v>
      </c>
      <c r="M237">
        <v>2.0969943318717892</v>
      </c>
      <c r="N237">
        <v>2.026343168322208</v>
      </c>
      <c r="O237">
        <v>-11.51292546497023</v>
      </c>
      <c r="P237">
        <f t="shared" si="24"/>
        <v>7.0651163549581231E-2</v>
      </c>
      <c r="Q237">
        <f t="shared" si="25"/>
        <v>0</v>
      </c>
      <c r="R237">
        <f t="shared" si="26"/>
        <v>0</v>
      </c>
      <c r="S237">
        <f t="shared" si="27"/>
        <v>1</v>
      </c>
      <c r="T237">
        <f t="shared" si="28"/>
        <v>0</v>
      </c>
      <c r="U237">
        <f t="shared" si="29"/>
        <v>0</v>
      </c>
      <c r="V237">
        <f t="shared" si="30"/>
        <v>0</v>
      </c>
      <c r="W237">
        <f t="shared" si="31"/>
        <v>0</v>
      </c>
    </row>
    <row r="238" spans="1:23" x14ac:dyDescent="0.25">
      <c r="A238" s="1">
        <v>27</v>
      </c>
      <c r="B238" s="1">
        <v>2008</v>
      </c>
      <c r="C238">
        <v>-2.898338237181119</v>
      </c>
      <c r="D238">
        <v>0.91428872920348203</v>
      </c>
      <c r="E238">
        <v>0.98600334428545533</v>
      </c>
      <c r="F238">
        <v>1.0296194171811579</v>
      </c>
      <c r="G238">
        <v>0.48679928916313631</v>
      </c>
      <c r="H238">
        <v>0.52732869586500486</v>
      </c>
      <c r="I238">
        <v>0.66782937257565544</v>
      </c>
      <c r="J238">
        <v>-16.11809565095832</v>
      </c>
      <c r="K238">
        <v>0.83755816851655263</v>
      </c>
      <c r="L238">
        <v>-2.4762575176998389</v>
      </c>
      <c r="M238">
        <v>2.1140985810061821</v>
      </c>
      <c r="N238">
        <v>2.0846229127046909</v>
      </c>
      <c r="O238">
        <v>-11.51292546497023</v>
      </c>
      <c r="P238">
        <f t="shared" si="24"/>
        <v>2.9475668301491176E-2</v>
      </c>
      <c r="Q238">
        <f t="shared" si="25"/>
        <v>0</v>
      </c>
      <c r="R238">
        <f t="shared" si="26"/>
        <v>0</v>
      </c>
      <c r="S238">
        <f t="shared" si="27"/>
        <v>1</v>
      </c>
      <c r="T238">
        <f t="shared" si="28"/>
        <v>0</v>
      </c>
      <c r="U238">
        <f t="shared" si="29"/>
        <v>0</v>
      </c>
      <c r="V238">
        <f t="shared" si="30"/>
        <v>0</v>
      </c>
      <c r="W238">
        <f t="shared" si="31"/>
        <v>0</v>
      </c>
    </row>
    <row r="239" spans="1:23" x14ac:dyDescent="0.25">
      <c r="A239" s="1">
        <v>27</v>
      </c>
      <c r="B239" s="1">
        <v>2009</v>
      </c>
      <c r="C239">
        <v>-2.8674743324473879</v>
      </c>
      <c r="D239">
        <v>0.84638315645880335</v>
      </c>
      <c r="E239">
        <v>0.91428872920348203</v>
      </c>
      <c r="F239">
        <v>0.98600334428545533</v>
      </c>
      <c r="G239">
        <v>0.42781351177192622</v>
      </c>
      <c r="H239">
        <v>0.48679928916313631</v>
      </c>
      <c r="I239">
        <v>0.52732869586500486</v>
      </c>
      <c r="J239">
        <v>-16.11809565095832</v>
      </c>
      <c r="K239">
        <v>0.83755816851655263</v>
      </c>
      <c r="L239">
        <v>-2.3629823640902869</v>
      </c>
      <c r="M239">
        <v>2.117158154833088</v>
      </c>
      <c r="N239">
        <v>2.1050121059029281</v>
      </c>
      <c r="O239">
        <v>-11.51292546497023</v>
      </c>
      <c r="P239">
        <f t="shared" si="24"/>
        <v>1.2146048930159914E-2</v>
      </c>
      <c r="Q239">
        <f t="shared" si="25"/>
        <v>0</v>
      </c>
      <c r="R239">
        <f t="shared" si="26"/>
        <v>0</v>
      </c>
      <c r="S239">
        <f t="shared" si="27"/>
        <v>1</v>
      </c>
      <c r="T239">
        <f t="shared" si="28"/>
        <v>0</v>
      </c>
      <c r="U239">
        <f t="shared" si="29"/>
        <v>0</v>
      </c>
      <c r="V239">
        <f t="shared" si="30"/>
        <v>0</v>
      </c>
      <c r="W239">
        <f t="shared" si="31"/>
        <v>0</v>
      </c>
    </row>
    <row r="240" spans="1:23" x14ac:dyDescent="0.25">
      <c r="A240" s="1">
        <v>27</v>
      </c>
      <c r="B240" s="1">
        <v>2010</v>
      </c>
      <c r="C240">
        <v>-2.552481695903928</v>
      </c>
      <c r="D240">
        <v>0.80370417112458914</v>
      </c>
      <c r="E240">
        <v>0.84638315645880335</v>
      </c>
      <c r="F240">
        <v>0.91428872920348203</v>
      </c>
      <c r="G240">
        <v>0.47237581339079121</v>
      </c>
      <c r="H240">
        <v>0.42781351177192622</v>
      </c>
      <c r="I240">
        <v>0.48679928916313631</v>
      </c>
      <c r="J240">
        <v>-8.0550770936479079</v>
      </c>
      <c r="K240">
        <v>0.83755816851655263</v>
      </c>
      <c r="L240">
        <v>-2.233167938684173</v>
      </c>
      <c r="M240">
        <v>2.1534302850945268</v>
      </c>
      <c r="N240">
        <v>2.119175963097788</v>
      </c>
      <c r="O240">
        <v>-11.51292546497023</v>
      </c>
      <c r="P240">
        <f t="shared" si="24"/>
        <v>3.4254321996738835E-2</v>
      </c>
      <c r="Q240">
        <f t="shared" si="25"/>
        <v>0</v>
      </c>
      <c r="R240">
        <f t="shared" si="26"/>
        <v>0</v>
      </c>
      <c r="S240">
        <f t="shared" si="27"/>
        <v>1</v>
      </c>
      <c r="T240">
        <f t="shared" si="28"/>
        <v>0</v>
      </c>
      <c r="U240">
        <f t="shared" si="29"/>
        <v>0</v>
      </c>
      <c r="V240">
        <f t="shared" si="30"/>
        <v>0</v>
      </c>
      <c r="W240">
        <f t="shared" si="31"/>
        <v>0</v>
      </c>
    </row>
    <row r="241" spans="1:23" x14ac:dyDescent="0.25">
      <c r="A241" s="1">
        <v>27</v>
      </c>
      <c r="B241" s="1">
        <v>2011</v>
      </c>
      <c r="C241">
        <v>-2.3390053546446499</v>
      </c>
      <c r="D241">
        <v>0.77320527273052442</v>
      </c>
      <c r="E241">
        <v>0.80370417112458914</v>
      </c>
      <c r="F241">
        <v>0.84638315645880335</v>
      </c>
      <c r="G241">
        <v>0.55181400444330142</v>
      </c>
      <c r="H241">
        <v>0.47237581339079121</v>
      </c>
      <c r="I241">
        <v>0.42781351177192622</v>
      </c>
      <c r="J241">
        <v>-6.6667608444795556</v>
      </c>
      <c r="K241">
        <v>0.83755816851655263</v>
      </c>
      <c r="L241">
        <v>-2.1089469761102739</v>
      </c>
      <c r="M241">
        <v>2.2297628798534999</v>
      </c>
      <c r="N241">
        <v>2.1554521731430301</v>
      </c>
      <c r="O241">
        <v>-11.51292546497023</v>
      </c>
      <c r="P241">
        <f t="shared" si="24"/>
        <v>7.4310706710469798E-2</v>
      </c>
      <c r="Q241">
        <f t="shared" si="25"/>
        <v>0</v>
      </c>
      <c r="R241">
        <f t="shared" si="26"/>
        <v>0</v>
      </c>
      <c r="S241">
        <f t="shared" si="27"/>
        <v>1</v>
      </c>
      <c r="T241">
        <f t="shared" si="28"/>
        <v>0</v>
      </c>
      <c r="U241">
        <f t="shared" si="29"/>
        <v>0</v>
      </c>
      <c r="V241">
        <f t="shared" si="30"/>
        <v>0</v>
      </c>
      <c r="W241">
        <f t="shared" si="31"/>
        <v>0</v>
      </c>
    </row>
    <row r="242" spans="1:23" x14ac:dyDescent="0.25">
      <c r="A242" s="1">
        <v>27</v>
      </c>
      <c r="B242" s="1">
        <v>2012</v>
      </c>
      <c r="C242">
        <v>-2.16336344541019</v>
      </c>
      <c r="D242">
        <v>0.69494556250132467</v>
      </c>
      <c r="E242">
        <v>0.77320527273052442</v>
      </c>
      <c r="F242">
        <v>0.80370417112458914</v>
      </c>
      <c r="G242">
        <v>0.49944106489935253</v>
      </c>
      <c r="H242">
        <v>0.55181400444330142</v>
      </c>
      <c r="I242">
        <v>0.47237581339079121</v>
      </c>
      <c r="J242">
        <v>-6.1141473055257016</v>
      </c>
      <c r="K242">
        <v>0.83755816851655263</v>
      </c>
      <c r="L242">
        <v>-1.997829271382167</v>
      </c>
      <c r="M242">
        <v>2.236666080771669</v>
      </c>
      <c r="N242">
        <v>2.2227606308718921</v>
      </c>
      <c r="O242">
        <v>-11.51292546497023</v>
      </c>
      <c r="P242">
        <f t="shared" si="24"/>
        <v>1.3905449899776823E-2</v>
      </c>
      <c r="Q242">
        <f t="shared" si="25"/>
        <v>0</v>
      </c>
      <c r="R242">
        <f t="shared" si="26"/>
        <v>0</v>
      </c>
      <c r="S242">
        <f t="shared" si="27"/>
        <v>1</v>
      </c>
      <c r="T242">
        <f t="shared" si="28"/>
        <v>0</v>
      </c>
      <c r="U242">
        <f t="shared" si="29"/>
        <v>0</v>
      </c>
      <c r="V242">
        <f t="shared" si="30"/>
        <v>0</v>
      </c>
      <c r="W242">
        <f t="shared" si="31"/>
        <v>0</v>
      </c>
    </row>
    <row r="243" spans="1:23" x14ac:dyDescent="0.25">
      <c r="A243" s="1">
        <v>27</v>
      </c>
      <c r="B243" s="1">
        <v>2013</v>
      </c>
      <c r="C243">
        <v>-2.1092024062409052</v>
      </c>
      <c r="D243">
        <v>0.68355128688649835</v>
      </c>
      <c r="E243">
        <v>0.69494556250132467</v>
      </c>
      <c r="F243">
        <v>0.77320527273052442</v>
      </c>
      <c r="G243">
        <v>0.51018541887856739</v>
      </c>
      <c r="H243">
        <v>0.49944106489935253</v>
      </c>
      <c r="I243">
        <v>0.55181400444330142</v>
      </c>
      <c r="J243">
        <v>-5.3293723184168256</v>
      </c>
      <c r="K243">
        <v>0.83755816851655263</v>
      </c>
      <c r="L243">
        <v>-1.9389473345789749</v>
      </c>
      <c r="M243">
        <v>2.1956150157495049</v>
      </c>
      <c r="N243">
        <v>2.194762494696052</v>
      </c>
      <c r="O243">
        <v>-11.51292546497023</v>
      </c>
      <c r="P243">
        <f t="shared" si="24"/>
        <v>8.5252105345290374E-4</v>
      </c>
      <c r="Q243">
        <f t="shared" si="25"/>
        <v>0</v>
      </c>
      <c r="R243">
        <f t="shared" si="26"/>
        <v>0</v>
      </c>
      <c r="S243">
        <f t="shared" si="27"/>
        <v>1</v>
      </c>
      <c r="T243">
        <f t="shared" si="28"/>
        <v>0</v>
      </c>
      <c r="U243">
        <f t="shared" si="29"/>
        <v>0</v>
      </c>
      <c r="V243">
        <f t="shared" si="30"/>
        <v>0</v>
      </c>
      <c r="W243">
        <f t="shared" si="31"/>
        <v>0</v>
      </c>
    </row>
    <row r="244" spans="1:23" x14ac:dyDescent="0.25">
      <c r="A244" s="1">
        <v>27</v>
      </c>
      <c r="B244" s="1">
        <v>2014</v>
      </c>
      <c r="C244">
        <v>-2.0178092740909261</v>
      </c>
      <c r="D244">
        <v>0.65876275369811454</v>
      </c>
      <c r="E244">
        <v>0.68355128688649835</v>
      </c>
      <c r="F244">
        <v>0.69494556250132467</v>
      </c>
      <c r="G244">
        <v>0.48833458593045898</v>
      </c>
      <c r="H244">
        <v>0.51018541887856739</v>
      </c>
      <c r="I244">
        <v>0.49944106489935253</v>
      </c>
      <c r="J244">
        <v>-4.6425051077308606</v>
      </c>
      <c r="K244">
        <v>0.83755816851655263</v>
      </c>
      <c r="L244">
        <v>-1.856258132411662</v>
      </c>
      <c r="M244">
        <v>2.2082315199032889</v>
      </c>
      <c r="N244">
        <v>2.189335045875517</v>
      </c>
      <c r="O244">
        <v>-11.51292546497023</v>
      </c>
      <c r="P244">
        <f t="shared" si="24"/>
        <v>1.8896474027771948E-2</v>
      </c>
      <c r="Q244">
        <f t="shared" si="25"/>
        <v>0</v>
      </c>
      <c r="R244">
        <f t="shared" si="26"/>
        <v>0</v>
      </c>
      <c r="S244">
        <f t="shared" si="27"/>
        <v>1</v>
      </c>
      <c r="T244">
        <f t="shared" si="28"/>
        <v>0</v>
      </c>
      <c r="U244">
        <f t="shared" si="29"/>
        <v>0</v>
      </c>
      <c r="V244">
        <f t="shared" si="30"/>
        <v>0</v>
      </c>
      <c r="W244">
        <f t="shared" si="31"/>
        <v>0</v>
      </c>
    </row>
    <row r="245" spans="1:23" x14ac:dyDescent="0.25">
      <c r="A245" s="1">
        <v>27</v>
      </c>
      <c r="B245" s="1">
        <v>2015</v>
      </c>
      <c r="C245">
        <v>-2.0598646371223368</v>
      </c>
      <c r="D245">
        <v>0.67661121191984575</v>
      </c>
      <c r="E245">
        <v>0.65876275369811454</v>
      </c>
      <c r="F245">
        <v>0.68355128688649835</v>
      </c>
      <c r="G245">
        <v>0.4295071025884023</v>
      </c>
      <c r="H245">
        <v>0.48833458593045898</v>
      </c>
      <c r="I245">
        <v>0.51018541887856739</v>
      </c>
      <c r="J245">
        <v>-4.1627613703805331</v>
      </c>
      <c r="K245">
        <v>0.83755816851655263</v>
      </c>
      <c r="L245">
        <v>-1.794602835233692</v>
      </c>
      <c r="M245">
        <v>2.2531619595182182</v>
      </c>
      <c r="N245">
        <v>2.202467441471915</v>
      </c>
      <c r="O245">
        <v>-11.51292546497023</v>
      </c>
      <c r="P245">
        <f t="shared" si="24"/>
        <v>5.0694518046303205E-2</v>
      </c>
      <c r="Q245">
        <f t="shared" si="25"/>
        <v>0</v>
      </c>
      <c r="R245">
        <f t="shared" si="26"/>
        <v>0</v>
      </c>
      <c r="S245">
        <f t="shared" si="27"/>
        <v>1</v>
      </c>
      <c r="T245">
        <f t="shared" si="28"/>
        <v>0</v>
      </c>
      <c r="U245">
        <f t="shared" si="29"/>
        <v>0</v>
      </c>
      <c r="V245">
        <f t="shared" si="30"/>
        <v>0</v>
      </c>
      <c r="W245">
        <f t="shared" si="31"/>
        <v>1</v>
      </c>
    </row>
    <row r="246" spans="1:23" x14ac:dyDescent="0.25">
      <c r="A246" s="1">
        <v>27</v>
      </c>
      <c r="B246" s="1">
        <v>2016</v>
      </c>
      <c r="C246">
        <v>-2.001373485507532</v>
      </c>
      <c r="D246">
        <v>0.72750029693160778</v>
      </c>
      <c r="E246">
        <v>0.67661121191984575</v>
      </c>
      <c r="F246">
        <v>0.65876275369811454</v>
      </c>
      <c r="G246">
        <v>0.56713033997645834</v>
      </c>
      <c r="H246">
        <v>0.4295071025884023</v>
      </c>
      <c r="I246">
        <v>0.48833458593045898</v>
      </c>
      <c r="J246">
        <v>-3.8018994608322281</v>
      </c>
      <c r="K246">
        <v>0.8375581685165524</v>
      </c>
      <c r="L246">
        <v>-1.7494814545672011</v>
      </c>
      <c r="M246">
        <v>2.2346080184088182</v>
      </c>
      <c r="N246">
        <v>2.2477794741116419</v>
      </c>
      <c r="O246">
        <v>-11.51292546497023</v>
      </c>
      <c r="P246">
        <f t="shared" si="24"/>
        <v>-1.3171455702823742E-2</v>
      </c>
      <c r="Q246">
        <f t="shared" si="25"/>
        <v>0</v>
      </c>
      <c r="R246">
        <f t="shared" si="26"/>
        <v>0</v>
      </c>
      <c r="S246">
        <f t="shared" si="27"/>
        <v>1</v>
      </c>
      <c r="T246">
        <f t="shared" si="28"/>
        <v>0</v>
      </c>
      <c r="U246">
        <f t="shared" si="29"/>
        <v>0</v>
      </c>
      <c r="V246">
        <f t="shared" si="30"/>
        <v>0</v>
      </c>
      <c r="W246">
        <f t="shared" si="31"/>
        <v>1</v>
      </c>
    </row>
    <row r="247" spans="1:23" x14ac:dyDescent="0.25">
      <c r="A247" s="1">
        <v>27</v>
      </c>
      <c r="B247" s="1">
        <v>2017</v>
      </c>
      <c r="C247">
        <v>-2.0026459718285721</v>
      </c>
      <c r="D247">
        <v>0.724500488217941</v>
      </c>
      <c r="E247">
        <v>0.72750029693160778</v>
      </c>
      <c r="F247">
        <v>0.67661121191984575</v>
      </c>
      <c r="G247">
        <v>0.53807107265618603</v>
      </c>
      <c r="H247">
        <v>0.56713033997645834</v>
      </c>
      <c r="I247">
        <v>0.4295071025884023</v>
      </c>
      <c r="J247">
        <v>-3.1407878037231169</v>
      </c>
      <c r="K247">
        <v>0.8375581685165524</v>
      </c>
      <c r="L247">
        <v>-1.7048882160364009</v>
      </c>
      <c r="M247">
        <v>2.2596821472676689</v>
      </c>
      <c r="N247">
        <v>2.2296011673459009</v>
      </c>
      <c r="O247">
        <v>-11.51292546497023</v>
      </c>
      <c r="P247">
        <f t="shared" si="24"/>
        <v>3.0080979921768058E-2</v>
      </c>
      <c r="Q247">
        <f t="shared" si="25"/>
        <v>0</v>
      </c>
      <c r="R247">
        <f t="shared" si="26"/>
        <v>0</v>
      </c>
      <c r="S247">
        <f t="shared" si="27"/>
        <v>1</v>
      </c>
      <c r="T247">
        <f t="shared" si="28"/>
        <v>0</v>
      </c>
      <c r="U247">
        <f t="shared" si="29"/>
        <v>0</v>
      </c>
      <c r="V247">
        <f t="shared" si="30"/>
        <v>0</v>
      </c>
      <c r="W247">
        <f t="shared" si="31"/>
        <v>1</v>
      </c>
    </row>
    <row r="248" spans="1:23" x14ac:dyDescent="0.25">
      <c r="A248" s="1">
        <v>27</v>
      </c>
      <c r="B248" s="1">
        <v>2018</v>
      </c>
      <c r="C248">
        <v>-2.073760835553375</v>
      </c>
      <c r="D248">
        <v>0.84479473016908513</v>
      </c>
      <c r="E248">
        <v>0.724500488217941</v>
      </c>
      <c r="F248">
        <v>0.72750029693160778</v>
      </c>
      <c r="G248">
        <v>0.57605140868369809</v>
      </c>
      <c r="H248">
        <v>0.53807107265618603</v>
      </c>
      <c r="I248">
        <v>0.56713033997645834</v>
      </c>
      <c r="J248">
        <v>-2.6836190814855039</v>
      </c>
      <c r="K248">
        <v>0.83755816851655263</v>
      </c>
      <c r="L248">
        <v>-1.640373601863762</v>
      </c>
      <c r="M248">
        <v>2.2606785209916982</v>
      </c>
      <c r="N248">
        <v>2.275507473732215</v>
      </c>
      <c r="O248">
        <v>3.2580965380214821</v>
      </c>
      <c r="P248">
        <f t="shared" si="24"/>
        <v>-1.4828952740516765E-2</v>
      </c>
      <c r="Q248">
        <f t="shared" si="25"/>
        <v>14.771022002991712</v>
      </c>
      <c r="R248">
        <f t="shared" si="26"/>
        <v>0</v>
      </c>
      <c r="S248">
        <f t="shared" si="27"/>
        <v>1</v>
      </c>
      <c r="T248">
        <f t="shared" si="28"/>
        <v>0</v>
      </c>
      <c r="U248">
        <f t="shared" si="29"/>
        <v>0</v>
      </c>
      <c r="V248">
        <f t="shared" si="30"/>
        <v>0</v>
      </c>
      <c r="W248">
        <f t="shared" si="31"/>
        <v>1</v>
      </c>
    </row>
    <row r="249" spans="1:23" x14ac:dyDescent="0.25">
      <c r="A249" s="1">
        <v>27</v>
      </c>
      <c r="B249" s="1">
        <v>2019</v>
      </c>
      <c r="C249">
        <v>-2.032838298703612</v>
      </c>
      <c r="D249">
        <v>0.79818264339382605</v>
      </c>
      <c r="E249">
        <v>0.84479473016908513</v>
      </c>
      <c r="F249">
        <v>0.724500488217941</v>
      </c>
      <c r="G249">
        <v>0.55382764031053344</v>
      </c>
      <c r="H249">
        <v>0.57605140868369809</v>
      </c>
      <c r="I249">
        <v>0.53807107265618603</v>
      </c>
      <c r="J249">
        <v>-1.9144557388563139</v>
      </c>
      <c r="K249">
        <v>0.83755816851655263</v>
      </c>
      <c r="L249">
        <v>-1.5886572799625751</v>
      </c>
      <c r="M249">
        <v>2.295256970206228</v>
      </c>
      <c r="N249">
        <v>2.2563131646099812</v>
      </c>
      <c r="O249">
        <v>5.393627546352362</v>
      </c>
      <c r="P249">
        <f t="shared" si="24"/>
        <v>3.8943805596246772E-2</v>
      </c>
      <c r="Q249">
        <f t="shared" si="25"/>
        <v>2.1355310083308798</v>
      </c>
      <c r="R249">
        <f t="shared" si="26"/>
        <v>0</v>
      </c>
      <c r="S249">
        <f t="shared" si="27"/>
        <v>1</v>
      </c>
      <c r="T249">
        <f t="shared" si="28"/>
        <v>0</v>
      </c>
      <c r="U249">
        <f t="shared" si="29"/>
        <v>0</v>
      </c>
      <c r="V249">
        <f t="shared" si="30"/>
        <v>0</v>
      </c>
      <c r="W249">
        <f t="shared" si="31"/>
        <v>1</v>
      </c>
    </row>
    <row r="250" spans="1:23" x14ac:dyDescent="0.25">
      <c r="A250" s="1">
        <v>27</v>
      </c>
      <c r="B250" s="1">
        <v>2020</v>
      </c>
      <c r="C250">
        <v>-2.0677555160978001</v>
      </c>
      <c r="D250">
        <v>0.72933445132165775</v>
      </c>
      <c r="E250">
        <v>0.79818264339382605</v>
      </c>
      <c r="F250">
        <v>0.84479473016908513</v>
      </c>
      <c r="G250">
        <v>0.4924987070731065</v>
      </c>
      <c r="H250">
        <v>0.55382764031053344</v>
      </c>
      <c r="I250">
        <v>0.57605140868369809</v>
      </c>
      <c r="J250">
        <v>-1.270232976206414</v>
      </c>
      <c r="K250">
        <v>0.83755816851655263</v>
      </c>
      <c r="L250">
        <v>-1.5508103434110101</v>
      </c>
      <c r="M250">
        <v>2.297717739630567</v>
      </c>
      <c r="N250">
        <v>2.2910153097630568</v>
      </c>
      <c r="O250">
        <v>5.9914645471079817</v>
      </c>
      <c r="P250">
        <f t="shared" si="24"/>
        <v>6.7024298675102401E-3</v>
      </c>
      <c r="Q250">
        <f t="shared" si="25"/>
        <v>0.59783700075561974</v>
      </c>
      <c r="R250">
        <f t="shared" si="26"/>
        <v>0</v>
      </c>
      <c r="S250">
        <f t="shared" si="27"/>
        <v>1</v>
      </c>
      <c r="T250">
        <f t="shared" si="28"/>
        <v>0</v>
      </c>
      <c r="U250">
        <f t="shared" si="29"/>
        <v>0</v>
      </c>
      <c r="V250">
        <f t="shared" si="30"/>
        <v>1</v>
      </c>
      <c r="W250">
        <f t="shared" si="31"/>
        <v>1</v>
      </c>
    </row>
    <row r="251" spans="1:23" x14ac:dyDescent="0.25">
      <c r="A251" s="1">
        <v>27</v>
      </c>
      <c r="B251" s="1">
        <v>2021</v>
      </c>
      <c r="C251">
        <v>-2.0350303845228228</v>
      </c>
      <c r="D251">
        <v>0.91776963775355425</v>
      </c>
      <c r="E251">
        <v>0.72933445132165775</v>
      </c>
      <c r="F251">
        <v>0.79818264339382605</v>
      </c>
      <c r="G251">
        <v>0.72445203038835781</v>
      </c>
      <c r="H251">
        <v>0.4924987070731065</v>
      </c>
      <c r="I251">
        <v>0.55382764031053344</v>
      </c>
      <c r="J251">
        <v>-0.64821845767071162</v>
      </c>
      <c r="K251">
        <v>0.83755816851655263</v>
      </c>
      <c r="L251">
        <v>-1.505719137222969</v>
      </c>
      <c r="M251">
        <v>2.358827079517972</v>
      </c>
      <c r="N251">
        <v>2.2936063097194519</v>
      </c>
      <c r="O251">
        <v>6.6846117276679271</v>
      </c>
      <c r="P251">
        <f t="shared" si="24"/>
        <v>6.5220769798520095E-2</v>
      </c>
      <c r="Q251">
        <f t="shared" si="25"/>
        <v>0.6931471805599454</v>
      </c>
      <c r="R251">
        <f t="shared" si="26"/>
        <v>0</v>
      </c>
      <c r="S251">
        <f t="shared" si="27"/>
        <v>1</v>
      </c>
      <c r="T251">
        <f t="shared" si="28"/>
        <v>0</v>
      </c>
      <c r="U251">
        <f t="shared" si="29"/>
        <v>0</v>
      </c>
      <c r="V251">
        <f t="shared" si="30"/>
        <v>0</v>
      </c>
      <c r="W251">
        <f t="shared" si="31"/>
        <v>1</v>
      </c>
    </row>
    <row r="252" spans="1:23" x14ac:dyDescent="0.25">
      <c r="A252" s="1">
        <v>27</v>
      </c>
      <c r="B252" s="1">
        <v>2022</v>
      </c>
      <c r="C252">
        <v>-1.975073198276198</v>
      </c>
      <c r="D252">
        <v>0.9065231843151027</v>
      </c>
      <c r="E252">
        <v>0.91776963775355425</v>
      </c>
      <c r="F252">
        <v>0.72933445132165775</v>
      </c>
      <c r="G252">
        <v>0.67023672897683917</v>
      </c>
      <c r="H252">
        <v>0.72445203038835781</v>
      </c>
      <c r="I252">
        <v>0.4924987070731065</v>
      </c>
      <c r="J252">
        <v>-0.26962636781364357</v>
      </c>
      <c r="K252">
        <v>0.83755816851655263</v>
      </c>
      <c r="L252">
        <v>-1.4599073422849631</v>
      </c>
      <c r="M252">
        <v>2.274000264712583</v>
      </c>
      <c r="N252">
        <v>2.358827079517972</v>
      </c>
      <c r="O252">
        <v>8.0551577318196781</v>
      </c>
      <c r="P252">
        <f t="shared" si="24"/>
        <v>-8.4826814805389006E-2</v>
      </c>
      <c r="Q252">
        <f t="shared" si="25"/>
        <v>1.370546004151751</v>
      </c>
      <c r="R252">
        <f t="shared" si="26"/>
        <v>0</v>
      </c>
      <c r="S252">
        <f t="shared" si="27"/>
        <v>1</v>
      </c>
      <c r="T252">
        <f t="shared" si="28"/>
        <v>0</v>
      </c>
      <c r="U252">
        <f t="shared" si="29"/>
        <v>0</v>
      </c>
      <c r="V252">
        <f t="shared" si="30"/>
        <v>0</v>
      </c>
      <c r="W252">
        <f t="shared" si="31"/>
        <v>0</v>
      </c>
    </row>
    <row r="253" spans="1:23" x14ac:dyDescent="0.25">
      <c r="A253" s="1">
        <v>27</v>
      </c>
      <c r="B253" s="1">
        <v>2023</v>
      </c>
      <c r="C253">
        <v>-1.896478949702052</v>
      </c>
      <c r="D253">
        <v>0.76197337148979782</v>
      </c>
      <c r="E253">
        <v>0.9065231843151027</v>
      </c>
      <c r="F253">
        <v>0.91776963775355425</v>
      </c>
      <c r="G253">
        <v>0.4879663296199081</v>
      </c>
      <c r="H253">
        <v>0.67023672897683917</v>
      </c>
      <c r="I253">
        <v>0.72445203038835781</v>
      </c>
      <c r="J253">
        <v>0.35258052097495479</v>
      </c>
      <c r="K253">
        <v>0.83755816851655263</v>
      </c>
      <c r="L253">
        <v>-1.4096688125484551</v>
      </c>
      <c r="M253">
        <v>2.3884407371539851</v>
      </c>
      <c r="N253">
        <v>2.274000264712583</v>
      </c>
      <c r="O253">
        <v>8.4658998970286863</v>
      </c>
      <c r="P253">
        <f t="shared" si="24"/>
        <v>0.1144404724414021</v>
      </c>
      <c r="Q253">
        <f t="shared" si="25"/>
        <v>0.41074216520900819</v>
      </c>
      <c r="R253">
        <f t="shared" si="26"/>
        <v>0</v>
      </c>
      <c r="S253">
        <f t="shared" si="27"/>
        <v>1</v>
      </c>
      <c r="T253">
        <f t="shared" si="28"/>
        <v>0</v>
      </c>
      <c r="U253">
        <f t="shared" si="29"/>
        <v>0</v>
      </c>
      <c r="V253">
        <f t="shared" si="30"/>
        <v>0</v>
      </c>
      <c r="W253">
        <f t="shared" si="31"/>
        <v>0</v>
      </c>
    </row>
    <row r="254" spans="1:23" x14ac:dyDescent="0.25">
      <c r="A254" s="1">
        <v>28</v>
      </c>
      <c r="B254" s="1">
        <v>2006</v>
      </c>
      <c r="C254">
        <v>-2.4606930434845151</v>
      </c>
      <c r="D254">
        <v>0.93609335917033476</v>
      </c>
      <c r="E254">
        <v>0.87246422833360116</v>
      </c>
      <c r="F254">
        <v>0.80897274606553571</v>
      </c>
      <c r="G254">
        <v>0.71783979315031676</v>
      </c>
      <c r="H254">
        <v>0.58478215588182025</v>
      </c>
      <c r="I254">
        <v>0.4439162944824171</v>
      </c>
      <c r="J254">
        <v>-16.11809565095832</v>
      </c>
      <c r="K254">
        <v>0.72379967174414939</v>
      </c>
      <c r="L254">
        <v>-2.2437468778448921</v>
      </c>
      <c r="M254">
        <v>2.40297520420207</v>
      </c>
      <c r="N254">
        <v>2.339351784970658</v>
      </c>
      <c r="O254">
        <v>-11.51292546497023</v>
      </c>
      <c r="P254">
        <f t="shared" si="24"/>
        <v>6.3623419231412015E-2</v>
      </c>
      <c r="Q254">
        <f t="shared" si="25"/>
        <v>0</v>
      </c>
      <c r="R254">
        <f t="shared" si="26"/>
        <v>0</v>
      </c>
      <c r="S254">
        <f t="shared" si="27"/>
        <v>1</v>
      </c>
      <c r="T254">
        <f t="shared" si="28"/>
        <v>0</v>
      </c>
      <c r="U254">
        <f t="shared" si="29"/>
        <v>0</v>
      </c>
      <c r="V254">
        <f t="shared" si="30"/>
        <v>0</v>
      </c>
      <c r="W254">
        <f t="shared" si="31"/>
        <v>0</v>
      </c>
    </row>
    <row r="255" spans="1:23" x14ac:dyDescent="0.25">
      <c r="A255" s="1">
        <v>28</v>
      </c>
      <c r="B255" s="1">
        <v>2007</v>
      </c>
      <c r="C255">
        <v>-2.4282767174428939</v>
      </c>
      <c r="D255">
        <v>0.88062210259469464</v>
      </c>
      <c r="E255">
        <v>0.93609335917033476</v>
      </c>
      <c r="F255">
        <v>0.87246422833360116</v>
      </c>
      <c r="G255">
        <v>0.59823192276365766</v>
      </c>
      <c r="H255">
        <v>0.71783979315031676</v>
      </c>
      <c r="I255">
        <v>0.58478215588182025</v>
      </c>
      <c r="J255">
        <v>-16.11809565095832</v>
      </c>
      <c r="K255">
        <v>0.72379967174414939</v>
      </c>
      <c r="L255">
        <v>-2.141127947275046</v>
      </c>
      <c r="M255">
        <v>2.4448609285518201</v>
      </c>
      <c r="N255">
        <v>2.403316136530306</v>
      </c>
      <c r="O255">
        <v>-11.51292546497023</v>
      </c>
      <c r="P255">
        <f t="shared" si="24"/>
        <v>4.1544792021514176E-2</v>
      </c>
      <c r="Q255">
        <f t="shared" si="25"/>
        <v>0</v>
      </c>
      <c r="R255">
        <f t="shared" si="26"/>
        <v>0</v>
      </c>
      <c r="S255">
        <f t="shared" si="27"/>
        <v>1</v>
      </c>
      <c r="T255">
        <f t="shared" si="28"/>
        <v>0</v>
      </c>
      <c r="U255">
        <f t="shared" si="29"/>
        <v>0</v>
      </c>
      <c r="V255">
        <f t="shared" si="30"/>
        <v>0</v>
      </c>
      <c r="W255">
        <f t="shared" si="31"/>
        <v>0</v>
      </c>
    </row>
    <row r="256" spans="1:23" x14ac:dyDescent="0.25">
      <c r="A256" s="1">
        <v>28</v>
      </c>
      <c r="B256" s="1">
        <v>2008</v>
      </c>
      <c r="C256">
        <v>-2.31569538527746</v>
      </c>
      <c r="D256">
        <v>0.82329786502499036</v>
      </c>
      <c r="E256">
        <v>0.88062210259469464</v>
      </c>
      <c r="F256">
        <v>0.93609335917033476</v>
      </c>
      <c r="G256">
        <v>0.50337795863083334</v>
      </c>
      <c r="H256">
        <v>0.59823192276365766</v>
      </c>
      <c r="I256">
        <v>0.71783979315031676</v>
      </c>
      <c r="J256">
        <v>-16.11809565095832</v>
      </c>
      <c r="K256">
        <v>0.72379967174414939</v>
      </c>
      <c r="L256">
        <v>-2.0325922953629618</v>
      </c>
      <c r="M256">
        <v>2.5228724955326638</v>
      </c>
      <c r="N256">
        <v>2.445201977154551</v>
      </c>
      <c r="O256">
        <v>-11.51292546497023</v>
      </c>
      <c r="P256">
        <f t="shared" si="24"/>
        <v>7.7670518378112785E-2</v>
      </c>
      <c r="Q256">
        <f t="shared" si="25"/>
        <v>0</v>
      </c>
      <c r="R256">
        <f t="shared" si="26"/>
        <v>0</v>
      </c>
      <c r="S256">
        <f t="shared" si="27"/>
        <v>1</v>
      </c>
      <c r="T256">
        <f t="shared" si="28"/>
        <v>0</v>
      </c>
      <c r="U256">
        <f t="shared" si="29"/>
        <v>0</v>
      </c>
      <c r="V256">
        <f t="shared" si="30"/>
        <v>0</v>
      </c>
      <c r="W256">
        <f t="shared" si="31"/>
        <v>0</v>
      </c>
    </row>
    <row r="257" spans="1:23" x14ac:dyDescent="0.25">
      <c r="A257" s="1">
        <v>28</v>
      </c>
      <c r="B257" s="1">
        <v>2009</v>
      </c>
      <c r="C257">
        <v>-2.2632473460036282</v>
      </c>
      <c r="D257">
        <v>0.79294726563712226</v>
      </c>
      <c r="E257">
        <v>0.82329786502499036</v>
      </c>
      <c r="F257">
        <v>0.88062210259469464</v>
      </c>
      <c r="G257">
        <v>0.42781351177192622</v>
      </c>
      <c r="H257">
        <v>0.50337795863083334</v>
      </c>
      <c r="I257">
        <v>0.59823192276365766</v>
      </c>
      <c r="J257">
        <v>-16.11809565095832</v>
      </c>
      <c r="K257">
        <v>0.72379967174414939</v>
      </c>
      <c r="L257">
        <v>-1.9110700273691461</v>
      </c>
      <c r="M257">
        <v>2.4555805739085121</v>
      </c>
      <c r="N257">
        <v>2.512768039203535</v>
      </c>
      <c r="O257">
        <v>-11.51292546497023</v>
      </c>
      <c r="P257">
        <f t="shared" si="24"/>
        <v>-5.7187465295022832E-2</v>
      </c>
      <c r="Q257">
        <f t="shared" si="25"/>
        <v>0</v>
      </c>
      <c r="R257">
        <f t="shared" si="26"/>
        <v>0</v>
      </c>
      <c r="S257">
        <f t="shared" si="27"/>
        <v>1</v>
      </c>
      <c r="T257">
        <f t="shared" si="28"/>
        <v>0</v>
      </c>
      <c r="U257">
        <f t="shared" si="29"/>
        <v>0</v>
      </c>
      <c r="V257">
        <f t="shared" si="30"/>
        <v>0</v>
      </c>
      <c r="W257">
        <f t="shared" si="31"/>
        <v>0</v>
      </c>
    </row>
    <row r="258" spans="1:23" x14ac:dyDescent="0.25">
      <c r="A258" s="1">
        <v>28</v>
      </c>
      <c r="B258" s="1">
        <v>2010</v>
      </c>
      <c r="C258">
        <v>-2.0708365835691378</v>
      </c>
      <c r="D258">
        <v>0.75879446179580023</v>
      </c>
      <c r="E258">
        <v>0.79294726563712226</v>
      </c>
      <c r="F258">
        <v>0.82329786502499036</v>
      </c>
      <c r="G258">
        <v>0.45691838969707999</v>
      </c>
      <c r="H258">
        <v>0.42781351177192622</v>
      </c>
      <c r="I258">
        <v>0.50337795863083334</v>
      </c>
      <c r="J258">
        <v>-7.6279089783512841</v>
      </c>
      <c r="K258">
        <v>0.72379967174414939</v>
      </c>
      <c r="L258">
        <v>-1.8006353459649711</v>
      </c>
      <c r="M258">
        <v>2.553395634518715</v>
      </c>
      <c r="N258">
        <v>2.4383654624337199</v>
      </c>
      <c r="O258">
        <v>-11.51292546497023</v>
      </c>
      <c r="P258">
        <f t="shared" si="24"/>
        <v>0.11503017208499511</v>
      </c>
      <c r="Q258">
        <f t="shared" si="25"/>
        <v>0</v>
      </c>
      <c r="R258">
        <f t="shared" si="26"/>
        <v>0</v>
      </c>
      <c r="S258">
        <f t="shared" si="27"/>
        <v>1</v>
      </c>
      <c r="T258">
        <f t="shared" si="28"/>
        <v>0</v>
      </c>
      <c r="U258">
        <f t="shared" si="29"/>
        <v>0</v>
      </c>
      <c r="V258">
        <f t="shared" si="30"/>
        <v>0</v>
      </c>
      <c r="W258">
        <f t="shared" si="31"/>
        <v>0</v>
      </c>
    </row>
    <row r="259" spans="1:23" x14ac:dyDescent="0.25">
      <c r="A259" s="1">
        <v>28</v>
      </c>
      <c r="B259" s="1">
        <v>2011</v>
      </c>
      <c r="C259">
        <v>-1.9463940161282189</v>
      </c>
      <c r="D259">
        <v>0.74074615935922428</v>
      </c>
      <c r="E259">
        <v>0.75879446179580023</v>
      </c>
      <c r="F259">
        <v>0.79294726563712226</v>
      </c>
      <c r="G259">
        <v>0.53397558366469022</v>
      </c>
      <c r="H259">
        <v>0.45691838969707999</v>
      </c>
      <c r="I259">
        <v>0.42781351177192622</v>
      </c>
      <c r="J259">
        <v>-5.8530732691097702</v>
      </c>
      <c r="K259">
        <v>0.72379967174414939</v>
      </c>
      <c r="L259">
        <v>-1.702760661749307</v>
      </c>
      <c r="M259">
        <v>2.5540383090066419</v>
      </c>
      <c r="N259">
        <v>2.5364718745321961</v>
      </c>
      <c r="O259">
        <v>-11.51292546497023</v>
      </c>
      <c r="P259">
        <f t="shared" ref="P259:P322" si="32">M259-N259</f>
        <v>1.7566434474445725E-2</v>
      </c>
      <c r="Q259">
        <f t="shared" ref="Q259:Q322" si="33">IF(B259=2006,0,O259-O258)</f>
        <v>0</v>
      </c>
      <c r="R259">
        <f t="shared" ref="R259:R322" si="34">IF(ROUNDDOWN($A259/10, 0)=1, 1, 0)</f>
        <v>0</v>
      </c>
      <c r="S259">
        <f t="shared" ref="S259:S322" si="35">IF(ROUNDDOWN($A259/10, 0)=2, 1, 0)</f>
        <v>1</v>
      </c>
      <c r="T259">
        <f t="shared" ref="T259:T322" si="36">IF(ROUNDDOWN($A259/10, 0)=3, 1, 0)</f>
        <v>0</v>
      </c>
      <c r="U259">
        <f t="shared" ref="U259:U322" si="37">IF(ROUNDDOWN($A259/10, 0)=5, 1, 0)</f>
        <v>0</v>
      </c>
      <c r="V259">
        <f t="shared" ref="V259:V322" si="38">IF($B259=2020, 1, 0)</f>
        <v>0</v>
      </c>
      <c r="W259">
        <f t="shared" ref="W259:W322" si="39">IF(AND($B259&gt;=2015,$B259&lt;=2021), 1, 0)</f>
        <v>0</v>
      </c>
    </row>
    <row r="260" spans="1:23" x14ac:dyDescent="0.25">
      <c r="A260" s="1">
        <v>28</v>
      </c>
      <c r="B260" s="1">
        <v>2012</v>
      </c>
      <c r="C260">
        <v>-1.8256375204588191</v>
      </c>
      <c r="D260">
        <v>0.69129546719647095</v>
      </c>
      <c r="E260">
        <v>0.74074615935922428</v>
      </c>
      <c r="F260">
        <v>0.75879446179580023</v>
      </c>
      <c r="G260">
        <v>0.508262341362826</v>
      </c>
      <c r="H260">
        <v>0.53397558366469022</v>
      </c>
      <c r="I260">
        <v>0.45691838969707999</v>
      </c>
      <c r="J260">
        <v>-5.3522689495535296</v>
      </c>
      <c r="K260">
        <v>0.72379967174414939</v>
      </c>
      <c r="L260">
        <v>-1.617474890301374</v>
      </c>
      <c r="M260">
        <v>2.5886088841378729</v>
      </c>
      <c r="N260">
        <v>2.544017004796876</v>
      </c>
      <c r="O260">
        <v>-11.51292546497023</v>
      </c>
      <c r="P260">
        <f t="shared" si="32"/>
        <v>4.4591879340996954E-2</v>
      </c>
      <c r="Q260">
        <f t="shared" si="33"/>
        <v>0</v>
      </c>
      <c r="R260">
        <f t="shared" si="34"/>
        <v>0</v>
      </c>
      <c r="S260">
        <f t="shared" si="35"/>
        <v>1</v>
      </c>
      <c r="T260">
        <f t="shared" si="36"/>
        <v>0</v>
      </c>
      <c r="U260">
        <f t="shared" si="37"/>
        <v>0</v>
      </c>
      <c r="V260">
        <f t="shared" si="38"/>
        <v>0</v>
      </c>
      <c r="W260">
        <f t="shared" si="39"/>
        <v>0</v>
      </c>
    </row>
    <row r="261" spans="1:23" x14ac:dyDescent="0.25">
      <c r="A261" s="1">
        <v>28</v>
      </c>
      <c r="B261" s="1">
        <v>2013</v>
      </c>
      <c r="C261">
        <v>-1.789157529069664</v>
      </c>
      <c r="D261">
        <v>0.68006194101128981</v>
      </c>
      <c r="E261">
        <v>0.69129546719647095</v>
      </c>
      <c r="F261">
        <v>0.74074615935922428</v>
      </c>
      <c r="G261">
        <v>0.53051059708238879</v>
      </c>
      <c r="H261">
        <v>0.508262341362826</v>
      </c>
      <c r="I261">
        <v>0.53397558366469022</v>
      </c>
      <c r="J261">
        <v>-4.6031964212135046</v>
      </c>
      <c r="K261">
        <v>0.72379967174414939</v>
      </c>
      <c r="L261">
        <v>-1.578786139204712</v>
      </c>
      <c r="M261">
        <v>2.5497142344349002</v>
      </c>
      <c r="N261">
        <v>2.5492240521136251</v>
      </c>
      <c r="O261">
        <v>-11.51292546497023</v>
      </c>
      <c r="P261">
        <f t="shared" si="32"/>
        <v>4.9018232127506778E-4</v>
      </c>
      <c r="Q261">
        <f t="shared" si="33"/>
        <v>0</v>
      </c>
      <c r="R261">
        <f t="shared" si="34"/>
        <v>0</v>
      </c>
      <c r="S261">
        <f t="shared" si="35"/>
        <v>1</v>
      </c>
      <c r="T261">
        <f t="shared" si="36"/>
        <v>0</v>
      </c>
      <c r="U261">
        <f t="shared" si="37"/>
        <v>0</v>
      </c>
      <c r="V261">
        <f t="shared" si="38"/>
        <v>0</v>
      </c>
      <c r="W261">
        <f t="shared" si="39"/>
        <v>0</v>
      </c>
    </row>
    <row r="262" spans="1:23" x14ac:dyDescent="0.25">
      <c r="A262" s="1">
        <v>28</v>
      </c>
      <c r="B262" s="1">
        <v>2014</v>
      </c>
      <c r="C262">
        <v>-1.705889690029134</v>
      </c>
      <c r="D262">
        <v>0.63853258728672235</v>
      </c>
      <c r="E262">
        <v>0.68006194101128981</v>
      </c>
      <c r="F262">
        <v>0.69129546719647095</v>
      </c>
      <c r="G262">
        <v>0.47642049704181327</v>
      </c>
      <c r="H262">
        <v>0.53051059708238879</v>
      </c>
      <c r="I262">
        <v>0.508262341362826</v>
      </c>
      <c r="J262">
        <v>-3.94387044886727</v>
      </c>
      <c r="K262">
        <v>0.72379967174414939</v>
      </c>
      <c r="L262">
        <v>-1.5149088590435631</v>
      </c>
      <c r="M262">
        <v>2.522045503632826</v>
      </c>
      <c r="N262">
        <v>2.538882544445884</v>
      </c>
      <c r="O262">
        <v>-11.51292546497023</v>
      </c>
      <c r="P262">
        <f t="shared" si="32"/>
        <v>-1.6837040813058035E-2</v>
      </c>
      <c r="Q262">
        <f t="shared" si="33"/>
        <v>0</v>
      </c>
      <c r="R262">
        <f t="shared" si="34"/>
        <v>0</v>
      </c>
      <c r="S262">
        <f t="shared" si="35"/>
        <v>1</v>
      </c>
      <c r="T262">
        <f t="shared" si="36"/>
        <v>0</v>
      </c>
      <c r="U262">
        <f t="shared" si="37"/>
        <v>0</v>
      </c>
      <c r="V262">
        <f t="shared" si="38"/>
        <v>0</v>
      </c>
      <c r="W262">
        <f t="shared" si="39"/>
        <v>0</v>
      </c>
    </row>
    <row r="263" spans="1:23" x14ac:dyDescent="0.25">
      <c r="A263" s="1">
        <v>28</v>
      </c>
      <c r="B263" s="1">
        <v>2015</v>
      </c>
      <c r="C263">
        <v>-1.7474812573818881</v>
      </c>
      <c r="D263">
        <v>0.67365850397608285</v>
      </c>
      <c r="E263">
        <v>0.63853258728672235</v>
      </c>
      <c r="F263">
        <v>0.68006194101128981</v>
      </c>
      <c r="G263">
        <v>0.43333964487414411</v>
      </c>
      <c r="H263">
        <v>0.47642049704181327</v>
      </c>
      <c r="I263">
        <v>0.53051059708238879</v>
      </c>
      <c r="J263">
        <v>-3.556658363383113</v>
      </c>
      <c r="K263">
        <v>0.72379967174414939</v>
      </c>
      <c r="L263">
        <v>-1.4676281744427999</v>
      </c>
      <c r="M263">
        <v>2.46715852785516</v>
      </c>
      <c r="N263">
        <v>2.511574621450873</v>
      </c>
      <c r="O263">
        <v>-11.51292546497023</v>
      </c>
      <c r="P263">
        <f t="shared" si="32"/>
        <v>-4.4416093595712969E-2</v>
      </c>
      <c r="Q263">
        <f t="shared" si="33"/>
        <v>0</v>
      </c>
      <c r="R263">
        <f t="shared" si="34"/>
        <v>0</v>
      </c>
      <c r="S263">
        <f t="shared" si="35"/>
        <v>1</v>
      </c>
      <c r="T263">
        <f t="shared" si="36"/>
        <v>0</v>
      </c>
      <c r="U263">
        <f t="shared" si="37"/>
        <v>0</v>
      </c>
      <c r="V263">
        <f t="shared" si="38"/>
        <v>0</v>
      </c>
      <c r="W263">
        <f t="shared" si="39"/>
        <v>1</v>
      </c>
    </row>
    <row r="264" spans="1:23" x14ac:dyDescent="0.25">
      <c r="A264" s="1">
        <v>28</v>
      </c>
      <c r="B264" s="1">
        <v>2016</v>
      </c>
      <c r="C264">
        <v>-1.7385889625078721</v>
      </c>
      <c r="D264">
        <v>0.70066882195879143</v>
      </c>
      <c r="E264">
        <v>0.67365850397608285</v>
      </c>
      <c r="F264">
        <v>0.63853258728672235</v>
      </c>
      <c r="G264">
        <v>0.54197539275820672</v>
      </c>
      <c r="H264">
        <v>0.43333964487414411</v>
      </c>
      <c r="I264">
        <v>0.47642049704181327</v>
      </c>
      <c r="J264">
        <v>-3.248337093668606</v>
      </c>
      <c r="K264">
        <v>0.72379967174414939</v>
      </c>
      <c r="L264">
        <v>-1.43682327519625</v>
      </c>
      <c r="M264">
        <v>2.3873947918417349</v>
      </c>
      <c r="N264">
        <v>2.457026066451129</v>
      </c>
      <c r="O264">
        <v>-11.51292546497023</v>
      </c>
      <c r="P264">
        <f t="shared" si="32"/>
        <v>-6.9631274609394112E-2</v>
      </c>
      <c r="Q264">
        <f t="shared" si="33"/>
        <v>0</v>
      </c>
      <c r="R264">
        <f t="shared" si="34"/>
        <v>0</v>
      </c>
      <c r="S264">
        <f t="shared" si="35"/>
        <v>1</v>
      </c>
      <c r="T264">
        <f t="shared" si="36"/>
        <v>0</v>
      </c>
      <c r="U264">
        <f t="shared" si="37"/>
        <v>0</v>
      </c>
      <c r="V264">
        <f t="shared" si="38"/>
        <v>0</v>
      </c>
      <c r="W264">
        <f t="shared" si="39"/>
        <v>1</v>
      </c>
    </row>
    <row r="265" spans="1:23" x14ac:dyDescent="0.25">
      <c r="A265" s="1">
        <v>28</v>
      </c>
      <c r="B265" s="1">
        <v>2017</v>
      </c>
      <c r="C265">
        <v>-1.740456109842007</v>
      </c>
      <c r="D265">
        <v>0.67970726819324312</v>
      </c>
      <c r="E265">
        <v>0.70066882195879143</v>
      </c>
      <c r="F265">
        <v>0.67365850397608285</v>
      </c>
      <c r="G265">
        <v>0.5192698705486537</v>
      </c>
      <c r="H265">
        <v>0.54197539275820672</v>
      </c>
      <c r="I265">
        <v>0.43333964487414411</v>
      </c>
      <c r="J265">
        <v>-2.623496262158679</v>
      </c>
      <c r="K265">
        <v>0.72379967174414939</v>
      </c>
      <c r="L265">
        <v>-1.4074115617086631</v>
      </c>
      <c r="M265">
        <v>2.3876248847915611</v>
      </c>
      <c r="N265">
        <v>2.3775846494733259</v>
      </c>
      <c r="O265">
        <v>-11.51292546497023</v>
      </c>
      <c r="P265">
        <f t="shared" si="32"/>
        <v>1.0040235318235169E-2</v>
      </c>
      <c r="Q265">
        <f t="shared" si="33"/>
        <v>0</v>
      </c>
      <c r="R265">
        <f t="shared" si="34"/>
        <v>0</v>
      </c>
      <c r="S265">
        <f t="shared" si="35"/>
        <v>1</v>
      </c>
      <c r="T265">
        <f t="shared" si="36"/>
        <v>0</v>
      </c>
      <c r="U265">
        <f t="shared" si="37"/>
        <v>0</v>
      </c>
      <c r="V265">
        <f t="shared" si="38"/>
        <v>0</v>
      </c>
      <c r="W265">
        <f t="shared" si="39"/>
        <v>1</v>
      </c>
    </row>
    <row r="266" spans="1:23" x14ac:dyDescent="0.25">
      <c r="A266" s="1">
        <v>28</v>
      </c>
      <c r="B266" s="1">
        <v>2018</v>
      </c>
      <c r="C266">
        <v>-1.8173717630980011</v>
      </c>
      <c r="D266">
        <v>0.81801616260581456</v>
      </c>
      <c r="E266">
        <v>0.67970726819324312</v>
      </c>
      <c r="F266">
        <v>0.70066882195879143</v>
      </c>
      <c r="G266">
        <v>0.5875088485369484</v>
      </c>
      <c r="H266">
        <v>0.5192698705486537</v>
      </c>
      <c r="I266">
        <v>0.54197539275820672</v>
      </c>
      <c r="J266">
        <v>-2.186010896709349</v>
      </c>
      <c r="K266">
        <v>0.72379967174414939</v>
      </c>
      <c r="L266">
        <v>-1.365776873222653</v>
      </c>
      <c r="M266">
        <v>2.3795529648176008</v>
      </c>
      <c r="N266">
        <v>2.3919205941178721</v>
      </c>
      <c r="O266">
        <v>3.2580965380214821</v>
      </c>
      <c r="P266">
        <f t="shared" si="32"/>
        <v>-1.2367629300271243E-2</v>
      </c>
      <c r="Q266">
        <f t="shared" si="33"/>
        <v>14.771022002991712</v>
      </c>
      <c r="R266">
        <f t="shared" si="34"/>
        <v>0</v>
      </c>
      <c r="S266">
        <f t="shared" si="35"/>
        <v>1</v>
      </c>
      <c r="T266">
        <f t="shared" si="36"/>
        <v>0</v>
      </c>
      <c r="U266">
        <f t="shared" si="37"/>
        <v>0</v>
      </c>
      <c r="V266">
        <f t="shared" si="38"/>
        <v>0</v>
      </c>
      <c r="W266">
        <f t="shared" si="39"/>
        <v>1</v>
      </c>
    </row>
    <row r="267" spans="1:23" x14ac:dyDescent="0.25">
      <c r="A267" s="1">
        <v>28</v>
      </c>
      <c r="B267" s="1">
        <v>2019</v>
      </c>
      <c r="C267">
        <v>-1.7997144227063051</v>
      </c>
      <c r="D267">
        <v>0.76899649284338312</v>
      </c>
      <c r="E267">
        <v>0.81801616260581456</v>
      </c>
      <c r="F267">
        <v>0.67970726819324312</v>
      </c>
      <c r="G267">
        <v>0.53672726128864368</v>
      </c>
      <c r="H267">
        <v>0.5875088485369484</v>
      </c>
      <c r="I267">
        <v>0.5192698705486537</v>
      </c>
      <c r="J267">
        <v>-1.4466780057683979</v>
      </c>
      <c r="K267">
        <v>0.72379967174414939</v>
      </c>
      <c r="L267">
        <v>-1.3360778215868709</v>
      </c>
      <c r="M267">
        <v>2.390909843085292</v>
      </c>
      <c r="N267">
        <v>2.370644021391632</v>
      </c>
      <c r="O267">
        <v>5.393627546352362</v>
      </c>
      <c r="P267">
        <f t="shared" si="32"/>
        <v>2.026582169365998E-2</v>
      </c>
      <c r="Q267">
        <f t="shared" si="33"/>
        <v>2.1355310083308798</v>
      </c>
      <c r="R267">
        <f t="shared" si="34"/>
        <v>0</v>
      </c>
      <c r="S267">
        <f t="shared" si="35"/>
        <v>1</v>
      </c>
      <c r="T267">
        <f t="shared" si="36"/>
        <v>0</v>
      </c>
      <c r="U267">
        <f t="shared" si="37"/>
        <v>0</v>
      </c>
      <c r="V267">
        <f t="shared" si="38"/>
        <v>0</v>
      </c>
      <c r="W267">
        <f t="shared" si="39"/>
        <v>1</v>
      </c>
    </row>
    <row r="268" spans="1:23" x14ac:dyDescent="0.25">
      <c r="A268" s="1">
        <v>28</v>
      </c>
      <c r="B268" s="1">
        <v>2020</v>
      </c>
      <c r="C268">
        <v>-1.869611748696973</v>
      </c>
      <c r="D268">
        <v>0.731598366934198</v>
      </c>
      <c r="E268">
        <v>0.76899649284338312</v>
      </c>
      <c r="F268">
        <v>0.81801616260581456</v>
      </c>
      <c r="G268">
        <v>0.50675735959003665</v>
      </c>
      <c r="H268">
        <v>0.53672726128864368</v>
      </c>
      <c r="I268">
        <v>0.5875088485369484</v>
      </c>
      <c r="J268">
        <v>-0.86432792504382172</v>
      </c>
      <c r="K268">
        <v>0.72379967174414939</v>
      </c>
      <c r="L268">
        <v>-1.3133711893383231</v>
      </c>
      <c r="M268">
        <v>2.3354626018328828</v>
      </c>
      <c r="N268">
        <v>2.3821925506135671</v>
      </c>
      <c r="O268">
        <v>5.9914645471079817</v>
      </c>
      <c r="P268">
        <f t="shared" si="32"/>
        <v>-4.6729948780684261E-2</v>
      </c>
      <c r="Q268">
        <f t="shared" si="33"/>
        <v>0.59783700075561974</v>
      </c>
      <c r="R268">
        <f t="shared" si="34"/>
        <v>0</v>
      </c>
      <c r="S268">
        <f t="shared" si="35"/>
        <v>1</v>
      </c>
      <c r="T268">
        <f t="shared" si="36"/>
        <v>0</v>
      </c>
      <c r="U268">
        <f t="shared" si="37"/>
        <v>0</v>
      </c>
      <c r="V268">
        <f t="shared" si="38"/>
        <v>1</v>
      </c>
      <c r="W268">
        <f t="shared" si="39"/>
        <v>1</v>
      </c>
    </row>
    <row r="269" spans="1:23" x14ac:dyDescent="0.25">
      <c r="A269" s="1">
        <v>28</v>
      </c>
      <c r="B269" s="1">
        <v>2021</v>
      </c>
      <c r="C269">
        <v>-1.8545011063658161</v>
      </c>
      <c r="D269">
        <v>0.91091631553670016</v>
      </c>
      <c r="E269">
        <v>0.731598366934198</v>
      </c>
      <c r="F269">
        <v>0.76899649284338312</v>
      </c>
      <c r="G269">
        <v>0.73063562497093693</v>
      </c>
      <c r="H269">
        <v>0.50675735959003665</v>
      </c>
      <c r="I269">
        <v>0.53672726128864368</v>
      </c>
      <c r="J269">
        <v>-0.30543162233801641</v>
      </c>
      <c r="K269">
        <v>0.72379967174414939</v>
      </c>
      <c r="L269">
        <v>-1.2881167267698941</v>
      </c>
      <c r="M269">
        <v>2.3372132310973339</v>
      </c>
      <c r="N269">
        <v>2.3270233200535411</v>
      </c>
      <c r="O269">
        <v>6.6846117276679271</v>
      </c>
      <c r="P269">
        <f t="shared" si="32"/>
        <v>1.0189911043792854E-2</v>
      </c>
      <c r="Q269">
        <f t="shared" si="33"/>
        <v>0.6931471805599454</v>
      </c>
      <c r="R269">
        <f t="shared" si="34"/>
        <v>0</v>
      </c>
      <c r="S269">
        <f t="shared" si="35"/>
        <v>1</v>
      </c>
      <c r="T269">
        <f t="shared" si="36"/>
        <v>0</v>
      </c>
      <c r="U269">
        <f t="shared" si="37"/>
        <v>0</v>
      </c>
      <c r="V269">
        <f t="shared" si="38"/>
        <v>0</v>
      </c>
      <c r="W269">
        <f t="shared" si="39"/>
        <v>1</v>
      </c>
    </row>
    <row r="270" spans="1:23" x14ac:dyDescent="0.25">
      <c r="A270" s="1">
        <v>28</v>
      </c>
      <c r="B270" s="1">
        <v>2022</v>
      </c>
      <c r="C270">
        <v>-1.812582902906464</v>
      </c>
      <c r="D270">
        <v>0.89833040649716212</v>
      </c>
      <c r="E270">
        <v>0.91091631553670016</v>
      </c>
      <c r="F270">
        <v>0.731598366934198</v>
      </c>
      <c r="G270">
        <v>0.68868724983785201</v>
      </c>
      <c r="H270">
        <v>0.73063562497093693</v>
      </c>
      <c r="I270">
        <v>0.50675735959003665</v>
      </c>
      <c r="J270">
        <v>0.17654301594946539</v>
      </c>
      <c r="K270">
        <v>0.72379967174414939</v>
      </c>
      <c r="L270">
        <v>-1.255833566226364</v>
      </c>
      <c r="M270">
        <v>2.3559957060864791</v>
      </c>
      <c r="N270">
        <v>2.3372132310973339</v>
      </c>
      <c r="O270">
        <v>8.0551577318196781</v>
      </c>
      <c r="P270">
        <f t="shared" si="32"/>
        <v>1.8782474989145204E-2</v>
      </c>
      <c r="Q270">
        <f t="shared" si="33"/>
        <v>1.370546004151751</v>
      </c>
      <c r="R270">
        <f t="shared" si="34"/>
        <v>0</v>
      </c>
      <c r="S270">
        <f t="shared" si="35"/>
        <v>1</v>
      </c>
      <c r="T270">
        <f t="shared" si="36"/>
        <v>0</v>
      </c>
      <c r="U270">
        <f t="shared" si="37"/>
        <v>0</v>
      </c>
      <c r="V270">
        <f t="shared" si="38"/>
        <v>0</v>
      </c>
      <c r="W270">
        <f t="shared" si="39"/>
        <v>0</v>
      </c>
    </row>
    <row r="271" spans="1:23" x14ac:dyDescent="0.25">
      <c r="A271" s="1">
        <v>28</v>
      </c>
      <c r="B271" s="1">
        <v>2023</v>
      </c>
      <c r="C271">
        <v>-1.719655696902602</v>
      </c>
      <c r="D271">
        <v>0.77094120799996546</v>
      </c>
      <c r="E271">
        <v>0.89833040649716212</v>
      </c>
      <c r="F271">
        <v>0.91091631553670016</v>
      </c>
      <c r="G271">
        <v>0.53203902016518811</v>
      </c>
      <c r="H271">
        <v>0.68868724983785201</v>
      </c>
      <c r="I271">
        <v>0.73063562497093693</v>
      </c>
      <c r="J271">
        <v>0.69230268383448001</v>
      </c>
      <c r="K271">
        <v>0.72379967174414939</v>
      </c>
      <c r="L271">
        <v>-1.2171116995767179</v>
      </c>
      <c r="M271">
        <v>2.3639908490931592</v>
      </c>
      <c r="N271">
        <v>2.3559957060864791</v>
      </c>
      <c r="O271">
        <v>8.4658998970286863</v>
      </c>
      <c r="P271">
        <f t="shared" si="32"/>
        <v>7.9951430066800278E-3</v>
      </c>
      <c r="Q271">
        <f t="shared" si="33"/>
        <v>0.41074216520900819</v>
      </c>
      <c r="R271">
        <f t="shared" si="34"/>
        <v>0</v>
      </c>
      <c r="S271">
        <f t="shared" si="35"/>
        <v>1</v>
      </c>
      <c r="T271">
        <f t="shared" si="36"/>
        <v>0</v>
      </c>
      <c r="U271">
        <f t="shared" si="37"/>
        <v>0</v>
      </c>
      <c r="V271">
        <f t="shared" si="38"/>
        <v>0</v>
      </c>
      <c r="W271">
        <f t="shared" si="39"/>
        <v>0</v>
      </c>
    </row>
    <row r="272" spans="1:23" x14ac:dyDescent="0.25">
      <c r="A272" s="1">
        <v>29</v>
      </c>
      <c r="B272" s="1">
        <v>2006</v>
      </c>
      <c r="C272">
        <v>-2.629085297957777</v>
      </c>
      <c r="D272">
        <v>0.97077891715822484</v>
      </c>
      <c r="E272">
        <v>0.89379969403862336</v>
      </c>
      <c r="F272">
        <v>0.85637086166195941</v>
      </c>
      <c r="G272">
        <v>0.62057648772510998</v>
      </c>
      <c r="H272">
        <v>0.56741387509418195</v>
      </c>
      <c r="I272">
        <v>0.49834810225487802</v>
      </c>
      <c r="J272">
        <v>-16.11809565095832</v>
      </c>
      <c r="K272">
        <v>1.382848308078898</v>
      </c>
      <c r="L272">
        <v>-2.5561013264933559</v>
      </c>
      <c r="M272">
        <v>2.220044820524175</v>
      </c>
      <c r="N272">
        <v>2.2087085512740452</v>
      </c>
      <c r="O272">
        <v>-11.51292546497023</v>
      </c>
      <c r="P272">
        <f t="shared" si="32"/>
        <v>1.133626925012976E-2</v>
      </c>
      <c r="Q272">
        <f t="shared" si="33"/>
        <v>0</v>
      </c>
      <c r="R272">
        <f t="shared" si="34"/>
        <v>0</v>
      </c>
      <c r="S272">
        <f t="shared" si="35"/>
        <v>1</v>
      </c>
      <c r="T272">
        <f t="shared" si="36"/>
        <v>0</v>
      </c>
      <c r="U272">
        <f t="shared" si="37"/>
        <v>0</v>
      </c>
      <c r="V272">
        <f t="shared" si="38"/>
        <v>0</v>
      </c>
      <c r="W272">
        <f t="shared" si="39"/>
        <v>0</v>
      </c>
    </row>
    <row r="273" spans="1:23" x14ac:dyDescent="0.25">
      <c r="A273" s="1">
        <v>29</v>
      </c>
      <c r="B273" s="1">
        <v>2007</v>
      </c>
      <c r="C273">
        <v>-2.6662463024562171</v>
      </c>
      <c r="D273">
        <v>0.91573057501559185</v>
      </c>
      <c r="E273">
        <v>0.97077891715822484</v>
      </c>
      <c r="F273">
        <v>0.89379969403862336</v>
      </c>
      <c r="G273">
        <v>0.48106720160171512</v>
      </c>
      <c r="H273">
        <v>0.62057648772510998</v>
      </c>
      <c r="I273">
        <v>0.56741387509418195</v>
      </c>
      <c r="J273">
        <v>-16.11809565095832</v>
      </c>
      <c r="K273">
        <v>1.382848308078898</v>
      </c>
      <c r="L273">
        <v>-2.4598937520601778</v>
      </c>
      <c r="M273">
        <v>2.274871646071611</v>
      </c>
      <c r="N273">
        <v>2.2004386346696978</v>
      </c>
      <c r="O273">
        <v>-11.51292546497023</v>
      </c>
      <c r="P273">
        <f t="shared" si="32"/>
        <v>7.4433011401913163E-2</v>
      </c>
      <c r="Q273">
        <f t="shared" si="33"/>
        <v>0</v>
      </c>
      <c r="R273">
        <f t="shared" si="34"/>
        <v>0</v>
      </c>
      <c r="S273">
        <f t="shared" si="35"/>
        <v>1</v>
      </c>
      <c r="T273">
        <f t="shared" si="36"/>
        <v>0</v>
      </c>
      <c r="U273">
        <f t="shared" si="37"/>
        <v>0</v>
      </c>
      <c r="V273">
        <f t="shared" si="38"/>
        <v>0</v>
      </c>
      <c r="W273">
        <f t="shared" si="39"/>
        <v>0</v>
      </c>
    </row>
    <row r="274" spans="1:23" x14ac:dyDescent="0.25">
      <c r="A274" s="1">
        <v>29</v>
      </c>
      <c r="B274" s="1">
        <v>2008</v>
      </c>
      <c r="C274">
        <v>-2.625445327537109</v>
      </c>
      <c r="D274">
        <v>0.86221462167548391</v>
      </c>
      <c r="E274">
        <v>0.91573057501559185</v>
      </c>
      <c r="F274">
        <v>0.97077891715822484</v>
      </c>
      <c r="G274">
        <v>0.4296372600791496</v>
      </c>
      <c r="H274">
        <v>0.48106720160171512</v>
      </c>
      <c r="I274">
        <v>0.62057648772510998</v>
      </c>
      <c r="J274">
        <v>-16.11809565095832</v>
      </c>
      <c r="K274">
        <v>1.382848308078898</v>
      </c>
      <c r="L274">
        <v>-2.3518702232055779</v>
      </c>
      <c r="M274">
        <v>2.2784234404880701</v>
      </c>
      <c r="N274">
        <v>2.2556424136612621</v>
      </c>
      <c r="O274">
        <v>-11.51292546497023</v>
      </c>
      <c r="P274">
        <f t="shared" si="32"/>
        <v>2.2781026826808048E-2</v>
      </c>
      <c r="Q274">
        <f t="shared" si="33"/>
        <v>0</v>
      </c>
      <c r="R274">
        <f t="shared" si="34"/>
        <v>0</v>
      </c>
      <c r="S274">
        <f t="shared" si="35"/>
        <v>1</v>
      </c>
      <c r="T274">
        <f t="shared" si="36"/>
        <v>0</v>
      </c>
      <c r="U274">
        <f t="shared" si="37"/>
        <v>0</v>
      </c>
      <c r="V274">
        <f t="shared" si="38"/>
        <v>0</v>
      </c>
      <c r="W274">
        <f t="shared" si="39"/>
        <v>0</v>
      </c>
    </row>
    <row r="275" spans="1:23" x14ac:dyDescent="0.25">
      <c r="A275" s="1">
        <v>29</v>
      </c>
      <c r="B275" s="1">
        <v>2009</v>
      </c>
      <c r="C275">
        <v>-2.6286510813579991</v>
      </c>
      <c r="D275">
        <v>0.82763436626869735</v>
      </c>
      <c r="E275">
        <v>0.86221462167548391</v>
      </c>
      <c r="F275">
        <v>0.91573057501559185</v>
      </c>
      <c r="G275">
        <v>0.40499833251872053</v>
      </c>
      <c r="H275">
        <v>0.4296372600791496</v>
      </c>
      <c r="I275">
        <v>0.48106720160171512</v>
      </c>
      <c r="J275">
        <v>-16.11809565095832</v>
      </c>
      <c r="K275">
        <v>1.382848308078898</v>
      </c>
      <c r="L275">
        <v>-2.232301838313691</v>
      </c>
      <c r="M275">
        <v>2.3241325343923962</v>
      </c>
      <c r="N275">
        <v>2.2691713952387511</v>
      </c>
      <c r="O275">
        <v>-11.51292546497023</v>
      </c>
      <c r="P275">
        <f t="shared" si="32"/>
        <v>5.4961139153645089E-2</v>
      </c>
      <c r="Q275">
        <f t="shared" si="33"/>
        <v>0</v>
      </c>
      <c r="R275">
        <f t="shared" si="34"/>
        <v>0</v>
      </c>
      <c r="S275">
        <f t="shared" si="35"/>
        <v>1</v>
      </c>
      <c r="T275">
        <f t="shared" si="36"/>
        <v>0</v>
      </c>
      <c r="U275">
        <f t="shared" si="37"/>
        <v>0</v>
      </c>
      <c r="V275">
        <f t="shared" si="38"/>
        <v>0</v>
      </c>
      <c r="W275">
        <f t="shared" si="39"/>
        <v>0</v>
      </c>
    </row>
    <row r="276" spans="1:23" x14ac:dyDescent="0.25">
      <c r="A276" s="1">
        <v>29</v>
      </c>
      <c r="B276" s="1">
        <v>2010</v>
      </c>
      <c r="C276">
        <v>-2.4232699220657108</v>
      </c>
      <c r="D276">
        <v>0.7963804352015974</v>
      </c>
      <c r="E276">
        <v>0.82763436626869735</v>
      </c>
      <c r="F276">
        <v>0.86221462167548391</v>
      </c>
      <c r="G276">
        <v>0.43067791057956828</v>
      </c>
      <c r="H276">
        <v>0.40499833251872053</v>
      </c>
      <c r="I276">
        <v>0.4296372600791496</v>
      </c>
      <c r="J276">
        <v>-9.5727204406975037</v>
      </c>
      <c r="K276">
        <v>1.382848308078898</v>
      </c>
      <c r="L276">
        <v>-2.089347798874174</v>
      </c>
      <c r="M276">
        <v>2.3747080676031711</v>
      </c>
      <c r="N276">
        <v>2.342744810353603</v>
      </c>
      <c r="O276">
        <v>-11.51292546497023</v>
      </c>
      <c r="P276">
        <f t="shared" si="32"/>
        <v>3.1963257249568056E-2</v>
      </c>
      <c r="Q276">
        <f t="shared" si="33"/>
        <v>0</v>
      </c>
      <c r="R276">
        <f t="shared" si="34"/>
        <v>0</v>
      </c>
      <c r="S276">
        <f t="shared" si="35"/>
        <v>1</v>
      </c>
      <c r="T276">
        <f t="shared" si="36"/>
        <v>0</v>
      </c>
      <c r="U276">
        <f t="shared" si="37"/>
        <v>0</v>
      </c>
      <c r="V276">
        <f t="shared" si="38"/>
        <v>0</v>
      </c>
      <c r="W276">
        <f t="shared" si="39"/>
        <v>0</v>
      </c>
    </row>
    <row r="277" spans="1:23" x14ac:dyDescent="0.25">
      <c r="A277" s="1">
        <v>29</v>
      </c>
      <c r="B277" s="1">
        <v>2011</v>
      </c>
      <c r="C277">
        <v>-2.1830046985633729</v>
      </c>
      <c r="D277">
        <v>0.74806141143733718</v>
      </c>
      <c r="E277">
        <v>0.7963804352015974</v>
      </c>
      <c r="F277">
        <v>0.82763436626869735</v>
      </c>
      <c r="G277">
        <v>0.47840573250987939</v>
      </c>
      <c r="H277">
        <v>0.43067791057956828</v>
      </c>
      <c r="I277">
        <v>0.40499833251872053</v>
      </c>
      <c r="J277">
        <v>-7.9443172550196612</v>
      </c>
      <c r="K277">
        <v>1.382848308078898</v>
      </c>
      <c r="L277">
        <v>-1.958855689807649</v>
      </c>
      <c r="M277">
        <v>2.389706123292918</v>
      </c>
      <c r="N277">
        <v>2.393673340847108</v>
      </c>
      <c r="O277">
        <v>-11.51292546497023</v>
      </c>
      <c r="P277">
        <f t="shared" si="32"/>
        <v>-3.9672175541900501E-3</v>
      </c>
      <c r="Q277">
        <f t="shared" si="33"/>
        <v>0</v>
      </c>
      <c r="R277">
        <f t="shared" si="34"/>
        <v>0</v>
      </c>
      <c r="S277">
        <f t="shared" si="35"/>
        <v>1</v>
      </c>
      <c r="T277">
        <f t="shared" si="36"/>
        <v>0</v>
      </c>
      <c r="U277">
        <f t="shared" si="37"/>
        <v>0</v>
      </c>
      <c r="V277">
        <f t="shared" si="38"/>
        <v>0</v>
      </c>
      <c r="W277">
        <f t="shared" si="39"/>
        <v>0</v>
      </c>
    </row>
    <row r="278" spans="1:23" x14ac:dyDescent="0.25">
      <c r="A278" s="1">
        <v>29</v>
      </c>
      <c r="B278" s="1">
        <v>2012</v>
      </c>
      <c r="C278">
        <v>-2.0402557814915272</v>
      </c>
      <c r="D278">
        <v>0.6840055226426619</v>
      </c>
      <c r="E278">
        <v>0.74806141143733718</v>
      </c>
      <c r="F278">
        <v>0.7963804352015974</v>
      </c>
      <c r="G278">
        <v>0.4263782296883713</v>
      </c>
      <c r="H278">
        <v>0.47840573250987939</v>
      </c>
      <c r="I278">
        <v>0.43067791057956828</v>
      </c>
      <c r="J278">
        <v>-7.4798176430643304</v>
      </c>
      <c r="K278">
        <v>1.382848308078898</v>
      </c>
      <c r="L278">
        <v>-1.85830010033828</v>
      </c>
      <c r="M278">
        <v>2.3993026863329461</v>
      </c>
      <c r="N278">
        <v>2.384202106002494</v>
      </c>
      <c r="O278">
        <v>-11.51292546497023</v>
      </c>
      <c r="P278">
        <f t="shared" si="32"/>
        <v>1.5100580330452029E-2</v>
      </c>
      <c r="Q278">
        <f t="shared" si="33"/>
        <v>0</v>
      </c>
      <c r="R278">
        <f t="shared" si="34"/>
        <v>0</v>
      </c>
      <c r="S278">
        <f t="shared" si="35"/>
        <v>1</v>
      </c>
      <c r="T278">
        <f t="shared" si="36"/>
        <v>0</v>
      </c>
      <c r="U278">
        <f t="shared" si="37"/>
        <v>0</v>
      </c>
      <c r="V278">
        <f t="shared" si="38"/>
        <v>0</v>
      </c>
      <c r="W278">
        <f t="shared" si="39"/>
        <v>0</v>
      </c>
    </row>
    <row r="279" spans="1:23" x14ac:dyDescent="0.25">
      <c r="A279" s="1">
        <v>29</v>
      </c>
      <c r="B279" s="1">
        <v>2013</v>
      </c>
      <c r="C279">
        <v>-2.0463788297089032</v>
      </c>
      <c r="D279">
        <v>0.68697819141441629</v>
      </c>
      <c r="E279">
        <v>0.6840055226426619</v>
      </c>
      <c r="F279">
        <v>0.74806141143733718</v>
      </c>
      <c r="G279">
        <v>0.4287258016827164</v>
      </c>
      <c r="H279">
        <v>0.4263782296883713</v>
      </c>
      <c r="I279">
        <v>0.47840573250987939</v>
      </c>
      <c r="J279">
        <v>-6.674304647002967</v>
      </c>
      <c r="K279">
        <v>1.382848308078898</v>
      </c>
      <c r="L279">
        <v>-1.828241575759683</v>
      </c>
      <c r="M279">
        <v>2.382557656180655</v>
      </c>
      <c r="N279">
        <v>2.3398182449075948</v>
      </c>
      <c r="O279">
        <v>-11.51292546497023</v>
      </c>
      <c r="P279">
        <f t="shared" si="32"/>
        <v>4.2739411273060135E-2</v>
      </c>
      <c r="Q279">
        <f t="shared" si="33"/>
        <v>0</v>
      </c>
      <c r="R279">
        <f t="shared" si="34"/>
        <v>0</v>
      </c>
      <c r="S279">
        <f t="shared" si="35"/>
        <v>1</v>
      </c>
      <c r="T279">
        <f t="shared" si="36"/>
        <v>0</v>
      </c>
      <c r="U279">
        <f t="shared" si="37"/>
        <v>0</v>
      </c>
      <c r="V279">
        <f t="shared" si="38"/>
        <v>0</v>
      </c>
      <c r="W279">
        <f t="shared" si="39"/>
        <v>0</v>
      </c>
    </row>
    <row r="280" spans="1:23" x14ac:dyDescent="0.25">
      <c r="A280" s="1">
        <v>29</v>
      </c>
      <c r="B280" s="1">
        <v>2014</v>
      </c>
      <c r="C280">
        <v>-1.953292082765113</v>
      </c>
      <c r="D280">
        <v>0.66541620682163427</v>
      </c>
      <c r="E280">
        <v>0.68697819141441629</v>
      </c>
      <c r="F280">
        <v>0.6840055226426619</v>
      </c>
      <c r="G280">
        <v>0.42304304038223289</v>
      </c>
      <c r="H280">
        <v>0.4287258016827164</v>
      </c>
      <c r="I280">
        <v>0.4263782296883713</v>
      </c>
      <c r="J280">
        <v>-5.9866087636928187</v>
      </c>
      <c r="K280">
        <v>1.382848308078898</v>
      </c>
      <c r="L280">
        <v>-1.7551732524677071</v>
      </c>
      <c r="M280">
        <v>2.3906489800003539</v>
      </c>
      <c r="N280">
        <v>2.3771063589308312</v>
      </c>
      <c r="O280">
        <v>-11.51292546497023</v>
      </c>
      <c r="P280">
        <f t="shared" si="32"/>
        <v>1.3542621069522642E-2</v>
      </c>
      <c r="Q280">
        <f t="shared" si="33"/>
        <v>0</v>
      </c>
      <c r="R280">
        <f t="shared" si="34"/>
        <v>0</v>
      </c>
      <c r="S280">
        <f t="shared" si="35"/>
        <v>1</v>
      </c>
      <c r="T280">
        <f t="shared" si="36"/>
        <v>0</v>
      </c>
      <c r="U280">
        <f t="shared" si="37"/>
        <v>0</v>
      </c>
      <c r="V280">
        <f t="shared" si="38"/>
        <v>0</v>
      </c>
      <c r="W280">
        <f t="shared" si="39"/>
        <v>0</v>
      </c>
    </row>
    <row r="281" spans="1:23" x14ac:dyDescent="0.25">
      <c r="A281" s="1">
        <v>29</v>
      </c>
      <c r="B281" s="1">
        <v>2015</v>
      </c>
      <c r="C281">
        <v>-2.0032879398494932</v>
      </c>
      <c r="D281">
        <v>0.71720544565301625</v>
      </c>
      <c r="E281">
        <v>0.66541620682163427</v>
      </c>
      <c r="F281">
        <v>0.68697819141441629</v>
      </c>
      <c r="G281">
        <v>0.40653120629016198</v>
      </c>
      <c r="H281">
        <v>0.42304304038223289</v>
      </c>
      <c r="I281">
        <v>0.4287258016827164</v>
      </c>
      <c r="J281">
        <v>-5.5349254626655782</v>
      </c>
      <c r="K281">
        <v>1.382848308078898</v>
      </c>
      <c r="L281">
        <v>-1.701241367198965</v>
      </c>
      <c r="M281">
        <v>2.4027409948229188</v>
      </c>
      <c r="N281">
        <v>2.3855738785318512</v>
      </c>
      <c r="O281">
        <v>-11.51292546497023</v>
      </c>
      <c r="P281">
        <f t="shared" si="32"/>
        <v>1.7167116291067597E-2</v>
      </c>
      <c r="Q281">
        <f t="shared" si="33"/>
        <v>0</v>
      </c>
      <c r="R281">
        <f t="shared" si="34"/>
        <v>0</v>
      </c>
      <c r="S281">
        <f t="shared" si="35"/>
        <v>1</v>
      </c>
      <c r="T281">
        <f t="shared" si="36"/>
        <v>0</v>
      </c>
      <c r="U281">
        <f t="shared" si="37"/>
        <v>0</v>
      </c>
      <c r="V281">
        <f t="shared" si="38"/>
        <v>0</v>
      </c>
      <c r="W281">
        <f t="shared" si="39"/>
        <v>1</v>
      </c>
    </row>
    <row r="282" spans="1:23" x14ac:dyDescent="0.25">
      <c r="A282" s="1">
        <v>29</v>
      </c>
      <c r="B282" s="1">
        <v>2016</v>
      </c>
      <c r="C282">
        <v>-1.933059323500631</v>
      </c>
      <c r="D282">
        <v>0.72750029693160778</v>
      </c>
      <c r="E282">
        <v>0.71720544565301625</v>
      </c>
      <c r="F282">
        <v>0.66541620682163427</v>
      </c>
      <c r="G282">
        <v>0.49968378334714619</v>
      </c>
      <c r="H282">
        <v>0.40653120629016198</v>
      </c>
      <c r="I282">
        <v>0.42304304038223289</v>
      </c>
      <c r="J282">
        <v>-5.1681671805886298</v>
      </c>
      <c r="K282">
        <v>1.382848308078898</v>
      </c>
      <c r="L282">
        <v>-1.6646193261471509</v>
      </c>
      <c r="M282">
        <v>2.374399034037272</v>
      </c>
      <c r="N282">
        <v>2.3979357204673888</v>
      </c>
      <c r="O282">
        <v>-11.51292546497023</v>
      </c>
      <c r="P282">
        <f t="shared" si="32"/>
        <v>-2.3536686430116749E-2</v>
      </c>
      <c r="Q282">
        <f t="shared" si="33"/>
        <v>0</v>
      </c>
      <c r="R282">
        <f t="shared" si="34"/>
        <v>0</v>
      </c>
      <c r="S282">
        <f t="shared" si="35"/>
        <v>1</v>
      </c>
      <c r="T282">
        <f t="shared" si="36"/>
        <v>0</v>
      </c>
      <c r="U282">
        <f t="shared" si="37"/>
        <v>0</v>
      </c>
      <c r="V282">
        <f t="shared" si="38"/>
        <v>0</v>
      </c>
      <c r="W282">
        <f t="shared" si="39"/>
        <v>1</v>
      </c>
    </row>
    <row r="283" spans="1:23" x14ac:dyDescent="0.25">
      <c r="A283" s="1">
        <v>29</v>
      </c>
      <c r="B283" s="1">
        <v>2017</v>
      </c>
      <c r="C283">
        <v>-1.9193188007571429</v>
      </c>
      <c r="D283">
        <v>0.7089220996753075</v>
      </c>
      <c r="E283">
        <v>0.72750029693160778</v>
      </c>
      <c r="F283">
        <v>0.71720544565301625</v>
      </c>
      <c r="G283">
        <v>0.47393339758158343</v>
      </c>
      <c r="H283">
        <v>0.49968378334714619</v>
      </c>
      <c r="I283">
        <v>0.40653120629016198</v>
      </c>
      <c r="J283">
        <v>-4.5386425007829434</v>
      </c>
      <c r="K283">
        <v>1.382848308078898</v>
      </c>
      <c r="L283">
        <v>-1.631185817633853</v>
      </c>
      <c r="M283">
        <v>2.371774908255234</v>
      </c>
      <c r="N283">
        <v>2.369965404673338</v>
      </c>
      <c r="O283">
        <v>-11.51292546497023</v>
      </c>
      <c r="P283">
        <f t="shared" si="32"/>
        <v>1.8095035818959104E-3</v>
      </c>
      <c r="Q283">
        <f t="shared" si="33"/>
        <v>0</v>
      </c>
      <c r="R283">
        <f t="shared" si="34"/>
        <v>0</v>
      </c>
      <c r="S283">
        <f t="shared" si="35"/>
        <v>1</v>
      </c>
      <c r="T283">
        <f t="shared" si="36"/>
        <v>0</v>
      </c>
      <c r="U283">
        <f t="shared" si="37"/>
        <v>0</v>
      </c>
      <c r="V283">
        <f t="shared" si="38"/>
        <v>0</v>
      </c>
      <c r="W283">
        <f t="shared" si="39"/>
        <v>1</v>
      </c>
    </row>
    <row r="284" spans="1:23" x14ac:dyDescent="0.25">
      <c r="A284" s="1">
        <v>29</v>
      </c>
      <c r="B284" s="1">
        <v>2018</v>
      </c>
      <c r="C284">
        <v>-1.996961763344304</v>
      </c>
      <c r="D284">
        <v>0.83815620246992029</v>
      </c>
      <c r="E284">
        <v>0.7089220996753075</v>
      </c>
      <c r="F284">
        <v>0.72750029693160778</v>
      </c>
      <c r="G284">
        <v>0.55267748778855108</v>
      </c>
      <c r="H284">
        <v>0.47393339758158343</v>
      </c>
      <c r="I284">
        <v>0.49968378334714619</v>
      </c>
      <c r="J284">
        <v>-4.0122476160696179</v>
      </c>
      <c r="K284">
        <v>1.382848308078898</v>
      </c>
      <c r="L284">
        <v>-1.556783547043304</v>
      </c>
      <c r="M284">
        <v>2.426238079922038</v>
      </c>
      <c r="N284">
        <v>2.407049240281895</v>
      </c>
      <c r="O284">
        <v>3.2580965380214821</v>
      </c>
      <c r="P284">
        <f t="shared" si="32"/>
        <v>1.9188839640142952E-2</v>
      </c>
      <c r="Q284">
        <f t="shared" si="33"/>
        <v>14.771022002991712</v>
      </c>
      <c r="R284">
        <f t="shared" si="34"/>
        <v>0</v>
      </c>
      <c r="S284">
        <f t="shared" si="35"/>
        <v>1</v>
      </c>
      <c r="T284">
        <f t="shared" si="36"/>
        <v>0</v>
      </c>
      <c r="U284">
        <f t="shared" si="37"/>
        <v>0</v>
      </c>
      <c r="V284">
        <f t="shared" si="38"/>
        <v>0</v>
      </c>
      <c r="W284">
        <f t="shared" si="39"/>
        <v>1</v>
      </c>
    </row>
    <row r="285" spans="1:23" x14ac:dyDescent="0.25">
      <c r="A285" s="1">
        <v>29</v>
      </c>
      <c r="B285" s="1">
        <v>2019</v>
      </c>
      <c r="C285">
        <v>-1.984798248808102</v>
      </c>
      <c r="D285">
        <v>0.80482271445053444</v>
      </c>
      <c r="E285">
        <v>0.83815620246992029</v>
      </c>
      <c r="F285">
        <v>0.7089220996753075</v>
      </c>
      <c r="G285">
        <v>0.52514264436078373</v>
      </c>
      <c r="H285">
        <v>0.55267748778855108</v>
      </c>
      <c r="I285">
        <v>0.47393339758158343</v>
      </c>
      <c r="J285">
        <v>-3.2992086291733882</v>
      </c>
      <c r="K285">
        <v>1.382848308078898</v>
      </c>
      <c r="L285">
        <v>-1.51963451544666</v>
      </c>
      <c r="M285">
        <v>2.404954967805796</v>
      </c>
      <c r="N285">
        <v>2.4221656058195919</v>
      </c>
      <c r="O285">
        <v>5.393627546352362</v>
      </c>
      <c r="P285">
        <f t="shared" si="32"/>
        <v>-1.7210638013795965E-2</v>
      </c>
      <c r="Q285">
        <f t="shared" si="33"/>
        <v>2.1355310083308798</v>
      </c>
      <c r="R285">
        <f t="shared" si="34"/>
        <v>0</v>
      </c>
      <c r="S285">
        <f t="shared" si="35"/>
        <v>1</v>
      </c>
      <c r="T285">
        <f t="shared" si="36"/>
        <v>0</v>
      </c>
      <c r="U285">
        <f t="shared" si="37"/>
        <v>0</v>
      </c>
      <c r="V285">
        <f t="shared" si="38"/>
        <v>0</v>
      </c>
      <c r="W285">
        <f t="shared" si="39"/>
        <v>1</v>
      </c>
    </row>
    <row r="286" spans="1:23" x14ac:dyDescent="0.25">
      <c r="A286" s="1">
        <v>29</v>
      </c>
      <c r="B286" s="1">
        <v>2020</v>
      </c>
      <c r="C286">
        <v>-2.009730139541797</v>
      </c>
      <c r="D286">
        <v>0.71564225838731621</v>
      </c>
      <c r="E286">
        <v>0.80482271445053444</v>
      </c>
      <c r="F286">
        <v>0.83815620246992029</v>
      </c>
      <c r="G286">
        <v>0.44846073856926022</v>
      </c>
      <c r="H286">
        <v>0.52514264436078373</v>
      </c>
      <c r="I286">
        <v>0.55267748778855108</v>
      </c>
      <c r="J286">
        <v>-2.6836124481892152</v>
      </c>
      <c r="K286">
        <v>1.382848308078898</v>
      </c>
      <c r="L286">
        <v>-1.488372962634988</v>
      </c>
      <c r="M286">
        <v>2.3787451024793471</v>
      </c>
      <c r="N286">
        <v>2.4010916840211798</v>
      </c>
      <c r="O286">
        <v>5.9914645471079817</v>
      </c>
      <c r="P286">
        <f t="shared" si="32"/>
        <v>-2.2346581541832666E-2</v>
      </c>
      <c r="Q286">
        <f t="shared" si="33"/>
        <v>0.59783700075561974</v>
      </c>
      <c r="R286">
        <f t="shared" si="34"/>
        <v>0</v>
      </c>
      <c r="S286">
        <f t="shared" si="35"/>
        <v>1</v>
      </c>
      <c r="T286">
        <f t="shared" si="36"/>
        <v>0</v>
      </c>
      <c r="U286">
        <f t="shared" si="37"/>
        <v>0</v>
      </c>
      <c r="V286">
        <f t="shared" si="38"/>
        <v>1</v>
      </c>
      <c r="W286">
        <f t="shared" si="39"/>
        <v>1</v>
      </c>
    </row>
    <row r="287" spans="1:23" x14ac:dyDescent="0.25">
      <c r="A287" s="1">
        <v>29</v>
      </c>
      <c r="B287" s="1">
        <v>2021</v>
      </c>
      <c r="C287">
        <v>-1.982345753960298</v>
      </c>
      <c r="D287">
        <v>0.92115886327101559</v>
      </c>
      <c r="E287">
        <v>0.71564225838731621</v>
      </c>
      <c r="F287">
        <v>0.80482271445053444</v>
      </c>
      <c r="G287">
        <v>0.71402765813930047</v>
      </c>
      <c r="H287">
        <v>0.44846073856926022</v>
      </c>
      <c r="I287">
        <v>0.52514264436078373</v>
      </c>
      <c r="J287">
        <v>-2.1038461798426962</v>
      </c>
      <c r="K287">
        <v>1.382848308078898</v>
      </c>
      <c r="L287">
        <v>-1.4567183066990961</v>
      </c>
      <c r="M287">
        <v>2.396453340283081</v>
      </c>
      <c r="N287">
        <v>2.3750915250900881</v>
      </c>
      <c r="O287">
        <v>6.6846117276679271</v>
      </c>
      <c r="P287">
        <f t="shared" si="32"/>
        <v>2.136181519299285E-2</v>
      </c>
      <c r="Q287">
        <f t="shared" si="33"/>
        <v>0.6931471805599454</v>
      </c>
      <c r="R287">
        <f t="shared" si="34"/>
        <v>0</v>
      </c>
      <c r="S287">
        <f t="shared" si="35"/>
        <v>1</v>
      </c>
      <c r="T287">
        <f t="shared" si="36"/>
        <v>0</v>
      </c>
      <c r="U287">
        <f t="shared" si="37"/>
        <v>0</v>
      </c>
      <c r="V287">
        <f t="shared" si="38"/>
        <v>0</v>
      </c>
      <c r="W287">
        <f t="shared" si="39"/>
        <v>1</v>
      </c>
    </row>
    <row r="288" spans="1:23" x14ac:dyDescent="0.25">
      <c r="A288" s="1">
        <v>29</v>
      </c>
      <c r="B288" s="1">
        <v>2022</v>
      </c>
      <c r="C288">
        <v>-1.9422258804690751</v>
      </c>
      <c r="D288">
        <v>0.96202862354800878</v>
      </c>
      <c r="E288">
        <v>0.92115886327101559</v>
      </c>
      <c r="F288">
        <v>0.71564225838731621</v>
      </c>
      <c r="G288">
        <v>0.7067541839661623</v>
      </c>
      <c r="H288">
        <v>0.71402765813930047</v>
      </c>
      <c r="I288">
        <v>0.44846073856926022</v>
      </c>
      <c r="J288">
        <v>-1.589961781570379</v>
      </c>
      <c r="K288">
        <v>1.382848308078898</v>
      </c>
      <c r="L288">
        <v>-1.422763275197988</v>
      </c>
      <c r="M288">
        <v>2.44692431473355</v>
      </c>
      <c r="N288">
        <v>2.396453340283081</v>
      </c>
      <c r="O288">
        <v>8.0551577318196781</v>
      </c>
      <c r="P288">
        <f t="shared" si="32"/>
        <v>5.0470974450468997E-2</v>
      </c>
      <c r="Q288">
        <f t="shared" si="33"/>
        <v>1.370546004151751</v>
      </c>
      <c r="R288">
        <f t="shared" si="34"/>
        <v>0</v>
      </c>
      <c r="S288">
        <f t="shared" si="35"/>
        <v>1</v>
      </c>
      <c r="T288">
        <f t="shared" si="36"/>
        <v>0</v>
      </c>
      <c r="U288">
        <f t="shared" si="37"/>
        <v>0</v>
      </c>
      <c r="V288">
        <f t="shared" si="38"/>
        <v>0</v>
      </c>
      <c r="W288">
        <f t="shared" si="39"/>
        <v>0</v>
      </c>
    </row>
    <row r="289" spans="1:23" x14ac:dyDescent="0.25">
      <c r="A289" s="1">
        <v>29</v>
      </c>
      <c r="B289" s="1">
        <v>2023</v>
      </c>
      <c r="C289">
        <v>-1.8582235971545269</v>
      </c>
      <c r="D289">
        <v>0.80083498597686265</v>
      </c>
      <c r="E289">
        <v>0.96202862354800878</v>
      </c>
      <c r="F289">
        <v>0.92115886327101559</v>
      </c>
      <c r="G289">
        <v>0.52063733114998356</v>
      </c>
      <c r="H289">
        <v>0.7067541839661623</v>
      </c>
      <c r="I289">
        <v>0.71402765813930047</v>
      </c>
      <c r="J289">
        <v>-1.0645828863943529</v>
      </c>
      <c r="K289">
        <v>1.382848308078898</v>
      </c>
      <c r="L289">
        <v>-1.3833903952551321</v>
      </c>
      <c r="M289">
        <v>2.4646368850346452</v>
      </c>
      <c r="N289">
        <v>2.44692431473355</v>
      </c>
      <c r="O289">
        <v>8.4658998970286863</v>
      </c>
      <c r="P289">
        <f t="shared" si="32"/>
        <v>1.7712570301095187E-2</v>
      </c>
      <c r="Q289">
        <f t="shared" si="33"/>
        <v>0.41074216520900819</v>
      </c>
      <c r="R289">
        <f t="shared" si="34"/>
        <v>0</v>
      </c>
      <c r="S289">
        <f t="shared" si="35"/>
        <v>1</v>
      </c>
      <c r="T289">
        <f t="shared" si="36"/>
        <v>0</v>
      </c>
      <c r="U289">
        <f t="shared" si="37"/>
        <v>0</v>
      </c>
      <c r="V289">
        <f t="shared" si="38"/>
        <v>0</v>
      </c>
      <c r="W289">
        <f t="shared" si="39"/>
        <v>0</v>
      </c>
    </row>
    <row r="290" spans="1:23" x14ac:dyDescent="0.25">
      <c r="A290" s="1">
        <v>31</v>
      </c>
      <c r="B290" s="1">
        <v>2006</v>
      </c>
      <c r="C290">
        <v>-1.976825740702415</v>
      </c>
      <c r="D290">
        <v>0.91228271047661635</v>
      </c>
      <c r="E290">
        <v>0.84629736005362011</v>
      </c>
      <c r="F290">
        <v>0.80897274606553571</v>
      </c>
      <c r="G290">
        <v>0.64710324205853842</v>
      </c>
      <c r="H290">
        <v>0.48199395709728798</v>
      </c>
      <c r="I290">
        <v>0.38635024424848219</v>
      </c>
      <c r="J290">
        <v>-16.11809565095832</v>
      </c>
      <c r="K290">
        <v>1.665048632597683</v>
      </c>
      <c r="L290">
        <v>-1.6316084705918179</v>
      </c>
      <c r="M290">
        <v>2.688340792759726</v>
      </c>
      <c r="N290">
        <v>2.632573684932809</v>
      </c>
      <c r="O290">
        <v>-11.51292546497023</v>
      </c>
      <c r="P290">
        <f t="shared" si="32"/>
        <v>5.5767107826917073E-2</v>
      </c>
      <c r="Q290">
        <f t="shared" si="33"/>
        <v>0</v>
      </c>
      <c r="R290">
        <f t="shared" si="34"/>
        <v>0</v>
      </c>
      <c r="S290">
        <f t="shared" si="35"/>
        <v>0</v>
      </c>
      <c r="T290">
        <f t="shared" si="36"/>
        <v>1</v>
      </c>
      <c r="U290">
        <f t="shared" si="37"/>
        <v>0</v>
      </c>
      <c r="V290">
        <f t="shared" si="38"/>
        <v>0</v>
      </c>
      <c r="W290">
        <f t="shared" si="39"/>
        <v>0</v>
      </c>
    </row>
    <row r="291" spans="1:23" x14ac:dyDescent="0.25">
      <c r="A291" s="1">
        <v>31</v>
      </c>
      <c r="B291" s="1">
        <v>2007</v>
      </c>
      <c r="C291">
        <v>-1.939408501019503</v>
      </c>
      <c r="D291">
        <v>0.85654072746838106</v>
      </c>
      <c r="E291">
        <v>0.91228271047661635</v>
      </c>
      <c r="F291">
        <v>0.84629736005362011</v>
      </c>
      <c r="G291">
        <v>0.48106720160171512</v>
      </c>
      <c r="H291">
        <v>0.64710324205853842</v>
      </c>
      <c r="I291">
        <v>0.48199395709728798</v>
      </c>
      <c r="J291">
        <v>-16.11809565095832</v>
      </c>
      <c r="K291">
        <v>1.665048632597683</v>
      </c>
      <c r="L291">
        <v>-1.543054838681122</v>
      </c>
      <c r="M291">
        <v>2.7388937262800388</v>
      </c>
      <c r="N291">
        <v>2.6788704738218438</v>
      </c>
      <c r="O291">
        <v>-11.51292546497023</v>
      </c>
      <c r="P291">
        <f t="shared" si="32"/>
        <v>6.0023252458194953E-2</v>
      </c>
      <c r="Q291">
        <f t="shared" si="33"/>
        <v>0</v>
      </c>
      <c r="R291">
        <f t="shared" si="34"/>
        <v>0</v>
      </c>
      <c r="S291">
        <f t="shared" si="35"/>
        <v>0</v>
      </c>
      <c r="T291">
        <f t="shared" si="36"/>
        <v>1</v>
      </c>
      <c r="U291">
        <f t="shared" si="37"/>
        <v>0</v>
      </c>
      <c r="V291">
        <f t="shared" si="38"/>
        <v>0</v>
      </c>
      <c r="W291">
        <f t="shared" si="39"/>
        <v>0</v>
      </c>
    </row>
    <row r="292" spans="1:23" x14ac:dyDescent="0.25">
      <c r="A292" s="1">
        <v>31</v>
      </c>
      <c r="B292" s="1">
        <v>2008</v>
      </c>
      <c r="C292">
        <v>-1.914953380717666</v>
      </c>
      <c r="D292">
        <v>0.79511695414366257</v>
      </c>
      <c r="E292">
        <v>0.85654072746838106</v>
      </c>
      <c r="F292">
        <v>0.91228271047661635</v>
      </c>
      <c r="G292">
        <v>0.38764052319561237</v>
      </c>
      <c r="H292">
        <v>0.48106720160171512</v>
      </c>
      <c r="I292">
        <v>0.64710324205853842</v>
      </c>
      <c r="J292">
        <v>-16.11809565095832</v>
      </c>
      <c r="K292">
        <v>1.665048632597683</v>
      </c>
      <c r="L292">
        <v>-1.447732346433706</v>
      </c>
      <c r="M292">
        <v>2.7930546671945402</v>
      </c>
      <c r="N292">
        <v>2.7295122535389189</v>
      </c>
      <c r="O292">
        <v>-11.51292546497023</v>
      </c>
      <c r="P292">
        <f t="shared" si="32"/>
        <v>6.3542413655621299E-2</v>
      </c>
      <c r="Q292">
        <f t="shared" si="33"/>
        <v>0</v>
      </c>
      <c r="R292">
        <f t="shared" si="34"/>
        <v>0</v>
      </c>
      <c r="S292">
        <f t="shared" si="35"/>
        <v>0</v>
      </c>
      <c r="T292">
        <f t="shared" si="36"/>
        <v>1</v>
      </c>
      <c r="U292">
        <f t="shared" si="37"/>
        <v>0</v>
      </c>
      <c r="V292">
        <f t="shared" si="38"/>
        <v>0</v>
      </c>
      <c r="W292">
        <f t="shared" si="39"/>
        <v>0</v>
      </c>
    </row>
    <row r="293" spans="1:23" x14ac:dyDescent="0.25">
      <c r="A293" s="1">
        <v>31</v>
      </c>
      <c r="B293" s="1">
        <v>2009</v>
      </c>
      <c r="C293">
        <v>-1.896107555932413</v>
      </c>
      <c r="D293">
        <v>0.74881837793040629</v>
      </c>
      <c r="E293">
        <v>0.79511695414366257</v>
      </c>
      <c r="F293">
        <v>0.85654072746838106</v>
      </c>
      <c r="G293">
        <v>0.35760451175666452</v>
      </c>
      <c r="H293">
        <v>0.38764052319561237</v>
      </c>
      <c r="I293">
        <v>0.48106720160171512</v>
      </c>
      <c r="J293">
        <v>-9.905169387458578</v>
      </c>
      <c r="K293">
        <v>1.665048632597683</v>
      </c>
      <c r="L293">
        <v>-1.365071522325926</v>
      </c>
      <c r="M293">
        <v>2.7444865995273799</v>
      </c>
      <c r="N293">
        <v>2.783847588516756</v>
      </c>
      <c r="O293">
        <v>-11.51292546497023</v>
      </c>
      <c r="P293">
        <f t="shared" si="32"/>
        <v>-3.9360988989376011E-2</v>
      </c>
      <c r="Q293">
        <f t="shared" si="33"/>
        <v>0</v>
      </c>
      <c r="R293">
        <f t="shared" si="34"/>
        <v>0</v>
      </c>
      <c r="S293">
        <f t="shared" si="35"/>
        <v>0</v>
      </c>
      <c r="T293">
        <f t="shared" si="36"/>
        <v>1</v>
      </c>
      <c r="U293">
        <f t="shared" si="37"/>
        <v>0</v>
      </c>
      <c r="V293">
        <f t="shared" si="38"/>
        <v>0</v>
      </c>
      <c r="W293">
        <f t="shared" si="39"/>
        <v>0</v>
      </c>
    </row>
    <row r="294" spans="1:23" x14ac:dyDescent="0.25">
      <c r="A294" s="1">
        <v>31</v>
      </c>
      <c r="B294" s="1">
        <v>2010</v>
      </c>
      <c r="C294">
        <v>-1.6874307470552039</v>
      </c>
      <c r="D294">
        <v>0.7236763855947681</v>
      </c>
      <c r="E294">
        <v>0.74881837793040629</v>
      </c>
      <c r="F294">
        <v>0.79511695414366257</v>
      </c>
      <c r="G294">
        <v>0.41462304589292998</v>
      </c>
      <c r="H294">
        <v>0.35760451175666452</v>
      </c>
      <c r="I294">
        <v>0.38764052319561237</v>
      </c>
      <c r="J294">
        <v>-9.2043818049227788</v>
      </c>
      <c r="K294">
        <v>1.665048632597683</v>
      </c>
      <c r="L294">
        <v>-1.2660821794952271</v>
      </c>
      <c r="M294">
        <v>2.8713640733960721</v>
      </c>
      <c r="N294">
        <v>2.7521270015036121</v>
      </c>
      <c r="O294">
        <v>-11.51292546497023</v>
      </c>
      <c r="P294">
        <f t="shared" si="32"/>
        <v>0.11923707189246002</v>
      </c>
      <c r="Q294">
        <f t="shared" si="33"/>
        <v>0</v>
      </c>
      <c r="R294">
        <f t="shared" si="34"/>
        <v>0</v>
      </c>
      <c r="S294">
        <f t="shared" si="35"/>
        <v>0</v>
      </c>
      <c r="T294">
        <f t="shared" si="36"/>
        <v>1</v>
      </c>
      <c r="U294">
        <f t="shared" si="37"/>
        <v>0</v>
      </c>
      <c r="V294">
        <f t="shared" si="38"/>
        <v>0</v>
      </c>
      <c r="W294">
        <f t="shared" si="39"/>
        <v>0</v>
      </c>
    </row>
    <row r="295" spans="1:23" x14ac:dyDescent="0.25">
      <c r="A295" s="1">
        <v>31</v>
      </c>
      <c r="B295" s="1">
        <v>2011</v>
      </c>
      <c r="C295">
        <v>-1.571107417726038</v>
      </c>
      <c r="D295">
        <v>0.76248665863855825</v>
      </c>
      <c r="E295">
        <v>0.7236763855947681</v>
      </c>
      <c r="F295">
        <v>0.74881837793040629</v>
      </c>
      <c r="G295">
        <v>0.5019261405789579</v>
      </c>
      <c r="H295">
        <v>0.41462304589292998</v>
      </c>
      <c r="I295">
        <v>0.35760451175666452</v>
      </c>
      <c r="J295">
        <v>-7.6926051806889442</v>
      </c>
      <c r="K295">
        <v>1.665048632597683</v>
      </c>
      <c r="L295">
        <v>-1.1720532749662791</v>
      </c>
      <c r="M295">
        <v>2.9297951104025599</v>
      </c>
      <c r="N295">
        <v>2.8790633008533519</v>
      </c>
      <c r="O295">
        <v>-11.51292546497023</v>
      </c>
      <c r="P295">
        <f t="shared" si="32"/>
        <v>5.0731809549207973E-2</v>
      </c>
      <c r="Q295">
        <f t="shared" si="33"/>
        <v>0</v>
      </c>
      <c r="R295">
        <f t="shared" si="34"/>
        <v>0</v>
      </c>
      <c r="S295">
        <f t="shared" si="35"/>
        <v>0</v>
      </c>
      <c r="T295">
        <f t="shared" si="36"/>
        <v>1</v>
      </c>
      <c r="U295">
        <f t="shared" si="37"/>
        <v>0</v>
      </c>
      <c r="V295">
        <f t="shared" si="38"/>
        <v>0</v>
      </c>
      <c r="W295">
        <f t="shared" si="39"/>
        <v>0</v>
      </c>
    </row>
    <row r="296" spans="1:23" x14ac:dyDescent="0.25">
      <c r="A296" s="1">
        <v>31</v>
      </c>
      <c r="B296" s="1">
        <v>2012</v>
      </c>
      <c r="C296">
        <v>-1.4934795514968711</v>
      </c>
      <c r="D296">
        <v>0.71285176383428073</v>
      </c>
      <c r="E296">
        <v>0.76248665863855825</v>
      </c>
      <c r="F296">
        <v>0.7236763855947681</v>
      </c>
      <c r="G296">
        <v>0.43580030790423729</v>
      </c>
      <c r="H296">
        <v>0.5019261405789579</v>
      </c>
      <c r="I296">
        <v>0.41462304589292998</v>
      </c>
      <c r="J296">
        <v>-7.2571705350392399</v>
      </c>
      <c r="K296">
        <v>1.665048632597683</v>
      </c>
      <c r="L296">
        <v>-1.1022677043832061</v>
      </c>
      <c r="M296">
        <v>2.9471360520100429</v>
      </c>
      <c r="N296">
        <v>2.9233970037731618</v>
      </c>
      <c r="O296">
        <v>-11.51292546497023</v>
      </c>
      <c r="P296">
        <f t="shared" si="32"/>
        <v>2.3739048236881111E-2</v>
      </c>
      <c r="Q296">
        <f t="shared" si="33"/>
        <v>0</v>
      </c>
      <c r="R296">
        <f t="shared" si="34"/>
        <v>0</v>
      </c>
      <c r="S296">
        <f t="shared" si="35"/>
        <v>0</v>
      </c>
      <c r="T296">
        <f t="shared" si="36"/>
        <v>1</v>
      </c>
      <c r="U296">
        <f t="shared" si="37"/>
        <v>0</v>
      </c>
      <c r="V296">
        <f t="shared" si="38"/>
        <v>0</v>
      </c>
      <c r="W296">
        <f t="shared" si="39"/>
        <v>0</v>
      </c>
    </row>
    <row r="297" spans="1:23" x14ac:dyDescent="0.25">
      <c r="A297" s="1">
        <v>31</v>
      </c>
      <c r="B297" s="1">
        <v>2013</v>
      </c>
      <c r="C297">
        <v>-1.4869349667615681</v>
      </c>
      <c r="D297">
        <v>0.68355128688649835</v>
      </c>
      <c r="E297">
        <v>0.71285176383428073</v>
      </c>
      <c r="F297">
        <v>0.76248665863855825</v>
      </c>
      <c r="G297">
        <v>0.35942116960675757</v>
      </c>
      <c r="H297">
        <v>0.43580030790423729</v>
      </c>
      <c r="I297">
        <v>0.5019261405789579</v>
      </c>
      <c r="J297">
        <v>-6.4362162170172619</v>
      </c>
      <c r="K297">
        <v>1.665048632597683</v>
      </c>
      <c r="L297">
        <v>-1.0743911160916</v>
      </c>
      <c r="M297">
        <v>2.9366529053581152</v>
      </c>
      <c r="N297">
        <v>2.9106401381808178</v>
      </c>
      <c r="O297">
        <v>-11.51292546497023</v>
      </c>
      <c r="P297">
        <f t="shared" si="32"/>
        <v>2.6012767177297391E-2</v>
      </c>
      <c r="Q297">
        <f t="shared" si="33"/>
        <v>0</v>
      </c>
      <c r="R297">
        <f t="shared" si="34"/>
        <v>0</v>
      </c>
      <c r="S297">
        <f t="shared" si="35"/>
        <v>0</v>
      </c>
      <c r="T297">
        <f t="shared" si="36"/>
        <v>1</v>
      </c>
      <c r="U297">
        <f t="shared" si="37"/>
        <v>0</v>
      </c>
      <c r="V297">
        <f t="shared" si="38"/>
        <v>0</v>
      </c>
      <c r="W297">
        <f t="shared" si="39"/>
        <v>0</v>
      </c>
    </row>
    <row r="298" spans="1:23" x14ac:dyDescent="0.25">
      <c r="A298" s="1">
        <v>31</v>
      </c>
      <c r="B298" s="1">
        <v>2014</v>
      </c>
      <c r="C298">
        <v>-1.425130660492147</v>
      </c>
      <c r="D298">
        <v>0.65206473545871535</v>
      </c>
      <c r="E298">
        <v>0.68355128688649835</v>
      </c>
      <c r="F298">
        <v>0.71285176383428073</v>
      </c>
      <c r="G298">
        <v>0.34861252984868768</v>
      </c>
      <c r="H298">
        <v>0.35942116960675757</v>
      </c>
      <c r="I298">
        <v>0.43580030790423729</v>
      </c>
      <c r="J298">
        <v>-5.7806517388186291</v>
      </c>
      <c r="K298">
        <v>1.665048632597683</v>
      </c>
      <c r="L298">
        <v>-1.0264351275750001</v>
      </c>
      <c r="M298">
        <v>2.911310392527914</v>
      </c>
      <c r="N298">
        <v>2.929841861663526</v>
      </c>
      <c r="O298">
        <v>-11.51292546497023</v>
      </c>
      <c r="P298">
        <f t="shared" si="32"/>
        <v>-1.8531469135611989E-2</v>
      </c>
      <c r="Q298">
        <f t="shared" si="33"/>
        <v>0</v>
      </c>
      <c r="R298">
        <f t="shared" si="34"/>
        <v>0</v>
      </c>
      <c r="S298">
        <f t="shared" si="35"/>
        <v>0</v>
      </c>
      <c r="T298">
        <f t="shared" si="36"/>
        <v>1</v>
      </c>
      <c r="U298">
        <f t="shared" si="37"/>
        <v>0</v>
      </c>
      <c r="V298">
        <f t="shared" si="38"/>
        <v>0</v>
      </c>
      <c r="W298">
        <f t="shared" si="39"/>
        <v>0</v>
      </c>
    </row>
    <row r="299" spans="1:23" x14ac:dyDescent="0.25">
      <c r="A299" s="1">
        <v>31</v>
      </c>
      <c r="B299" s="1">
        <v>2015</v>
      </c>
      <c r="C299">
        <v>-1.580485424436801</v>
      </c>
      <c r="D299">
        <v>0.67365850397608285</v>
      </c>
      <c r="E299">
        <v>0.65206473545871535</v>
      </c>
      <c r="F299">
        <v>0.68355128688649835</v>
      </c>
      <c r="G299">
        <v>0.30032678998485968</v>
      </c>
      <c r="H299">
        <v>0.34861252984868768</v>
      </c>
      <c r="I299">
        <v>0.35942116960675757</v>
      </c>
      <c r="J299">
        <v>-5.4134254298042874</v>
      </c>
      <c r="K299">
        <v>1.665048632597683</v>
      </c>
      <c r="L299">
        <v>-0.99061680141015673</v>
      </c>
      <c r="M299">
        <v>2.8370914305315349</v>
      </c>
      <c r="N299">
        <v>2.9048202917486639</v>
      </c>
      <c r="O299">
        <v>-11.51292546497023</v>
      </c>
      <c r="P299">
        <f t="shared" si="32"/>
        <v>-6.7728861217128955E-2</v>
      </c>
      <c r="Q299">
        <f t="shared" si="33"/>
        <v>0</v>
      </c>
      <c r="R299">
        <f t="shared" si="34"/>
        <v>0</v>
      </c>
      <c r="S299">
        <f t="shared" si="35"/>
        <v>0</v>
      </c>
      <c r="T299">
        <f t="shared" si="36"/>
        <v>1</v>
      </c>
      <c r="U299">
        <f t="shared" si="37"/>
        <v>0</v>
      </c>
      <c r="V299">
        <f t="shared" si="38"/>
        <v>0</v>
      </c>
      <c r="W299">
        <f t="shared" si="39"/>
        <v>1</v>
      </c>
    </row>
    <row r="300" spans="1:23" x14ac:dyDescent="0.25">
      <c r="A300" s="1">
        <v>31</v>
      </c>
      <c r="B300" s="1">
        <v>2016</v>
      </c>
      <c r="C300">
        <v>-1.537501426855469</v>
      </c>
      <c r="D300">
        <v>0.70877443644564431</v>
      </c>
      <c r="E300">
        <v>0.67365850397608285</v>
      </c>
      <c r="F300">
        <v>0.65206473545871535</v>
      </c>
      <c r="G300">
        <v>0.39467375702994367</v>
      </c>
      <c r="H300">
        <v>0.30032678998485968</v>
      </c>
      <c r="I300">
        <v>0.34861252984868768</v>
      </c>
      <c r="J300">
        <v>-5.0618123912569919</v>
      </c>
      <c r="K300">
        <v>1.665048632597683</v>
      </c>
      <c r="L300">
        <v>-0.9609825132529638</v>
      </c>
      <c r="M300">
        <v>2.800931067191438</v>
      </c>
      <c r="N300">
        <v>2.8309548340103299</v>
      </c>
      <c r="O300">
        <v>-11.51292546497023</v>
      </c>
      <c r="P300">
        <f t="shared" si="32"/>
        <v>-3.0023766818891851E-2</v>
      </c>
      <c r="Q300">
        <f t="shared" si="33"/>
        <v>0</v>
      </c>
      <c r="R300">
        <f t="shared" si="34"/>
        <v>0</v>
      </c>
      <c r="S300">
        <f t="shared" si="35"/>
        <v>0</v>
      </c>
      <c r="T300">
        <f t="shared" si="36"/>
        <v>1</v>
      </c>
      <c r="U300">
        <f t="shared" si="37"/>
        <v>0</v>
      </c>
      <c r="V300">
        <f t="shared" si="38"/>
        <v>0</v>
      </c>
      <c r="W300">
        <f t="shared" si="39"/>
        <v>1</v>
      </c>
    </row>
    <row r="301" spans="1:23" x14ac:dyDescent="0.25">
      <c r="A301" s="1">
        <v>31</v>
      </c>
      <c r="B301" s="1">
        <v>2017</v>
      </c>
      <c r="C301">
        <v>-1.5306391406381299</v>
      </c>
      <c r="D301">
        <v>0.71676604615857931</v>
      </c>
      <c r="E301">
        <v>0.70877443644564431</v>
      </c>
      <c r="F301">
        <v>0.67365850397608285</v>
      </c>
      <c r="G301">
        <v>0.38028404291090551</v>
      </c>
      <c r="H301">
        <v>0.39467375702994367</v>
      </c>
      <c r="I301">
        <v>0.30032678998485968</v>
      </c>
      <c r="J301">
        <v>-4.4166902227234708</v>
      </c>
      <c r="K301">
        <v>1.665048632597683</v>
      </c>
      <c r="L301">
        <v>-0.92806234712043212</v>
      </c>
      <c r="M301">
        <v>2.8154043395803452</v>
      </c>
      <c r="N301">
        <v>2.79513881878828</v>
      </c>
      <c r="O301">
        <v>-11.51292546497023</v>
      </c>
      <c r="P301">
        <f t="shared" si="32"/>
        <v>2.0265520792065228E-2</v>
      </c>
      <c r="Q301">
        <f t="shared" si="33"/>
        <v>0</v>
      </c>
      <c r="R301">
        <f t="shared" si="34"/>
        <v>0</v>
      </c>
      <c r="S301">
        <f t="shared" si="35"/>
        <v>0</v>
      </c>
      <c r="T301">
        <f t="shared" si="36"/>
        <v>1</v>
      </c>
      <c r="U301">
        <f t="shared" si="37"/>
        <v>0</v>
      </c>
      <c r="V301">
        <f t="shared" si="38"/>
        <v>0</v>
      </c>
      <c r="W301">
        <f t="shared" si="39"/>
        <v>1</v>
      </c>
    </row>
    <row r="302" spans="1:23" x14ac:dyDescent="0.25">
      <c r="A302" s="1">
        <v>31</v>
      </c>
      <c r="B302" s="1">
        <v>2018</v>
      </c>
      <c r="C302">
        <v>-1.773131054291377</v>
      </c>
      <c r="D302">
        <v>0.87304914583513249</v>
      </c>
      <c r="E302">
        <v>0.71676604615857931</v>
      </c>
      <c r="F302">
        <v>0.70877443644564431</v>
      </c>
      <c r="G302">
        <v>0.45031099589999951</v>
      </c>
      <c r="H302">
        <v>0.38028404291090551</v>
      </c>
      <c r="I302">
        <v>0.39467375702994367</v>
      </c>
      <c r="J302">
        <v>-3.950325063128457</v>
      </c>
      <c r="K302">
        <v>1.665048632597683</v>
      </c>
      <c r="L302">
        <v>-0.88429864165826255</v>
      </c>
      <c r="M302">
        <v>2.839851858776707</v>
      </c>
      <c r="N302">
        <v>2.8191459772272398</v>
      </c>
      <c r="O302">
        <v>3.2580965380214821</v>
      </c>
      <c r="P302">
        <f t="shared" si="32"/>
        <v>2.0705881549467176E-2</v>
      </c>
      <c r="Q302">
        <f t="shared" si="33"/>
        <v>14.771022002991712</v>
      </c>
      <c r="R302">
        <f t="shared" si="34"/>
        <v>0</v>
      </c>
      <c r="S302">
        <f t="shared" si="35"/>
        <v>0</v>
      </c>
      <c r="T302">
        <f t="shared" si="36"/>
        <v>1</v>
      </c>
      <c r="U302">
        <f t="shared" si="37"/>
        <v>0</v>
      </c>
      <c r="V302">
        <f t="shared" si="38"/>
        <v>0</v>
      </c>
      <c r="W302">
        <f t="shared" si="39"/>
        <v>1</v>
      </c>
    </row>
    <row r="303" spans="1:23" x14ac:dyDescent="0.25">
      <c r="A303" s="1">
        <v>31</v>
      </c>
      <c r="B303" s="1">
        <v>2019</v>
      </c>
      <c r="C303">
        <v>-1.858401975125525</v>
      </c>
      <c r="D303">
        <v>0.82868281335263771</v>
      </c>
      <c r="E303">
        <v>0.87304914583513249</v>
      </c>
      <c r="F303">
        <v>0.71676604615857931</v>
      </c>
      <c r="G303">
        <v>0.38831894927319383</v>
      </c>
      <c r="H303">
        <v>0.45031099589999951</v>
      </c>
      <c r="I303">
        <v>0.38028404291090551</v>
      </c>
      <c r="J303">
        <v>-3.206845334783671</v>
      </c>
      <c r="K303">
        <v>1.665048632597683</v>
      </c>
      <c r="L303">
        <v>-0.84793328981547011</v>
      </c>
      <c r="M303">
        <v>2.8508349529448558</v>
      </c>
      <c r="N303">
        <v>2.833780735630254</v>
      </c>
      <c r="O303">
        <v>5.393627546352362</v>
      </c>
      <c r="P303">
        <f t="shared" si="32"/>
        <v>1.7054217314601772E-2</v>
      </c>
      <c r="Q303">
        <f t="shared" si="33"/>
        <v>2.1355310083308798</v>
      </c>
      <c r="R303">
        <f t="shared" si="34"/>
        <v>0</v>
      </c>
      <c r="S303">
        <f t="shared" si="35"/>
        <v>0</v>
      </c>
      <c r="T303">
        <f t="shared" si="36"/>
        <v>1</v>
      </c>
      <c r="U303">
        <f t="shared" si="37"/>
        <v>0</v>
      </c>
      <c r="V303">
        <f t="shared" si="38"/>
        <v>0</v>
      </c>
      <c r="W303">
        <f t="shared" si="39"/>
        <v>1</v>
      </c>
    </row>
    <row r="304" spans="1:23" x14ac:dyDescent="0.25">
      <c r="A304" s="1">
        <v>31</v>
      </c>
      <c r="B304" s="1">
        <v>2020</v>
      </c>
      <c r="C304">
        <v>-1.8829612093822541</v>
      </c>
      <c r="D304">
        <v>0.73835952338149324</v>
      </c>
      <c r="E304">
        <v>0.82868281335263771</v>
      </c>
      <c r="F304">
        <v>0.87304914583513249</v>
      </c>
      <c r="G304">
        <v>0.34074879338847308</v>
      </c>
      <c r="H304">
        <v>0.38831894927319383</v>
      </c>
      <c r="I304">
        <v>0.45031099589999951</v>
      </c>
      <c r="J304">
        <v>-2.5883590649293349</v>
      </c>
      <c r="K304">
        <v>1.665048632597683</v>
      </c>
      <c r="L304">
        <v>-0.83191594082884701</v>
      </c>
      <c r="M304">
        <v>2.828616070877128</v>
      </c>
      <c r="N304">
        <v>2.845000233169098</v>
      </c>
      <c r="O304">
        <v>5.9914645471079817</v>
      </c>
      <c r="P304">
        <f t="shared" si="32"/>
        <v>-1.6384162291970039E-2</v>
      </c>
      <c r="Q304">
        <f t="shared" si="33"/>
        <v>0.59783700075561974</v>
      </c>
      <c r="R304">
        <f t="shared" si="34"/>
        <v>0</v>
      </c>
      <c r="S304">
        <f t="shared" si="35"/>
        <v>0</v>
      </c>
      <c r="T304">
        <f t="shared" si="36"/>
        <v>1</v>
      </c>
      <c r="U304">
        <f t="shared" si="37"/>
        <v>0</v>
      </c>
      <c r="V304">
        <f t="shared" si="38"/>
        <v>1</v>
      </c>
      <c r="W304">
        <f t="shared" si="39"/>
        <v>1</v>
      </c>
    </row>
    <row r="305" spans="1:23" x14ac:dyDescent="0.25">
      <c r="A305" s="1">
        <v>31</v>
      </c>
      <c r="B305" s="1">
        <v>2021</v>
      </c>
      <c r="C305">
        <v>-1.7583049679789671</v>
      </c>
      <c r="D305">
        <v>0.94137351224161814</v>
      </c>
      <c r="E305">
        <v>0.73835952338149324</v>
      </c>
      <c r="F305">
        <v>0.82868281335263771</v>
      </c>
      <c r="G305">
        <v>0.63350332763243034</v>
      </c>
      <c r="H305">
        <v>0.34074879338847308</v>
      </c>
      <c r="I305">
        <v>0.38831894927319383</v>
      </c>
      <c r="J305">
        <v>-1.9290036984948411</v>
      </c>
      <c r="K305">
        <v>1.665048632597683</v>
      </c>
      <c r="L305">
        <v>-0.80830727196723884</v>
      </c>
      <c r="M305">
        <v>2.9283190562134078</v>
      </c>
      <c r="N305">
        <v>2.8230308486418569</v>
      </c>
      <c r="O305">
        <v>6.6846117276679271</v>
      </c>
      <c r="P305">
        <f t="shared" si="32"/>
        <v>0.10528820757155088</v>
      </c>
      <c r="Q305">
        <f t="shared" si="33"/>
        <v>0.6931471805599454</v>
      </c>
      <c r="R305">
        <f t="shared" si="34"/>
        <v>0</v>
      </c>
      <c r="S305">
        <f t="shared" si="35"/>
        <v>0</v>
      </c>
      <c r="T305">
        <f t="shared" si="36"/>
        <v>1</v>
      </c>
      <c r="U305">
        <f t="shared" si="37"/>
        <v>0</v>
      </c>
      <c r="V305">
        <f t="shared" si="38"/>
        <v>0</v>
      </c>
      <c r="W305">
        <f t="shared" si="39"/>
        <v>1</v>
      </c>
    </row>
    <row r="306" spans="1:23" x14ac:dyDescent="0.25">
      <c r="A306" s="1">
        <v>31</v>
      </c>
      <c r="B306" s="1">
        <v>2022</v>
      </c>
      <c r="C306">
        <v>-1.6094302601847861</v>
      </c>
      <c r="D306">
        <v>0.92107924860595225</v>
      </c>
      <c r="E306">
        <v>0.94137351224161814</v>
      </c>
      <c r="F306">
        <v>0.73835952338149324</v>
      </c>
      <c r="G306">
        <v>0.59960543615158113</v>
      </c>
      <c r="H306">
        <v>0.63350332763243034</v>
      </c>
      <c r="I306">
        <v>0.34074879338847308</v>
      </c>
      <c r="J306">
        <v>-1.492004208403821</v>
      </c>
      <c r="K306">
        <v>1.665048632597683</v>
      </c>
      <c r="L306">
        <v>-0.77348469736340553</v>
      </c>
      <c r="M306">
        <v>2.9018312435238851</v>
      </c>
      <c r="N306">
        <v>2.9283190562134078</v>
      </c>
      <c r="O306">
        <v>8.0551577318196781</v>
      </c>
      <c r="P306">
        <f t="shared" si="32"/>
        <v>-2.6487812689522716E-2</v>
      </c>
      <c r="Q306">
        <f t="shared" si="33"/>
        <v>1.370546004151751</v>
      </c>
      <c r="R306">
        <f t="shared" si="34"/>
        <v>0</v>
      </c>
      <c r="S306">
        <f t="shared" si="35"/>
        <v>0</v>
      </c>
      <c r="T306">
        <f t="shared" si="36"/>
        <v>1</v>
      </c>
      <c r="U306">
        <f t="shared" si="37"/>
        <v>0</v>
      </c>
      <c r="V306">
        <f t="shared" si="38"/>
        <v>0</v>
      </c>
      <c r="W306">
        <f t="shared" si="39"/>
        <v>0</v>
      </c>
    </row>
    <row r="307" spans="1:23" x14ac:dyDescent="0.25">
      <c r="A307" s="1">
        <v>31</v>
      </c>
      <c r="B307" s="1">
        <v>2023</v>
      </c>
      <c r="C307">
        <v>-1.4965861262527229</v>
      </c>
      <c r="D307">
        <v>0.72149165356908784</v>
      </c>
      <c r="E307">
        <v>0.92107924860595225</v>
      </c>
      <c r="F307">
        <v>0.94137351224161814</v>
      </c>
      <c r="G307">
        <v>0.35107931758157263</v>
      </c>
      <c r="H307">
        <v>0.59960543615158113</v>
      </c>
      <c r="I307">
        <v>0.63350332763243034</v>
      </c>
      <c r="J307">
        <v>-0.96519406369813177</v>
      </c>
      <c r="K307">
        <v>1.665048632597683</v>
      </c>
      <c r="L307">
        <v>-0.7452298622928164</v>
      </c>
      <c r="M307">
        <v>2.9210104236017731</v>
      </c>
      <c r="N307">
        <v>2.9018312435238851</v>
      </c>
      <c r="O307">
        <v>8.4658998970286863</v>
      </c>
      <c r="P307">
        <f t="shared" si="32"/>
        <v>1.9179180077887992E-2</v>
      </c>
      <c r="Q307">
        <f t="shared" si="33"/>
        <v>0.41074216520900819</v>
      </c>
      <c r="R307">
        <f t="shared" si="34"/>
        <v>0</v>
      </c>
      <c r="S307">
        <f t="shared" si="35"/>
        <v>0</v>
      </c>
      <c r="T307">
        <f t="shared" si="36"/>
        <v>1</v>
      </c>
      <c r="U307">
        <f t="shared" si="37"/>
        <v>0</v>
      </c>
      <c r="V307">
        <f t="shared" si="38"/>
        <v>0</v>
      </c>
      <c r="W307">
        <f t="shared" si="39"/>
        <v>0</v>
      </c>
    </row>
    <row r="308" spans="1:23" x14ac:dyDescent="0.25">
      <c r="A308" s="1">
        <v>32</v>
      </c>
      <c r="B308" s="1">
        <v>2006</v>
      </c>
      <c r="C308">
        <v>-2.0154650404173702</v>
      </c>
      <c r="D308">
        <v>0.96317431777300555</v>
      </c>
      <c r="E308">
        <v>0.88957707835573163</v>
      </c>
      <c r="F308">
        <v>0.8423858160261829</v>
      </c>
      <c r="G308">
        <v>0.67803354274989713</v>
      </c>
      <c r="H308">
        <v>0.46919079898870919</v>
      </c>
      <c r="I308">
        <v>0.31736222655319152</v>
      </c>
      <c r="J308">
        <v>-16.11809565095832</v>
      </c>
      <c r="K308">
        <v>0.1210771896579252</v>
      </c>
      <c r="L308">
        <v>-1.72030015686339</v>
      </c>
      <c r="M308">
        <v>3.0345033139311699</v>
      </c>
      <c r="N308">
        <v>2.9716296335152319</v>
      </c>
      <c r="O308">
        <v>-11.51292546497023</v>
      </c>
      <c r="P308">
        <f t="shared" si="32"/>
        <v>6.2873680415937994E-2</v>
      </c>
      <c r="Q308">
        <f t="shared" si="33"/>
        <v>0</v>
      </c>
      <c r="R308">
        <f t="shared" si="34"/>
        <v>0</v>
      </c>
      <c r="S308">
        <f t="shared" si="35"/>
        <v>0</v>
      </c>
      <c r="T308">
        <f t="shared" si="36"/>
        <v>1</v>
      </c>
      <c r="U308">
        <f t="shared" si="37"/>
        <v>0</v>
      </c>
      <c r="V308">
        <f t="shared" si="38"/>
        <v>0</v>
      </c>
      <c r="W308">
        <f t="shared" si="39"/>
        <v>0</v>
      </c>
    </row>
    <row r="309" spans="1:23" x14ac:dyDescent="0.25">
      <c r="A309" s="1">
        <v>32</v>
      </c>
      <c r="B309" s="1">
        <v>2007</v>
      </c>
      <c r="C309">
        <v>-1.9854443444285541</v>
      </c>
      <c r="D309">
        <v>0.91952549438408449</v>
      </c>
      <c r="E309">
        <v>0.96317431777300555</v>
      </c>
      <c r="F309">
        <v>0.88957707835573163</v>
      </c>
      <c r="G309">
        <v>0.54412499416691684</v>
      </c>
      <c r="H309">
        <v>0.67803354274989713</v>
      </c>
      <c r="I309">
        <v>0.46919079898870919</v>
      </c>
      <c r="J309">
        <v>-16.11809565095832</v>
      </c>
      <c r="K309">
        <v>0.1210771896579252</v>
      </c>
      <c r="L309">
        <v>-1.601206695277904</v>
      </c>
      <c r="M309">
        <v>3.0998896343384841</v>
      </c>
      <c r="N309">
        <v>3.0360398755975089</v>
      </c>
      <c r="O309">
        <v>-11.51292546497023</v>
      </c>
      <c r="P309">
        <f t="shared" si="32"/>
        <v>6.3849758740975204E-2</v>
      </c>
      <c r="Q309">
        <f t="shared" si="33"/>
        <v>0</v>
      </c>
      <c r="R309">
        <f t="shared" si="34"/>
        <v>0</v>
      </c>
      <c r="S309">
        <f t="shared" si="35"/>
        <v>0</v>
      </c>
      <c r="T309">
        <f t="shared" si="36"/>
        <v>1</v>
      </c>
      <c r="U309">
        <f t="shared" si="37"/>
        <v>0</v>
      </c>
      <c r="V309">
        <f t="shared" si="38"/>
        <v>0</v>
      </c>
      <c r="W309">
        <f t="shared" si="39"/>
        <v>0</v>
      </c>
    </row>
    <row r="310" spans="1:23" x14ac:dyDescent="0.25">
      <c r="A310" s="1">
        <v>32</v>
      </c>
      <c r="B310" s="1">
        <v>2008</v>
      </c>
      <c r="C310">
        <v>-1.962435383477668</v>
      </c>
      <c r="D310">
        <v>0.86600745356438702</v>
      </c>
      <c r="E310">
        <v>0.91952549438408449</v>
      </c>
      <c r="F310">
        <v>0.96317431777300555</v>
      </c>
      <c r="G310">
        <v>0.47000362924573558</v>
      </c>
      <c r="H310">
        <v>0.54412499416691684</v>
      </c>
      <c r="I310">
        <v>0.67803354274989713</v>
      </c>
      <c r="J310">
        <v>-16.11809565095832</v>
      </c>
      <c r="K310">
        <v>0.1210771896579252</v>
      </c>
      <c r="L310">
        <v>-1.4792777697496631</v>
      </c>
      <c r="M310">
        <v>3.1899582055058429</v>
      </c>
      <c r="N310">
        <v>3.1014288502095142</v>
      </c>
      <c r="O310">
        <v>-11.51292546497023</v>
      </c>
      <c r="P310">
        <f t="shared" si="32"/>
        <v>8.852935529632866E-2</v>
      </c>
      <c r="Q310">
        <f t="shared" si="33"/>
        <v>0</v>
      </c>
      <c r="R310">
        <f t="shared" si="34"/>
        <v>0</v>
      </c>
      <c r="S310">
        <f t="shared" si="35"/>
        <v>0</v>
      </c>
      <c r="T310">
        <f t="shared" si="36"/>
        <v>1</v>
      </c>
      <c r="U310">
        <f t="shared" si="37"/>
        <v>0</v>
      </c>
      <c r="V310">
        <f t="shared" si="38"/>
        <v>0</v>
      </c>
      <c r="W310">
        <f t="shared" si="39"/>
        <v>0</v>
      </c>
    </row>
    <row r="311" spans="1:23" x14ac:dyDescent="0.25">
      <c r="A311" s="1">
        <v>32</v>
      </c>
      <c r="B311" s="1">
        <v>2009</v>
      </c>
      <c r="C311">
        <v>-1.920097925506407</v>
      </c>
      <c r="D311">
        <v>0.82382450420156139</v>
      </c>
      <c r="E311">
        <v>0.86600745356438702</v>
      </c>
      <c r="F311">
        <v>0.91952549438408449</v>
      </c>
      <c r="G311">
        <v>0.46662292108625802</v>
      </c>
      <c r="H311">
        <v>0.47000362924573558</v>
      </c>
      <c r="I311">
        <v>0.54412499416691684</v>
      </c>
      <c r="J311">
        <v>-8.1568541141611828</v>
      </c>
      <c r="K311">
        <v>0.1210771896579252</v>
      </c>
      <c r="L311">
        <v>-1.3854822910721349</v>
      </c>
      <c r="M311">
        <v>3.0689971607260609</v>
      </c>
      <c r="N311">
        <v>3.1802898549320782</v>
      </c>
      <c r="O311">
        <v>-11.51292546497023</v>
      </c>
      <c r="P311">
        <f t="shared" si="32"/>
        <v>-0.11129269420601728</v>
      </c>
      <c r="Q311">
        <f t="shared" si="33"/>
        <v>0</v>
      </c>
      <c r="R311">
        <f t="shared" si="34"/>
        <v>0</v>
      </c>
      <c r="S311">
        <f t="shared" si="35"/>
        <v>0</v>
      </c>
      <c r="T311">
        <f t="shared" si="36"/>
        <v>1</v>
      </c>
      <c r="U311">
        <f t="shared" si="37"/>
        <v>0</v>
      </c>
      <c r="V311">
        <f t="shared" si="38"/>
        <v>0</v>
      </c>
      <c r="W311">
        <f t="shared" si="39"/>
        <v>0</v>
      </c>
    </row>
    <row r="312" spans="1:23" x14ac:dyDescent="0.25">
      <c r="A312" s="1">
        <v>32</v>
      </c>
      <c r="B312" s="1">
        <v>2010</v>
      </c>
      <c r="C312">
        <v>-1.706711018642455</v>
      </c>
      <c r="D312">
        <v>0.78895723540592111</v>
      </c>
      <c r="E312">
        <v>0.82382450420156139</v>
      </c>
      <c r="F312">
        <v>0.86600745356438702</v>
      </c>
      <c r="G312">
        <v>0.50748003351489412</v>
      </c>
      <c r="H312">
        <v>0.46662292108625802</v>
      </c>
      <c r="I312">
        <v>0.47000362924573558</v>
      </c>
      <c r="J312">
        <v>-7.4722525615834847</v>
      </c>
      <c r="K312">
        <v>0.1210771896579252</v>
      </c>
      <c r="L312">
        <v>-1.3149918360292321</v>
      </c>
      <c r="M312">
        <v>3.1886505585110809</v>
      </c>
      <c r="N312">
        <v>3.0604515327438668</v>
      </c>
      <c r="O312">
        <v>-11.51292546497023</v>
      </c>
      <c r="P312">
        <f t="shared" si="32"/>
        <v>0.12819902576721409</v>
      </c>
      <c r="Q312">
        <f t="shared" si="33"/>
        <v>0</v>
      </c>
      <c r="R312">
        <f t="shared" si="34"/>
        <v>0</v>
      </c>
      <c r="S312">
        <f t="shared" si="35"/>
        <v>0</v>
      </c>
      <c r="T312">
        <f t="shared" si="36"/>
        <v>1</v>
      </c>
      <c r="U312">
        <f t="shared" si="37"/>
        <v>0</v>
      </c>
      <c r="V312">
        <f t="shared" si="38"/>
        <v>0</v>
      </c>
      <c r="W312">
        <f t="shared" si="39"/>
        <v>0</v>
      </c>
    </row>
    <row r="313" spans="1:23" x14ac:dyDescent="0.25">
      <c r="A313" s="1">
        <v>32</v>
      </c>
      <c r="B313" s="1">
        <v>2011</v>
      </c>
      <c r="C313">
        <v>-1.60053839816128</v>
      </c>
      <c r="D313">
        <v>0.79077285934438513</v>
      </c>
      <c r="E313">
        <v>0.78895723540592111</v>
      </c>
      <c r="F313">
        <v>0.82382450420156139</v>
      </c>
      <c r="G313">
        <v>0.60355064674818915</v>
      </c>
      <c r="H313">
        <v>0.50748003351489412</v>
      </c>
      <c r="I313">
        <v>0.46662292108625802</v>
      </c>
      <c r="J313">
        <v>-5.5348156310996162</v>
      </c>
      <c r="K313">
        <v>0.1210771896579252</v>
      </c>
      <c r="L313">
        <v>-1.2476551676735821</v>
      </c>
      <c r="M313">
        <v>3.317190439872213</v>
      </c>
      <c r="N313">
        <v>3.1801773399395339</v>
      </c>
      <c r="O313">
        <v>-11.51292546497023</v>
      </c>
      <c r="P313">
        <f t="shared" si="32"/>
        <v>0.13701309993267907</v>
      </c>
      <c r="Q313">
        <f t="shared" si="33"/>
        <v>0</v>
      </c>
      <c r="R313">
        <f t="shared" si="34"/>
        <v>0</v>
      </c>
      <c r="S313">
        <f t="shared" si="35"/>
        <v>0</v>
      </c>
      <c r="T313">
        <f t="shared" si="36"/>
        <v>1</v>
      </c>
      <c r="U313">
        <f t="shared" si="37"/>
        <v>0</v>
      </c>
      <c r="V313">
        <f t="shared" si="38"/>
        <v>0</v>
      </c>
      <c r="W313">
        <f t="shared" si="39"/>
        <v>0</v>
      </c>
    </row>
    <row r="314" spans="1:23" x14ac:dyDescent="0.25">
      <c r="A314" s="1">
        <v>32</v>
      </c>
      <c r="B314" s="1">
        <v>2012</v>
      </c>
      <c r="C314">
        <v>-1.471108373131875</v>
      </c>
      <c r="D314">
        <v>0.71998383451350489</v>
      </c>
      <c r="E314">
        <v>0.79077285934438513</v>
      </c>
      <c r="F314">
        <v>0.78895723540592111</v>
      </c>
      <c r="G314">
        <v>0.57986649410097901</v>
      </c>
      <c r="H314">
        <v>0.60355064674818915</v>
      </c>
      <c r="I314">
        <v>0.50748003351489412</v>
      </c>
      <c r="J314">
        <v>-5.1380555517149187</v>
      </c>
      <c r="K314">
        <v>0.1210771896579252</v>
      </c>
      <c r="L314">
        <v>-1.179704367233158</v>
      </c>
      <c r="M314">
        <v>3.329732396070292</v>
      </c>
      <c r="N314">
        <v>3.3084854111487361</v>
      </c>
      <c r="O314">
        <v>-11.51292546497023</v>
      </c>
      <c r="P314">
        <f t="shared" si="32"/>
        <v>2.1246984921555967E-2</v>
      </c>
      <c r="Q314">
        <f t="shared" si="33"/>
        <v>0</v>
      </c>
      <c r="R314">
        <f t="shared" si="34"/>
        <v>0</v>
      </c>
      <c r="S314">
        <f t="shared" si="35"/>
        <v>0</v>
      </c>
      <c r="T314">
        <f t="shared" si="36"/>
        <v>1</v>
      </c>
      <c r="U314">
        <f t="shared" si="37"/>
        <v>0</v>
      </c>
      <c r="V314">
        <f t="shared" si="38"/>
        <v>0</v>
      </c>
      <c r="W314">
        <f t="shared" si="39"/>
        <v>0</v>
      </c>
    </row>
    <row r="315" spans="1:23" x14ac:dyDescent="0.25">
      <c r="A315" s="1">
        <v>32</v>
      </c>
      <c r="B315" s="1">
        <v>2013</v>
      </c>
      <c r="C315">
        <v>-1.494133934603429</v>
      </c>
      <c r="D315">
        <v>0.68355128688649835</v>
      </c>
      <c r="E315">
        <v>0.71998383451350489</v>
      </c>
      <c r="F315">
        <v>0.79077285934438513</v>
      </c>
      <c r="G315">
        <v>0.53456168144257443</v>
      </c>
      <c r="H315">
        <v>0.57986649410097901</v>
      </c>
      <c r="I315">
        <v>0.60355064674818915</v>
      </c>
      <c r="J315">
        <v>-4.491862412090355</v>
      </c>
      <c r="K315">
        <v>0.1210771896579252</v>
      </c>
      <c r="L315">
        <v>-1.1875772680358909</v>
      </c>
      <c r="M315">
        <v>3.190504739213627</v>
      </c>
      <c r="N315">
        <v>3.2592478577247208</v>
      </c>
      <c r="O315">
        <v>-11.51292546497023</v>
      </c>
      <c r="P315">
        <f t="shared" si="32"/>
        <v>-6.8743118511093826E-2</v>
      </c>
      <c r="Q315">
        <f t="shared" si="33"/>
        <v>0</v>
      </c>
      <c r="R315">
        <f t="shared" si="34"/>
        <v>0</v>
      </c>
      <c r="S315">
        <f t="shared" si="35"/>
        <v>0</v>
      </c>
      <c r="T315">
        <f t="shared" si="36"/>
        <v>1</v>
      </c>
      <c r="U315">
        <f t="shared" si="37"/>
        <v>0</v>
      </c>
      <c r="V315">
        <f t="shared" si="38"/>
        <v>0</v>
      </c>
      <c r="W315">
        <f t="shared" si="39"/>
        <v>0</v>
      </c>
    </row>
    <row r="316" spans="1:23" x14ac:dyDescent="0.25">
      <c r="A316" s="1">
        <v>32</v>
      </c>
      <c r="B316" s="1">
        <v>2014</v>
      </c>
      <c r="C316">
        <v>-1.4244153753066211</v>
      </c>
      <c r="D316">
        <v>0.65876275369811454</v>
      </c>
      <c r="E316">
        <v>0.68355128688649835</v>
      </c>
      <c r="F316">
        <v>0.71998383451350489</v>
      </c>
      <c r="G316">
        <v>0.51950782414882457</v>
      </c>
      <c r="H316">
        <v>0.53456168144257443</v>
      </c>
      <c r="I316">
        <v>0.57986649410097901</v>
      </c>
      <c r="J316">
        <v>-3.810543579081318</v>
      </c>
      <c r="K316">
        <v>0.1210771896579252</v>
      </c>
      <c r="L316">
        <v>-1.1445370486744579</v>
      </c>
      <c r="M316">
        <v>3.1967545587293689</v>
      </c>
      <c r="N316">
        <v>3.1786763916627172</v>
      </c>
      <c r="O316">
        <v>-11.51292546497023</v>
      </c>
      <c r="P316">
        <f t="shared" si="32"/>
        <v>1.8078167066651663E-2</v>
      </c>
      <c r="Q316">
        <f t="shared" si="33"/>
        <v>0</v>
      </c>
      <c r="R316">
        <f t="shared" si="34"/>
        <v>0</v>
      </c>
      <c r="S316">
        <f t="shared" si="35"/>
        <v>0</v>
      </c>
      <c r="T316">
        <f t="shared" si="36"/>
        <v>1</v>
      </c>
      <c r="U316">
        <f t="shared" si="37"/>
        <v>0</v>
      </c>
      <c r="V316">
        <f t="shared" si="38"/>
        <v>0</v>
      </c>
      <c r="W316">
        <f t="shared" si="39"/>
        <v>0</v>
      </c>
    </row>
    <row r="317" spans="1:23" x14ac:dyDescent="0.25">
      <c r="A317" s="1">
        <v>32</v>
      </c>
      <c r="B317" s="1">
        <v>2015</v>
      </c>
      <c r="C317">
        <v>-1.455241445631601</v>
      </c>
      <c r="D317">
        <v>0.67661121191984575</v>
      </c>
      <c r="E317">
        <v>0.65876275369811454</v>
      </c>
      <c r="F317">
        <v>0.68355128688649835</v>
      </c>
      <c r="G317">
        <v>0.48839594879980602</v>
      </c>
      <c r="H317">
        <v>0.51950782414882457</v>
      </c>
      <c r="I317">
        <v>0.53456168144257443</v>
      </c>
      <c r="J317">
        <v>-3.5314399299331951</v>
      </c>
      <c r="K317">
        <v>0.1210771896579252</v>
      </c>
      <c r="L317">
        <v>-1.1171376979228</v>
      </c>
      <c r="M317">
        <v>3.0447393750450531</v>
      </c>
      <c r="N317">
        <v>3.185273375767748</v>
      </c>
      <c r="O317">
        <v>-11.51292546497023</v>
      </c>
      <c r="P317">
        <f t="shared" si="32"/>
        <v>-0.14053400072269495</v>
      </c>
      <c r="Q317">
        <f t="shared" si="33"/>
        <v>0</v>
      </c>
      <c r="R317">
        <f t="shared" si="34"/>
        <v>0</v>
      </c>
      <c r="S317">
        <f t="shared" si="35"/>
        <v>0</v>
      </c>
      <c r="T317">
        <f t="shared" si="36"/>
        <v>1</v>
      </c>
      <c r="U317">
        <f t="shared" si="37"/>
        <v>0</v>
      </c>
      <c r="V317">
        <f t="shared" si="38"/>
        <v>0</v>
      </c>
      <c r="W317">
        <f t="shared" si="39"/>
        <v>1</v>
      </c>
    </row>
    <row r="318" spans="1:23" x14ac:dyDescent="0.25">
      <c r="A318" s="1">
        <v>32</v>
      </c>
      <c r="B318" s="1">
        <v>2016</v>
      </c>
      <c r="C318">
        <v>-1.4339957442757869</v>
      </c>
      <c r="D318">
        <v>0.70066882195879143</v>
      </c>
      <c r="E318">
        <v>0.67661121191984575</v>
      </c>
      <c r="F318">
        <v>0.65876275369811454</v>
      </c>
      <c r="G318">
        <v>0.56092921073223634</v>
      </c>
      <c r="H318">
        <v>0.48839594879980602</v>
      </c>
      <c r="I318">
        <v>0.51950782414882457</v>
      </c>
      <c r="J318">
        <v>-3.3386922842303748</v>
      </c>
      <c r="K318">
        <v>0.1210771896579252</v>
      </c>
      <c r="L318">
        <v>-1.100672190265807</v>
      </c>
      <c r="M318">
        <v>2.858973286589729</v>
      </c>
      <c r="N318">
        <v>3.0336592587329538</v>
      </c>
      <c r="O318">
        <v>-11.51292546497023</v>
      </c>
      <c r="P318">
        <f t="shared" si="32"/>
        <v>-0.17468597214322479</v>
      </c>
      <c r="Q318">
        <f t="shared" si="33"/>
        <v>0</v>
      </c>
      <c r="R318">
        <f t="shared" si="34"/>
        <v>0</v>
      </c>
      <c r="S318">
        <f t="shared" si="35"/>
        <v>0</v>
      </c>
      <c r="T318">
        <f t="shared" si="36"/>
        <v>1</v>
      </c>
      <c r="U318">
        <f t="shared" si="37"/>
        <v>0</v>
      </c>
      <c r="V318">
        <f t="shared" si="38"/>
        <v>0</v>
      </c>
      <c r="W318">
        <f t="shared" si="39"/>
        <v>1</v>
      </c>
    </row>
    <row r="319" spans="1:23" x14ac:dyDescent="0.25">
      <c r="A319" s="1">
        <v>32</v>
      </c>
      <c r="B319" s="1">
        <v>2017</v>
      </c>
      <c r="C319">
        <v>-1.4548490777612779</v>
      </c>
      <c r="D319">
        <v>0.69574380640721123</v>
      </c>
      <c r="E319">
        <v>0.70066882195879143</v>
      </c>
      <c r="F319">
        <v>0.67661121191984575</v>
      </c>
      <c r="G319">
        <v>0.57464513647894466</v>
      </c>
      <c r="H319">
        <v>0.56092921073223634</v>
      </c>
      <c r="I319">
        <v>0.48839594879980602</v>
      </c>
      <c r="J319">
        <v>-2.7221811997148042</v>
      </c>
      <c r="K319">
        <v>0.1210771896579252</v>
      </c>
      <c r="L319">
        <v>-1.0829756218864179</v>
      </c>
      <c r="M319">
        <v>2.8493892042478808</v>
      </c>
      <c r="N319">
        <v>2.848295158337153</v>
      </c>
      <c r="O319">
        <v>-11.51292546497023</v>
      </c>
      <c r="P319">
        <f t="shared" si="32"/>
        <v>1.0940459107278144E-3</v>
      </c>
      <c r="Q319">
        <f t="shared" si="33"/>
        <v>0</v>
      </c>
      <c r="R319">
        <f t="shared" si="34"/>
        <v>0</v>
      </c>
      <c r="S319">
        <f t="shared" si="35"/>
        <v>0</v>
      </c>
      <c r="T319">
        <f t="shared" si="36"/>
        <v>1</v>
      </c>
      <c r="U319">
        <f t="shared" si="37"/>
        <v>0</v>
      </c>
      <c r="V319">
        <f t="shared" si="38"/>
        <v>0</v>
      </c>
      <c r="W319">
        <f t="shared" si="39"/>
        <v>1</v>
      </c>
    </row>
    <row r="320" spans="1:23" x14ac:dyDescent="0.25">
      <c r="A320" s="1">
        <v>32</v>
      </c>
      <c r="B320" s="1">
        <v>2018</v>
      </c>
      <c r="C320">
        <v>-1.474068202726299</v>
      </c>
      <c r="D320">
        <v>0.80892821354565558</v>
      </c>
      <c r="E320">
        <v>0.69574380640721123</v>
      </c>
      <c r="F320">
        <v>0.70066882195879143</v>
      </c>
      <c r="G320">
        <v>0.60163478005383786</v>
      </c>
      <c r="H320">
        <v>0.57464513647894466</v>
      </c>
      <c r="I320">
        <v>0.56092921073223634</v>
      </c>
      <c r="J320">
        <v>-2.1175119716893631</v>
      </c>
      <c r="K320">
        <v>0.1210771896579252</v>
      </c>
      <c r="L320">
        <v>-1.0407638899801599</v>
      </c>
      <c r="M320">
        <v>3.0056482580876702</v>
      </c>
      <c r="N320">
        <v>2.860396802928181</v>
      </c>
      <c r="O320">
        <v>3.2580965380214821</v>
      </c>
      <c r="P320">
        <f t="shared" si="32"/>
        <v>0.14525145515948923</v>
      </c>
      <c r="Q320">
        <f t="shared" si="33"/>
        <v>14.771022002991712</v>
      </c>
      <c r="R320">
        <f t="shared" si="34"/>
        <v>0</v>
      </c>
      <c r="S320">
        <f t="shared" si="35"/>
        <v>0</v>
      </c>
      <c r="T320">
        <f t="shared" si="36"/>
        <v>1</v>
      </c>
      <c r="U320">
        <f t="shared" si="37"/>
        <v>0</v>
      </c>
      <c r="V320">
        <f t="shared" si="38"/>
        <v>0</v>
      </c>
      <c r="W320">
        <f t="shared" si="39"/>
        <v>1</v>
      </c>
    </row>
    <row r="321" spans="1:23" x14ac:dyDescent="0.25">
      <c r="A321" s="1">
        <v>32</v>
      </c>
      <c r="B321" s="1">
        <v>2019</v>
      </c>
      <c r="C321">
        <v>-1.4606561361193731</v>
      </c>
      <c r="D321">
        <v>0.78481436908576918</v>
      </c>
      <c r="E321">
        <v>0.80892821354565558</v>
      </c>
      <c r="F321">
        <v>0.69574380640721123</v>
      </c>
      <c r="G321">
        <v>0.56781068924864764</v>
      </c>
      <c r="H321">
        <v>0.60163478005383786</v>
      </c>
      <c r="I321">
        <v>0.57464513647894466</v>
      </c>
      <c r="J321">
        <v>-1.4401362695257149</v>
      </c>
      <c r="K321">
        <v>0.1210771896579252</v>
      </c>
      <c r="L321">
        <v>-1.019930205089437</v>
      </c>
      <c r="M321">
        <v>2.9550679697659179</v>
      </c>
      <c r="N321">
        <v>2.994069657951409</v>
      </c>
      <c r="O321">
        <v>5.393627546352362</v>
      </c>
      <c r="P321">
        <f t="shared" si="32"/>
        <v>-3.9001688185491101E-2</v>
      </c>
      <c r="Q321">
        <f t="shared" si="33"/>
        <v>2.1355310083308798</v>
      </c>
      <c r="R321">
        <f t="shared" si="34"/>
        <v>0</v>
      </c>
      <c r="S321">
        <f t="shared" si="35"/>
        <v>0</v>
      </c>
      <c r="T321">
        <f t="shared" si="36"/>
        <v>1</v>
      </c>
      <c r="U321">
        <f t="shared" si="37"/>
        <v>0</v>
      </c>
      <c r="V321">
        <f t="shared" si="38"/>
        <v>0</v>
      </c>
      <c r="W321">
        <f t="shared" si="39"/>
        <v>1</v>
      </c>
    </row>
    <row r="322" spans="1:23" x14ac:dyDescent="0.25">
      <c r="A322" s="1">
        <v>32</v>
      </c>
      <c r="B322" s="1">
        <v>2020</v>
      </c>
      <c r="C322">
        <v>-1.5028086365445701</v>
      </c>
      <c r="D322">
        <v>0.68056839835308525</v>
      </c>
      <c r="E322">
        <v>0.78481436908576918</v>
      </c>
      <c r="F322">
        <v>0.80892821354565558</v>
      </c>
      <c r="G322">
        <v>0.52360363612520588</v>
      </c>
      <c r="H322">
        <v>0.56781068924864764</v>
      </c>
      <c r="I322">
        <v>0.60163478005383786</v>
      </c>
      <c r="J322">
        <v>-0.87155225440774209</v>
      </c>
      <c r="K322">
        <v>0.1210771896579252</v>
      </c>
      <c r="L322">
        <v>-1.002540329386377</v>
      </c>
      <c r="M322">
        <v>2.8890963972944359</v>
      </c>
      <c r="N322">
        <v>2.9438334896309488</v>
      </c>
      <c r="O322">
        <v>5.9914645471079817</v>
      </c>
      <c r="P322">
        <f t="shared" si="32"/>
        <v>-5.4737092336512916E-2</v>
      </c>
      <c r="Q322">
        <f t="shared" si="33"/>
        <v>0.59783700075561974</v>
      </c>
      <c r="R322">
        <f t="shared" si="34"/>
        <v>0</v>
      </c>
      <c r="S322">
        <f t="shared" si="35"/>
        <v>0</v>
      </c>
      <c r="T322">
        <f t="shared" si="36"/>
        <v>1</v>
      </c>
      <c r="U322">
        <f t="shared" si="37"/>
        <v>0</v>
      </c>
      <c r="V322">
        <f t="shared" si="38"/>
        <v>1</v>
      </c>
      <c r="W322">
        <f t="shared" si="39"/>
        <v>1</v>
      </c>
    </row>
    <row r="323" spans="1:23" x14ac:dyDescent="0.25">
      <c r="A323" s="1">
        <v>32</v>
      </c>
      <c r="B323" s="1">
        <v>2021</v>
      </c>
      <c r="C323">
        <v>-1.3732322435946691</v>
      </c>
      <c r="D323">
        <v>0.91605070306954628</v>
      </c>
      <c r="E323">
        <v>0.68056839835308525</v>
      </c>
      <c r="F323">
        <v>0.78481436908576918</v>
      </c>
      <c r="G323">
        <v>0.7530185775973357</v>
      </c>
      <c r="H323">
        <v>0.52360363612520588</v>
      </c>
      <c r="I323">
        <v>0.56781068924864764</v>
      </c>
      <c r="J323">
        <v>-0.1537470462107792</v>
      </c>
      <c r="K323">
        <v>0.1210771896579252</v>
      </c>
      <c r="L323">
        <v>-0.98375136577726552</v>
      </c>
      <c r="M323">
        <v>3.0526313545272359</v>
      </c>
      <c r="N323">
        <v>2.8782169571944691</v>
      </c>
      <c r="O323">
        <v>6.6846117276679271</v>
      </c>
      <c r="P323">
        <f t="shared" ref="P323:P386" si="40">M323-N323</f>
        <v>0.17441439733276676</v>
      </c>
      <c r="Q323">
        <f t="shared" ref="Q323:Q386" si="41">IF(B323=2006,0,O323-O322)</f>
        <v>0.6931471805599454</v>
      </c>
      <c r="R323">
        <f t="shared" ref="R323:R386" si="42">IF(ROUNDDOWN($A323/10, 0)=1, 1, 0)</f>
        <v>0</v>
      </c>
      <c r="S323">
        <f t="shared" ref="S323:S386" si="43">IF(ROUNDDOWN($A323/10, 0)=2, 1, 0)</f>
        <v>0</v>
      </c>
      <c r="T323">
        <f t="shared" ref="T323:T386" si="44">IF(ROUNDDOWN($A323/10, 0)=3, 1, 0)</f>
        <v>1</v>
      </c>
      <c r="U323">
        <f t="shared" ref="U323:U386" si="45">IF(ROUNDDOWN($A323/10, 0)=5, 1, 0)</f>
        <v>0</v>
      </c>
      <c r="V323">
        <f t="shared" ref="V323:V386" si="46">IF($B323=2020, 1, 0)</f>
        <v>0</v>
      </c>
      <c r="W323">
        <f t="shared" ref="W323:W386" si="47">IF(AND($B323&gt;=2015,$B323&lt;=2021), 1, 0)</f>
        <v>1</v>
      </c>
    </row>
    <row r="324" spans="1:23" x14ac:dyDescent="0.25">
      <c r="A324" s="1">
        <v>32</v>
      </c>
      <c r="B324" s="1">
        <v>2022</v>
      </c>
      <c r="C324">
        <v>-1.408030673586286</v>
      </c>
      <c r="D324">
        <v>0.91948562277067425</v>
      </c>
      <c r="E324">
        <v>0.91605070306954628</v>
      </c>
      <c r="F324">
        <v>0.68056839835308525</v>
      </c>
      <c r="G324">
        <v>0.73620667002039231</v>
      </c>
      <c r="H324">
        <v>0.7530185775973357</v>
      </c>
      <c r="I324">
        <v>0.52360363612520588</v>
      </c>
      <c r="J324">
        <v>0.2069221807398918</v>
      </c>
      <c r="K324">
        <v>0.1210771896579252</v>
      </c>
      <c r="L324">
        <v>-0.95235125574320523</v>
      </c>
      <c r="M324">
        <v>2.9498901365852981</v>
      </c>
      <c r="N324">
        <v>3.0526313545272359</v>
      </c>
      <c r="O324">
        <v>8.0551577318196781</v>
      </c>
      <c r="P324">
        <f t="shared" si="40"/>
        <v>-0.1027412179419378</v>
      </c>
      <c r="Q324">
        <f t="shared" si="41"/>
        <v>1.370546004151751</v>
      </c>
      <c r="R324">
        <f t="shared" si="42"/>
        <v>0</v>
      </c>
      <c r="S324">
        <f t="shared" si="43"/>
        <v>0</v>
      </c>
      <c r="T324">
        <f t="shared" si="44"/>
        <v>1</v>
      </c>
      <c r="U324">
        <f t="shared" si="45"/>
        <v>0</v>
      </c>
      <c r="V324">
        <f t="shared" si="46"/>
        <v>0</v>
      </c>
      <c r="W324">
        <f t="shared" si="47"/>
        <v>0</v>
      </c>
    </row>
    <row r="325" spans="1:23" x14ac:dyDescent="0.25">
      <c r="A325" s="1">
        <v>32</v>
      </c>
      <c r="B325" s="1">
        <v>2023</v>
      </c>
      <c r="C325">
        <v>-1.409933029471633</v>
      </c>
      <c r="D325">
        <v>0.77094120799996546</v>
      </c>
      <c r="E325">
        <v>0.91948562277067425</v>
      </c>
      <c r="F325">
        <v>0.91605070306954628</v>
      </c>
      <c r="G325">
        <v>0.51372142687801625</v>
      </c>
      <c r="H325">
        <v>0.73620667002039231</v>
      </c>
      <c r="I325">
        <v>0.7530185775973357</v>
      </c>
      <c r="J325">
        <v>0.80364040826699634</v>
      </c>
      <c r="K325">
        <v>0.1210771896579252</v>
      </c>
      <c r="L325">
        <v>-0.91589480276000479</v>
      </c>
      <c r="M325">
        <v>3.038862087768913</v>
      </c>
      <c r="N325">
        <v>2.9498901365852981</v>
      </c>
      <c r="O325">
        <v>8.4658998970286863</v>
      </c>
      <c r="P325">
        <f t="shared" si="40"/>
        <v>8.8971951183614895E-2</v>
      </c>
      <c r="Q325">
        <f t="shared" si="41"/>
        <v>0.41074216520900819</v>
      </c>
      <c r="R325">
        <f t="shared" si="42"/>
        <v>0</v>
      </c>
      <c r="S325">
        <f t="shared" si="43"/>
        <v>0</v>
      </c>
      <c r="T325">
        <f t="shared" si="44"/>
        <v>1</v>
      </c>
      <c r="U325">
        <f t="shared" si="45"/>
        <v>0</v>
      </c>
      <c r="V325">
        <f t="shared" si="46"/>
        <v>0</v>
      </c>
      <c r="W325">
        <f t="shared" si="47"/>
        <v>0</v>
      </c>
    </row>
    <row r="326" spans="1:23" x14ac:dyDescent="0.25">
      <c r="A326" s="1">
        <v>33</v>
      </c>
      <c r="B326" s="1">
        <v>2006</v>
      </c>
      <c r="C326">
        <v>-2.237512838161928</v>
      </c>
      <c r="D326">
        <v>0.94000725849147115</v>
      </c>
      <c r="E326">
        <v>0.88107797611841054</v>
      </c>
      <c r="F326">
        <v>0.83768033129224362</v>
      </c>
      <c r="G326">
        <v>0.63127177684185776</v>
      </c>
      <c r="H326">
        <v>0.47561286801024621</v>
      </c>
      <c r="I326">
        <v>0.34089103078292382</v>
      </c>
      <c r="J326">
        <v>-16.11809565095832</v>
      </c>
      <c r="K326">
        <v>0.82647109558213605</v>
      </c>
      <c r="L326">
        <v>-1.70570799043904</v>
      </c>
      <c r="M326">
        <v>3.2560988326107489</v>
      </c>
      <c r="N326">
        <v>3.2165286519569731</v>
      </c>
      <c r="O326">
        <v>-11.51292546497023</v>
      </c>
      <c r="P326">
        <f t="shared" si="40"/>
        <v>3.9570180653775822E-2</v>
      </c>
      <c r="Q326">
        <f t="shared" si="41"/>
        <v>0</v>
      </c>
      <c r="R326">
        <f t="shared" si="42"/>
        <v>0</v>
      </c>
      <c r="S326">
        <f t="shared" si="43"/>
        <v>0</v>
      </c>
      <c r="T326">
        <f t="shared" si="44"/>
        <v>1</v>
      </c>
      <c r="U326">
        <f t="shared" si="45"/>
        <v>0</v>
      </c>
      <c r="V326">
        <f t="shared" si="46"/>
        <v>0</v>
      </c>
      <c r="W326">
        <f t="shared" si="47"/>
        <v>0</v>
      </c>
    </row>
    <row r="327" spans="1:23" x14ac:dyDescent="0.25">
      <c r="A327" s="1">
        <v>33</v>
      </c>
      <c r="B327" s="1">
        <v>2007</v>
      </c>
      <c r="C327">
        <v>-2.2630099486957058</v>
      </c>
      <c r="D327">
        <v>0.88459364513090055</v>
      </c>
      <c r="E327">
        <v>0.94000725849147115</v>
      </c>
      <c r="F327">
        <v>0.88107797611841054</v>
      </c>
      <c r="G327">
        <v>0.48698364928041982</v>
      </c>
      <c r="H327">
        <v>0.63127177684185776</v>
      </c>
      <c r="I327">
        <v>0.47561286801024621</v>
      </c>
      <c r="J327">
        <v>-16.11809565095832</v>
      </c>
      <c r="K327">
        <v>0.82647109558213605</v>
      </c>
      <c r="L327">
        <v>-1.646945585204012</v>
      </c>
      <c r="M327">
        <v>3.2606676200173892</v>
      </c>
      <c r="N327">
        <v>3.2461673473665589</v>
      </c>
      <c r="O327">
        <v>-11.51292546497023</v>
      </c>
      <c r="P327">
        <f t="shared" si="40"/>
        <v>1.4500272650830315E-2</v>
      </c>
      <c r="Q327">
        <f t="shared" si="41"/>
        <v>0</v>
      </c>
      <c r="R327">
        <f t="shared" si="42"/>
        <v>0</v>
      </c>
      <c r="S327">
        <f t="shared" si="43"/>
        <v>0</v>
      </c>
      <c r="T327">
        <f t="shared" si="44"/>
        <v>1</v>
      </c>
      <c r="U327">
        <f t="shared" si="45"/>
        <v>0</v>
      </c>
      <c r="V327">
        <f t="shared" si="46"/>
        <v>0</v>
      </c>
      <c r="W327">
        <f t="shared" si="47"/>
        <v>0</v>
      </c>
    </row>
    <row r="328" spans="1:23" x14ac:dyDescent="0.25">
      <c r="A328" s="1">
        <v>33</v>
      </c>
      <c r="B328" s="1">
        <v>2008</v>
      </c>
      <c r="C328">
        <v>-2.2843596656263521</v>
      </c>
      <c r="D328">
        <v>0.83512405945549484</v>
      </c>
      <c r="E328">
        <v>0.88459364513090055</v>
      </c>
      <c r="F328">
        <v>0.94000725849147115</v>
      </c>
      <c r="G328">
        <v>0.41785470575408717</v>
      </c>
      <c r="H328">
        <v>0.48698364928041982</v>
      </c>
      <c r="I328">
        <v>0.63127177684185776</v>
      </c>
      <c r="J328">
        <v>-16.11809565095832</v>
      </c>
      <c r="K328">
        <v>0.82647109558213605</v>
      </c>
      <c r="L328">
        <v>-1.584602466258185</v>
      </c>
      <c r="M328">
        <v>3.3225279254154221</v>
      </c>
      <c r="N328">
        <v>3.2508338000063959</v>
      </c>
      <c r="O328">
        <v>-11.51292546497023</v>
      </c>
      <c r="P328">
        <f t="shared" si="40"/>
        <v>7.1694125409026199E-2</v>
      </c>
      <c r="Q328">
        <f t="shared" si="41"/>
        <v>0</v>
      </c>
      <c r="R328">
        <f t="shared" si="42"/>
        <v>0</v>
      </c>
      <c r="S328">
        <f t="shared" si="43"/>
        <v>0</v>
      </c>
      <c r="T328">
        <f t="shared" si="44"/>
        <v>1</v>
      </c>
      <c r="U328">
        <f t="shared" si="45"/>
        <v>0</v>
      </c>
      <c r="V328">
        <f t="shared" si="46"/>
        <v>0</v>
      </c>
      <c r="W328">
        <f t="shared" si="47"/>
        <v>0</v>
      </c>
    </row>
    <row r="329" spans="1:23" x14ac:dyDescent="0.25">
      <c r="A329" s="1">
        <v>33</v>
      </c>
      <c r="B329" s="1">
        <v>2009</v>
      </c>
      <c r="C329">
        <v>-2.2804418069396069</v>
      </c>
      <c r="D329">
        <v>0.80074519115796339</v>
      </c>
      <c r="E329">
        <v>0.83512405945549484</v>
      </c>
      <c r="F329">
        <v>0.88459364513090055</v>
      </c>
      <c r="G329">
        <v>0.39332504821399572</v>
      </c>
      <c r="H329">
        <v>0.41785470575408717</v>
      </c>
      <c r="I329">
        <v>0.48698364928041982</v>
      </c>
      <c r="J329">
        <v>-9.6809956013844154</v>
      </c>
      <c r="K329">
        <v>0.82647109558213605</v>
      </c>
      <c r="L329">
        <v>-1.5249243700995121</v>
      </c>
      <c r="M329">
        <v>3.2780036200734699</v>
      </c>
      <c r="N329">
        <v>3.3138669607552518</v>
      </c>
      <c r="O329">
        <v>-11.51292546497023</v>
      </c>
      <c r="P329">
        <f t="shared" si="40"/>
        <v>-3.5863340681781875E-2</v>
      </c>
      <c r="Q329">
        <f t="shared" si="41"/>
        <v>0</v>
      </c>
      <c r="R329">
        <f t="shared" si="42"/>
        <v>0</v>
      </c>
      <c r="S329">
        <f t="shared" si="43"/>
        <v>0</v>
      </c>
      <c r="T329">
        <f t="shared" si="44"/>
        <v>1</v>
      </c>
      <c r="U329">
        <f t="shared" si="45"/>
        <v>0</v>
      </c>
      <c r="V329">
        <f t="shared" si="46"/>
        <v>0</v>
      </c>
      <c r="W329">
        <f t="shared" si="47"/>
        <v>0</v>
      </c>
    </row>
    <row r="330" spans="1:23" x14ac:dyDescent="0.25">
      <c r="A330" s="1">
        <v>33</v>
      </c>
      <c r="B330" s="1">
        <v>2010</v>
      </c>
      <c r="C330">
        <v>-2.1519550381873729</v>
      </c>
      <c r="D330">
        <v>0.77398956840404609</v>
      </c>
      <c r="E330">
        <v>0.80074519115796339</v>
      </c>
      <c r="F330">
        <v>0.83512405945549484</v>
      </c>
      <c r="G330">
        <v>0.42533309274563069</v>
      </c>
      <c r="H330">
        <v>0.39332504821399572</v>
      </c>
      <c r="I330">
        <v>0.41785470575408717</v>
      </c>
      <c r="J330">
        <v>-8.5855714562939589</v>
      </c>
      <c r="K330">
        <v>0.82647109558213605</v>
      </c>
      <c r="L330">
        <v>-1.4550788418249221</v>
      </c>
      <c r="M330">
        <v>3.3325037359465162</v>
      </c>
      <c r="N330">
        <v>3.2748154764963191</v>
      </c>
      <c r="O330">
        <v>-11.51292546497023</v>
      </c>
      <c r="P330">
        <f t="shared" si="40"/>
        <v>5.7688259450197066E-2</v>
      </c>
      <c r="Q330">
        <f t="shared" si="41"/>
        <v>0</v>
      </c>
      <c r="R330">
        <f t="shared" si="42"/>
        <v>0</v>
      </c>
      <c r="S330">
        <f t="shared" si="43"/>
        <v>0</v>
      </c>
      <c r="T330">
        <f t="shared" si="44"/>
        <v>1</v>
      </c>
      <c r="U330">
        <f t="shared" si="45"/>
        <v>0</v>
      </c>
      <c r="V330">
        <f t="shared" si="46"/>
        <v>0</v>
      </c>
      <c r="W330">
        <f t="shared" si="47"/>
        <v>0</v>
      </c>
    </row>
    <row r="331" spans="1:23" x14ac:dyDescent="0.25">
      <c r="A331" s="1">
        <v>33</v>
      </c>
      <c r="B331" s="1">
        <v>2011</v>
      </c>
      <c r="C331">
        <v>-1.9553968459507789</v>
      </c>
      <c r="D331">
        <v>0.77670677365887608</v>
      </c>
      <c r="E331">
        <v>0.77398956840404609</v>
      </c>
      <c r="F331">
        <v>0.80074519115796339</v>
      </c>
      <c r="G331">
        <v>0.54290551722940239</v>
      </c>
      <c r="H331">
        <v>0.42533309274563069</v>
      </c>
      <c r="I331">
        <v>0.39332504821399572</v>
      </c>
      <c r="J331">
        <v>-6.9793114934077973</v>
      </c>
      <c r="K331">
        <v>0.82647109558213605</v>
      </c>
      <c r="L331">
        <v>-1.3877135055700109</v>
      </c>
      <c r="M331">
        <v>3.3803102737778499</v>
      </c>
      <c r="N331">
        <v>3.329325786398154</v>
      </c>
      <c r="O331">
        <v>-11.51292546497023</v>
      </c>
      <c r="P331">
        <f t="shared" si="40"/>
        <v>5.0984487379695853E-2</v>
      </c>
      <c r="Q331">
        <f t="shared" si="41"/>
        <v>0</v>
      </c>
      <c r="R331">
        <f t="shared" si="42"/>
        <v>0</v>
      </c>
      <c r="S331">
        <f t="shared" si="43"/>
        <v>0</v>
      </c>
      <c r="T331">
        <f t="shared" si="44"/>
        <v>1</v>
      </c>
      <c r="U331">
        <f t="shared" si="45"/>
        <v>0</v>
      </c>
      <c r="V331">
        <f t="shared" si="46"/>
        <v>0</v>
      </c>
      <c r="W331">
        <f t="shared" si="47"/>
        <v>0</v>
      </c>
    </row>
    <row r="332" spans="1:23" x14ac:dyDescent="0.25">
      <c r="A332" s="1">
        <v>33</v>
      </c>
      <c r="B332" s="1">
        <v>2012</v>
      </c>
      <c r="C332">
        <v>-1.8824604353078249</v>
      </c>
      <c r="D332">
        <v>0.72701706506756059</v>
      </c>
      <c r="E332">
        <v>0.77670677365887608</v>
      </c>
      <c r="F332">
        <v>0.77398956840404609</v>
      </c>
      <c r="G332">
        <v>0.48168513401957352</v>
      </c>
      <c r="H332">
        <v>0.54290551722940239</v>
      </c>
      <c r="I332">
        <v>0.42533309274563069</v>
      </c>
      <c r="J332">
        <v>-6.5592065445550389</v>
      </c>
      <c r="K332">
        <v>0.82647109558213605</v>
      </c>
      <c r="L332">
        <v>-1.32546433749687</v>
      </c>
      <c r="M332">
        <v>3.410883565693982</v>
      </c>
      <c r="N332">
        <v>3.3729712078036278</v>
      </c>
      <c r="O332">
        <v>-11.51292546497023</v>
      </c>
      <c r="P332">
        <f t="shared" si="40"/>
        <v>3.7912357890354187E-2</v>
      </c>
      <c r="Q332">
        <f t="shared" si="41"/>
        <v>0</v>
      </c>
      <c r="R332">
        <f t="shared" si="42"/>
        <v>0</v>
      </c>
      <c r="S332">
        <f t="shared" si="43"/>
        <v>0</v>
      </c>
      <c r="T332">
        <f t="shared" si="44"/>
        <v>1</v>
      </c>
      <c r="U332">
        <f t="shared" si="45"/>
        <v>0</v>
      </c>
      <c r="V332">
        <f t="shared" si="46"/>
        <v>0</v>
      </c>
      <c r="W332">
        <f t="shared" si="47"/>
        <v>0</v>
      </c>
    </row>
    <row r="333" spans="1:23" x14ac:dyDescent="0.25">
      <c r="A333" s="1">
        <v>33</v>
      </c>
      <c r="B333" s="1">
        <v>2013</v>
      </c>
      <c r="C333">
        <v>-1.833439934878303</v>
      </c>
      <c r="D333">
        <v>0.72090825134533554</v>
      </c>
      <c r="E333">
        <v>0.72701706506756059</v>
      </c>
      <c r="F333">
        <v>0.77670677365887608</v>
      </c>
      <c r="G333">
        <v>0.45082080982896172</v>
      </c>
      <c r="H333">
        <v>0.48168513401957352</v>
      </c>
      <c r="I333">
        <v>0.54290551722940239</v>
      </c>
      <c r="J333">
        <v>-5.7141714698248407</v>
      </c>
      <c r="K333">
        <v>0.82647109558213605</v>
      </c>
      <c r="L333">
        <v>-1.2719662823073969</v>
      </c>
      <c r="M333">
        <v>3.4187957986930062</v>
      </c>
      <c r="N333">
        <v>3.402428809789027</v>
      </c>
      <c r="O333">
        <v>-11.51292546497023</v>
      </c>
      <c r="P333">
        <f t="shared" si="40"/>
        <v>1.6366988903979252E-2</v>
      </c>
      <c r="Q333">
        <f t="shared" si="41"/>
        <v>0</v>
      </c>
      <c r="R333">
        <f t="shared" si="42"/>
        <v>0</v>
      </c>
      <c r="S333">
        <f t="shared" si="43"/>
        <v>0</v>
      </c>
      <c r="T333">
        <f t="shared" si="44"/>
        <v>1</v>
      </c>
      <c r="U333">
        <f t="shared" si="45"/>
        <v>0</v>
      </c>
      <c r="V333">
        <f t="shared" si="46"/>
        <v>0</v>
      </c>
      <c r="W333">
        <f t="shared" si="47"/>
        <v>0</v>
      </c>
    </row>
    <row r="334" spans="1:23" x14ac:dyDescent="0.25">
      <c r="A334" s="1">
        <v>33</v>
      </c>
      <c r="B334" s="1">
        <v>2014</v>
      </c>
      <c r="C334">
        <v>-1.749828565635781</v>
      </c>
      <c r="D334">
        <v>0.70116495215352848</v>
      </c>
      <c r="E334">
        <v>0.72090825134533554</v>
      </c>
      <c r="F334">
        <v>0.72701706506756059</v>
      </c>
      <c r="G334">
        <v>0.45622159177194999</v>
      </c>
      <c r="H334">
        <v>0.45082080982896172</v>
      </c>
      <c r="I334">
        <v>0.48168513401957352</v>
      </c>
      <c r="J334">
        <v>-5.0547993852039159</v>
      </c>
      <c r="K334">
        <v>0.82647109558213605</v>
      </c>
      <c r="L334">
        <v>-1.2217981484674389</v>
      </c>
      <c r="M334">
        <v>3.4036344688988498</v>
      </c>
      <c r="N334">
        <v>3.413191579720682</v>
      </c>
      <c r="O334">
        <v>-11.51292546497023</v>
      </c>
      <c r="P334">
        <f t="shared" si="40"/>
        <v>-9.5571108218321932E-3</v>
      </c>
      <c r="Q334">
        <f t="shared" si="41"/>
        <v>0</v>
      </c>
      <c r="R334">
        <f t="shared" si="42"/>
        <v>0</v>
      </c>
      <c r="S334">
        <f t="shared" si="43"/>
        <v>0</v>
      </c>
      <c r="T334">
        <f t="shared" si="44"/>
        <v>1</v>
      </c>
      <c r="U334">
        <f t="shared" si="45"/>
        <v>0</v>
      </c>
      <c r="V334">
        <f t="shared" si="46"/>
        <v>0</v>
      </c>
      <c r="W334">
        <f t="shared" si="47"/>
        <v>0</v>
      </c>
    </row>
    <row r="335" spans="1:23" x14ac:dyDescent="0.25">
      <c r="A335" s="1">
        <v>33</v>
      </c>
      <c r="B335" s="1">
        <v>2015</v>
      </c>
      <c r="C335">
        <v>-1.8007779194908979</v>
      </c>
      <c r="D335">
        <v>0.72571117143320785</v>
      </c>
      <c r="E335">
        <v>0.70116495215352848</v>
      </c>
      <c r="F335">
        <v>0.72090825134533554</v>
      </c>
      <c r="G335">
        <v>0.46304195291218431</v>
      </c>
      <c r="H335">
        <v>0.45622159177194999</v>
      </c>
      <c r="I335">
        <v>0.45082080982896172</v>
      </c>
      <c r="J335">
        <v>-4.7101965250097608</v>
      </c>
      <c r="K335">
        <v>0.82647109558213605</v>
      </c>
      <c r="L335">
        <v>-1.186573062907786</v>
      </c>
      <c r="M335">
        <v>3.3073660326615402</v>
      </c>
      <c r="N335">
        <v>3.398251373305063</v>
      </c>
      <c r="O335">
        <v>-11.51292546497023</v>
      </c>
      <c r="P335">
        <f t="shared" si="40"/>
        <v>-9.0885340643522827E-2</v>
      </c>
      <c r="Q335">
        <f t="shared" si="41"/>
        <v>0</v>
      </c>
      <c r="R335">
        <f t="shared" si="42"/>
        <v>0</v>
      </c>
      <c r="S335">
        <f t="shared" si="43"/>
        <v>0</v>
      </c>
      <c r="T335">
        <f t="shared" si="44"/>
        <v>1</v>
      </c>
      <c r="U335">
        <f t="shared" si="45"/>
        <v>0</v>
      </c>
      <c r="V335">
        <f t="shared" si="46"/>
        <v>0</v>
      </c>
      <c r="W335">
        <f t="shared" si="47"/>
        <v>1</v>
      </c>
    </row>
    <row r="336" spans="1:23" x14ac:dyDescent="0.25">
      <c r="A336" s="1">
        <v>33</v>
      </c>
      <c r="B336" s="1">
        <v>2016</v>
      </c>
      <c r="C336">
        <v>-1.823923987083893</v>
      </c>
      <c r="D336">
        <v>0.76383860868247833</v>
      </c>
      <c r="E336">
        <v>0.72571117143320785</v>
      </c>
      <c r="F336">
        <v>0.70116495215352848</v>
      </c>
      <c r="G336">
        <v>0.57334961710434951</v>
      </c>
      <c r="H336">
        <v>0.46304195291218431</v>
      </c>
      <c r="I336">
        <v>0.45622159177194999</v>
      </c>
      <c r="J336">
        <v>-4.4310570297258298</v>
      </c>
      <c r="K336">
        <v>0.82647109558213583</v>
      </c>
      <c r="L336">
        <v>-1.164044452768576</v>
      </c>
      <c r="M336">
        <v>3.19542542152741</v>
      </c>
      <c r="N336">
        <v>3.3021848031963952</v>
      </c>
      <c r="O336">
        <v>-11.51292546497023</v>
      </c>
      <c r="P336">
        <f t="shared" si="40"/>
        <v>-0.10675938166898513</v>
      </c>
      <c r="Q336">
        <f t="shared" si="41"/>
        <v>0</v>
      </c>
      <c r="R336">
        <f t="shared" si="42"/>
        <v>0</v>
      </c>
      <c r="S336">
        <f t="shared" si="43"/>
        <v>0</v>
      </c>
      <c r="T336">
        <f t="shared" si="44"/>
        <v>1</v>
      </c>
      <c r="U336">
        <f t="shared" si="45"/>
        <v>0</v>
      </c>
      <c r="V336">
        <f t="shared" si="46"/>
        <v>0</v>
      </c>
      <c r="W336">
        <f t="shared" si="47"/>
        <v>1</v>
      </c>
    </row>
    <row r="337" spans="1:23" x14ac:dyDescent="0.25">
      <c r="A337" s="1">
        <v>33</v>
      </c>
      <c r="B337" s="1">
        <v>2017</v>
      </c>
      <c r="C337">
        <v>-1.8911561148776641</v>
      </c>
      <c r="D337">
        <v>0.78211913436220926</v>
      </c>
      <c r="E337">
        <v>0.76383860868247833</v>
      </c>
      <c r="F337">
        <v>0.72571117143320785</v>
      </c>
      <c r="G337">
        <v>0.56565466004466869</v>
      </c>
      <c r="H337">
        <v>0.57334961710434951</v>
      </c>
      <c r="I337">
        <v>0.46304195291218431</v>
      </c>
      <c r="J337">
        <v>-3.794709301107944</v>
      </c>
      <c r="K337">
        <v>0.82647109558213583</v>
      </c>
      <c r="L337">
        <v>-1.1451991938333961</v>
      </c>
      <c r="M337">
        <v>3.201971591587994</v>
      </c>
      <c r="N337">
        <v>3.1904510374499342</v>
      </c>
      <c r="O337">
        <v>-11.51292546497023</v>
      </c>
      <c r="P337">
        <f t="shared" si="40"/>
        <v>1.1520554138059858E-2</v>
      </c>
      <c r="Q337">
        <f t="shared" si="41"/>
        <v>0</v>
      </c>
      <c r="R337">
        <f t="shared" si="42"/>
        <v>0</v>
      </c>
      <c r="S337">
        <f t="shared" si="43"/>
        <v>0</v>
      </c>
      <c r="T337">
        <f t="shared" si="44"/>
        <v>1</v>
      </c>
      <c r="U337">
        <f t="shared" si="45"/>
        <v>0</v>
      </c>
      <c r="V337">
        <f t="shared" si="46"/>
        <v>0</v>
      </c>
      <c r="W337">
        <f t="shared" si="47"/>
        <v>1</v>
      </c>
    </row>
    <row r="338" spans="1:23" x14ac:dyDescent="0.25">
      <c r="A338" s="1">
        <v>33</v>
      </c>
      <c r="B338" s="1">
        <v>2018</v>
      </c>
      <c r="C338">
        <v>-2.1486303885364362</v>
      </c>
      <c r="D338">
        <v>0.9108358811911913</v>
      </c>
      <c r="E338">
        <v>0.78211913436220926</v>
      </c>
      <c r="F338">
        <v>0.76383860868247833</v>
      </c>
      <c r="G338">
        <v>0.59316108568401837</v>
      </c>
      <c r="H338">
        <v>0.56565466004466869</v>
      </c>
      <c r="I338">
        <v>0.57334961710434951</v>
      </c>
      <c r="J338">
        <v>-3.3303391138897651</v>
      </c>
      <c r="K338">
        <v>0.82647109558213605</v>
      </c>
      <c r="L338">
        <v>-1.144966067317355</v>
      </c>
      <c r="M338">
        <v>3.2541256695778928</v>
      </c>
      <c r="N338">
        <v>3.175935994048924</v>
      </c>
      <c r="O338">
        <v>3.2580965380214821</v>
      </c>
      <c r="P338">
        <f t="shared" si="40"/>
        <v>7.8189675528968827E-2</v>
      </c>
      <c r="Q338">
        <f t="shared" si="41"/>
        <v>14.771022002991712</v>
      </c>
      <c r="R338">
        <f t="shared" si="42"/>
        <v>0</v>
      </c>
      <c r="S338">
        <f t="shared" si="43"/>
        <v>0</v>
      </c>
      <c r="T338">
        <f t="shared" si="44"/>
        <v>1</v>
      </c>
      <c r="U338">
        <f t="shared" si="45"/>
        <v>0</v>
      </c>
      <c r="V338">
        <f t="shared" si="46"/>
        <v>0</v>
      </c>
      <c r="W338">
        <f t="shared" si="47"/>
        <v>1</v>
      </c>
    </row>
    <row r="339" spans="1:23" x14ac:dyDescent="0.25">
      <c r="A339" s="1">
        <v>33</v>
      </c>
      <c r="B339" s="1">
        <v>2019</v>
      </c>
      <c r="C339">
        <v>-2.13907748087883</v>
      </c>
      <c r="D339">
        <v>0.87070742025218939</v>
      </c>
      <c r="E339">
        <v>0.9108358811911913</v>
      </c>
      <c r="F339">
        <v>0.78211913436220926</v>
      </c>
      <c r="G339">
        <v>0.63254755843101573</v>
      </c>
      <c r="H339">
        <v>0.59316108568401837</v>
      </c>
      <c r="I339">
        <v>0.56565466004466869</v>
      </c>
      <c r="J339">
        <v>-2.6191548710812809</v>
      </c>
      <c r="K339">
        <v>0.82647109558213605</v>
      </c>
      <c r="L339">
        <v>-1.1202000938310921</v>
      </c>
      <c r="M339">
        <v>3.2340371263750378</v>
      </c>
      <c r="N339">
        <v>3.2480264032731321</v>
      </c>
      <c r="O339">
        <v>5.393627546352362</v>
      </c>
      <c r="P339">
        <f t="shared" si="40"/>
        <v>-1.3989276898094261E-2</v>
      </c>
      <c r="Q339">
        <f t="shared" si="41"/>
        <v>2.1355310083308798</v>
      </c>
      <c r="R339">
        <f t="shared" si="42"/>
        <v>0</v>
      </c>
      <c r="S339">
        <f t="shared" si="43"/>
        <v>0</v>
      </c>
      <c r="T339">
        <f t="shared" si="44"/>
        <v>1</v>
      </c>
      <c r="U339">
        <f t="shared" si="45"/>
        <v>0</v>
      </c>
      <c r="V339">
        <f t="shared" si="46"/>
        <v>0</v>
      </c>
      <c r="W339">
        <f t="shared" si="47"/>
        <v>1</v>
      </c>
    </row>
    <row r="340" spans="1:23" x14ac:dyDescent="0.25">
      <c r="A340" s="1">
        <v>33</v>
      </c>
      <c r="B340" s="1">
        <v>2020</v>
      </c>
      <c r="C340">
        <v>-2.2366779689925438</v>
      </c>
      <c r="D340">
        <v>0.80571664916344143</v>
      </c>
      <c r="E340">
        <v>0.87070742025218939</v>
      </c>
      <c r="F340">
        <v>0.9108358811911913</v>
      </c>
      <c r="G340">
        <v>0.60387871280176308</v>
      </c>
      <c r="H340">
        <v>0.63254755843101573</v>
      </c>
      <c r="I340">
        <v>0.59316108568401837</v>
      </c>
      <c r="J340">
        <v>-2.081643006335685</v>
      </c>
      <c r="K340">
        <v>0.82647109558213605</v>
      </c>
      <c r="L340">
        <v>-1.1083155054469129</v>
      </c>
      <c r="M340">
        <v>3.1314304889748761</v>
      </c>
      <c r="N340">
        <v>3.228190000820085</v>
      </c>
      <c r="O340">
        <v>5.9914645471079817</v>
      </c>
      <c r="P340">
        <f t="shared" si="40"/>
        <v>-9.6759511845208923E-2</v>
      </c>
      <c r="Q340">
        <f t="shared" si="41"/>
        <v>0.59783700075561974</v>
      </c>
      <c r="R340">
        <f t="shared" si="42"/>
        <v>0</v>
      </c>
      <c r="S340">
        <f t="shared" si="43"/>
        <v>0</v>
      </c>
      <c r="T340">
        <f t="shared" si="44"/>
        <v>1</v>
      </c>
      <c r="U340">
        <f t="shared" si="45"/>
        <v>0</v>
      </c>
      <c r="V340">
        <f t="shared" si="46"/>
        <v>1</v>
      </c>
      <c r="W340">
        <f t="shared" si="47"/>
        <v>1</v>
      </c>
    </row>
    <row r="341" spans="1:23" x14ac:dyDescent="0.25">
      <c r="A341" s="1">
        <v>33</v>
      </c>
      <c r="B341" s="1">
        <v>2021</v>
      </c>
      <c r="C341">
        <v>-2.2436494113731271</v>
      </c>
      <c r="D341">
        <v>0.99017296426485946</v>
      </c>
      <c r="E341">
        <v>0.80571664916344143</v>
      </c>
      <c r="F341">
        <v>0.87070742025218939</v>
      </c>
      <c r="G341">
        <v>0.80972949563980989</v>
      </c>
      <c r="H341">
        <v>0.60387871280176308</v>
      </c>
      <c r="I341">
        <v>0.63254755843101573</v>
      </c>
      <c r="J341">
        <v>-1.41955856591758</v>
      </c>
      <c r="K341">
        <v>0.82647109558213605</v>
      </c>
      <c r="L341">
        <v>-1.089817092932543</v>
      </c>
      <c r="M341">
        <v>3.2337584360799538</v>
      </c>
      <c r="N341">
        <v>3.1258513020199721</v>
      </c>
      <c r="O341">
        <v>6.6846117276679271</v>
      </c>
      <c r="P341">
        <f t="shared" si="40"/>
        <v>0.10790713405998176</v>
      </c>
      <c r="Q341">
        <f t="shared" si="41"/>
        <v>0.6931471805599454</v>
      </c>
      <c r="R341">
        <f t="shared" si="42"/>
        <v>0</v>
      </c>
      <c r="S341">
        <f t="shared" si="43"/>
        <v>0</v>
      </c>
      <c r="T341">
        <f t="shared" si="44"/>
        <v>1</v>
      </c>
      <c r="U341">
        <f t="shared" si="45"/>
        <v>0</v>
      </c>
      <c r="V341">
        <f t="shared" si="46"/>
        <v>0</v>
      </c>
      <c r="W341">
        <f t="shared" si="47"/>
        <v>1</v>
      </c>
    </row>
    <row r="342" spans="1:23" x14ac:dyDescent="0.25">
      <c r="A342" s="1">
        <v>33</v>
      </c>
      <c r="B342" s="1">
        <v>2022</v>
      </c>
      <c r="C342">
        <v>-2.1213573857838068</v>
      </c>
      <c r="D342">
        <v>0.95273837284520058</v>
      </c>
      <c r="E342">
        <v>0.99017296426485946</v>
      </c>
      <c r="F342">
        <v>0.80571664916344143</v>
      </c>
      <c r="G342">
        <v>0.75912216948347822</v>
      </c>
      <c r="H342">
        <v>0.80972949563980989</v>
      </c>
      <c r="I342">
        <v>0.60387871280176308</v>
      </c>
      <c r="J342">
        <v>-0.84360259996342513</v>
      </c>
      <c r="K342">
        <v>0.82647109558213605</v>
      </c>
      <c r="L342">
        <v>-1.0708892735523441</v>
      </c>
      <c r="M342">
        <v>3.3463959725109111</v>
      </c>
      <c r="N342">
        <v>3.2337584360799538</v>
      </c>
      <c r="O342">
        <v>8.0551577318196781</v>
      </c>
      <c r="P342">
        <f t="shared" si="40"/>
        <v>0.11263753643095731</v>
      </c>
      <c r="Q342">
        <f t="shared" si="41"/>
        <v>1.370546004151751</v>
      </c>
      <c r="R342">
        <f t="shared" si="42"/>
        <v>0</v>
      </c>
      <c r="S342">
        <f t="shared" si="43"/>
        <v>0</v>
      </c>
      <c r="T342">
        <f t="shared" si="44"/>
        <v>1</v>
      </c>
      <c r="U342">
        <f t="shared" si="45"/>
        <v>0</v>
      </c>
      <c r="V342">
        <f t="shared" si="46"/>
        <v>0</v>
      </c>
      <c r="W342">
        <f t="shared" si="47"/>
        <v>0</v>
      </c>
    </row>
    <row r="343" spans="1:23" x14ac:dyDescent="0.25">
      <c r="A343" s="1">
        <v>33</v>
      </c>
      <c r="B343" s="1">
        <v>2023</v>
      </c>
      <c r="C343">
        <v>-1.9706228229045011</v>
      </c>
      <c r="D343">
        <v>0.75108584548039126</v>
      </c>
      <c r="E343">
        <v>0.95273837284520058</v>
      </c>
      <c r="F343">
        <v>0.99017296426485946</v>
      </c>
      <c r="G343">
        <v>0.49035757512612699</v>
      </c>
      <c r="H343">
        <v>0.75912216948347822</v>
      </c>
      <c r="I343">
        <v>0.80972949563980989</v>
      </c>
      <c r="J343">
        <v>-0.36954702057257222</v>
      </c>
      <c r="K343">
        <v>0.82647109558213605</v>
      </c>
      <c r="L343">
        <v>-1.047297432211312</v>
      </c>
      <c r="M343">
        <v>3.3127315355148799</v>
      </c>
      <c r="N343">
        <v>3.3463959725109111</v>
      </c>
      <c r="O343">
        <v>8.4658998970286863</v>
      </c>
      <c r="P343">
        <f t="shared" si="40"/>
        <v>-3.3664436996031277E-2</v>
      </c>
      <c r="Q343">
        <f t="shared" si="41"/>
        <v>0.41074216520900819</v>
      </c>
      <c r="R343">
        <f t="shared" si="42"/>
        <v>0</v>
      </c>
      <c r="S343">
        <f t="shared" si="43"/>
        <v>0</v>
      </c>
      <c r="T343">
        <f t="shared" si="44"/>
        <v>1</v>
      </c>
      <c r="U343">
        <f t="shared" si="45"/>
        <v>0</v>
      </c>
      <c r="V343">
        <f t="shared" si="46"/>
        <v>0</v>
      </c>
      <c r="W343">
        <f t="shared" si="47"/>
        <v>0</v>
      </c>
    </row>
    <row r="344" spans="1:23" x14ac:dyDescent="0.25">
      <c r="A344" s="1">
        <v>35</v>
      </c>
      <c r="B344" s="1">
        <v>2006</v>
      </c>
      <c r="C344">
        <v>-1.7630864665386961</v>
      </c>
      <c r="D344">
        <v>0.89199803930511046</v>
      </c>
      <c r="E344">
        <v>0.83290912293510388</v>
      </c>
      <c r="F344">
        <v>0.77941661571212117</v>
      </c>
      <c r="G344">
        <v>0.35065687161316927</v>
      </c>
      <c r="H344">
        <v>0.19647097989837431</v>
      </c>
      <c r="I344">
        <v>6.6068599969704711E-2</v>
      </c>
      <c r="J344">
        <v>-16.11809565095832</v>
      </c>
      <c r="K344">
        <v>1.265354355328006</v>
      </c>
      <c r="L344">
        <v>-1.19793178021197</v>
      </c>
      <c r="M344">
        <v>3.2978856822071889</v>
      </c>
      <c r="N344">
        <v>3.259373679013422</v>
      </c>
      <c r="O344">
        <v>-11.51292546497023</v>
      </c>
      <c r="P344">
        <f t="shared" si="40"/>
        <v>3.8512003193766908E-2</v>
      </c>
      <c r="Q344">
        <f t="shared" si="41"/>
        <v>0</v>
      </c>
      <c r="R344">
        <f t="shared" si="42"/>
        <v>0</v>
      </c>
      <c r="S344">
        <f t="shared" si="43"/>
        <v>0</v>
      </c>
      <c r="T344">
        <f t="shared" si="44"/>
        <v>1</v>
      </c>
      <c r="U344">
        <f t="shared" si="45"/>
        <v>0</v>
      </c>
      <c r="V344">
        <f t="shared" si="46"/>
        <v>0</v>
      </c>
      <c r="W344">
        <f t="shared" si="47"/>
        <v>0</v>
      </c>
    </row>
    <row r="345" spans="1:23" x14ac:dyDescent="0.25">
      <c r="A345" s="1">
        <v>35</v>
      </c>
      <c r="B345" s="1">
        <v>2007</v>
      </c>
      <c r="C345">
        <v>-1.746733925088098</v>
      </c>
      <c r="D345">
        <v>0.83599132458942582</v>
      </c>
      <c r="E345">
        <v>0.89199803930511046</v>
      </c>
      <c r="F345">
        <v>0.83290912293510388</v>
      </c>
      <c r="G345">
        <v>0.1954022963324851</v>
      </c>
      <c r="H345">
        <v>0.35065687161316927</v>
      </c>
      <c r="I345">
        <v>0.19647097989837431</v>
      </c>
      <c r="J345">
        <v>-16.11809565095832</v>
      </c>
      <c r="K345">
        <v>1.265354355328006</v>
      </c>
      <c r="L345">
        <v>-1.1162756448768509</v>
      </c>
      <c r="M345">
        <v>3.3624528263573801</v>
      </c>
      <c r="N345">
        <v>3.2984228525399839</v>
      </c>
      <c r="O345">
        <v>-11.51292546497023</v>
      </c>
      <c r="P345">
        <f t="shared" si="40"/>
        <v>6.4029973817396169E-2</v>
      </c>
      <c r="Q345">
        <f t="shared" si="41"/>
        <v>0</v>
      </c>
      <c r="R345">
        <f t="shared" si="42"/>
        <v>0</v>
      </c>
      <c r="S345">
        <f t="shared" si="43"/>
        <v>0</v>
      </c>
      <c r="T345">
        <f t="shared" si="44"/>
        <v>1</v>
      </c>
      <c r="U345">
        <f t="shared" si="45"/>
        <v>0</v>
      </c>
      <c r="V345">
        <f t="shared" si="46"/>
        <v>0</v>
      </c>
      <c r="W345">
        <f t="shared" si="47"/>
        <v>0</v>
      </c>
    </row>
    <row r="346" spans="1:23" x14ac:dyDescent="0.25">
      <c r="A346" s="1">
        <v>35</v>
      </c>
      <c r="B346" s="1">
        <v>2008</v>
      </c>
      <c r="C346">
        <v>-1.765048737085086</v>
      </c>
      <c r="D346">
        <v>0.77449672625626842</v>
      </c>
      <c r="E346">
        <v>0.83599132458942582</v>
      </c>
      <c r="F346">
        <v>0.89199803930511046</v>
      </c>
      <c r="G346">
        <v>0.13802129789737461</v>
      </c>
      <c r="H346">
        <v>0.1954022963324851</v>
      </c>
      <c r="I346">
        <v>0.35065687161316927</v>
      </c>
      <c r="J346">
        <v>-16.11809565095832</v>
      </c>
      <c r="K346">
        <v>1.265354355328006</v>
      </c>
      <c r="L346">
        <v>-1.0360122036168831</v>
      </c>
      <c r="M346">
        <v>3.386988115588411</v>
      </c>
      <c r="N346">
        <v>3.3629902853972329</v>
      </c>
      <c r="O346">
        <v>-11.51292546497023</v>
      </c>
      <c r="P346">
        <f t="shared" si="40"/>
        <v>2.3997830191178071E-2</v>
      </c>
      <c r="Q346">
        <f t="shared" si="41"/>
        <v>0</v>
      </c>
      <c r="R346">
        <f t="shared" si="42"/>
        <v>0</v>
      </c>
      <c r="S346">
        <f t="shared" si="43"/>
        <v>0</v>
      </c>
      <c r="T346">
        <f t="shared" si="44"/>
        <v>1</v>
      </c>
      <c r="U346">
        <f t="shared" si="45"/>
        <v>0</v>
      </c>
      <c r="V346">
        <f t="shared" si="46"/>
        <v>0</v>
      </c>
      <c r="W346">
        <f t="shared" si="47"/>
        <v>0</v>
      </c>
    </row>
    <row r="347" spans="1:23" x14ac:dyDescent="0.25">
      <c r="A347" s="1">
        <v>35</v>
      </c>
      <c r="B347" s="1">
        <v>2009</v>
      </c>
      <c r="C347">
        <v>-1.8212686673049381</v>
      </c>
      <c r="D347">
        <v>0.73231981563441728</v>
      </c>
      <c r="E347">
        <v>0.77449672625626842</v>
      </c>
      <c r="F347">
        <v>0.83599132458942582</v>
      </c>
      <c r="G347">
        <v>0.142020260020429</v>
      </c>
      <c r="H347">
        <v>0.13802129789737461</v>
      </c>
      <c r="I347">
        <v>0.1954022963324851</v>
      </c>
      <c r="J347">
        <v>-9.9375033735161562</v>
      </c>
      <c r="K347">
        <v>1.265354355328006</v>
      </c>
      <c r="L347">
        <v>-0.97659553740601257</v>
      </c>
      <c r="M347">
        <v>3.385375666510726</v>
      </c>
      <c r="N347">
        <v>3.3779487205784622</v>
      </c>
      <c r="O347">
        <v>-11.51292546497023</v>
      </c>
      <c r="P347">
        <f t="shared" si="40"/>
        <v>7.4269459322637843E-3</v>
      </c>
      <c r="Q347">
        <f t="shared" si="41"/>
        <v>0</v>
      </c>
      <c r="R347">
        <f t="shared" si="42"/>
        <v>0</v>
      </c>
      <c r="S347">
        <f t="shared" si="43"/>
        <v>0</v>
      </c>
      <c r="T347">
        <f t="shared" si="44"/>
        <v>1</v>
      </c>
      <c r="U347">
        <f t="shared" si="45"/>
        <v>0</v>
      </c>
      <c r="V347">
        <f t="shared" si="46"/>
        <v>0</v>
      </c>
      <c r="W347">
        <f t="shared" si="47"/>
        <v>0</v>
      </c>
    </row>
    <row r="348" spans="1:23" x14ac:dyDescent="0.25">
      <c r="A348" s="1">
        <v>35</v>
      </c>
      <c r="B348" s="1">
        <v>2010</v>
      </c>
      <c r="C348">
        <v>-1.7189817245146379</v>
      </c>
      <c r="D348">
        <v>0.6995764683248491</v>
      </c>
      <c r="E348">
        <v>0.73231981563441728</v>
      </c>
      <c r="F348">
        <v>0.77449672625626842</v>
      </c>
      <c r="G348">
        <v>0.21817120968765191</v>
      </c>
      <c r="H348">
        <v>0.142020260020429</v>
      </c>
      <c r="I348">
        <v>0.13802129789737461</v>
      </c>
      <c r="J348">
        <v>-9.5344896104320913</v>
      </c>
      <c r="K348">
        <v>1.265354355328006</v>
      </c>
      <c r="L348">
        <v>-0.91249109744974854</v>
      </c>
      <c r="M348">
        <v>3.440684568154373</v>
      </c>
      <c r="N348">
        <v>3.382924321486628</v>
      </c>
      <c r="O348">
        <v>-11.51292546497023</v>
      </c>
      <c r="P348">
        <f t="shared" si="40"/>
        <v>5.776024666774493E-2</v>
      </c>
      <c r="Q348">
        <f t="shared" si="41"/>
        <v>0</v>
      </c>
      <c r="R348">
        <f t="shared" si="42"/>
        <v>0</v>
      </c>
      <c r="S348">
        <f t="shared" si="43"/>
        <v>0</v>
      </c>
      <c r="T348">
        <f t="shared" si="44"/>
        <v>1</v>
      </c>
      <c r="U348">
        <f t="shared" si="45"/>
        <v>0</v>
      </c>
      <c r="V348">
        <f t="shared" si="46"/>
        <v>0</v>
      </c>
      <c r="W348">
        <f t="shared" si="47"/>
        <v>0</v>
      </c>
    </row>
    <row r="349" spans="1:23" x14ac:dyDescent="0.25">
      <c r="A349" s="1">
        <v>35</v>
      </c>
      <c r="B349" s="1">
        <v>2011</v>
      </c>
      <c r="C349">
        <v>-1.4805213850711589</v>
      </c>
      <c r="D349">
        <v>0.7072473049387269</v>
      </c>
      <c r="E349">
        <v>0.6995764683248491</v>
      </c>
      <c r="F349">
        <v>0.73231981563441728</v>
      </c>
      <c r="G349">
        <v>0.36241841856579821</v>
      </c>
      <c r="H349">
        <v>0.21817120968765191</v>
      </c>
      <c r="I349">
        <v>0.142020260020429</v>
      </c>
      <c r="J349">
        <v>-7.8023339297130283</v>
      </c>
      <c r="K349">
        <v>1.265354355328006</v>
      </c>
      <c r="L349">
        <v>-0.85356057190685719</v>
      </c>
      <c r="M349">
        <v>3.4623864788456791</v>
      </c>
      <c r="N349">
        <v>3.4382391934854799</v>
      </c>
      <c r="O349">
        <v>-11.51292546497023</v>
      </c>
      <c r="P349">
        <f t="shared" si="40"/>
        <v>2.4147285360199167E-2</v>
      </c>
      <c r="Q349">
        <f t="shared" si="41"/>
        <v>0</v>
      </c>
      <c r="R349">
        <f t="shared" si="42"/>
        <v>0</v>
      </c>
      <c r="S349">
        <f t="shared" si="43"/>
        <v>0</v>
      </c>
      <c r="T349">
        <f t="shared" si="44"/>
        <v>1</v>
      </c>
      <c r="U349">
        <f t="shared" si="45"/>
        <v>0</v>
      </c>
      <c r="V349">
        <f t="shared" si="46"/>
        <v>0</v>
      </c>
      <c r="W349">
        <f t="shared" si="47"/>
        <v>0</v>
      </c>
    </row>
    <row r="350" spans="1:23" x14ac:dyDescent="0.25">
      <c r="A350" s="1">
        <v>35</v>
      </c>
      <c r="B350" s="1">
        <v>2012</v>
      </c>
      <c r="C350">
        <v>-1.402603731890806</v>
      </c>
      <c r="D350">
        <v>0.65044842602683006</v>
      </c>
      <c r="E350">
        <v>0.7072473049387269</v>
      </c>
      <c r="F350">
        <v>0.6995764683248491</v>
      </c>
      <c r="G350">
        <v>0.27299981366563941</v>
      </c>
      <c r="H350">
        <v>0.36241841856579821</v>
      </c>
      <c r="I350">
        <v>0.21817120968765191</v>
      </c>
      <c r="J350">
        <v>-7.4650163682179782</v>
      </c>
      <c r="K350">
        <v>1.265354355328006</v>
      </c>
      <c r="L350">
        <v>-0.80722742659963931</v>
      </c>
      <c r="M350">
        <v>3.4601654748241999</v>
      </c>
      <c r="N350">
        <v>3.45486355404898</v>
      </c>
      <c r="O350">
        <v>-11.51292546497023</v>
      </c>
      <c r="P350">
        <f t="shared" si="40"/>
        <v>5.3019207752198483E-3</v>
      </c>
      <c r="Q350">
        <f t="shared" si="41"/>
        <v>0</v>
      </c>
      <c r="R350">
        <f t="shared" si="42"/>
        <v>0</v>
      </c>
      <c r="S350">
        <f t="shared" si="43"/>
        <v>0</v>
      </c>
      <c r="T350">
        <f t="shared" si="44"/>
        <v>1</v>
      </c>
      <c r="U350">
        <f t="shared" si="45"/>
        <v>0</v>
      </c>
      <c r="V350">
        <f t="shared" si="46"/>
        <v>0</v>
      </c>
      <c r="W350">
        <f t="shared" si="47"/>
        <v>0</v>
      </c>
    </row>
    <row r="351" spans="1:23" x14ac:dyDescent="0.25">
      <c r="A351" s="1">
        <v>35</v>
      </c>
      <c r="B351" s="1">
        <v>2013</v>
      </c>
      <c r="C351">
        <v>-1.4273509861010041</v>
      </c>
      <c r="D351">
        <v>0.62657993628783215</v>
      </c>
      <c r="E351">
        <v>0.65044842602683006</v>
      </c>
      <c r="F351">
        <v>0.7072473049387269</v>
      </c>
      <c r="G351">
        <v>0.22657764804849201</v>
      </c>
      <c r="H351">
        <v>0.27299981366563941</v>
      </c>
      <c r="I351">
        <v>0.36241841856579821</v>
      </c>
      <c r="J351">
        <v>-6.6769384770713529</v>
      </c>
      <c r="K351">
        <v>1.265354355328006</v>
      </c>
      <c r="L351">
        <v>-0.79988354835896736</v>
      </c>
      <c r="M351">
        <v>3.442086937200926</v>
      </c>
      <c r="N351">
        <v>3.4189640110862158</v>
      </c>
      <c r="O351">
        <v>-11.51292546497023</v>
      </c>
      <c r="P351">
        <f t="shared" si="40"/>
        <v>2.3122926114710118E-2</v>
      </c>
      <c r="Q351">
        <f t="shared" si="41"/>
        <v>0</v>
      </c>
      <c r="R351">
        <f t="shared" si="42"/>
        <v>0</v>
      </c>
      <c r="S351">
        <f t="shared" si="43"/>
        <v>0</v>
      </c>
      <c r="T351">
        <f t="shared" si="44"/>
        <v>1</v>
      </c>
      <c r="U351">
        <f t="shared" si="45"/>
        <v>0</v>
      </c>
      <c r="V351">
        <f t="shared" si="46"/>
        <v>0</v>
      </c>
      <c r="W351">
        <f t="shared" si="47"/>
        <v>0</v>
      </c>
    </row>
    <row r="352" spans="1:23" x14ac:dyDescent="0.25">
      <c r="A352" s="1">
        <v>35</v>
      </c>
      <c r="B352" s="1">
        <v>2014</v>
      </c>
      <c r="C352">
        <v>-1.4008463333685071</v>
      </c>
      <c r="D352">
        <v>0.61442859584854015</v>
      </c>
      <c r="E352">
        <v>0.62657993628783215</v>
      </c>
      <c r="F352">
        <v>0.65044842602683006</v>
      </c>
      <c r="G352">
        <v>0.2124465417658743</v>
      </c>
      <c r="H352">
        <v>0.22657764804849201</v>
      </c>
      <c r="I352">
        <v>0.27299981366563941</v>
      </c>
      <c r="J352">
        <v>-6.0013990725860262</v>
      </c>
      <c r="K352">
        <v>1.265354355328006</v>
      </c>
      <c r="L352">
        <v>-0.76685051736193866</v>
      </c>
      <c r="M352">
        <v>3.4381250306036359</v>
      </c>
      <c r="N352">
        <v>3.433611644689563</v>
      </c>
      <c r="O352">
        <v>-11.51292546497023</v>
      </c>
      <c r="P352">
        <f t="shared" si="40"/>
        <v>4.5133859140729093E-3</v>
      </c>
      <c r="Q352">
        <f t="shared" si="41"/>
        <v>0</v>
      </c>
      <c r="R352">
        <f t="shared" si="42"/>
        <v>0</v>
      </c>
      <c r="S352">
        <f t="shared" si="43"/>
        <v>0</v>
      </c>
      <c r="T352">
        <f t="shared" si="44"/>
        <v>1</v>
      </c>
      <c r="U352">
        <f t="shared" si="45"/>
        <v>0</v>
      </c>
      <c r="V352">
        <f t="shared" si="46"/>
        <v>0</v>
      </c>
      <c r="W352">
        <f t="shared" si="47"/>
        <v>0</v>
      </c>
    </row>
    <row r="353" spans="1:23" x14ac:dyDescent="0.25">
      <c r="A353" s="1">
        <v>35</v>
      </c>
      <c r="B353" s="1">
        <v>2015</v>
      </c>
      <c r="C353">
        <v>-1.5485504172300191</v>
      </c>
      <c r="D353">
        <v>0.61880071843128848</v>
      </c>
      <c r="E353">
        <v>0.61442859584854015</v>
      </c>
      <c r="F353">
        <v>0.62657993628783215</v>
      </c>
      <c r="G353">
        <v>0.20073432980108</v>
      </c>
      <c r="H353">
        <v>0.2124465417658743</v>
      </c>
      <c r="I353">
        <v>0.22657764804849201</v>
      </c>
      <c r="J353">
        <v>-5.6010491282713071</v>
      </c>
      <c r="K353">
        <v>1.265354355328006</v>
      </c>
      <c r="L353">
        <v>-0.74372905009135759</v>
      </c>
      <c r="M353">
        <v>3.400051629814719</v>
      </c>
      <c r="N353">
        <v>3.429956429323278</v>
      </c>
      <c r="O353">
        <v>-11.51292546497023</v>
      </c>
      <c r="P353">
        <f t="shared" si="40"/>
        <v>-2.9904799508559066E-2</v>
      </c>
      <c r="Q353">
        <f t="shared" si="41"/>
        <v>0</v>
      </c>
      <c r="R353">
        <f t="shared" si="42"/>
        <v>0</v>
      </c>
      <c r="S353">
        <f t="shared" si="43"/>
        <v>0</v>
      </c>
      <c r="T353">
        <f t="shared" si="44"/>
        <v>1</v>
      </c>
      <c r="U353">
        <f t="shared" si="45"/>
        <v>0</v>
      </c>
      <c r="V353">
        <f t="shared" si="46"/>
        <v>0</v>
      </c>
      <c r="W353">
        <f t="shared" si="47"/>
        <v>1</v>
      </c>
    </row>
    <row r="354" spans="1:23" x14ac:dyDescent="0.25">
      <c r="A354" s="1">
        <v>35</v>
      </c>
      <c r="B354" s="1">
        <v>2016</v>
      </c>
      <c r="C354">
        <v>-1.4994484294193799</v>
      </c>
      <c r="D354">
        <v>0.6505006058384728</v>
      </c>
      <c r="E354">
        <v>0.61880071843128848</v>
      </c>
      <c r="F354">
        <v>0.61442859584854015</v>
      </c>
      <c r="G354">
        <v>0.30601302913650452</v>
      </c>
      <c r="H354">
        <v>0.20073432980108</v>
      </c>
      <c r="I354">
        <v>0.2124465417658743</v>
      </c>
      <c r="J354">
        <v>-5.2535188820657037</v>
      </c>
      <c r="K354">
        <v>1.265354355328006</v>
      </c>
      <c r="L354">
        <v>-0.7272040533751134</v>
      </c>
      <c r="M354">
        <v>3.3639103949803069</v>
      </c>
      <c r="N354">
        <v>3.3921271884868189</v>
      </c>
      <c r="O354">
        <v>-11.51292546497023</v>
      </c>
      <c r="P354">
        <f t="shared" si="40"/>
        <v>-2.8216793506512072E-2</v>
      </c>
      <c r="Q354">
        <f t="shared" si="41"/>
        <v>0</v>
      </c>
      <c r="R354">
        <f t="shared" si="42"/>
        <v>0</v>
      </c>
      <c r="S354">
        <f t="shared" si="43"/>
        <v>0</v>
      </c>
      <c r="T354">
        <f t="shared" si="44"/>
        <v>1</v>
      </c>
      <c r="U354">
        <f t="shared" si="45"/>
        <v>0</v>
      </c>
      <c r="V354">
        <f t="shared" si="46"/>
        <v>0</v>
      </c>
      <c r="W354">
        <f t="shared" si="47"/>
        <v>1</v>
      </c>
    </row>
    <row r="355" spans="1:23" x14ac:dyDescent="0.25">
      <c r="A355" s="1">
        <v>35</v>
      </c>
      <c r="B355" s="1">
        <v>2017</v>
      </c>
      <c r="C355">
        <v>-1.4600525533671029</v>
      </c>
      <c r="D355">
        <v>0.64406197286945388</v>
      </c>
      <c r="E355">
        <v>0.6505006058384728</v>
      </c>
      <c r="F355">
        <v>0.61880071843128848</v>
      </c>
      <c r="G355">
        <v>0.28893129185221278</v>
      </c>
      <c r="H355">
        <v>0.30601302913650452</v>
      </c>
      <c r="I355">
        <v>0.20073432980108</v>
      </c>
      <c r="J355">
        <v>-4.6297489561784877</v>
      </c>
      <c r="K355">
        <v>1.265354355328006</v>
      </c>
      <c r="L355">
        <v>-0.70813243422289962</v>
      </c>
      <c r="M355">
        <v>3.359605553219466</v>
      </c>
      <c r="N355">
        <v>3.3562267093129119</v>
      </c>
      <c r="O355">
        <v>-11.51292546497023</v>
      </c>
      <c r="P355">
        <f t="shared" si="40"/>
        <v>3.3788439065540743E-3</v>
      </c>
      <c r="Q355">
        <f t="shared" si="41"/>
        <v>0</v>
      </c>
      <c r="R355">
        <f t="shared" si="42"/>
        <v>0</v>
      </c>
      <c r="S355">
        <f t="shared" si="43"/>
        <v>0</v>
      </c>
      <c r="T355">
        <f t="shared" si="44"/>
        <v>1</v>
      </c>
      <c r="U355">
        <f t="shared" si="45"/>
        <v>0</v>
      </c>
      <c r="V355">
        <f t="shared" si="46"/>
        <v>0</v>
      </c>
      <c r="W355">
        <f t="shared" si="47"/>
        <v>1</v>
      </c>
    </row>
    <row r="356" spans="1:23" x14ac:dyDescent="0.25">
      <c r="A356" s="1">
        <v>35</v>
      </c>
      <c r="B356" s="1">
        <v>2018</v>
      </c>
      <c r="C356">
        <v>-1.687282034701959</v>
      </c>
      <c r="D356">
        <v>0.76458373049779393</v>
      </c>
      <c r="E356">
        <v>0.64406197286945388</v>
      </c>
      <c r="F356">
        <v>0.6505006058384728</v>
      </c>
      <c r="G356">
        <v>0.32880002317267892</v>
      </c>
      <c r="H356">
        <v>0.28893129185221278</v>
      </c>
      <c r="I356">
        <v>0.30601302913650452</v>
      </c>
      <c r="J356">
        <v>-4.2145776456245212</v>
      </c>
      <c r="K356">
        <v>1.265354355328006</v>
      </c>
      <c r="L356">
        <v>-0.68901549049015742</v>
      </c>
      <c r="M356">
        <v>3.347322722778256</v>
      </c>
      <c r="N356">
        <v>3.3498062610410102</v>
      </c>
      <c r="O356">
        <v>3.2580965380214821</v>
      </c>
      <c r="P356">
        <f t="shared" si="40"/>
        <v>-2.4835382627541591E-3</v>
      </c>
      <c r="Q356">
        <f t="shared" si="41"/>
        <v>14.771022002991712</v>
      </c>
      <c r="R356">
        <f t="shared" si="42"/>
        <v>0</v>
      </c>
      <c r="S356">
        <f t="shared" si="43"/>
        <v>0</v>
      </c>
      <c r="T356">
        <f t="shared" si="44"/>
        <v>1</v>
      </c>
      <c r="U356">
        <f t="shared" si="45"/>
        <v>0</v>
      </c>
      <c r="V356">
        <f t="shared" si="46"/>
        <v>0</v>
      </c>
      <c r="W356">
        <f t="shared" si="47"/>
        <v>1</v>
      </c>
    </row>
    <row r="357" spans="1:23" x14ac:dyDescent="0.25">
      <c r="A357" s="1">
        <v>35</v>
      </c>
      <c r="B357" s="1">
        <v>2019</v>
      </c>
      <c r="C357">
        <v>-1.7539985792808619</v>
      </c>
      <c r="D357">
        <v>0.7103483878797201</v>
      </c>
      <c r="E357">
        <v>0.76458373049779393</v>
      </c>
      <c r="F357">
        <v>0.64406197286945388</v>
      </c>
      <c r="G357">
        <v>0.28660649422484791</v>
      </c>
      <c r="H357">
        <v>0.32880002317267892</v>
      </c>
      <c r="I357">
        <v>0.28893129185221278</v>
      </c>
      <c r="J357">
        <v>-3.4734102288767632</v>
      </c>
      <c r="K357">
        <v>1.265354355328006</v>
      </c>
      <c r="L357">
        <v>-0.66727942967695109</v>
      </c>
      <c r="M357">
        <v>3.3580967354450082</v>
      </c>
      <c r="N357">
        <v>3.3390103771988229</v>
      </c>
      <c r="O357">
        <v>5.393627546352362</v>
      </c>
      <c r="P357">
        <f t="shared" si="40"/>
        <v>1.908635824618532E-2</v>
      </c>
      <c r="Q357">
        <f t="shared" si="41"/>
        <v>2.1355310083308798</v>
      </c>
      <c r="R357">
        <f t="shared" si="42"/>
        <v>0</v>
      </c>
      <c r="S357">
        <f t="shared" si="43"/>
        <v>0</v>
      </c>
      <c r="T357">
        <f t="shared" si="44"/>
        <v>1</v>
      </c>
      <c r="U357">
        <f t="shared" si="45"/>
        <v>0</v>
      </c>
      <c r="V357">
        <f t="shared" si="46"/>
        <v>0</v>
      </c>
      <c r="W357">
        <f t="shared" si="47"/>
        <v>1</v>
      </c>
    </row>
    <row r="358" spans="1:23" x14ac:dyDescent="0.25">
      <c r="A358" s="1">
        <v>35</v>
      </c>
      <c r="B358" s="1">
        <v>2020</v>
      </c>
      <c r="C358">
        <v>-1.86403964962227</v>
      </c>
      <c r="D358">
        <v>0.65399046535875138</v>
      </c>
      <c r="E358">
        <v>0.7103483878797201</v>
      </c>
      <c r="F358">
        <v>0.76458373049779393</v>
      </c>
      <c r="G358">
        <v>0.26428549464538492</v>
      </c>
      <c r="H358">
        <v>0.28660649422484791</v>
      </c>
      <c r="I358">
        <v>0.32880002317267892</v>
      </c>
      <c r="J358">
        <v>-2.8937330983977869</v>
      </c>
      <c r="K358">
        <v>1.265354355328006</v>
      </c>
      <c r="L358">
        <v>-0.65527629986212466</v>
      </c>
      <c r="M358">
        <v>3.2997488115508631</v>
      </c>
      <c r="N358">
        <v>3.3500652315318309</v>
      </c>
      <c r="O358">
        <v>5.9914645471079817</v>
      </c>
      <c r="P358">
        <f t="shared" si="40"/>
        <v>-5.0316419980967808E-2</v>
      </c>
      <c r="Q358">
        <f t="shared" si="41"/>
        <v>0.59783700075561974</v>
      </c>
      <c r="R358">
        <f t="shared" si="42"/>
        <v>0</v>
      </c>
      <c r="S358">
        <f t="shared" si="43"/>
        <v>0</v>
      </c>
      <c r="T358">
        <f t="shared" si="44"/>
        <v>1</v>
      </c>
      <c r="U358">
        <f t="shared" si="45"/>
        <v>0</v>
      </c>
      <c r="V358">
        <f t="shared" si="46"/>
        <v>1</v>
      </c>
      <c r="W358">
        <f t="shared" si="47"/>
        <v>1</v>
      </c>
    </row>
    <row r="359" spans="1:23" x14ac:dyDescent="0.25">
      <c r="A359" s="1">
        <v>35</v>
      </c>
      <c r="B359" s="1">
        <v>2021</v>
      </c>
      <c r="C359">
        <v>-1.662372354249732</v>
      </c>
      <c r="D359">
        <v>0.85070633066131007</v>
      </c>
      <c r="E359">
        <v>0.65399046535875138</v>
      </c>
      <c r="F359">
        <v>0.7103483878797201</v>
      </c>
      <c r="G359">
        <v>0.57030135056109943</v>
      </c>
      <c r="H359">
        <v>0.26428549464538492</v>
      </c>
      <c r="I359">
        <v>0.28660649422484791</v>
      </c>
      <c r="J359">
        <v>-2.3321531559009401</v>
      </c>
      <c r="K359">
        <v>1.265354355328006</v>
      </c>
      <c r="L359">
        <v>-0.6472323188136947</v>
      </c>
      <c r="M359">
        <v>3.3037784711010461</v>
      </c>
      <c r="N359">
        <v>3.2920060368555659</v>
      </c>
      <c r="O359">
        <v>6.6846117276679271</v>
      </c>
      <c r="P359">
        <f t="shared" si="40"/>
        <v>1.1772434245480135E-2</v>
      </c>
      <c r="Q359">
        <f t="shared" si="41"/>
        <v>0.6931471805599454</v>
      </c>
      <c r="R359">
        <f t="shared" si="42"/>
        <v>0</v>
      </c>
      <c r="S359">
        <f t="shared" si="43"/>
        <v>0</v>
      </c>
      <c r="T359">
        <f t="shared" si="44"/>
        <v>1</v>
      </c>
      <c r="U359">
        <f t="shared" si="45"/>
        <v>0</v>
      </c>
      <c r="V359">
        <f t="shared" si="46"/>
        <v>0</v>
      </c>
      <c r="W359">
        <f t="shared" si="47"/>
        <v>1</v>
      </c>
    </row>
    <row r="360" spans="1:23" x14ac:dyDescent="0.25">
      <c r="A360" s="1">
        <v>35</v>
      </c>
      <c r="B360" s="1">
        <v>2022</v>
      </c>
      <c r="C360">
        <v>-1.539345348544559</v>
      </c>
      <c r="D360">
        <v>0.86487111371861958</v>
      </c>
      <c r="E360">
        <v>0.85070633066131007</v>
      </c>
      <c r="F360">
        <v>0.65399046535875138</v>
      </c>
      <c r="G360">
        <v>0.53315446924905385</v>
      </c>
      <c r="H360">
        <v>0.57030135056109943</v>
      </c>
      <c r="I360">
        <v>0.26428549464538492</v>
      </c>
      <c r="J360">
        <v>-1.8103043863290309</v>
      </c>
      <c r="K360">
        <v>1.265354355328006</v>
      </c>
      <c r="L360">
        <v>-0.6258211804677235</v>
      </c>
      <c r="M360">
        <v>3.362174111307882</v>
      </c>
      <c r="N360">
        <v>3.3037784711010461</v>
      </c>
      <c r="O360">
        <v>8.0551577318196781</v>
      </c>
      <c r="P360">
        <f t="shared" si="40"/>
        <v>5.8395640206835964E-2</v>
      </c>
      <c r="Q360">
        <f t="shared" si="41"/>
        <v>1.370546004151751</v>
      </c>
      <c r="R360">
        <f t="shared" si="42"/>
        <v>0</v>
      </c>
      <c r="S360">
        <f t="shared" si="43"/>
        <v>0</v>
      </c>
      <c r="T360">
        <f t="shared" si="44"/>
        <v>1</v>
      </c>
      <c r="U360">
        <f t="shared" si="45"/>
        <v>0</v>
      </c>
      <c r="V360">
        <f t="shared" si="46"/>
        <v>0</v>
      </c>
      <c r="W360">
        <f t="shared" si="47"/>
        <v>0</v>
      </c>
    </row>
    <row r="361" spans="1:23" x14ac:dyDescent="0.25">
      <c r="A361" s="1">
        <v>35</v>
      </c>
      <c r="B361" s="1">
        <v>2023</v>
      </c>
      <c r="C361">
        <v>-1.4942475735529499</v>
      </c>
      <c r="D361">
        <v>0.72711373012321823</v>
      </c>
      <c r="E361">
        <v>0.86487111371861958</v>
      </c>
      <c r="F361">
        <v>0.85070633066131007</v>
      </c>
      <c r="G361">
        <v>0.33461336713621331</v>
      </c>
      <c r="H361">
        <v>0.53315446924905385</v>
      </c>
      <c r="I361">
        <v>0.57030135056109943</v>
      </c>
      <c r="J361">
        <v>-1.257223832920717</v>
      </c>
      <c r="K361">
        <v>1.265354355328006</v>
      </c>
      <c r="L361">
        <v>-0.60173262156518448</v>
      </c>
      <c r="M361">
        <v>3.4075965113004578</v>
      </c>
      <c r="N361">
        <v>3.362174111307882</v>
      </c>
      <c r="O361">
        <v>8.4658998970286863</v>
      </c>
      <c r="P361">
        <f t="shared" si="40"/>
        <v>4.5422399992575802E-2</v>
      </c>
      <c r="Q361">
        <f t="shared" si="41"/>
        <v>0.41074216520900819</v>
      </c>
      <c r="R361">
        <f t="shared" si="42"/>
        <v>0</v>
      </c>
      <c r="S361">
        <f t="shared" si="43"/>
        <v>0</v>
      </c>
      <c r="T361">
        <f t="shared" si="44"/>
        <v>1</v>
      </c>
      <c r="U361">
        <f t="shared" si="45"/>
        <v>0</v>
      </c>
      <c r="V361">
        <f t="shared" si="46"/>
        <v>0</v>
      </c>
      <c r="W361">
        <f t="shared" si="47"/>
        <v>0</v>
      </c>
    </row>
    <row r="362" spans="1:23" x14ac:dyDescent="0.25">
      <c r="A362" s="1">
        <v>41</v>
      </c>
      <c r="B362" s="1">
        <v>2006</v>
      </c>
      <c r="C362">
        <v>-1.8423609383586479</v>
      </c>
      <c r="D362">
        <v>0.91629073187415511</v>
      </c>
      <c r="E362">
        <v>0.85946637987639407</v>
      </c>
      <c r="F362">
        <v>0.81863380060136115</v>
      </c>
      <c r="G362">
        <v>0.50681760236845186</v>
      </c>
      <c r="H362">
        <v>0.36018876323852889</v>
      </c>
      <c r="I362">
        <v>0.23467678712788281</v>
      </c>
      <c r="J362">
        <v>-16.11809565095832</v>
      </c>
      <c r="K362">
        <v>1.552935502058828</v>
      </c>
      <c r="L362">
        <v>-1.2951281768844689</v>
      </c>
      <c r="M362">
        <v>2.8821140608554998</v>
      </c>
      <c r="N362">
        <v>2.870796881453622</v>
      </c>
      <c r="O362">
        <v>-11.51292546497023</v>
      </c>
      <c r="P362">
        <f t="shared" si="40"/>
        <v>1.1317179401877819E-2</v>
      </c>
      <c r="Q362">
        <f t="shared" si="41"/>
        <v>0</v>
      </c>
      <c r="R362">
        <f t="shared" si="42"/>
        <v>0</v>
      </c>
      <c r="S362">
        <f t="shared" si="43"/>
        <v>0</v>
      </c>
      <c r="T362">
        <f t="shared" si="44"/>
        <v>0</v>
      </c>
      <c r="U362">
        <f t="shared" si="45"/>
        <v>0</v>
      </c>
      <c r="V362">
        <f t="shared" si="46"/>
        <v>0</v>
      </c>
      <c r="W362">
        <f t="shared" si="47"/>
        <v>0</v>
      </c>
    </row>
    <row r="363" spans="1:23" x14ac:dyDescent="0.25">
      <c r="A363" s="1">
        <v>41</v>
      </c>
      <c r="B363" s="1">
        <v>2007</v>
      </c>
      <c r="C363">
        <v>-1.8560792646036639</v>
      </c>
      <c r="D363">
        <v>0.84835444486232792</v>
      </c>
      <c r="E363">
        <v>0.91629073187415511</v>
      </c>
      <c r="F363">
        <v>0.85946637987639407</v>
      </c>
      <c r="G363">
        <v>0.32099595148171439</v>
      </c>
      <c r="H363">
        <v>0.50681760236845186</v>
      </c>
      <c r="I363">
        <v>0.36018876323852889</v>
      </c>
      <c r="J363">
        <v>-16.11809565095832</v>
      </c>
      <c r="K363">
        <v>1.552935502058828</v>
      </c>
      <c r="L363">
        <v>-1.2165735664723041</v>
      </c>
      <c r="M363">
        <v>2.992506428742332</v>
      </c>
      <c r="N363">
        <v>2.872399933716999</v>
      </c>
      <c r="O363">
        <v>-11.51292546497023</v>
      </c>
      <c r="P363">
        <f t="shared" si="40"/>
        <v>0.12010649502533299</v>
      </c>
      <c r="Q363">
        <f t="shared" si="41"/>
        <v>0</v>
      </c>
      <c r="R363">
        <f t="shared" si="42"/>
        <v>0</v>
      </c>
      <c r="S363">
        <f t="shared" si="43"/>
        <v>0</v>
      </c>
      <c r="T363">
        <f t="shared" si="44"/>
        <v>0</v>
      </c>
      <c r="U363">
        <f t="shared" si="45"/>
        <v>0</v>
      </c>
      <c r="V363">
        <f t="shared" si="46"/>
        <v>0</v>
      </c>
      <c r="W363">
        <f t="shared" si="47"/>
        <v>0</v>
      </c>
    </row>
    <row r="364" spans="1:23" x14ac:dyDescent="0.25">
      <c r="A364" s="1">
        <v>41</v>
      </c>
      <c r="B364" s="1">
        <v>2008</v>
      </c>
      <c r="C364">
        <v>-1.829494845679668</v>
      </c>
      <c r="D364">
        <v>0.77868246866620794</v>
      </c>
      <c r="E364">
        <v>0.84835444486232792</v>
      </c>
      <c r="F364">
        <v>0.91629073187415511</v>
      </c>
      <c r="G364">
        <v>0.24263240389805671</v>
      </c>
      <c r="H364">
        <v>0.32099595148171439</v>
      </c>
      <c r="I364">
        <v>0.50681760236845186</v>
      </c>
      <c r="J364">
        <v>-16.11809565095832</v>
      </c>
      <c r="K364">
        <v>1.552935502058828</v>
      </c>
      <c r="L364">
        <v>-1.1381487519499429</v>
      </c>
      <c r="M364">
        <v>3.0155765265959911</v>
      </c>
      <c r="N364">
        <v>2.9828856643160169</v>
      </c>
      <c r="O364">
        <v>-11.51292546497023</v>
      </c>
      <c r="P364">
        <f t="shared" si="40"/>
        <v>3.2690862279974198E-2</v>
      </c>
      <c r="Q364">
        <f t="shared" si="41"/>
        <v>0</v>
      </c>
      <c r="R364">
        <f t="shared" si="42"/>
        <v>0</v>
      </c>
      <c r="S364">
        <f t="shared" si="43"/>
        <v>0</v>
      </c>
      <c r="T364">
        <f t="shared" si="44"/>
        <v>0</v>
      </c>
      <c r="U364">
        <f t="shared" si="45"/>
        <v>0</v>
      </c>
      <c r="V364">
        <f t="shared" si="46"/>
        <v>0</v>
      </c>
      <c r="W364">
        <f t="shared" si="47"/>
        <v>0</v>
      </c>
    </row>
    <row r="365" spans="1:23" x14ac:dyDescent="0.25">
      <c r="A365" s="1">
        <v>41</v>
      </c>
      <c r="B365" s="1">
        <v>2009</v>
      </c>
      <c r="C365">
        <v>-1.8964178520160431</v>
      </c>
      <c r="D365">
        <v>0.76103944660286371</v>
      </c>
      <c r="E365">
        <v>0.77868246866620794</v>
      </c>
      <c r="F365">
        <v>0.84835444486232792</v>
      </c>
      <c r="G365">
        <v>0.24208306113360409</v>
      </c>
      <c r="H365">
        <v>0.24263240389805671</v>
      </c>
      <c r="I365">
        <v>0.32099595148171439</v>
      </c>
      <c r="J365">
        <v>-9.2767128666058145</v>
      </c>
      <c r="K365">
        <v>1.552935502058828</v>
      </c>
      <c r="L365">
        <v>-1.07274631637666</v>
      </c>
      <c r="M365">
        <v>2.9934713224657501</v>
      </c>
      <c r="N365">
        <v>3.0065452457640429</v>
      </c>
      <c r="O365">
        <v>-11.51292546497023</v>
      </c>
      <c r="P365">
        <f t="shared" si="40"/>
        <v>-1.3073923298292822E-2</v>
      </c>
      <c r="Q365">
        <f t="shared" si="41"/>
        <v>0</v>
      </c>
      <c r="R365">
        <f t="shared" si="42"/>
        <v>0</v>
      </c>
      <c r="S365">
        <f t="shared" si="43"/>
        <v>0</v>
      </c>
      <c r="T365">
        <f t="shared" si="44"/>
        <v>0</v>
      </c>
      <c r="U365">
        <f t="shared" si="45"/>
        <v>0</v>
      </c>
      <c r="V365">
        <f t="shared" si="46"/>
        <v>0</v>
      </c>
      <c r="W365">
        <f t="shared" si="47"/>
        <v>0</v>
      </c>
    </row>
    <row r="366" spans="1:23" x14ac:dyDescent="0.25">
      <c r="A366" s="1">
        <v>41</v>
      </c>
      <c r="B366" s="1">
        <v>2010</v>
      </c>
      <c r="C366">
        <v>-1.726507138524179</v>
      </c>
      <c r="D366">
        <v>0.72764522096751272</v>
      </c>
      <c r="E366">
        <v>0.76103944660286371</v>
      </c>
      <c r="F366">
        <v>0.77868246866620794</v>
      </c>
      <c r="G366">
        <v>0.28803201121606892</v>
      </c>
      <c r="H366">
        <v>0.24208306113360409</v>
      </c>
      <c r="I366">
        <v>0.24263240389805671</v>
      </c>
      <c r="J366">
        <v>-8.575395870932196</v>
      </c>
      <c r="K366">
        <v>1.552935502058828</v>
      </c>
      <c r="L366">
        <v>-0.99196821018247971</v>
      </c>
      <c r="M366">
        <v>3.0562244582969211</v>
      </c>
      <c r="N366">
        <v>3.0016411375795662</v>
      </c>
      <c r="O366">
        <v>-11.51292546497023</v>
      </c>
      <c r="P366">
        <f t="shared" si="40"/>
        <v>5.4583320717354944E-2</v>
      </c>
      <c r="Q366">
        <f t="shared" si="41"/>
        <v>0</v>
      </c>
      <c r="R366">
        <f t="shared" si="42"/>
        <v>0</v>
      </c>
      <c r="S366">
        <f t="shared" si="43"/>
        <v>0</v>
      </c>
      <c r="T366">
        <f t="shared" si="44"/>
        <v>0</v>
      </c>
      <c r="U366">
        <f t="shared" si="45"/>
        <v>0</v>
      </c>
      <c r="V366">
        <f t="shared" si="46"/>
        <v>0</v>
      </c>
      <c r="W366">
        <f t="shared" si="47"/>
        <v>0</v>
      </c>
    </row>
    <row r="367" spans="1:23" x14ac:dyDescent="0.25">
      <c r="A367" s="1">
        <v>41</v>
      </c>
      <c r="B367" s="1">
        <v>2011</v>
      </c>
      <c r="C367">
        <v>-1.4758305114994541</v>
      </c>
      <c r="D367">
        <v>0.72226899413196388</v>
      </c>
      <c r="E367">
        <v>0.72764522096751272</v>
      </c>
      <c r="F367">
        <v>0.76103944660286371</v>
      </c>
      <c r="G367">
        <v>0.41449091931547682</v>
      </c>
      <c r="H367">
        <v>0.28803201121606892</v>
      </c>
      <c r="I367">
        <v>0.24208306113360409</v>
      </c>
      <c r="J367">
        <v>-6.7753992905375107</v>
      </c>
      <c r="K367">
        <v>1.552935502058828</v>
      </c>
      <c r="L367">
        <v>-0.91369468549430466</v>
      </c>
      <c r="M367">
        <v>3.117094438691538</v>
      </c>
      <c r="N367">
        <v>3.064461569463433</v>
      </c>
      <c r="O367">
        <v>-11.51292546497023</v>
      </c>
      <c r="P367">
        <f t="shared" si="40"/>
        <v>5.2632869228105061E-2</v>
      </c>
      <c r="Q367">
        <f t="shared" si="41"/>
        <v>0</v>
      </c>
      <c r="R367">
        <f t="shared" si="42"/>
        <v>0</v>
      </c>
      <c r="S367">
        <f t="shared" si="43"/>
        <v>0</v>
      </c>
      <c r="T367">
        <f t="shared" si="44"/>
        <v>0</v>
      </c>
      <c r="U367">
        <f t="shared" si="45"/>
        <v>0</v>
      </c>
      <c r="V367">
        <f t="shared" si="46"/>
        <v>0</v>
      </c>
      <c r="W367">
        <f t="shared" si="47"/>
        <v>0</v>
      </c>
    </row>
    <row r="368" spans="1:23" x14ac:dyDescent="0.25">
      <c r="A368" s="1">
        <v>41</v>
      </c>
      <c r="B368" s="1">
        <v>2012</v>
      </c>
      <c r="C368">
        <v>-1.339446711138798</v>
      </c>
      <c r="D368">
        <v>0.66921303026431433</v>
      </c>
      <c r="E368">
        <v>0.72226899413196388</v>
      </c>
      <c r="F368">
        <v>0.72764522096751272</v>
      </c>
      <c r="G368">
        <v>0.34238330322186772</v>
      </c>
      <c r="H368">
        <v>0.41449091931547682</v>
      </c>
      <c r="I368">
        <v>0.28803201121606892</v>
      </c>
      <c r="J368">
        <v>-6.4332951460233661</v>
      </c>
      <c r="K368">
        <v>1.552935502058828</v>
      </c>
      <c r="L368">
        <v>-0.85480182225983004</v>
      </c>
      <c r="M368">
        <v>3.1395688255276668</v>
      </c>
      <c r="N368">
        <v>3.1108918889374499</v>
      </c>
      <c r="O368">
        <v>-11.51292546497023</v>
      </c>
      <c r="P368">
        <f t="shared" si="40"/>
        <v>2.8676936590216862E-2</v>
      </c>
      <c r="Q368">
        <f t="shared" si="41"/>
        <v>0</v>
      </c>
      <c r="R368">
        <f t="shared" si="42"/>
        <v>0</v>
      </c>
      <c r="S368">
        <f t="shared" si="43"/>
        <v>0</v>
      </c>
      <c r="T368">
        <f t="shared" si="44"/>
        <v>0</v>
      </c>
      <c r="U368">
        <f t="shared" si="45"/>
        <v>0</v>
      </c>
      <c r="V368">
        <f t="shared" si="46"/>
        <v>0</v>
      </c>
      <c r="W368">
        <f t="shared" si="47"/>
        <v>0</v>
      </c>
    </row>
    <row r="369" spans="1:23" x14ac:dyDescent="0.25">
      <c r="A369" s="1">
        <v>41</v>
      </c>
      <c r="B369" s="1">
        <v>2013</v>
      </c>
      <c r="C369">
        <v>-1.3850817769822621</v>
      </c>
      <c r="D369">
        <v>0.6660842610102562</v>
      </c>
      <c r="E369">
        <v>0.66921303026431433</v>
      </c>
      <c r="F369">
        <v>0.72226899413196388</v>
      </c>
      <c r="G369">
        <v>0.29012907609483268</v>
      </c>
      <c r="H369">
        <v>0.34238330322186772</v>
      </c>
      <c r="I369">
        <v>0.41449091931547682</v>
      </c>
      <c r="J369">
        <v>-5.5677504523929784</v>
      </c>
      <c r="K369">
        <v>1.552935502058828</v>
      </c>
      <c r="L369">
        <v>-0.83520570489409651</v>
      </c>
      <c r="M369">
        <v>3.183217508248168</v>
      </c>
      <c r="N369">
        <v>3.1006572449309169</v>
      </c>
      <c r="O369">
        <v>-11.51292546497023</v>
      </c>
      <c r="P369">
        <f t="shared" si="40"/>
        <v>8.2560263317251081E-2</v>
      </c>
      <c r="Q369">
        <f t="shared" si="41"/>
        <v>0</v>
      </c>
      <c r="R369">
        <f t="shared" si="42"/>
        <v>0</v>
      </c>
      <c r="S369">
        <f t="shared" si="43"/>
        <v>0</v>
      </c>
      <c r="T369">
        <f t="shared" si="44"/>
        <v>0</v>
      </c>
      <c r="U369">
        <f t="shared" si="45"/>
        <v>0</v>
      </c>
      <c r="V369">
        <f t="shared" si="46"/>
        <v>0</v>
      </c>
      <c r="W369">
        <f t="shared" si="47"/>
        <v>0</v>
      </c>
    </row>
    <row r="370" spans="1:23" x14ac:dyDescent="0.25">
      <c r="A370" s="1">
        <v>41</v>
      </c>
      <c r="B370" s="1">
        <v>2014</v>
      </c>
      <c r="C370">
        <v>-1.345189368281094</v>
      </c>
      <c r="D370">
        <v>0.641959143790512</v>
      </c>
      <c r="E370">
        <v>0.6660842610102562</v>
      </c>
      <c r="F370">
        <v>0.66921303026431433</v>
      </c>
      <c r="G370">
        <v>0.27307592006241882</v>
      </c>
      <c r="H370">
        <v>0.29012907609483268</v>
      </c>
      <c r="I370">
        <v>0.34238330322186772</v>
      </c>
      <c r="J370">
        <v>-4.918600501551456</v>
      </c>
      <c r="K370">
        <v>1.552935502058828</v>
      </c>
      <c r="L370">
        <v>-0.79188257119245631</v>
      </c>
      <c r="M370">
        <v>3.142905274687771</v>
      </c>
      <c r="N370">
        <v>3.175587922700605</v>
      </c>
      <c r="O370">
        <v>-11.51292546497023</v>
      </c>
      <c r="P370">
        <f t="shared" si="40"/>
        <v>-3.2682648012833937E-2</v>
      </c>
      <c r="Q370">
        <f t="shared" si="41"/>
        <v>0</v>
      </c>
      <c r="R370">
        <f t="shared" si="42"/>
        <v>0</v>
      </c>
      <c r="S370">
        <f t="shared" si="43"/>
        <v>0</v>
      </c>
      <c r="T370">
        <f t="shared" si="44"/>
        <v>0</v>
      </c>
      <c r="U370">
        <f t="shared" si="45"/>
        <v>0</v>
      </c>
      <c r="V370">
        <f t="shared" si="46"/>
        <v>0</v>
      </c>
      <c r="W370">
        <f t="shared" si="47"/>
        <v>0</v>
      </c>
    </row>
    <row r="371" spans="1:23" x14ac:dyDescent="0.25">
      <c r="A371" s="1">
        <v>41</v>
      </c>
      <c r="B371" s="1">
        <v>2015</v>
      </c>
      <c r="C371">
        <v>-1.460493169190533</v>
      </c>
      <c r="D371">
        <v>0.64966540194798428</v>
      </c>
      <c r="E371">
        <v>0.641959143790512</v>
      </c>
      <c r="F371">
        <v>0.6660842610102562</v>
      </c>
      <c r="G371">
        <v>0.26972174707478819</v>
      </c>
      <c r="H371">
        <v>0.27307592006241882</v>
      </c>
      <c r="I371">
        <v>0.29012907609483268</v>
      </c>
      <c r="J371">
        <v>-4.484079722531721</v>
      </c>
      <c r="K371">
        <v>1.552935502058828</v>
      </c>
      <c r="L371">
        <v>-0.7667308249154009</v>
      </c>
      <c r="M371">
        <v>3.142359436250826</v>
      </c>
      <c r="N371">
        <v>3.13559330142846</v>
      </c>
      <c r="O371">
        <v>-11.51292546497023</v>
      </c>
      <c r="P371">
        <f t="shared" si="40"/>
        <v>6.7661348223659878E-3</v>
      </c>
      <c r="Q371">
        <f t="shared" si="41"/>
        <v>0</v>
      </c>
      <c r="R371">
        <f t="shared" si="42"/>
        <v>0</v>
      </c>
      <c r="S371">
        <f t="shared" si="43"/>
        <v>0</v>
      </c>
      <c r="T371">
        <f t="shared" si="44"/>
        <v>0</v>
      </c>
      <c r="U371">
        <f t="shared" si="45"/>
        <v>0</v>
      </c>
      <c r="V371">
        <f t="shared" si="46"/>
        <v>0</v>
      </c>
      <c r="W371">
        <f t="shared" si="47"/>
        <v>1</v>
      </c>
    </row>
    <row r="372" spans="1:23" x14ac:dyDescent="0.25">
      <c r="A372" s="1">
        <v>41</v>
      </c>
      <c r="B372" s="1">
        <v>2016</v>
      </c>
      <c r="C372">
        <v>-1.3613844512385129</v>
      </c>
      <c r="D372">
        <v>0.68697819141441629</v>
      </c>
      <c r="E372">
        <v>0.64966540194798428</v>
      </c>
      <c r="F372">
        <v>0.641959143790512</v>
      </c>
      <c r="G372">
        <v>0.39102806031039478</v>
      </c>
      <c r="H372">
        <v>0.26972174707478819</v>
      </c>
      <c r="I372">
        <v>0.27307592006241882</v>
      </c>
      <c r="J372">
        <v>-4.1179899342132718</v>
      </c>
      <c r="K372">
        <v>1.552935502058828</v>
      </c>
      <c r="L372">
        <v>-0.75113211232978527</v>
      </c>
      <c r="M372">
        <v>3.1211682337027451</v>
      </c>
      <c r="N372">
        <v>3.135244978679335</v>
      </c>
      <c r="O372">
        <v>-11.51292546497023</v>
      </c>
      <c r="P372">
        <f t="shared" si="40"/>
        <v>-1.407674497658995E-2</v>
      </c>
      <c r="Q372">
        <f t="shared" si="41"/>
        <v>0</v>
      </c>
      <c r="R372">
        <f t="shared" si="42"/>
        <v>0</v>
      </c>
      <c r="S372">
        <f t="shared" si="43"/>
        <v>0</v>
      </c>
      <c r="T372">
        <f t="shared" si="44"/>
        <v>0</v>
      </c>
      <c r="U372">
        <f t="shared" si="45"/>
        <v>0</v>
      </c>
      <c r="V372">
        <f t="shared" si="46"/>
        <v>0</v>
      </c>
      <c r="W372">
        <f t="shared" si="47"/>
        <v>1</v>
      </c>
    </row>
    <row r="373" spans="1:23" x14ac:dyDescent="0.25">
      <c r="A373" s="1">
        <v>41</v>
      </c>
      <c r="B373" s="1">
        <v>2017</v>
      </c>
      <c r="C373">
        <v>-1.3064815329151609</v>
      </c>
      <c r="D373">
        <v>0.67701779863006162</v>
      </c>
      <c r="E373">
        <v>0.68697819141441629</v>
      </c>
      <c r="F373">
        <v>0.64966540194798428</v>
      </c>
      <c r="G373">
        <v>0.38028404291090551</v>
      </c>
      <c r="H373">
        <v>0.39102806031039478</v>
      </c>
      <c r="I373">
        <v>0.26972174707478819</v>
      </c>
      <c r="J373">
        <v>-3.482202667464827</v>
      </c>
      <c r="K373">
        <v>1.552935502058828</v>
      </c>
      <c r="L373">
        <v>-0.73423257976881406</v>
      </c>
      <c r="M373">
        <v>3.1260082481797218</v>
      </c>
      <c r="N373">
        <v>3.1142391735181341</v>
      </c>
      <c r="O373">
        <v>-11.51292546497023</v>
      </c>
      <c r="P373">
        <f t="shared" si="40"/>
        <v>1.176907466158772E-2</v>
      </c>
      <c r="Q373">
        <f t="shared" si="41"/>
        <v>0</v>
      </c>
      <c r="R373">
        <f t="shared" si="42"/>
        <v>0</v>
      </c>
      <c r="S373">
        <f t="shared" si="43"/>
        <v>0</v>
      </c>
      <c r="T373">
        <f t="shared" si="44"/>
        <v>0</v>
      </c>
      <c r="U373">
        <f t="shared" si="45"/>
        <v>0</v>
      </c>
      <c r="V373">
        <f t="shared" si="46"/>
        <v>0</v>
      </c>
      <c r="W373">
        <f t="shared" si="47"/>
        <v>1</v>
      </c>
    </row>
    <row r="374" spans="1:23" x14ac:dyDescent="0.25">
      <c r="A374" s="1">
        <v>41</v>
      </c>
      <c r="B374" s="1">
        <v>2018</v>
      </c>
      <c r="C374">
        <v>-1.4986251909305219</v>
      </c>
      <c r="D374">
        <v>0.78349050045754698</v>
      </c>
      <c r="E374">
        <v>0.67701779863006162</v>
      </c>
      <c r="F374">
        <v>0.68697819141441629</v>
      </c>
      <c r="G374">
        <v>0.41369779303464072</v>
      </c>
      <c r="H374">
        <v>0.38028404291090551</v>
      </c>
      <c r="I374">
        <v>0.39102806031039478</v>
      </c>
      <c r="J374">
        <v>-3.0490208019740672</v>
      </c>
      <c r="K374">
        <v>1.552935502058828</v>
      </c>
      <c r="L374">
        <v>-0.7080024089864696</v>
      </c>
      <c r="M374">
        <v>3.1226058478362422</v>
      </c>
      <c r="N374">
        <v>3.123534033283172</v>
      </c>
      <c r="O374">
        <v>3.2580965380214821</v>
      </c>
      <c r="P374">
        <f t="shared" si="40"/>
        <v>-9.2818544692985228E-4</v>
      </c>
      <c r="Q374">
        <f t="shared" si="41"/>
        <v>14.771022002991712</v>
      </c>
      <c r="R374">
        <f t="shared" si="42"/>
        <v>0</v>
      </c>
      <c r="S374">
        <f t="shared" si="43"/>
        <v>0</v>
      </c>
      <c r="T374">
        <f t="shared" si="44"/>
        <v>0</v>
      </c>
      <c r="U374">
        <f t="shared" si="45"/>
        <v>0</v>
      </c>
      <c r="V374">
        <f t="shared" si="46"/>
        <v>0</v>
      </c>
      <c r="W374">
        <f t="shared" si="47"/>
        <v>1</v>
      </c>
    </row>
    <row r="375" spans="1:23" x14ac:dyDescent="0.25">
      <c r="A375" s="1">
        <v>41</v>
      </c>
      <c r="B375" s="1">
        <v>2019</v>
      </c>
      <c r="C375">
        <v>-1.5143299060988189</v>
      </c>
      <c r="D375">
        <v>0.71759586096225525</v>
      </c>
      <c r="E375">
        <v>0.78349050045754698</v>
      </c>
      <c r="F375">
        <v>0.67701779863006162</v>
      </c>
      <c r="G375">
        <v>0.36464311358790918</v>
      </c>
      <c r="H375">
        <v>0.41369779303464072</v>
      </c>
      <c r="I375">
        <v>0.38028404291090551</v>
      </c>
      <c r="J375">
        <v>-2.3090742918220881</v>
      </c>
      <c r="K375">
        <v>1.552935502058828</v>
      </c>
      <c r="L375">
        <v>-0.68325093447038077</v>
      </c>
      <c r="M375">
        <v>3.1319204394203441</v>
      </c>
      <c r="N375">
        <v>3.1151423188689078</v>
      </c>
      <c r="O375">
        <v>5.393627546352362</v>
      </c>
      <c r="P375">
        <f t="shared" si="40"/>
        <v>1.6778120551436349E-2</v>
      </c>
      <c r="Q375">
        <f t="shared" si="41"/>
        <v>2.1355310083308798</v>
      </c>
      <c r="R375">
        <f t="shared" si="42"/>
        <v>0</v>
      </c>
      <c r="S375">
        <f t="shared" si="43"/>
        <v>0</v>
      </c>
      <c r="T375">
        <f t="shared" si="44"/>
        <v>0</v>
      </c>
      <c r="U375">
        <f t="shared" si="45"/>
        <v>0</v>
      </c>
      <c r="V375">
        <f t="shared" si="46"/>
        <v>0</v>
      </c>
      <c r="W375">
        <f t="shared" si="47"/>
        <v>1</v>
      </c>
    </row>
    <row r="376" spans="1:23" x14ac:dyDescent="0.25">
      <c r="A376" s="1">
        <v>41</v>
      </c>
      <c r="B376" s="1">
        <v>2020</v>
      </c>
      <c r="C376">
        <v>-1.530973710856024</v>
      </c>
      <c r="D376">
        <v>0.63673554663398246</v>
      </c>
      <c r="E376">
        <v>0.71759586096225525</v>
      </c>
      <c r="F376">
        <v>0.78349050045754698</v>
      </c>
      <c r="G376">
        <v>0.33404071142979791</v>
      </c>
      <c r="H376">
        <v>0.36464311358790918</v>
      </c>
      <c r="I376">
        <v>0.41369779303464072</v>
      </c>
      <c r="J376">
        <v>-1.6952284246354941</v>
      </c>
      <c r="K376">
        <v>1.552935502058828</v>
      </c>
      <c r="L376">
        <v>-0.66505064194755892</v>
      </c>
      <c r="M376">
        <v>3.1071599665025058</v>
      </c>
      <c r="N376">
        <v>3.1246977394578521</v>
      </c>
      <c r="O376">
        <v>5.9914645471079817</v>
      </c>
      <c r="P376">
        <f t="shared" si="40"/>
        <v>-1.7537772955346309E-2</v>
      </c>
      <c r="Q376">
        <f t="shared" si="41"/>
        <v>0.59783700075561974</v>
      </c>
      <c r="R376">
        <f t="shared" si="42"/>
        <v>0</v>
      </c>
      <c r="S376">
        <f t="shared" si="43"/>
        <v>0</v>
      </c>
      <c r="T376">
        <f t="shared" si="44"/>
        <v>0</v>
      </c>
      <c r="U376">
        <f t="shared" si="45"/>
        <v>0</v>
      </c>
      <c r="V376">
        <f t="shared" si="46"/>
        <v>1</v>
      </c>
      <c r="W376">
        <f t="shared" si="47"/>
        <v>1</v>
      </c>
    </row>
    <row r="377" spans="1:23" x14ac:dyDescent="0.25">
      <c r="A377" s="1">
        <v>41</v>
      </c>
      <c r="B377" s="1">
        <v>2021</v>
      </c>
      <c r="C377">
        <v>-1.421809541109802</v>
      </c>
      <c r="D377">
        <v>0.85980503288729271</v>
      </c>
      <c r="E377">
        <v>0.63673554663398246</v>
      </c>
      <c r="F377">
        <v>0.71759586096225525</v>
      </c>
      <c r="G377">
        <v>0.62663337650160578</v>
      </c>
      <c r="H377">
        <v>0.33404071142979791</v>
      </c>
      <c r="I377">
        <v>0.36464311358790918</v>
      </c>
      <c r="J377">
        <v>-1.146789059642076</v>
      </c>
      <c r="K377">
        <v>1.552935502058828</v>
      </c>
      <c r="L377">
        <v>-0.64621235690546897</v>
      </c>
      <c r="M377">
        <v>3.0972182161012869</v>
      </c>
      <c r="N377">
        <v>3.1001821005509091</v>
      </c>
      <c r="O377">
        <v>6.6846117276679271</v>
      </c>
      <c r="P377">
        <f t="shared" si="40"/>
        <v>-2.9638844496222561E-3</v>
      </c>
      <c r="Q377">
        <f t="shared" si="41"/>
        <v>0.6931471805599454</v>
      </c>
      <c r="R377">
        <f t="shared" si="42"/>
        <v>0</v>
      </c>
      <c r="S377">
        <f t="shared" si="43"/>
        <v>0</v>
      </c>
      <c r="T377">
        <f t="shared" si="44"/>
        <v>0</v>
      </c>
      <c r="U377">
        <f t="shared" si="45"/>
        <v>0</v>
      </c>
      <c r="V377">
        <f t="shared" si="46"/>
        <v>0</v>
      </c>
      <c r="W377">
        <f t="shared" si="47"/>
        <v>1</v>
      </c>
    </row>
    <row r="378" spans="1:23" x14ac:dyDescent="0.25">
      <c r="A378" s="1">
        <v>41</v>
      </c>
      <c r="B378" s="1">
        <v>2022</v>
      </c>
      <c r="C378">
        <v>-1.292181866336219</v>
      </c>
      <c r="D378">
        <v>0.9032460183533465</v>
      </c>
      <c r="E378">
        <v>0.85980503288729271</v>
      </c>
      <c r="F378">
        <v>0.63673554663398246</v>
      </c>
      <c r="G378">
        <v>0.64301111106614806</v>
      </c>
      <c r="H378">
        <v>0.62663337650160578</v>
      </c>
      <c r="I378">
        <v>0.33404071142979791</v>
      </c>
      <c r="J378">
        <v>-0.65453880353422889</v>
      </c>
      <c r="K378">
        <v>1.552935502058828</v>
      </c>
      <c r="L378">
        <v>-0.62477866230722001</v>
      </c>
      <c r="M378">
        <v>3.1261348219753211</v>
      </c>
      <c r="N378">
        <v>3.0972182161012869</v>
      </c>
      <c r="O378">
        <v>8.0551577318196781</v>
      </c>
      <c r="P378">
        <f t="shared" si="40"/>
        <v>2.8916605874034218E-2</v>
      </c>
      <c r="Q378">
        <f t="shared" si="41"/>
        <v>1.370546004151751</v>
      </c>
      <c r="R378">
        <f t="shared" si="42"/>
        <v>0</v>
      </c>
      <c r="S378">
        <f t="shared" si="43"/>
        <v>0</v>
      </c>
      <c r="T378">
        <f t="shared" si="44"/>
        <v>0</v>
      </c>
      <c r="U378">
        <f t="shared" si="45"/>
        <v>0</v>
      </c>
      <c r="V378">
        <f t="shared" si="46"/>
        <v>0</v>
      </c>
      <c r="W378">
        <f t="shared" si="47"/>
        <v>0</v>
      </c>
    </row>
    <row r="379" spans="1:23" x14ac:dyDescent="0.25">
      <c r="A379" s="1">
        <v>41</v>
      </c>
      <c r="B379" s="1">
        <v>2023</v>
      </c>
      <c r="C379">
        <v>-1.2328482132081771</v>
      </c>
      <c r="D379">
        <v>0.77803964757790789</v>
      </c>
      <c r="E379">
        <v>0.9032460183533465</v>
      </c>
      <c r="F379">
        <v>0.85980503288729271</v>
      </c>
      <c r="G379">
        <v>0.43696377516753537</v>
      </c>
      <c r="H379">
        <v>0.64301111106614806</v>
      </c>
      <c r="I379">
        <v>0.62663337650160578</v>
      </c>
      <c r="J379">
        <v>-0.1094632567251597</v>
      </c>
      <c r="K379">
        <v>1.552935502058828</v>
      </c>
      <c r="L379">
        <v>-0.60228029567260255</v>
      </c>
      <c r="M379">
        <v>3.1634861092570059</v>
      </c>
      <c r="N379">
        <v>3.1261348219753211</v>
      </c>
      <c r="O379">
        <v>8.4658998970286863</v>
      </c>
      <c r="P379">
        <f t="shared" si="40"/>
        <v>3.7351287281684797E-2</v>
      </c>
      <c r="Q379">
        <f t="shared" si="41"/>
        <v>0.41074216520900819</v>
      </c>
      <c r="R379">
        <f t="shared" si="42"/>
        <v>0</v>
      </c>
      <c r="S379">
        <f t="shared" si="43"/>
        <v>0</v>
      </c>
      <c r="T379">
        <f t="shared" si="44"/>
        <v>0</v>
      </c>
      <c r="U379">
        <f t="shared" si="45"/>
        <v>0</v>
      </c>
      <c r="V379">
        <f t="shared" si="46"/>
        <v>0</v>
      </c>
      <c r="W379">
        <f t="shared" si="47"/>
        <v>0</v>
      </c>
    </row>
    <row r="380" spans="1:23" x14ac:dyDescent="0.25">
      <c r="A380" s="1">
        <v>42</v>
      </c>
      <c r="B380" s="1">
        <v>2006</v>
      </c>
      <c r="C380">
        <v>-1.393732183021102</v>
      </c>
      <c r="D380">
        <v>0.94390589890712839</v>
      </c>
      <c r="E380">
        <v>0.9146894505071812</v>
      </c>
      <c r="F380">
        <v>0.86098941608906565</v>
      </c>
      <c r="G380">
        <v>0.59883650108870401</v>
      </c>
      <c r="H380">
        <v>0.51336240341796069</v>
      </c>
      <c r="I380">
        <v>0.40832767372164103</v>
      </c>
      <c r="J380">
        <v>-16.11809565095832</v>
      </c>
      <c r="K380">
        <v>0.76262602198805785</v>
      </c>
      <c r="L380">
        <v>-1.137032485298213</v>
      </c>
      <c r="M380">
        <v>3.024780520985785</v>
      </c>
      <c r="N380">
        <v>2.9799779067954488</v>
      </c>
      <c r="O380">
        <v>-11.51292546497023</v>
      </c>
      <c r="P380">
        <f t="shared" si="40"/>
        <v>4.4802614190336154E-2</v>
      </c>
      <c r="Q380">
        <f t="shared" si="41"/>
        <v>0</v>
      </c>
      <c r="R380">
        <f t="shared" si="42"/>
        <v>0</v>
      </c>
      <c r="S380">
        <f t="shared" si="43"/>
        <v>0</v>
      </c>
      <c r="T380">
        <f t="shared" si="44"/>
        <v>0</v>
      </c>
      <c r="U380">
        <f t="shared" si="45"/>
        <v>0</v>
      </c>
      <c r="V380">
        <f t="shared" si="46"/>
        <v>0</v>
      </c>
      <c r="W380">
        <f t="shared" si="47"/>
        <v>0</v>
      </c>
    </row>
    <row r="381" spans="1:23" x14ac:dyDescent="0.25">
      <c r="A381" s="1">
        <v>42</v>
      </c>
      <c r="B381" s="1">
        <v>2007</v>
      </c>
      <c r="C381">
        <v>-1.5006937786087979</v>
      </c>
      <c r="D381">
        <v>0.88854947689243036</v>
      </c>
      <c r="E381">
        <v>0.94390589890712839</v>
      </c>
      <c r="F381">
        <v>0.9146894505071812</v>
      </c>
      <c r="G381">
        <v>0.49286529838899779</v>
      </c>
      <c r="H381">
        <v>0.59883650108870401</v>
      </c>
      <c r="I381">
        <v>0.51336240341796069</v>
      </c>
      <c r="J381">
        <v>-16.11809565095832</v>
      </c>
      <c r="K381">
        <v>0.76262602198805785</v>
      </c>
      <c r="L381">
        <v>-1.057041665037638</v>
      </c>
      <c r="M381">
        <v>3.0847108733252599</v>
      </c>
      <c r="N381">
        <v>3.016896626236234</v>
      </c>
      <c r="O381">
        <v>-11.51292546497023</v>
      </c>
      <c r="P381">
        <f t="shared" si="40"/>
        <v>6.7814247089025947E-2</v>
      </c>
      <c r="Q381">
        <f t="shared" si="41"/>
        <v>0</v>
      </c>
      <c r="R381">
        <f t="shared" si="42"/>
        <v>0</v>
      </c>
      <c r="S381">
        <f t="shared" si="43"/>
        <v>0</v>
      </c>
      <c r="T381">
        <f t="shared" si="44"/>
        <v>0</v>
      </c>
      <c r="U381">
        <f t="shared" si="45"/>
        <v>0</v>
      </c>
      <c r="V381">
        <f t="shared" si="46"/>
        <v>0</v>
      </c>
      <c r="W381">
        <f t="shared" si="47"/>
        <v>0</v>
      </c>
    </row>
    <row r="382" spans="1:23" x14ac:dyDescent="0.25">
      <c r="A382" s="1">
        <v>42</v>
      </c>
      <c r="B382" s="1">
        <v>2008</v>
      </c>
      <c r="C382">
        <v>-1.481321040208609</v>
      </c>
      <c r="D382">
        <v>0.83121203151584044</v>
      </c>
      <c r="E382">
        <v>0.88854947689243036</v>
      </c>
      <c r="F382">
        <v>0.94390589890712839</v>
      </c>
      <c r="G382">
        <v>0.4296372600791496</v>
      </c>
      <c r="H382">
        <v>0.49286529838899779</v>
      </c>
      <c r="I382">
        <v>0.59883650108870401</v>
      </c>
      <c r="J382">
        <v>-16.11809565095832</v>
      </c>
      <c r="K382">
        <v>0.76262602198805785</v>
      </c>
      <c r="L382">
        <v>-0.98384170078727839</v>
      </c>
      <c r="M382">
        <v>3.1506985729239658</v>
      </c>
      <c r="N382">
        <v>3.0768884832713241</v>
      </c>
      <c r="O382">
        <v>-11.51292546497023</v>
      </c>
      <c r="P382">
        <f t="shared" si="40"/>
        <v>7.3810089652641686E-2</v>
      </c>
      <c r="Q382">
        <f t="shared" si="41"/>
        <v>0</v>
      </c>
      <c r="R382">
        <f t="shared" si="42"/>
        <v>0</v>
      </c>
      <c r="S382">
        <f t="shared" si="43"/>
        <v>0</v>
      </c>
      <c r="T382">
        <f t="shared" si="44"/>
        <v>0</v>
      </c>
      <c r="U382">
        <f t="shared" si="45"/>
        <v>0</v>
      </c>
      <c r="V382">
        <f t="shared" si="46"/>
        <v>0</v>
      </c>
      <c r="W382">
        <f t="shared" si="47"/>
        <v>0</v>
      </c>
    </row>
    <row r="383" spans="1:23" x14ac:dyDescent="0.25">
      <c r="A383" s="1">
        <v>42</v>
      </c>
      <c r="B383" s="1">
        <v>2009</v>
      </c>
      <c r="C383">
        <v>-1.4386193539111141</v>
      </c>
      <c r="D383">
        <v>0.78504244526420097</v>
      </c>
      <c r="E383">
        <v>0.83121203151584044</v>
      </c>
      <c r="F383">
        <v>0.88854947689243036</v>
      </c>
      <c r="G383">
        <v>0.40499833251872053</v>
      </c>
      <c r="H383">
        <v>0.4296372600791496</v>
      </c>
      <c r="I383">
        <v>0.49286529838899779</v>
      </c>
      <c r="J383">
        <v>-8.7191119622539297</v>
      </c>
      <c r="K383">
        <v>0.76262602198805785</v>
      </c>
      <c r="L383">
        <v>-0.91604814610972674</v>
      </c>
      <c r="M383">
        <v>3.130092444870475</v>
      </c>
      <c r="N383">
        <v>3.1398276736047461</v>
      </c>
      <c r="O383">
        <v>-11.51292546497023</v>
      </c>
      <c r="P383">
        <f t="shared" si="40"/>
        <v>-9.7352287342711286E-3</v>
      </c>
      <c r="Q383">
        <f t="shared" si="41"/>
        <v>0</v>
      </c>
      <c r="R383">
        <f t="shared" si="42"/>
        <v>0</v>
      </c>
      <c r="S383">
        <f t="shared" si="43"/>
        <v>0</v>
      </c>
      <c r="T383">
        <f t="shared" si="44"/>
        <v>0</v>
      </c>
      <c r="U383">
        <f t="shared" si="45"/>
        <v>0</v>
      </c>
      <c r="V383">
        <f t="shared" si="46"/>
        <v>0</v>
      </c>
      <c r="W383">
        <f t="shared" si="47"/>
        <v>0</v>
      </c>
    </row>
    <row r="384" spans="1:23" x14ac:dyDescent="0.25">
      <c r="A384" s="1">
        <v>42</v>
      </c>
      <c r="B384" s="1">
        <v>2010</v>
      </c>
      <c r="C384">
        <v>-1.246790307904005</v>
      </c>
      <c r="D384">
        <v>0.74720913865847582</v>
      </c>
      <c r="E384">
        <v>0.78504244526420097</v>
      </c>
      <c r="F384">
        <v>0.83121203151584044</v>
      </c>
      <c r="G384">
        <v>0.47237581339079121</v>
      </c>
      <c r="H384">
        <v>0.40499833251872053</v>
      </c>
      <c r="I384">
        <v>0.4296372600791496</v>
      </c>
      <c r="J384">
        <v>-8.0420400059359878</v>
      </c>
      <c r="K384">
        <v>0.76262602198805785</v>
      </c>
      <c r="L384">
        <v>-0.85606414860519153</v>
      </c>
      <c r="M384">
        <v>3.207739934963127</v>
      </c>
      <c r="N384">
        <v>3.1140172206283951</v>
      </c>
      <c r="O384">
        <v>-11.51292546497023</v>
      </c>
      <c r="P384">
        <f t="shared" si="40"/>
        <v>9.3722714334731894E-2</v>
      </c>
      <c r="Q384">
        <f t="shared" si="41"/>
        <v>0</v>
      </c>
      <c r="R384">
        <f t="shared" si="42"/>
        <v>0</v>
      </c>
      <c r="S384">
        <f t="shared" si="43"/>
        <v>0</v>
      </c>
      <c r="T384">
        <f t="shared" si="44"/>
        <v>0</v>
      </c>
      <c r="U384">
        <f t="shared" si="45"/>
        <v>0</v>
      </c>
      <c r="V384">
        <f t="shared" si="46"/>
        <v>0</v>
      </c>
      <c r="W384">
        <f t="shared" si="47"/>
        <v>0</v>
      </c>
    </row>
    <row r="385" spans="1:23" x14ac:dyDescent="0.25">
      <c r="A385" s="1">
        <v>42</v>
      </c>
      <c r="B385" s="1">
        <v>2011</v>
      </c>
      <c r="C385">
        <v>-1.1457883531947981</v>
      </c>
      <c r="D385">
        <v>0.73706836761787342</v>
      </c>
      <c r="E385">
        <v>0.74720913865847582</v>
      </c>
      <c r="F385">
        <v>0.78504244526420097</v>
      </c>
      <c r="G385">
        <v>0.58661931715011228</v>
      </c>
      <c r="H385">
        <v>0.47237581339079121</v>
      </c>
      <c r="I385">
        <v>0.40499833251872053</v>
      </c>
      <c r="J385">
        <v>-6.1860588817622144</v>
      </c>
      <c r="K385">
        <v>0.76262602198805785</v>
      </c>
      <c r="L385">
        <v>-0.80329043221256957</v>
      </c>
      <c r="M385">
        <v>3.2362882904880972</v>
      </c>
      <c r="N385">
        <v>3.191918882235131</v>
      </c>
      <c r="O385">
        <v>-11.51292546497023</v>
      </c>
      <c r="P385">
        <f t="shared" si="40"/>
        <v>4.4369408252966203E-2</v>
      </c>
      <c r="Q385">
        <f t="shared" si="41"/>
        <v>0</v>
      </c>
      <c r="R385">
        <f t="shared" si="42"/>
        <v>0</v>
      </c>
      <c r="S385">
        <f t="shared" si="43"/>
        <v>0</v>
      </c>
      <c r="T385">
        <f t="shared" si="44"/>
        <v>0</v>
      </c>
      <c r="U385">
        <f t="shared" si="45"/>
        <v>0</v>
      </c>
      <c r="V385">
        <f t="shared" si="46"/>
        <v>0</v>
      </c>
      <c r="W385">
        <f t="shared" si="47"/>
        <v>0</v>
      </c>
    </row>
    <row r="386" spans="1:23" x14ac:dyDescent="0.25">
      <c r="A386" s="1">
        <v>42</v>
      </c>
      <c r="B386" s="1">
        <v>2012</v>
      </c>
      <c r="C386">
        <v>-1.0504947660197681</v>
      </c>
      <c r="D386">
        <v>0.68031520174456706</v>
      </c>
      <c r="E386">
        <v>0.73706836761787342</v>
      </c>
      <c r="F386">
        <v>0.74720913865847582</v>
      </c>
      <c r="G386">
        <v>0.54679104419859936</v>
      </c>
      <c r="H386">
        <v>0.58661931715011228</v>
      </c>
      <c r="I386">
        <v>0.47237581339079121</v>
      </c>
      <c r="J386">
        <v>-5.8137744590121443</v>
      </c>
      <c r="K386">
        <v>0.76262602198805785</v>
      </c>
      <c r="L386">
        <v>-0.74688021980413444</v>
      </c>
      <c r="M386">
        <v>3.24962619301956</v>
      </c>
      <c r="N386">
        <v>3.22908309153327</v>
      </c>
      <c r="O386">
        <v>-11.51292546497023</v>
      </c>
      <c r="P386">
        <f t="shared" si="40"/>
        <v>2.0543101486290016E-2</v>
      </c>
      <c r="Q386">
        <f t="shared" si="41"/>
        <v>0</v>
      </c>
      <c r="R386">
        <f t="shared" si="42"/>
        <v>0</v>
      </c>
      <c r="S386">
        <f t="shared" si="43"/>
        <v>0</v>
      </c>
      <c r="T386">
        <f t="shared" si="44"/>
        <v>0</v>
      </c>
      <c r="U386">
        <f t="shared" si="45"/>
        <v>0</v>
      </c>
      <c r="V386">
        <f t="shared" si="46"/>
        <v>0</v>
      </c>
      <c r="W386">
        <f t="shared" si="47"/>
        <v>0</v>
      </c>
    </row>
    <row r="387" spans="1:23" x14ac:dyDescent="0.25">
      <c r="A387" s="1">
        <v>42</v>
      </c>
      <c r="B387" s="1">
        <v>2013</v>
      </c>
      <c r="C387">
        <v>-1.03185787121915</v>
      </c>
      <c r="D387">
        <v>0.66957144403123958</v>
      </c>
      <c r="E387">
        <v>0.68031520174456706</v>
      </c>
      <c r="F387">
        <v>0.73706836761787342</v>
      </c>
      <c r="G387">
        <v>0.49774038421733519</v>
      </c>
      <c r="H387">
        <v>0.54679104419859936</v>
      </c>
      <c r="I387">
        <v>0.58661931715011228</v>
      </c>
      <c r="J387">
        <v>-4.9933390166130129</v>
      </c>
      <c r="K387">
        <v>0.76262602198805785</v>
      </c>
      <c r="L387">
        <v>-0.73164084194109869</v>
      </c>
      <c r="M387">
        <v>3.2474165335249561</v>
      </c>
      <c r="N387">
        <v>3.2078381248147831</v>
      </c>
      <c r="O387">
        <v>-11.51292546497023</v>
      </c>
      <c r="P387">
        <f t="shared" ref="P387:P450" si="48">M387-N387</f>
        <v>3.957840871017293E-2</v>
      </c>
      <c r="Q387">
        <f t="shared" ref="Q387:Q450" si="49">IF(B387=2006,0,O387-O386)</f>
        <v>0</v>
      </c>
      <c r="R387">
        <f t="shared" ref="R387:R450" si="50">IF(ROUNDDOWN($A387/10, 0)=1, 1, 0)</f>
        <v>0</v>
      </c>
      <c r="S387">
        <f t="shared" ref="S387:S450" si="51">IF(ROUNDDOWN($A387/10, 0)=2, 1, 0)</f>
        <v>0</v>
      </c>
      <c r="T387">
        <f t="shared" ref="T387:T450" si="52">IF(ROUNDDOWN($A387/10, 0)=3, 1, 0)</f>
        <v>0</v>
      </c>
      <c r="U387">
        <f t="shared" ref="U387:U450" si="53">IF(ROUNDDOWN($A387/10, 0)=5, 1, 0)</f>
        <v>0</v>
      </c>
      <c r="V387">
        <f t="shared" ref="V387:V450" si="54">IF($B387=2020, 1, 0)</f>
        <v>0</v>
      </c>
      <c r="W387">
        <f t="shared" ref="W387:W450" si="55">IF(AND($B387&gt;=2015,$B387&lt;=2021), 1, 0)</f>
        <v>0</v>
      </c>
    </row>
    <row r="388" spans="1:23" x14ac:dyDescent="0.25">
      <c r="A388" s="1">
        <v>42</v>
      </c>
      <c r="B388" s="1">
        <v>2014</v>
      </c>
      <c r="C388">
        <v>-0.96167624316490352</v>
      </c>
      <c r="D388">
        <v>0.64532155107734079</v>
      </c>
      <c r="E388">
        <v>0.66957144403123958</v>
      </c>
      <c r="F388">
        <v>0.68031520174456706</v>
      </c>
      <c r="G388">
        <v>0.47243816336119532</v>
      </c>
      <c r="H388">
        <v>0.49774038421733519</v>
      </c>
      <c r="I388">
        <v>0.54679104419859936</v>
      </c>
      <c r="J388">
        <v>-4.281307065522264</v>
      </c>
      <c r="K388">
        <v>0.76262602198805785</v>
      </c>
      <c r="L388">
        <v>-0.69640885170269451</v>
      </c>
      <c r="M388">
        <v>3.280825766320369</v>
      </c>
      <c r="N388">
        <v>3.2335114812327692</v>
      </c>
      <c r="O388">
        <v>-11.51292546497023</v>
      </c>
      <c r="P388">
        <f t="shared" si="48"/>
        <v>4.7314285087599828E-2</v>
      </c>
      <c r="Q388">
        <f t="shared" si="49"/>
        <v>0</v>
      </c>
      <c r="R388">
        <f t="shared" si="50"/>
        <v>0</v>
      </c>
      <c r="S388">
        <f t="shared" si="51"/>
        <v>0</v>
      </c>
      <c r="T388">
        <f t="shared" si="52"/>
        <v>0</v>
      </c>
      <c r="U388">
        <f t="shared" si="53"/>
        <v>0</v>
      </c>
      <c r="V388">
        <f t="shared" si="54"/>
        <v>0</v>
      </c>
      <c r="W388">
        <f t="shared" si="55"/>
        <v>0</v>
      </c>
    </row>
    <row r="389" spans="1:23" x14ac:dyDescent="0.25">
      <c r="A389" s="1">
        <v>42</v>
      </c>
      <c r="B389" s="1">
        <v>2015</v>
      </c>
      <c r="C389">
        <v>-0.97948746823497623</v>
      </c>
      <c r="D389">
        <v>0.64048452797663935</v>
      </c>
      <c r="E389">
        <v>0.64532155107734079</v>
      </c>
      <c r="F389">
        <v>0.66957144403123958</v>
      </c>
      <c r="G389">
        <v>0.41811805423147991</v>
      </c>
      <c r="H389">
        <v>0.47243816336119532</v>
      </c>
      <c r="I389">
        <v>0.49774038421733519</v>
      </c>
      <c r="J389">
        <v>-3.907515049627424</v>
      </c>
      <c r="K389">
        <v>0.76262602198805785</v>
      </c>
      <c r="L389">
        <v>-0.6753936138371639</v>
      </c>
      <c r="M389">
        <v>3.2208512157920479</v>
      </c>
      <c r="N389">
        <v>3.2672363495403411</v>
      </c>
      <c r="O389">
        <v>-11.51292546497023</v>
      </c>
      <c r="P389">
        <f t="shared" si="48"/>
        <v>-4.6385133748293228E-2</v>
      </c>
      <c r="Q389">
        <f t="shared" si="49"/>
        <v>0</v>
      </c>
      <c r="R389">
        <f t="shared" si="50"/>
        <v>0</v>
      </c>
      <c r="S389">
        <f t="shared" si="51"/>
        <v>0</v>
      </c>
      <c r="T389">
        <f t="shared" si="52"/>
        <v>0</v>
      </c>
      <c r="U389">
        <f t="shared" si="53"/>
        <v>0</v>
      </c>
      <c r="V389">
        <f t="shared" si="54"/>
        <v>0</v>
      </c>
      <c r="W389">
        <f t="shared" si="55"/>
        <v>1</v>
      </c>
    </row>
    <row r="390" spans="1:23" x14ac:dyDescent="0.25">
      <c r="A390" s="1">
        <v>42</v>
      </c>
      <c r="B390" s="1">
        <v>2016</v>
      </c>
      <c r="C390">
        <v>-0.93951189807711188</v>
      </c>
      <c r="D390">
        <v>0.65622382645534749</v>
      </c>
      <c r="E390">
        <v>0.64048452797663935</v>
      </c>
      <c r="F390">
        <v>0.64532155107734079</v>
      </c>
      <c r="G390">
        <v>0.53561579257320946</v>
      </c>
      <c r="H390">
        <v>0.41811805423147991</v>
      </c>
      <c r="I390">
        <v>0.47243816336119532</v>
      </c>
      <c r="J390">
        <v>-3.588531514456502</v>
      </c>
      <c r="K390">
        <v>0.76262602198805785</v>
      </c>
      <c r="L390">
        <v>-0.66142540700881813</v>
      </c>
      <c r="M390">
        <v>3.159970708774186</v>
      </c>
      <c r="N390">
        <v>3.2075422487444629</v>
      </c>
      <c r="O390">
        <v>-11.51292546497023</v>
      </c>
      <c r="P390">
        <f t="shared" si="48"/>
        <v>-4.7571539970276966E-2</v>
      </c>
      <c r="Q390">
        <f t="shared" si="49"/>
        <v>0</v>
      </c>
      <c r="R390">
        <f t="shared" si="50"/>
        <v>0</v>
      </c>
      <c r="S390">
        <f t="shared" si="51"/>
        <v>0</v>
      </c>
      <c r="T390">
        <f t="shared" si="52"/>
        <v>0</v>
      </c>
      <c r="U390">
        <f t="shared" si="53"/>
        <v>0</v>
      </c>
      <c r="V390">
        <f t="shared" si="54"/>
        <v>0</v>
      </c>
      <c r="W390">
        <f t="shared" si="55"/>
        <v>1</v>
      </c>
    </row>
    <row r="391" spans="1:23" x14ac:dyDescent="0.25">
      <c r="A391" s="1">
        <v>42</v>
      </c>
      <c r="B391" s="1">
        <v>2017</v>
      </c>
      <c r="C391">
        <v>-0.91395387035870879</v>
      </c>
      <c r="D391">
        <v>0.6661356313130955</v>
      </c>
      <c r="E391">
        <v>0.65622382645534749</v>
      </c>
      <c r="F391">
        <v>0.64048452797663935</v>
      </c>
      <c r="G391">
        <v>0.5442410573053944</v>
      </c>
      <c r="H391">
        <v>0.53561579257320946</v>
      </c>
      <c r="I391">
        <v>0.41811805423147991</v>
      </c>
      <c r="J391">
        <v>-2.9376292088200979</v>
      </c>
      <c r="K391">
        <v>0.76262602198805785</v>
      </c>
      <c r="L391">
        <v>-0.64353260194844553</v>
      </c>
      <c r="M391">
        <v>3.1877600153943462</v>
      </c>
      <c r="N391">
        <v>3.146944379849784</v>
      </c>
      <c r="O391">
        <v>-11.51292546497023</v>
      </c>
      <c r="P391">
        <f t="shared" si="48"/>
        <v>4.0815635544562134E-2</v>
      </c>
      <c r="Q391">
        <f t="shared" si="49"/>
        <v>0</v>
      </c>
      <c r="R391">
        <f t="shared" si="50"/>
        <v>0</v>
      </c>
      <c r="S391">
        <f t="shared" si="51"/>
        <v>0</v>
      </c>
      <c r="T391">
        <f t="shared" si="52"/>
        <v>0</v>
      </c>
      <c r="U391">
        <f t="shared" si="53"/>
        <v>0</v>
      </c>
      <c r="V391">
        <f t="shared" si="54"/>
        <v>0</v>
      </c>
      <c r="W391">
        <f t="shared" si="55"/>
        <v>1</v>
      </c>
    </row>
    <row r="392" spans="1:23" x14ac:dyDescent="0.25">
      <c r="A392" s="1">
        <v>42</v>
      </c>
      <c r="B392" s="1">
        <v>2018</v>
      </c>
      <c r="C392">
        <v>-0.944958930277492</v>
      </c>
      <c r="D392">
        <v>0.74284169758379726</v>
      </c>
      <c r="E392">
        <v>0.6661356313130955</v>
      </c>
      <c r="F392">
        <v>0.65622382645534749</v>
      </c>
      <c r="G392">
        <v>0.5789140863985206</v>
      </c>
      <c r="H392">
        <v>0.5442410573053944</v>
      </c>
      <c r="I392">
        <v>0.53561579257320946</v>
      </c>
      <c r="J392">
        <v>-2.492780696163603</v>
      </c>
      <c r="K392">
        <v>0.76262602198805785</v>
      </c>
      <c r="L392">
        <v>-0.61980314191261154</v>
      </c>
      <c r="M392">
        <v>3.206106360172182</v>
      </c>
      <c r="N392">
        <v>3.1771987434264202</v>
      </c>
      <c r="O392">
        <v>3.2580965380214821</v>
      </c>
      <c r="P392">
        <f t="shared" si="48"/>
        <v>2.8907616745761811E-2</v>
      </c>
      <c r="Q392">
        <f t="shared" si="49"/>
        <v>14.771022002991712</v>
      </c>
      <c r="R392">
        <f t="shared" si="50"/>
        <v>0</v>
      </c>
      <c r="S392">
        <f t="shared" si="51"/>
        <v>0</v>
      </c>
      <c r="T392">
        <f t="shared" si="52"/>
        <v>0</v>
      </c>
      <c r="U392">
        <f t="shared" si="53"/>
        <v>0</v>
      </c>
      <c r="V392">
        <f t="shared" si="54"/>
        <v>0</v>
      </c>
      <c r="W392">
        <f t="shared" si="55"/>
        <v>1</v>
      </c>
    </row>
    <row r="393" spans="1:23" x14ac:dyDescent="0.25">
      <c r="A393" s="1">
        <v>42</v>
      </c>
      <c r="B393" s="1">
        <v>2019</v>
      </c>
      <c r="C393">
        <v>-0.90954320781252307</v>
      </c>
      <c r="D393">
        <v>0.69579367550085092</v>
      </c>
      <c r="E393">
        <v>0.74284169758379726</v>
      </c>
      <c r="F393">
        <v>0.6661356313130955</v>
      </c>
      <c r="G393">
        <v>0.55663993590528216</v>
      </c>
      <c r="H393">
        <v>0.5789140863985206</v>
      </c>
      <c r="I393">
        <v>0.5442410573053944</v>
      </c>
      <c r="J393">
        <v>-1.741246404520044</v>
      </c>
      <c r="K393">
        <v>0.76262602198805785</v>
      </c>
      <c r="L393">
        <v>-0.59560037145709022</v>
      </c>
      <c r="M393">
        <v>3.2328040663406181</v>
      </c>
      <c r="N393">
        <v>3.1935651520194539</v>
      </c>
      <c r="O393">
        <v>5.393627546352362</v>
      </c>
      <c r="P393">
        <f t="shared" si="48"/>
        <v>3.923891432116422E-2</v>
      </c>
      <c r="Q393">
        <f t="shared" si="49"/>
        <v>2.1355310083308798</v>
      </c>
      <c r="R393">
        <f t="shared" si="50"/>
        <v>0</v>
      </c>
      <c r="S393">
        <f t="shared" si="51"/>
        <v>0</v>
      </c>
      <c r="T393">
        <f t="shared" si="52"/>
        <v>0</v>
      </c>
      <c r="U393">
        <f t="shared" si="53"/>
        <v>0</v>
      </c>
      <c r="V393">
        <f t="shared" si="54"/>
        <v>0</v>
      </c>
      <c r="W393">
        <f t="shared" si="55"/>
        <v>1</v>
      </c>
    </row>
    <row r="394" spans="1:23" x14ac:dyDescent="0.25">
      <c r="A394" s="1">
        <v>42</v>
      </c>
      <c r="B394" s="1">
        <v>2020</v>
      </c>
      <c r="C394">
        <v>-1.011838933733094</v>
      </c>
      <c r="D394">
        <v>0.66859830763853256</v>
      </c>
      <c r="E394">
        <v>0.69579367550085092</v>
      </c>
      <c r="F394">
        <v>0.74284169758379726</v>
      </c>
      <c r="G394">
        <v>0.53467885978815022</v>
      </c>
      <c r="H394">
        <v>0.55663993590528216</v>
      </c>
      <c r="I394">
        <v>0.5789140863985206</v>
      </c>
      <c r="J394">
        <v>-1.1046285560260289</v>
      </c>
      <c r="K394">
        <v>0.76262602198805785</v>
      </c>
      <c r="L394">
        <v>-0.5789384278531744</v>
      </c>
      <c r="M394">
        <v>3.2353102188231069</v>
      </c>
      <c r="N394">
        <v>3.2206360261263072</v>
      </c>
      <c r="O394">
        <v>5.9914645471079817</v>
      </c>
      <c r="P394">
        <f t="shared" si="48"/>
        <v>1.4674192696799704E-2</v>
      </c>
      <c r="Q394">
        <f t="shared" si="49"/>
        <v>0.59783700075561974</v>
      </c>
      <c r="R394">
        <f t="shared" si="50"/>
        <v>0</v>
      </c>
      <c r="S394">
        <f t="shared" si="51"/>
        <v>0</v>
      </c>
      <c r="T394">
        <f t="shared" si="52"/>
        <v>0</v>
      </c>
      <c r="U394">
        <f t="shared" si="53"/>
        <v>0</v>
      </c>
      <c r="V394">
        <f t="shared" si="54"/>
        <v>1</v>
      </c>
      <c r="W394">
        <f t="shared" si="55"/>
        <v>1</v>
      </c>
    </row>
    <row r="395" spans="1:23" x14ac:dyDescent="0.25">
      <c r="A395" s="1">
        <v>42</v>
      </c>
      <c r="B395" s="1">
        <v>2021</v>
      </c>
      <c r="C395">
        <v>-0.94960041247688209</v>
      </c>
      <c r="D395">
        <v>0.86520794164483905</v>
      </c>
      <c r="E395">
        <v>0.66859830763853256</v>
      </c>
      <c r="F395">
        <v>0.69579367550085092</v>
      </c>
      <c r="G395">
        <v>0.76304630793961248</v>
      </c>
      <c r="H395">
        <v>0.53467885978815022</v>
      </c>
      <c r="I395">
        <v>0.55663993590528216</v>
      </c>
      <c r="J395">
        <v>-0.48086478215452139</v>
      </c>
      <c r="K395">
        <v>0.76262602198805785</v>
      </c>
      <c r="L395">
        <v>-0.56530419946763544</v>
      </c>
      <c r="M395">
        <v>3.3054624717010972</v>
      </c>
      <c r="N395">
        <v>3.22352594876712</v>
      </c>
      <c r="O395">
        <v>6.6846117276679271</v>
      </c>
      <c r="P395">
        <f t="shared" si="48"/>
        <v>8.1936522933977241E-2</v>
      </c>
      <c r="Q395">
        <f t="shared" si="49"/>
        <v>0.6931471805599454</v>
      </c>
      <c r="R395">
        <f t="shared" si="50"/>
        <v>0</v>
      </c>
      <c r="S395">
        <f t="shared" si="51"/>
        <v>0</v>
      </c>
      <c r="T395">
        <f t="shared" si="52"/>
        <v>0</v>
      </c>
      <c r="U395">
        <f t="shared" si="53"/>
        <v>0</v>
      </c>
      <c r="V395">
        <f t="shared" si="54"/>
        <v>0</v>
      </c>
      <c r="W395">
        <f t="shared" si="55"/>
        <v>1</v>
      </c>
    </row>
    <row r="396" spans="1:23" x14ac:dyDescent="0.25">
      <c r="A396" s="1">
        <v>42</v>
      </c>
      <c r="B396" s="1">
        <v>2022</v>
      </c>
      <c r="C396">
        <v>-0.90764552114857155</v>
      </c>
      <c r="D396">
        <v>0.8950262365694307</v>
      </c>
      <c r="E396">
        <v>0.86520794164483905</v>
      </c>
      <c r="F396">
        <v>0.66859830763853256</v>
      </c>
      <c r="G396">
        <v>0.78527046943575118</v>
      </c>
      <c r="H396">
        <v>0.76304630793961248</v>
      </c>
      <c r="I396">
        <v>0.53467885978815022</v>
      </c>
      <c r="J396">
        <v>-1.544515011089968E-2</v>
      </c>
      <c r="K396">
        <v>0.76262602198805785</v>
      </c>
      <c r="L396">
        <v>-0.54276363401586869</v>
      </c>
      <c r="M396">
        <v>3.3075765826809751</v>
      </c>
      <c r="N396">
        <v>3.3054624717010972</v>
      </c>
      <c r="O396">
        <v>8.0551577318196781</v>
      </c>
      <c r="P396">
        <f t="shared" si="48"/>
        <v>2.1141109798779034E-3</v>
      </c>
      <c r="Q396">
        <f t="shared" si="49"/>
        <v>1.370546004151751</v>
      </c>
      <c r="R396">
        <f t="shared" si="50"/>
        <v>0</v>
      </c>
      <c r="S396">
        <f t="shared" si="51"/>
        <v>0</v>
      </c>
      <c r="T396">
        <f t="shared" si="52"/>
        <v>0</v>
      </c>
      <c r="U396">
        <f t="shared" si="53"/>
        <v>0</v>
      </c>
      <c r="V396">
        <f t="shared" si="54"/>
        <v>0</v>
      </c>
      <c r="W396">
        <f t="shared" si="55"/>
        <v>0</v>
      </c>
    </row>
    <row r="397" spans="1:23" x14ac:dyDescent="0.25">
      <c r="A397" s="1">
        <v>42</v>
      </c>
      <c r="B397" s="1">
        <v>2023</v>
      </c>
      <c r="C397">
        <v>-0.86068777455664414</v>
      </c>
      <c r="D397">
        <v>0.77094120799996546</v>
      </c>
      <c r="E397">
        <v>0.8950262365694307</v>
      </c>
      <c r="F397">
        <v>0.86520794164483905</v>
      </c>
      <c r="G397">
        <v>0.55669724742204718</v>
      </c>
      <c r="H397">
        <v>0.78527046943575118</v>
      </c>
      <c r="I397">
        <v>0.76304630793961248</v>
      </c>
      <c r="J397">
        <v>0.53826179109634587</v>
      </c>
      <c r="K397">
        <v>0.76262602198805785</v>
      </c>
      <c r="L397">
        <v>-0.51737696039870651</v>
      </c>
      <c r="M397">
        <v>3.3535364298210641</v>
      </c>
      <c r="N397">
        <v>3.3075765826809751</v>
      </c>
      <c r="O397">
        <v>8.4658998970286863</v>
      </c>
      <c r="P397">
        <f t="shared" si="48"/>
        <v>4.595984714008905E-2</v>
      </c>
      <c r="Q397">
        <f t="shared" si="49"/>
        <v>0.41074216520900819</v>
      </c>
      <c r="R397">
        <f t="shared" si="50"/>
        <v>0</v>
      </c>
      <c r="S397">
        <f t="shared" si="51"/>
        <v>0</v>
      </c>
      <c r="T397">
        <f t="shared" si="52"/>
        <v>0</v>
      </c>
      <c r="U397">
        <f t="shared" si="53"/>
        <v>0</v>
      </c>
      <c r="V397">
        <f t="shared" si="54"/>
        <v>0</v>
      </c>
      <c r="W397">
        <f t="shared" si="55"/>
        <v>0</v>
      </c>
    </row>
    <row r="398" spans="1:23" x14ac:dyDescent="0.25">
      <c r="A398" s="1">
        <v>43</v>
      </c>
      <c r="B398" s="1">
        <v>2006</v>
      </c>
      <c r="C398">
        <v>-1.753645194906905</v>
      </c>
      <c r="D398">
        <v>1.000631880307906</v>
      </c>
      <c r="E398">
        <v>0.9748237560598092</v>
      </c>
      <c r="F398">
        <v>0.89718945857175403</v>
      </c>
      <c r="G398">
        <v>0.77472716755236815</v>
      </c>
      <c r="H398">
        <v>0.62422573509352353</v>
      </c>
      <c r="I398">
        <v>0.45780452178873787</v>
      </c>
      <c r="J398">
        <v>-16.11809565095832</v>
      </c>
      <c r="K398">
        <v>1.394292615005166</v>
      </c>
      <c r="L398">
        <v>-1.329463895418197</v>
      </c>
      <c r="M398">
        <v>2.8981165822450889</v>
      </c>
      <c r="N398">
        <v>2.884323158134944</v>
      </c>
      <c r="O398">
        <v>-11.51292546497023</v>
      </c>
      <c r="P398">
        <f t="shared" si="48"/>
        <v>1.3793424110144947E-2</v>
      </c>
      <c r="Q398">
        <f t="shared" si="49"/>
        <v>0</v>
      </c>
      <c r="R398">
        <f t="shared" si="50"/>
        <v>0</v>
      </c>
      <c r="S398">
        <f t="shared" si="51"/>
        <v>0</v>
      </c>
      <c r="T398">
        <f t="shared" si="52"/>
        <v>0</v>
      </c>
      <c r="U398">
        <f t="shared" si="53"/>
        <v>0</v>
      </c>
      <c r="V398">
        <f t="shared" si="54"/>
        <v>0</v>
      </c>
      <c r="W398">
        <f t="shared" si="55"/>
        <v>0</v>
      </c>
    </row>
    <row r="399" spans="1:23" x14ac:dyDescent="0.25">
      <c r="A399" s="1">
        <v>43</v>
      </c>
      <c r="B399" s="1">
        <v>2007</v>
      </c>
      <c r="C399">
        <v>-1.7129132809711911</v>
      </c>
      <c r="D399">
        <v>0.89637369803379618</v>
      </c>
      <c r="E399">
        <v>1.000631880307906</v>
      </c>
      <c r="F399">
        <v>0.9748237560598092</v>
      </c>
      <c r="G399">
        <v>0.52732869586500486</v>
      </c>
      <c r="H399">
        <v>0.77472716755236815</v>
      </c>
      <c r="I399">
        <v>0.62422573509352353</v>
      </c>
      <c r="J399">
        <v>-16.11809565095832</v>
      </c>
      <c r="K399">
        <v>1.394292615005166</v>
      </c>
      <c r="L399">
        <v>-1.259825287207806</v>
      </c>
      <c r="M399">
        <v>2.9700146472848301</v>
      </c>
      <c r="N399">
        <v>2.9030538551125771</v>
      </c>
      <c r="O399">
        <v>-11.51292546497023</v>
      </c>
      <c r="P399">
        <f t="shared" si="48"/>
        <v>6.6960792172253036E-2</v>
      </c>
      <c r="Q399">
        <f t="shared" si="49"/>
        <v>0</v>
      </c>
      <c r="R399">
        <f t="shared" si="50"/>
        <v>0</v>
      </c>
      <c r="S399">
        <f t="shared" si="51"/>
        <v>0</v>
      </c>
      <c r="T399">
        <f t="shared" si="52"/>
        <v>0</v>
      </c>
      <c r="U399">
        <f t="shared" si="53"/>
        <v>0</v>
      </c>
      <c r="V399">
        <f t="shared" si="54"/>
        <v>0</v>
      </c>
      <c r="W399">
        <f t="shared" si="55"/>
        <v>0</v>
      </c>
    </row>
    <row r="400" spans="1:23" x14ac:dyDescent="0.25">
      <c r="A400" s="1">
        <v>43</v>
      </c>
      <c r="B400" s="1">
        <v>2008</v>
      </c>
      <c r="C400">
        <v>-1.632342014529147</v>
      </c>
      <c r="D400">
        <v>0.8429455456483399</v>
      </c>
      <c r="E400">
        <v>0.89637369803379618</v>
      </c>
      <c r="F400">
        <v>1.000631880307906</v>
      </c>
      <c r="G400">
        <v>0.47567501648296739</v>
      </c>
      <c r="H400">
        <v>0.52732869586500486</v>
      </c>
      <c r="I400">
        <v>0.77472716755236815</v>
      </c>
      <c r="J400">
        <v>-16.11809565095832</v>
      </c>
      <c r="K400">
        <v>1.394292615005166</v>
      </c>
      <c r="L400">
        <v>-1.1829128071823389</v>
      </c>
      <c r="M400">
        <v>3.0150434119850198</v>
      </c>
      <c r="N400">
        <v>2.974976509938859</v>
      </c>
      <c r="O400">
        <v>-11.51292546497023</v>
      </c>
      <c r="P400">
        <f t="shared" si="48"/>
        <v>4.0066902046160813E-2</v>
      </c>
      <c r="Q400">
        <f t="shared" si="49"/>
        <v>0</v>
      </c>
      <c r="R400">
        <f t="shared" si="50"/>
        <v>0</v>
      </c>
      <c r="S400">
        <f t="shared" si="51"/>
        <v>0</v>
      </c>
      <c r="T400">
        <f t="shared" si="52"/>
        <v>0</v>
      </c>
      <c r="U400">
        <f t="shared" si="53"/>
        <v>0</v>
      </c>
      <c r="V400">
        <f t="shared" si="54"/>
        <v>0</v>
      </c>
      <c r="W400">
        <f t="shared" si="55"/>
        <v>0</v>
      </c>
    </row>
    <row r="401" spans="1:23" x14ac:dyDescent="0.25">
      <c r="A401" s="1">
        <v>43</v>
      </c>
      <c r="B401" s="1">
        <v>2009</v>
      </c>
      <c r="C401">
        <v>-1.581124182932099</v>
      </c>
      <c r="D401">
        <v>0.79683129183682722</v>
      </c>
      <c r="E401">
        <v>0.8429455456483399</v>
      </c>
      <c r="F401">
        <v>0.89637369803379618</v>
      </c>
      <c r="G401">
        <v>0.44462171664268602</v>
      </c>
      <c r="H401">
        <v>0.47567501648296739</v>
      </c>
      <c r="I401">
        <v>0.52732869586500486</v>
      </c>
      <c r="J401">
        <v>-9.2978133757331118</v>
      </c>
      <c r="K401">
        <v>1.394292615005166</v>
      </c>
      <c r="L401">
        <v>-1.1210942174554031</v>
      </c>
      <c r="M401">
        <v>3.0106245296607348</v>
      </c>
      <c r="N401">
        <v>3.009632122489271</v>
      </c>
      <c r="O401">
        <v>-11.51292546497023</v>
      </c>
      <c r="P401">
        <f t="shared" si="48"/>
        <v>9.9240717146376056E-4</v>
      </c>
      <c r="Q401">
        <f t="shared" si="49"/>
        <v>0</v>
      </c>
      <c r="R401">
        <f t="shared" si="50"/>
        <v>0</v>
      </c>
      <c r="S401">
        <f t="shared" si="51"/>
        <v>0</v>
      </c>
      <c r="T401">
        <f t="shared" si="52"/>
        <v>0</v>
      </c>
      <c r="U401">
        <f t="shared" si="53"/>
        <v>0</v>
      </c>
      <c r="V401">
        <f t="shared" si="54"/>
        <v>0</v>
      </c>
      <c r="W401">
        <f t="shared" si="55"/>
        <v>0</v>
      </c>
    </row>
    <row r="402" spans="1:23" x14ac:dyDescent="0.25">
      <c r="A402" s="1">
        <v>43</v>
      </c>
      <c r="B402" s="1">
        <v>2010</v>
      </c>
      <c r="C402">
        <v>-1.4328128258210631</v>
      </c>
      <c r="D402">
        <v>0.75494758146539209</v>
      </c>
      <c r="E402">
        <v>0.79683129183682722</v>
      </c>
      <c r="F402">
        <v>0.8429455456483399</v>
      </c>
      <c r="G402">
        <v>0.49755799676508627</v>
      </c>
      <c r="H402">
        <v>0.44462171664268602</v>
      </c>
      <c r="I402">
        <v>0.47567501648296739</v>
      </c>
      <c r="J402">
        <v>-8.5963350934867027</v>
      </c>
      <c r="K402">
        <v>1.394292615005166</v>
      </c>
      <c r="L402">
        <v>-1.0495763025808691</v>
      </c>
      <c r="M402">
        <v>3.1041032798641042</v>
      </c>
      <c r="N402">
        <v>3.018955631347696</v>
      </c>
      <c r="O402">
        <v>-11.51292546497023</v>
      </c>
      <c r="P402">
        <f t="shared" si="48"/>
        <v>8.5147648516408214E-2</v>
      </c>
      <c r="Q402">
        <f t="shared" si="49"/>
        <v>0</v>
      </c>
      <c r="R402">
        <f t="shared" si="50"/>
        <v>0</v>
      </c>
      <c r="S402">
        <f t="shared" si="51"/>
        <v>0</v>
      </c>
      <c r="T402">
        <f t="shared" si="52"/>
        <v>0</v>
      </c>
      <c r="U402">
        <f t="shared" si="53"/>
        <v>0</v>
      </c>
      <c r="V402">
        <f t="shared" si="54"/>
        <v>0</v>
      </c>
      <c r="W402">
        <f t="shared" si="55"/>
        <v>0</v>
      </c>
    </row>
    <row r="403" spans="1:23" x14ac:dyDescent="0.25">
      <c r="A403" s="1">
        <v>43</v>
      </c>
      <c r="B403" s="1">
        <v>2011</v>
      </c>
      <c r="C403">
        <v>-1.3388052020833481</v>
      </c>
      <c r="D403">
        <v>0.74806141143733718</v>
      </c>
      <c r="E403">
        <v>0.75494758146539209</v>
      </c>
      <c r="F403">
        <v>0.79683129183682722</v>
      </c>
      <c r="G403">
        <v>0.59933088435566051</v>
      </c>
      <c r="H403">
        <v>0.49755799676508627</v>
      </c>
      <c r="I403">
        <v>0.44462171664268602</v>
      </c>
      <c r="J403">
        <v>-6.7961745318075186</v>
      </c>
      <c r="K403">
        <v>1.394292615005166</v>
      </c>
      <c r="L403">
        <v>-0.9769624058166676</v>
      </c>
      <c r="M403">
        <v>3.1267101646923612</v>
      </c>
      <c r="N403">
        <v>3.1125043723147749</v>
      </c>
      <c r="O403">
        <v>-11.51292546497023</v>
      </c>
      <c r="P403">
        <f t="shared" si="48"/>
        <v>1.4205792377586235E-2</v>
      </c>
      <c r="Q403">
        <f t="shared" si="49"/>
        <v>0</v>
      </c>
      <c r="R403">
        <f t="shared" si="50"/>
        <v>0</v>
      </c>
      <c r="S403">
        <f t="shared" si="51"/>
        <v>0</v>
      </c>
      <c r="T403">
        <f t="shared" si="52"/>
        <v>0</v>
      </c>
      <c r="U403">
        <f t="shared" si="53"/>
        <v>0</v>
      </c>
      <c r="V403">
        <f t="shared" si="54"/>
        <v>0</v>
      </c>
      <c r="W403">
        <f t="shared" si="55"/>
        <v>0</v>
      </c>
    </row>
    <row r="404" spans="1:23" x14ac:dyDescent="0.25">
      <c r="A404" s="1">
        <v>43</v>
      </c>
      <c r="B404" s="1">
        <v>2012</v>
      </c>
      <c r="C404">
        <v>-1.251168951714438</v>
      </c>
      <c r="D404">
        <v>0.69494556250132467</v>
      </c>
      <c r="E404">
        <v>0.74806141143733718</v>
      </c>
      <c r="F404">
        <v>0.75494758146539209</v>
      </c>
      <c r="G404">
        <v>0.55514868240265458</v>
      </c>
      <c r="H404">
        <v>0.59933088435566051</v>
      </c>
      <c r="I404">
        <v>0.49755799676508627</v>
      </c>
      <c r="J404">
        <v>-6.4511230295195494</v>
      </c>
      <c r="K404">
        <v>1.394292615005166</v>
      </c>
      <c r="L404">
        <v>-0.91462143886203429</v>
      </c>
      <c r="M404">
        <v>3.128603467996856</v>
      </c>
      <c r="N404">
        <v>3.1234549727121181</v>
      </c>
      <c r="O404">
        <v>-11.51292546497023</v>
      </c>
      <c r="P404">
        <f t="shared" si="48"/>
        <v>5.1484952847378196E-3</v>
      </c>
      <c r="Q404">
        <f t="shared" si="49"/>
        <v>0</v>
      </c>
      <c r="R404">
        <f t="shared" si="50"/>
        <v>0</v>
      </c>
      <c r="S404">
        <f t="shared" si="51"/>
        <v>0</v>
      </c>
      <c r="T404">
        <f t="shared" si="52"/>
        <v>0</v>
      </c>
      <c r="U404">
        <f t="shared" si="53"/>
        <v>0</v>
      </c>
      <c r="V404">
        <f t="shared" si="54"/>
        <v>0</v>
      </c>
      <c r="W404">
        <f t="shared" si="55"/>
        <v>0</v>
      </c>
    </row>
    <row r="405" spans="1:23" x14ac:dyDescent="0.25">
      <c r="A405" s="1">
        <v>43</v>
      </c>
      <c r="B405" s="1">
        <v>2013</v>
      </c>
      <c r="C405">
        <v>-1.21962571153388</v>
      </c>
      <c r="D405">
        <v>0.67656037695554638</v>
      </c>
      <c r="E405">
        <v>0.69494556250132467</v>
      </c>
      <c r="F405">
        <v>0.74806141143733718</v>
      </c>
      <c r="G405">
        <v>0.51018541887856739</v>
      </c>
      <c r="H405">
        <v>0.55514868240265458</v>
      </c>
      <c r="I405">
        <v>0.59933088435566051</v>
      </c>
      <c r="J405">
        <v>-5.5827838280315172</v>
      </c>
      <c r="K405">
        <v>1.394292615005166</v>
      </c>
      <c r="L405">
        <v>-0.89064857564990396</v>
      </c>
      <c r="M405">
        <v>3.1646140698555278</v>
      </c>
      <c r="N405">
        <v>3.0924863952577129</v>
      </c>
      <c r="O405">
        <v>-11.51292546497023</v>
      </c>
      <c r="P405">
        <f t="shared" si="48"/>
        <v>7.2127674597814995E-2</v>
      </c>
      <c r="Q405">
        <f t="shared" si="49"/>
        <v>0</v>
      </c>
      <c r="R405">
        <f t="shared" si="50"/>
        <v>0</v>
      </c>
      <c r="S405">
        <f t="shared" si="51"/>
        <v>0</v>
      </c>
      <c r="T405">
        <f t="shared" si="52"/>
        <v>0</v>
      </c>
      <c r="U405">
        <f t="shared" si="53"/>
        <v>0</v>
      </c>
      <c r="V405">
        <f t="shared" si="54"/>
        <v>0</v>
      </c>
      <c r="W405">
        <f t="shared" si="55"/>
        <v>0</v>
      </c>
    </row>
    <row r="406" spans="1:23" x14ac:dyDescent="0.25">
      <c r="A406" s="1">
        <v>43</v>
      </c>
      <c r="B406" s="1">
        <v>2014</v>
      </c>
      <c r="C406">
        <v>-1.1488799804869669</v>
      </c>
      <c r="D406">
        <v>0.64532155107734079</v>
      </c>
      <c r="E406">
        <v>0.67656037695554638</v>
      </c>
      <c r="F406">
        <v>0.69494556250132467</v>
      </c>
      <c r="G406">
        <v>0.46837730750115147</v>
      </c>
      <c r="H406">
        <v>0.51018541887856739</v>
      </c>
      <c r="I406">
        <v>0.55514868240265458</v>
      </c>
      <c r="J406">
        <v>-4.9175990634939977</v>
      </c>
      <c r="K406">
        <v>1.394292615005166</v>
      </c>
      <c r="L406">
        <v>-0.84520795212677169</v>
      </c>
      <c r="M406">
        <v>3.159212314237815</v>
      </c>
      <c r="N406">
        <v>3.1607492054121509</v>
      </c>
      <c r="O406">
        <v>-11.51292546497023</v>
      </c>
      <c r="P406">
        <f t="shared" si="48"/>
        <v>-1.5368911743358638E-3</v>
      </c>
      <c r="Q406">
        <f t="shared" si="49"/>
        <v>0</v>
      </c>
      <c r="R406">
        <f t="shared" si="50"/>
        <v>0</v>
      </c>
      <c r="S406">
        <f t="shared" si="51"/>
        <v>0</v>
      </c>
      <c r="T406">
        <f t="shared" si="52"/>
        <v>0</v>
      </c>
      <c r="U406">
        <f t="shared" si="53"/>
        <v>0</v>
      </c>
      <c r="V406">
        <f t="shared" si="54"/>
        <v>0</v>
      </c>
      <c r="W406">
        <f t="shared" si="55"/>
        <v>0</v>
      </c>
    </row>
    <row r="407" spans="1:23" x14ac:dyDescent="0.25">
      <c r="A407" s="1">
        <v>43</v>
      </c>
      <c r="B407" s="1">
        <v>2015</v>
      </c>
      <c r="C407">
        <v>-1.1689292396529061</v>
      </c>
      <c r="D407">
        <v>0.67069705172235339</v>
      </c>
      <c r="E407">
        <v>0.64532155107734079</v>
      </c>
      <c r="F407">
        <v>0.67656037695554638</v>
      </c>
      <c r="G407">
        <v>0.44455760791426069</v>
      </c>
      <c r="H407">
        <v>0.46837730750115147</v>
      </c>
      <c r="I407">
        <v>0.51018541887856739</v>
      </c>
      <c r="J407">
        <v>-4.4837560382573232</v>
      </c>
      <c r="K407">
        <v>1.394292615005166</v>
      </c>
      <c r="L407">
        <v>-0.81478004329457732</v>
      </c>
      <c r="M407">
        <v>3.1480326131264391</v>
      </c>
      <c r="N407">
        <v>3.1555875002801459</v>
      </c>
      <c r="O407">
        <v>-11.51292546497023</v>
      </c>
      <c r="P407">
        <f t="shared" si="48"/>
        <v>-7.5548871537067797E-3</v>
      </c>
      <c r="Q407">
        <f t="shared" si="49"/>
        <v>0</v>
      </c>
      <c r="R407">
        <f t="shared" si="50"/>
        <v>0</v>
      </c>
      <c r="S407">
        <f t="shared" si="51"/>
        <v>0</v>
      </c>
      <c r="T407">
        <f t="shared" si="52"/>
        <v>0</v>
      </c>
      <c r="U407">
        <f t="shared" si="53"/>
        <v>0</v>
      </c>
      <c r="V407">
        <f t="shared" si="54"/>
        <v>0</v>
      </c>
      <c r="W407">
        <f t="shared" si="55"/>
        <v>1</v>
      </c>
    </row>
    <row r="408" spans="1:23" x14ac:dyDescent="0.25">
      <c r="A408" s="1">
        <v>43</v>
      </c>
      <c r="B408" s="1">
        <v>2016</v>
      </c>
      <c r="C408">
        <v>-1.1813691965431139</v>
      </c>
      <c r="D408">
        <v>0.75099147024438317</v>
      </c>
      <c r="E408">
        <v>0.67069705172235339</v>
      </c>
      <c r="F408">
        <v>0.64532155107734079</v>
      </c>
      <c r="G408">
        <v>0.66186289052017888</v>
      </c>
      <c r="H408">
        <v>0.44455760791426069</v>
      </c>
      <c r="I408">
        <v>0.46837730750115147</v>
      </c>
      <c r="J408">
        <v>-4.1056159265104339</v>
      </c>
      <c r="K408">
        <v>1.394292615005166</v>
      </c>
      <c r="L408">
        <v>-0.79229715995028049</v>
      </c>
      <c r="M408">
        <v>3.1344924395282949</v>
      </c>
      <c r="N408">
        <v>3.144613137618717</v>
      </c>
      <c r="O408">
        <v>-11.51292546497023</v>
      </c>
      <c r="P408">
        <f t="shared" si="48"/>
        <v>-1.0120698090422042E-2</v>
      </c>
      <c r="Q408">
        <f t="shared" si="49"/>
        <v>0</v>
      </c>
      <c r="R408">
        <f t="shared" si="50"/>
        <v>0</v>
      </c>
      <c r="S408">
        <f t="shared" si="51"/>
        <v>0</v>
      </c>
      <c r="T408">
        <f t="shared" si="52"/>
        <v>0</v>
      </c>
      <c r="U408">
        <f t="shared" si="53"/>
        <v>0</v>
      </c>
      <c r="V408">
        <f t="shared" si="54"/>
        <v>0</v>
      </c>
      <c r="W408">
        <f t="shared" si="55"/>
        <v>1</v>
      </c>
    </row>
    <row r="409" spans="1:23" x14ac:dyDescent="0.25">
      <c r="A409" s="1">
        <v>43</v>
      </c>
      <c r="B409" s="1">
        <v>2017</v>
      </c>
      <c r="C409">
        <v>-1.1474899667955909</v>
      </c>
      <c r="D409">
        <v>0.73222365254173816</v>
      </c>
      <c r="E409">
        <v>0.75099147024438317</v>
      </c>
      <c r="F409">
        <v>0.67069705172235339</v>
      </c>
      <c r="G409">
        <v>0.65793442480420083</v>
      </c>
      <c r="H409">
        <v>0.66186289052017888</v>
      </c>
      <c r="I409">
        <v>0.44455760791426069</v>
      </c>
      <c r="J409">
        <v>-3.4766489066267621</v>
      </c>
      <c r="K409">
        <v>1.394292615005166</v>
      </c>
      <c r="L409">
        <v>-0.76976414629165346</v>
      </c>
      <c r="M409">
        <v>3.1300269945941022</v>
      </c>
      <c r="N409">
        <v>3.1312729786417068</v>
      </c>
      <c r="O409">
        <v>-11.51292546497023</v>
      </c>
      <c r="P409">
        <f t="shared" si="48"/>
        <v>-1.2459840476046757E-3</v>
      </c>
      <c r="Q409">
        <f t="shared" si="49"/>
        <v>0</v>
      </c>
      <c r="R409">
        <f t="shared" si="50"/>
        <v>0</v>
      </c>
      <c r="S409">
        <f t="shared" si="51"/>
        <v>0</v>
      </c>
      <c r="T409">
        <f t="shared" si="52"/>
        <v>0</v>
      </c>
      <c r="U409">
        <f t="shared" si="53"/>
        <v>0</v>
      </c>
      <c r="V409">
        <f t="shared" si="54"/>
        <v>0</v>
      </c>
      <c r="W409">
        <f t="shared" si="55"/>
        <v>1</v>
      </c>
    </row>
    <row r="410" spans="1:23" x14ac:dyDescent="0.25">
      <c r="A410" s="1">
        <v>43</v>
      </c>
      <c r="B410" s="1">
        <v>2018</v>
      </c>
      <c r="C410">
        <v>-1.185861415436875</v>
      </c>
      <c r="D410">
        <v>0.85573360777969776</v>
      </c>
      <c r="E410">
        <v>0.73222365254173816</v>
      </c>
      <c r="F410">
        <v>0.75099147024438317</v>
      </c>
      <c r="G410">
        <v>0.71818119827958704</v>
      </c>
      <c r="H410">
        <v>0.65793442480420083</v>
      </c>
      <c r="I410">
        <v>0.66186289052017888</v>
      </c>
      <c r="J410">
        <v>-3.0072377064900651</v>
      </c>
      <c r="K410">
        <v>1.394292615005166</v>
      </c>
      <c r="L410">
        <v>-0.74270185594626881</v>
      </c>
      <c r="M410">
        <v>3.1627955883168761</v>
      </c>
      <c r="N410">
        <v>3.129434565485063</v>
      </c>
      <c r="O410">
        <v>3.2580965380214821</v>
      </c>
      <c r="P410">
        <f t="shared" si="48"/>
        <v>3.3361022831813081E-2</v>
      </c>
      <c r="Q410">
        <f t="shared" si="49"/>
        <v>14.771022002991712</v>
      </c>
      <c r="R410">
        <f t="shared" si="50"/>
        <v>0</v>
      </c>
      <c r="S410">
        <f t="shared" si="51"/>
        <v>0</v>
      </c>
      <c r="T410">
        <f t="shared" si="52"/>
        <v>0</v>
      </c>
      <c r="U410">
        <f t="shared" si="53"/>
        <v>0</v>
      </c>
      <c r="V410">
        <f t="shared" si="54"/>
        <v>0</v>
      </c>
      <c r="W410">
        <f t="shared" si="55"/>
        <v>1</v>
      </c>
    </row>
    <row r="411" spans="1:23" x14ac:dyDescent="0.25">
      <c r="A411" s="1">
        <v>43</v>
      </c>
      <c r="B411" s="1">
        <v>2019</v>
      </c>
      <c r="C411">
        <v>-1.1636872799363609</v>
      </c>
      <c r="D411">
        <v>0.7959744903594157</v>
      </c>
      <c r="E411">
        <v>0.85573360777969776</v>
      </c>
      <c r="F411">
        <v>0.73222365254173816</v>
      </c>
      <c r="G411">
        <v>0.69084453149726976</v>
      </c>
      <c r="H411">
        <v>0.71818119827958704</v>
      </c>
      <c r="I411">
        <v>0.65793442480420083</v>
      </c>
      <c r="J411">
        <v>-2.2652532434171251</v>
      </c>
      <c r="K411">
        <v>1.394292615005166</v>
      </c>
      <c r="L411">
        <v>-0.7200209016275827</v>
      </c>
      <c r="M411">
        <v>3.170805547254858</v>
      </c>
      <c r="N411">
        <v>3.158600018921649</v>
      </c>
      <c r="O411">
        <v>5.393627546352362</v>
      </c>
      <c r="P411">
        <f t="shared" si="48"/>
        <v>1.2205528333208981E-2</v>
      </c>
      <c r="Q411">
        <f t="shared" si="49"/>
        <v>2.1355310083308798</v>
      </c>
      <c r="R411">
        <f t="shared" si="50"/>
        <v>0</v>
      </c>
      <c r="S411">
        <f t="shared" si="51"/>
        <v>0</v>
      </c>
      <c r="T411">
        <f t="shared" si="52"/>
        <v>0</v>
      </c>
      <c r="U411">
        <f t="shared" si="53"/>
        <v>0</v>
      </c>
      <c r="V411">
        <f t="shared" si="54"/>
        <v>0</v>
      </c>
      <c r="W411">
        <f t="shared" si="55"/>
        <v>1</v>
      </c>
    </row>
    <row r="412" spans="1:23" x14ac:dyDescent="0.25">
      <c r="A412" s="1">
        <v>43</v>
      </c>
      <c r="B412" s="1">
        <v>2020</v>
      </c>
      <c r="C412">
        <v>-1.2792861663795729</v>
      </c>
      <c r="D412">
        <v>0.71564225838731621</v>
      </c>
      <c r="E412">
        <v>0.7959744903594157</v>
      </c>
      <c r="F412">
        <v>0.85573360777969776</v>
      </c>
      <c r="G412">
        <v>0.66618699897716227</v>
      </c>
      <c r="H412">
        <v>0.69084453149726976</v>
      </c>
      <c r="I412">
        <v>0.71818119827958704</v>
      </c>
      <c r="J412">
        <v>-1.714377892425917</v>
      </c>
      <c r="K412">
        <v>1.394292615005166</v>
      </c>
      <c r="L412">
        <v>-0.70344543233434553</v>
      </c>
      <c r="M412">
        <v>3.079905222339911</v>
      </c>
      <c r="N412">
        <v>3.1667938247904721</v>
      </c>
      <c r="O412">
        <v>5.9914645471079817</v>
      </c>
      <c r="P412">
        <f t="shared" si="48"/>
        <v>-8.688860245056107E-2</v>
      </c>
      <c r="Q412">
        <f t="shared" si="49"/>
        <v>0.59783700075561974</v>
      </c>
      <c r="R412">
        <f t="shared" si="50"/>
        <v>0</v>
      </c>
      <c r="S412">
        <f t="shared" si="51"/>
        <v>0</v>
      </c>
      <c r="T412">
        <f t="shared" si="52"/>
        <v>0</v>
      </c>
      <c r="U412">
        <f t="shared" si="53"/>
        <v>0</v>
      </c>
      <c r="V412">
        <f t="shared" si="54"/>
        <v>1</v>
      </c>
      <c r="W412">
        <f t="shared" si="55"/>
        <v>1</v>
      </c>
    </row>
    <row r="413" spans="1:23" x14ac:dyDescent="0.25">
      <c r="A413" s="1">
        <v>43</v>
      </c>
      <c r="B413" s="1">
        <v>2021</v>
      </c>
      <c r="C413">
        <v>-1.2547276923864741</v>
      </c>
      <c r="D413">
        <v>0.94304950117484621</v>
      </c>
      <c r="E413">
        <v>0.71564225838731621</v>
      </c>
      <c r="F413">
        <v>0.7959744903594157</v>
      </c>
      <c r="G413">
        <v>0.89531221348895718</v>
      </c>
      <c r="H413">
        <v>0.66618699897716227</v>
      </c>
      <c r="I413">
        <v>0.69084453149726976</v>
      </c>
      <c r="J413">
        <v>-1.068768097814778</v>
      </c>
      <c r="K413">
        <v>1.394292615005166</v>
      </c>
      <c r="L413">
        <v>-0.68890576751442378</v>
      </c>
      <c r="M413">
        <v>3.1639349121749452</v>
      </c>
      <c r="N413">
        <v>3.0760906474049361</v>
      </c>
      <c r="O413">
        <v>6.6846117276679271</v>
      </c>
      <c r="P413">
        <f t="shared" si="48"/>
        <v>8.7844264770009062E-2</v>
      </c>
      <c r="Q413">
        <f t="shared" si="49"/>
        <v>0.6931471805599454</v>
      </c>
      <c r="R413">
        <f t="shared" si="50"/>
        <v>0</v>
      </c>
      <c r="S413">
        <f t="shared" si="51"/>
        <v>0</v>
      </c>
      <c r="T413">
        <f t="shared" si="52"/>
        <v>0</v>
      </c>
      <c r="U413">
        <f t="shared" si="53"/>
        <v>0</v>
      </c>
      <c r="V413">
        <f t="shared" si="54"/>
        <v>0</v>
      </c>
      <c r="W413">
        <f t="shared" si="55"/>
        <v>1</v>
      </c>
    </row>
    <row r="414" spans="1:23" x14ac:dyDescent="0.25">
      <c r="A414" s="1">
        <v>43</v>
      </c>
      <c r="B414" s="1">
        <v>2022</v>
      </c>
      <c r="C414">
        <v>-1.1578699023743559</v>
      </c>
      <c r="D414">
        <v>0.86827626677239533</v>
      </c>
      <c r="E414">
        <v>0.94304950117484621</v>
      </c>
      <c r="F414">
        <v>0.71564225838731621</v>
      </c>
      <c r="G414">
        <v>0.83729081364000524</v>
      </c>
      <c r="H414">
        <v>0.89531221348895718</v>
      </c>
      <c r="I414">
        <v>0.66618699897716227</v>
      </c>
      <c r="J414">
        <v>-0.66652469660513669</v>
      </c>
      <c r="K414">
        <v>1.394292615005166</v>
      </c>
      <c r="L414">
        <v>-0.67216233134431047</v>
      </c>
      <c r="M414">
        <v>3.102755010118011</v>
      </c>
      <c r="N414">
        <v>3.1639349121749452</v>
      </c>
      <c r="O414">
        <v>8.0551577318196781</v>
      </c>
      <c r="P414">
        <f t="shared" si="48"/>
        <v>-6.1179902056934132E-2</v>
      </c>
      <c r="Q414">
        <f t="shared" si="49"/>
        <v>1.370546004151751</v>
      </c>
      <c r="R414">
        <f t="shared" si="50"/>
        <v>0</v>
      </c>
      <c r="S414">
        <f t="shared" si="51"/>
        <v>0</v>
      </c>
      <c r="T414">
        <f t="shared" si="52"/>
        <v>0</v>
      </c>
      <c r="U414">
        <f t="shared" si="53"/>
        <v>0</v>
      </c>
      <c r="V414">
        <f t="shared" si="54"/>
        <v>0</v>
      </c>
      <c r="W414">
        <f t="shared" si="55"/>
        <v>0</v>
      </c>
    </row>
    <row r="415" spans="1:23" x14ac:dyDescent="0.25">
      <c r="A415" s="1">
        <v>43</v>
      </c>
      <c r="B415" s="1">
        <v>2023</v>
      </c>
      <c r="C415">
        <v>-1.0976857307889401</v>
      </c>
      <c r="D415">
        <v>0.74007847524437753</v>
      </c>
      <c r="E415">
        <v>0.86827626677239533</v>
      </c>
      <c r="F415">
        <v>0.94304950117484621</v>
      </c>
      <c r="G415">
        <v>0.5978470007056208</v>
      </c>
      <c r="H415">
        <v>0.83729081364000524</v>
      </c>
      <c r="I415">
        <v>0.89531221348895718</v>
      </c>
      <c r="J415">
        <v>-0.1183286804237825</v>
      </c>
      <c r="K415">
        <v>1.394292615005166</v>
      </c>
      <c r="L415">
        <v>-0.65299503340882381</v>
      </c>
      <c r="M415">
        <v>3.1433215520329649</v>
      </c>
      <c r="N415">
        <v>3.102755010118011</v>
      </c>
      <c r="O415">
        <v>8.4658998970286863</v>
      </c>
      <c r="P415">
        <f t="shared" si="48"/>
        <v>4.0566541914953902E-2</v>
      </c>
      <c r="Q415">
        <f t="shared" si="49"/>
        <v>0.41074216520900819</v>
      </c>
      <c r="R415">
        <f t="shared" si="50"/>
        <v>0</v>
      </c>
      <c r="S415">
        <f t="shared" si="51"/>
        <v>0</v>
      </c>
      <c r="T415">
        <f t="shared" si="52"/>
        <v>0</v>
      </c>
      <c r="U415">
        <f t="shared" si="53"/>
        <v>0</v>
      </c>
      <c r="V415">
        <f t="shared" si="54"/>
        <v>0</v>
      </c>
      <c r="W415">
        <f t="shared" si="55"/>
        <v>0</v>
      </c>
    </row>
    <row r="416" spans="1:23" x14ac:dyDescent="0.25">
      <c r="A416" s="1">
        <v>50</v>
      </c>
      <c r="B416" s="1">
        <v>2006</v>
      </c>
      <c r="C416">
        <v>-1.975513597005494</v>
      </c>
      <c r="D416">
        <v>1.015230679729058</v>
      </c>
      <c r="E416">
        <v>0.97093042083247871</v>
      </c>
      <c r="F416">
        <v>0.89718945857175403</v>
      </c>
      <c r="G416">
        <v>0.66268797307523675</v>
      </c>
      <c r="H416">
        <v>0.53168651443331993</v>
      </c>
      <c r="I416">
        <v>0.4439162944824171</v>
      </c>
      <c r="J416">
        <v>-16.11809565095832</v>
      </c>
      <c r="K416">
        <v>1.130977484562024</v>
      </c>
      <c r="L416">
        <v>-1.579811695749985</v>
      </c>
      <c r="M416">
        <v>2.74943297343194</v>
      </c>
      <c r="N416">
        <v>2.6980596550138718</v>
      </c>
      <c r="O416">
        <v>-11.51292546497023</v>
      </c>
      <c r="P416">
        <f t="shared" si="48"/>
        <v>5.1373318418068248E-2</v>
      </c>
      <c r="Q416">
        <f t="shared" si="49"/>
        <v>0</v>
      </c>
      <c r="R416">
        <f t="shared" si="50"/>
        <v>0</v>
      </c>
      <c r="S416">
        <f t="shared" si="51"/>
        <v>0</v>
      </c>
      <c r="T416">
        <f t="shared" si="52"/>
        <v>0</v>
      </c>
      <c r="U416">
        <f t="shared" si="53"/>
        <v>1</v>
      </c>
      <c r="V416">
        <f t="shared" si="54"/>
        <v>0</v>
      </c>
      <c r="W416">
        <f t="shared" si="55"/>
        <v>0</v>
      </c>
    </row>
    <row r="417" spans="1:23" x14ac:dyDescent="0.25">
      <c r="A417" s="1">
        <v>50</v>
      </c>
      <c r="B417" s="1">
        <v>2007</v>
      </c>
      <c r="C417">
        <v>-1.952096980782045</v>
      </c>
      <c r="D417">
        <v>0.95331673071060219</v>
      </c>
      <c r="E417">
        <v>1.015230679729058</v>
      </c>
      <c r="F417">
        <v>0.97093042083247871</v>
      </c>
      <c r="G417">
        <v>0.50446544061330811</v>
      </c>
      <c r="H417">
        <v>0.66268797307523675</v>
      </c>
      <c r="I417">
        <v>0.53168651443331993</v>
      </c>
      <c r="J417">
        <v>-16.11809565095832</v>
      </c>
      <c r="K417">
        <v>1.130977484562024</v>
      </c>
      <c r="L417">
        <v>-1.4896782365077359</v>
      </c>
      <c r="M417">
        <v>2.7993383120309798</v>
      </c>
      <c r="N417">
        <v>2.7411820075006239</v>
      </c>
      <c r="O417">
        <v>-11.51292546497023</v>
      </c>
      <c r="P417">
        <f t="shared" si="48"/>
        <v>5.8156304530355918E-2</v>
      </c>
      <c r="Q417">
        <f t="shared" si="49"/>
        <v>0</v>
      </c>
      <c r="R417">
        <f t="shared" si="50"/>
        <v>0</v>
      </c>
      <c r="S417">
        <f t="shared" si="51"/>
        <v>0</v>
      </c>
      <c r="T417">
        <f t="shared" si="52"/>
        <v>0</v>
      </c>
      <c r="U417">
        <f t="shared" si="53"/>
        <v>1</v>
      </c>
      <c r="V417">
        <f t="shared" si="54"/>
        <v>0</v>
      </c>
      <c r="W417">
        <f t="shared" si="55"/>
        <v>0</v>
      </c>
    </row>
    <row r="418" spans="1:23" x14ac:dyDescent="0.25">
      <c r="A418" s="1">
        <v>50</v>
      </c>
      <c r="B418" s="1">
        <v>2008</v>
      </c>
      <c r="C418">
        <v>-1.880283809994443</v>
      </c>
      <c r="D418">
        <v>0.8960063885714481</v>
      </c>
      <c r="E418">
        <v>0.95331673071060219</v>
      </c>
      <c r="F418">
        <v>1.015230679729058</v>
      </c>
      <c r="G418">
        <v>0.4529210492644597</v>
      </c>
      <c r="H418">
        <v>0.50446544061330811</v>
      </c>
      <c r="I418">
        <v>0.66268797307523675</v>
      </c>
      <c r="J418">
        <v>-16.11809565095832</v>
      </c>
      <c r="K418">
        <v>1.130977484562024</v>
      </c>
      <c r="L418">
        <v>-1.396145555598052</v>
      </c>
      <c r="M418">
        <v>2.8925826433772062</v>
      </c>
      <c r="N418">
        <v>2.7911544397278618</v>
      </c>
      <c r="O418">
        <v>-11.51292546497023</v>
      </c>
      <c r="P418">
        <f t="shared" si="48"/>
        <v>0.10142820364934435</v>
      </c>
      <c r="Q418">
        <f t="shared" si="49"/>
        <v>0</v>
      </c>
      <c r="R418">
        <f t="shared" si="50"/>
        <v>0</v>
      </c>
      <c r="S418">
        <f t="shared" si="51"/>
        <v>0</v>
      </c>
      <c r="T418">
        <f t="shared" si="52"/>
        <v>0</v>
      </c>
      <c r="U418">
        <f t="shared" si="53"/>
        <v>1</v>
      </c>
      <c r="V418">
        <f t="shared" si="54"/>
        <v>0</v>
      </c>
      <c r="W418">
        <f t="shared" si="55"/>
        <v>0</v>
      </c>
    </row>
    <row r="419" spans="1:23" x14ac:dyDescent="0.25">
      <c r="A419" s="1">
        <v>50</v>
      </c>
      <c r="B419" s="1">
        <v>2009</v>
      </c>
      <c r="C419">
        <v>-1.8462884171821501</v>
      </c>
      <c r="D419">
        <v>0.83893441262592605</v>
      </c>
      <c r="E419">
        <v>0.8960063885714481</v>
      </c>
      <c r="F419">
        <v>0.95331673071060219</v>
      </c>
      <c r="G419">
        <v>0.41071795438961278</v>
      </c>
      <c r="H419">
        <v>0.4529210492644597</v>
      </c>
      <c r="I419">
        <v>0.50446544061330811</v>
      </c>
      <c r="J419">
        <v>-7.7666278927080938</v>
      </c>
      <c r="K419">
        <v>1.130977484562024</v>
      </c>
      <c r="L419">
        <v>-1.3133919458640591</v>
      </c>
      <c r="M419">
        <v>2.8987503000406152</v>
      </c>
      <c r="N419">
        <v>2.8821757792191152</v>
      </c>
      <c r="O419">
        <v>-11.51292546497023</v>
      </c>
      <c r="P419">
        <f t="shared" si="48"/>
        <v>1.6574520821500016E-2</v>
      </c>
      <c r="Q419">
        <f t="shared" si="49"/>
        <v>0</v>
      </c>
      <c r="R419">
        <f t="shared" si="50"/>
        <v>0</v>
      </c>
      <c r="S419">
        <f t="shared" si="51"/>
        <v>0</v>
      </c>
      <c r="T419">
        <f t="shared" si="52"/>
        <v>0</v>
      </c>
      <c r="U419">
        <f t="shared" si="53"/>
        <v>1</v>
      </c>
      <c r="V419">
        <f t="shared" si="54"/>
        <v>0</v>
      </c>
      <c r="W419">
        <f t="shared" si="55"/>
        <v>0</v>
      </c>
    </row>
    <row r="420" spans="1:23" x14ac:dyDescent="0.25">
      <c r="A420" s="1">
        <v>50</v>
      </c>
      <c r="B420" s="1">
        <v>2010</v>
      </c>
      <c r="C420">
        <v>-1.6790492006636919</v>
      </c>
      <c r="D420">
        <v>0.77398956840404609</v>
      </c>
      <c r="E420">
        <v>0.83893441262592605</v>
      </c>
      <c r="F420">
        <v>0.8960063885714481</v>
      </c>
      <c r="G420">
        <v>0.39823906301642481</v>
      </c>
      <c r="H420">
        <v>0.41071795438961278</v>
      </c>
      <c r="I420">
        <v>0.4529210492644597</v>
      </c>
      <c r="J420">
        <v>-7.0979705978952667</v>
      </c>
      <c r="K420">
        <v>1.130977484562024</v>
      </c>
      <c r="L420">
        <v>-1.2405089831405469</v>
      </c>
      <c r="M420">
        <v>2.972527222959565</v>
      </c>
      <c r="N420">
        <v>2.874260414293341</v>
      </c>
      <c r="O420">
        <v>-11.51292546497023</v>
      </c>
      <c r="P420">
        <f t="shared" si="48"/>
        <v>9.8266808666223948E-2</v>
      </c>
      <c r="Q420">
        <f t="shared" si="49"/>
        <v>0</v>
      </c>
      <c r="R420">
        <f t="shared" si="50"/>
        <v>0</v>
      </c>
      <c r="S420">
        <f t="shared" si="51"/>
        <v>0</v>
      </c>
      <c r="T420">
        <f t="shared" si="52"/>
        <v>0</v>
      </c>
      <c r="U420">
        <f t="shared" si="53"/>
        <v>1</v>
      </c>
      <c r="V420">
        <f t="shared" si="54"/>
        <v>0</v>
      </c>
      <c r="W420">
        <f t="shared" si="55"/>
        <v>0</v>
      </c>
    </row>
    <row r="421" spans="1:23" x14ac:dyDescent="0.25">
      <c r="A421" s="1">
        <v>50</v>
      </c>
      <c r="B421" s="1">
        <v>2011</v>
      </c>
      <c r="C421">
        <v>-1.5013570777630769</v>
      </c>
      <c r="D421">
        <v>0.74074615935922428</v>
      </c>
      <c r="E421">
        <v>0.77398956840404609</v>
      </c>
      <c r="F421">
        <v>0.83893441262592605</v>
      </c>
      <c r="G421">
        <v>0.46881542360892609</v>
      </c>
      <c r="H421">
        <v>0.39823906301642481</v>
      </c>
      <c r="I421">
        <v>0.41071795438961278</v>
      </c>
      <c r="J421">
        <v>-5.5124371256395719</v>
      </c>
      <c r="K421">
        <v>1.130977484562024</v>
      </c>
      <c r="L421">
        <v>-1.174478633946102</v>
      </c>
      <c r="M421">
        <v>3.0225778200583151</v>
      </c>
      <c r="N421">
        <v>2.948622782781094</v>
      </c>
      <c r="O421">
        <v>-11.51292546497023</v>
      </c>
      <c r="P421">
        <f t="shared" si="48"/>
        <v>7.3955037277221081E-2</v>
      </c>
      <c r="Q421">
        <f t="shared" si="49"/>
        <v>0</v>
      </c>
      <c r="R421">
        <f t="shared" si="50"/>
        <v>0</v>
      </c>
      <c r="S421">
        <f t="shared" si="51"/>
        <v>0</v>
      </c>
      <c r="T421">
        <f t="shared" si="52"/>
        <v>0</v>
      </c>
      <c r="U421">
        <f t="shared" si="53"/>
        <v>1</v>
      </c>
      <c r="V421">
        <f t="shared" si="54"/>
        <v>0</v>
      </c>
      <c r="W421">
        <f t="shared" si="55"/>
        <v>0</v>
      </c>
    </row>
    <row r="422" spans="1:23" x14ac:dyDescent="0.25">
      <c r="A422" s="1">
        <v>50</v>
      </c>
      <c r="B422" s="1">
        <v>2012</v>
      </c>
      <c r="C422">
        <v>-1.3576503718458801</v>
      </c>
      <c r="D422">
        <v>0.70215647471753273</v>
      </c>
      <c r="E422">
        <v>0.74074615935922428</v>
      </c>
      <c r="F422">
        <v>0.77398956840404609</v>
      </c>
      <c r="G422">
        <v>0.43580030790423729</v>
      </c>
      <c r="H422">
        <v>0.46881542360892609</v>
      </c>
      <c r="I422">
        <v>0.39823906301642481</v>
      </c>
      <c r="J422">
        <v>-5.0516032779595612</v>
      </c>
      <c r="K422">
        <v>1.130977484562024</v>
      </c>
      <c r="L422">
        <v>-1.102219461000258</v>
      </c>
      <c r="M422">
        <v>3.0545696338853041</v>
      </c>
      <c r="N422">
        <v>3.0134080384925941</v>
      </c>
      <c r="O422">
        <v>-11.51292546497023</v>
      </c>
      <c r="P422">
        <f t="shared" si="48"/>
        <v>4.1161595392710026E-2</v>
      </c>
      <c r="Q422">
        <f t="shared" si="49"/>
        <v>0</v>
      </c>
      <c r="R422">
        <f t="shared" si="50"/>
        <v>0</v>
      </c>
      <c r="S422">
        <f t="shared" si="51"/>
        <v>0</v>
      </c>
      <c r="T422">
        <f t="shared" si="52"/>
        <v>0</v>
      </c>
      <c r="U422">
        <f t="shared" si="53"/>
        <v>1</v>
      </c>
      <c r="V422">
        <f t="shared" si="54"/>
        <v>0</v>
      </c>
      <c r="W422">
        <f t="shared" si="55"/>
        <v>0</v>
      </c>
    </row>
    <row r="423" spans="1:23" x14ac:dyDescent="0.25">
      <c r="A423" s="1">
        <v>50</v>
      </c>
      <c r="B423" s="1">
        <v>2013</v>
      </c>
      <c r="C423">
        <v>-1.349415161555104</v>
      </c>
      <c r="D423">
        <v>0.72090825134533554</v>
      </c>
      <c r="E423">
        <v>0.70215647471753273</v>
      </c>
      <c r="F423">
        <v>0.74074615935922428</v>
      </c>
      <c r="G423">
        <v>0.39237986855950879</v>
      </c>
      <c r="H423">
        <v>0.43580030790423729</v>
      </c>
      <c r="I423">
        <v>0.46881542360892609</v>
      </c>
      <c r="J423">
        <v>-4.2474402455818021</v>
      </c>
      <c r="K423">
        <v>1.130977484562024</v>
      </c>
      <c r="L423">
        <v>-1.0624577711181571</v>
      </c>
      <c r="M423">
        <v>3.0577401914607312</v>
      </c>
      <c r="N423">
        <v>3.0204034758586098</v>
      </c>
      <c r="O423">
        <v>-11.51292546497023</v>
      </c>
      <c r="P423">
        <f t="shared" si="48"/>
        <v>3.7336715602121373E-2</v>
      </c>
      <c r="Q423">
        <f t="shared" si="49"/>
        <v>0</v>
      </c>
      <c r="R423">
        <f t="shared" si="50"/>
        <v>0</v>
      </c>
      <c r="S423">
        <f t="shared" si="51"/>
        <v>0</v>
      </c>
      <c r="T423">
        <f t="shared" si="52"/>
        <v>0</v>
      </c>
      <c r="U423">
        <f t="shared" si="53"/>
        <v>1</v>
      </c>
      <c r="V423">
        <f t="shared" si="54"/>
        <v>0</v>
      </c>
      <c r="W423">
        <f t="shared" si="55"/>
        <v>0</v>
      </c>
    </row>
    <row r="424" spans="1:23" x14ac:dyDescent="0.25">
      <c r="A424" s="1">
        <v>50</v>
      </c>
      <c r="B424" s="1">
        <v>2014</v>
      </c>
      <c r="C424">
        <v>-1.294690965227715</v>
      </c>
      <c r="D424">
        <v>0.68506460436658934</v>
      </c>
      <c r="E424">
        <v>0.72090825134533554</v>
      </c>
      <c r="F424">
        <v>0.70215647471753273</v>
      </c>
      <c r="G424">
        <v>0.34401514579194181</v>
      </c>
      <c r="H424">
        <v>0.39237986855950879</v>
      </c>
      <c r="I424">
        <v>0.43580030790423729</v>
      </c>
      <c r="J424">
        <v>-3.514089845464766</v>
      </c>
      <c r="K424">
        <v>1.130977484562024</v>
      </c>
      <c r="L424">
        <v>-1.0143261612993819</v>
      </c>
      <c r="M424">
        <v>3.1015283053931602</v>
      </c>
      <c r="N424">
        <v>3.0452996775323982</v>
      </c>
      <c r="O424">
        <v>-11.51292546497023</v>
      </c>
      <c r="P424">
        <f t="shared" si="48"/>
        <v>5.6228627860761993E-2</v>
      </c>
      <c r="Q424">
        <f t="shared" si="49"/>
        <v>0</v>
      </c>
      <c r="R424">
        <f t="shared" si="50"/>
        <v>0</v>
      </c>
      <c r="S424">
        <f t="shared" si="51"/>
        <v>0</v>
      </c>
      <c r="T424">
        <f t="shared" si="52"/>
        <v>0</v>
      </c>
      <c r="U424">
        <f t="shared" si="53"/>
        <v>1</v>
      </c>
      <c r="V424">
        <f t="shared" si="54"/>
        <v>0</v>
      </c>
      <c r="W424">
        <f t="shared" si="55"/>
        <v>0</v>
      </c>
    </row>
    <row r="425" spans="1:23" x14ac:dyDescent="0.25">
      <c r="A425" s="1">
        <v>50</v>
      </c>
      <c r="B425" s="1">
        <v>2015</v>
      </c>
      <c r="C425">
        <v>-1.3848701080031769</v>
      </c>
      <c r="D425">
        <v>0.66772680321303413</v>
      </c>
      <c r="E425">
        <v>0.68506460436658934</v>
      </c>
      <c r="F425">
        <v>0.72090825134533554</v>
      </c>
      <c r="G425">
        <v>0.32164862201505379</v>
      </c>
      <c r="H425">
        <v>0.34401514579194181</v>
      </c>
      <c r="I425">
        <v>0.39237986855950879</v>
      </c>
      <c r="J425">
        <v>-3.1206069133565029</v>
      </c>
      <c r="K425">
        <v>1.130977484562024</v>
      </c>
      <c r="L425">
        <v>-0.98173704079714696</v>
      </c>
      <c r="M425">
        <v>3.067628402405107</v>
      </c>
      <c r="N425">
        <v>3.0895461293932569</v>
      </c>
      <c r="O425">
        <v>-11.51292546497023</v>
      </c>
      <c r="P425">
        <f t="shared" si="48"/>
        <v>-2.1917726988149866E-2</v>
      </c>
      <c r="Q425">
        <f t="shared" si="49"/>
        <v>0</v>
      </c>
      <c r="R425">
        <f t="shared" si="50"/>
        <v>0</v>
      </c>
      <c r="S425">
        <f t="shared" si="51"/>
        <v>0</v>
      </c>
      <c r="T425">
        <f t="shared" si="52"/>
        <v>0</v>
      </c>
      <c r="U425">
        <f t="shared" si="53"/>
        <v>1</v>
      </c>
      <c r="V425">
        <f t="shared" si="54"/>
        <v>0</v>
      </c>
      <c r="W425">
        <f t="shared" si="55"/>
        <v>1</v>
      </c>
    </row>
    <row r="426" spans="1:23" x14ac:dyDescent="0.25">
      <c r="A426" s="1">
        <v>50</v>
      </c>
      <c r="B426" s="1">
        <v>2016</v>
      </c>
      <c r="C426">
        <v>-1.285285227425053</v>
      </c>
      <c r="D426">
        <v>0.65336631054810068</v>
      </c>
      <c r="E426">
        <v>0.66772680321303413</v>
      </c>
      <c r="F426">
        <v>0.68506460436658934</v>
      </c>
      <c r="G426">
        <v>0.4415398522451548</v>
      </c>
      <c r="H426">
        <v>0.32164862201505379</v>
      </c>
      <c r="I426">
        <v>0.34401514579194181</v>
      </c>
      <c r="J426">
        <v>-2.7239779808935669</v>
      </c>
      <c r="K426">
        <v>1.130977484562024</v>
      </c>
      <c r="L426">
        <v>-0.96065305975401938</v>
      </c>
      <c r="M426">
        <v>3.078809717589027</v>
      </c>
      <c r="N426">
        <v>3.0559472746276479</v>
      </c>
      <c r="O426">
        <v>-11.51292546497023</v>
      </c>
      <c r="P426">
        <f t="shared" si="48"/>
        <v>2.286244296137907E-2</v>
      </c>
      <c r="Q426">
        <f t="shared" si="49"/>
        <v>0</v>
      </c>
      <c r="R426">
        <f t="shared" si="50"/>
        <v>0</v>
      </c>
      <c r="S426">
        <f t="shared" si="51"/>
        <v>0</v>
      </c>
      <c r="T426">
        <f t="shared" si="52"/>
        <v>0</v>
      </c>
      <c r="U426">
        <f t="shared" si="53"/>
        <v>1</v>
      </c>
      <c r="V426">
        <f t="shared" si="54"/>
        <v>0</v>
      </c>
      <c r="W426">
        <f t="shared" si="55"/>
        <v>1</v>
      </c>
    </row>
    <row r="427" spans="1:23" x14ac:dyDescent="0.25">
      <c r="A427" s="1">
        <v>50</v>
      </c>
      <c r="B427" s="1">
        <v>2017</v>
      </c>
      <c r="C427">
        <v>-1.2638688961429589</v>
      </c>
      <c r="D427">
        <v>0.67701779863006162</v>
      </c>
      <c r="E427">
        <v>0.65336631054810068</v>
      </c>
      <c r="F427">
        <v>0.66772680321303413</v>
      </c>
      <c r="G427">
        <v>0.49035757512612699</v>
      </c>
      <c r="H427">
        <v>0.4415398522451548</v>
      </c>
      <c r="I427">
        <v>0.32164862201505379</v>
      </c>
      <c r="J427">
        <v>-2.1007295258352019</v>
      </c>
      <c r="K427">
        <v>1.130977484562024</v>
      </c>
      <c r="L427">
        <v>-0.93731049146277712</v>
      </c>
      <c r="M427">
        <v>3.0792033858508652</v>
      </c>
      <c r="N427">
        <v>3.0674071987690561</v>
      </c>
      <c r="O427">
        <v>-11.51292546497023</v>
      </c>
      <c r="P427">
        <f t="shared" si="48"/>
        <v>1.1796187081809073E-2</v>
      </c>
      <c r="Q427">
        <f t="shared" si="49"/>
        <v>0</v>
      </c>
      <c r="R427">
        <f t="shared" si="50"/>
        <v>0</v>
      </c>
      <c r="S427">
        <f t="shared" si="51"/>
        <v>0</v>
      </c>
      <c r="T427">
        <f t="shared" si="52"/>
        <v>0</v>
      </c>
      <c r="U427">
        <f t="shared" si="53"/>
        <v>1</v>
      </c>
      <c r="V427">
        <f t="shared" si="54"/>
        <v>0</v>
      </c>
      <c r="W427">
        <f t="shared" si="55"/>
        <v>1</v>
      </c>
    </row>
    <row r="428" spans="1:23" x14ac:dyDescent="0.25">
      <c r="A428" s="1">
        <v>50</v>
      </c>
      <c r="B428" s="1">
        <v>2018</v>
      </c>
      <c r="C428">
        <v>-1.3495948435285481</v>
      </c>
      <c r="D428">
        <v>0.7764307846966827</v>
      </c>
      <c r="E428">
        <v>0.67701779863006162</v>
      </c>
      <c r="F428">
        <v>0.65336631054810068</v>
      </c>
      <c r="G428">
        <v>0.53783749601278841</v>
      </c>
      <c r="H428">
        <v>0.49035757512612699</v>
      </c>
      <c r="I428">
        <v>0.4415398522451548</v>
      </c>
      <c r="J428">
        <v>-1.6270678834723289</v>
      </c>
      <c r="K428">
        <v>1.130977484562024</v>
      </c>
      <c r="L428">
        <v>-0.91339665834032158</v>
      </c>
      <c r="M428">
        <v>3.126547037607621</v>
      </c>
      <c r="N428">
        <v>3.066430857571905</v>
      </c>
      <c r="O428">
        <v>3.2580965380214821</v>
      </c>
      <c r="P428">
        <f t="shared" si="48"/>
        <v>6.0116180035715949E-2</v>
      </c>
      <c r="Q428">
        <f t="shared" si="49"/>
        <v>14.771022002991712</v>
      </c>
      <c r="R428">
        <f t="shared" si="50"/>
        <v>0</v>
      </c>
      <c r="S428">
        <f t="shared" si="51"/>
        <v>0</v>
      </c>
      <c r="T428">
        <f t="shared" si="52"/>
        <v>0</v>
      </c>
      <c r="U428">
        <f t="shared" si="53"/>
        <v>1</v>
      </c>
      <c r="V428">
        <f t="shared" si="54"/>
        <v>0</v>
      </c>
      <c r="W428">
        <f t="shared" si="55"/>
        <v>1</v>
      </c>
    </row>
    <row r="429" spans="1:23" x14ac:dyDescent="0.25">
      <c r="A429" s="1">
        <v>50</v>
      </c>
      <c r="B429" s="1">
        <v>2019</v>
      </c>
      <c r="C429">
        <v>-1.285858708664841</v>
      </c>
      <c r="D429">
        <v>0.7103483878797201</v>
      </c>
      <c r="E429">
        <v>0.7764307846966827</v>
      </c>
      <c r="F429">
        <v>0.67701779863006162</v>
      </c>
      <c r="G429">
        <v>0.51641000205989129</v>
      </c>
      <c r="H429">
        <v>0.53783749601278841</v>
      </c>
      <c r="I429">
        <v>0.49035757512612699</v>
      </c>
      <c r="J429">
        <v>-0.95256005031569146</v>
      </c>
      <c r="K429">
        <v>1.130977484562024</v>
      </c>
      <c r="L429">
        <v>-0.88821277880844851</v>
      </c>
      <c r="M429">
        <v>3.0737258239883838</v>
      </c>
      <c r="N429">
        <v>3.1153426686918322</v>
      </c>
      <c r="O429">
        <v>5.393627546352362</v>
      </c>
      <c r="P429">
        <f t="shared" si="48"/>
        <v>-4.1616844703448397E-2</v>
      </c>
      <c r="Q429">
        <f t="shared" si="49"/>
        <v>2.1355310083308798</v>
      </c>
      <c r="R429">
        <f t="shared" si="50"/>
        <v>0</v>
      </c>
      <c r="S429">
        <f t="shared" si="51"/>
        <v>0</v>
      </c>
      <c r="T429">
        <f t="shared" si="52"/>
        <v>0</v>
      </c>
      <c r="U429">
        <f t="shared" si="53"/>
        <v>1</v>
      </c>
      <c r="V429">
        <f t="shared" si="54"/>
        <v>0</v>
      </c>
      <c r="W429">
        <f t="shared" si="55"/>
        <v>1</v>
      </c>
    </row>
    <row r="430" spans="1:23" x14ac:dyDescent="0.25">
      <c r="A430" s="1">
        <v>50</v>
      </c>
      <c r="B430" s="1">
        <v>2020</v>
      </c>
      <c r="C430">
        <v>-1.3925580452554449</v>
      </c>
      <c r="D430">
        <v>0.70872521052326376</v>
      </c>
      <c r="E430">
        <v>0.7103483878797201</v>
      </c>
      <c r="F430">
        <v>0.7764307846966827</v>
      </c>
      <c r="G430">
        <v>0.44243971089952577</v>
      </c>
      <c r="H430">
        <v>0.51641000205989129</v>
      </c>
      <c r="I430">
        <v>0.53783749601278841</v>
      </c>
      <c r="J430">
        <v>-0.25456177721428758</v>
      </c>
      <c r="K430">
        <v>1.130977484562024</v>
      </c>
      <c r="L430">
        <v>-0.87034242799961925</v>
      </c>
      <c r="M430">
        <v>3.1369814545481511</v>
      </c>
      <c r="N430">
        <v>3.0628431352276291</v>
      </c>
      <c r="O430">
        <v>5.9914645471079817</v>
      </c>
      <c r="P430">
        <f t="shared" si="48"/>
        <v>7.4138319320522061E-2</v>
      </c>
      <c r="Q430">
        <f t="shared" si="49"/>
        <v>0.59783700075561974</v>
      </c>
      <c r="R430">
        <f t="shared" si="50"/>
        <v>0</v>
      </c>
      <c r="S430">
        <f t="shared" si="51"/>
        <v>0</v>
      </c>
      <c r="T430">
        <f t="shared" si="52"/>
        <v>0</v>
      </c>
      <c r="U430">
        <f t="shared" si="53"/>
        <v>1</v>
      </c>
      <c r="V430">
        <f t="shared" si="54"/>
        <v>1</v>
      </c>
      <c r="W430">
        <f t="shared" si="55"/>
        <v>1</v>
      </c>
    </row>
    <row r="431" spans="1:23" x14ac:dyDescent="0.25">
      <c r="A431" s="1">
        <v>50</v>
      </c>
      <c r="B431" s="1">
        <v>2021</v>
      </c>
      <c r="C431">
        <v>-1.434501324363882</v>
      </c>
      <c r="D431">
        <v>0.90401570099854245</v>
      </c>
      <c r="E431">
        <v>0.70872521052326376</v>
      </c>
      <c r="F431">
        <v>0.7103483878797201</v>
      </c>
      <c r="G431">
        <v>0.64924753826992698</v>
      </c>
      <c r="H431">
        <v>0.44243971089952577</v>
      </c>
      <c r="I431">
        <v>0.51641000205989129</v>
      </c>
      <c r="J431">
        <v>0.31514809820388678</v>
      </c>
      <c r="K431">
        <v>1.130977484562024</v>
      </c>
      <c r="L431">
        <v>-0.85750585795415835</v>
      </c>
      <c r="M431">
        <v>3.1518800036120922</v>
      </c>
      <c r="N431">
        <v>3.126432160474677</v>
      </c>
      <c r="O431">
        <v>6.6846117276679271</v>
      </c>
      <c r="P431">
        <f t="shared" si="48"/>
        <v>2.5447843137415216E-2</v>
      </c>
      <c r="Q431">
        <f t="shared" si="49"/>
        <v>0.6931471805599454</v>
      </c>
      <c r="R431">
        <f t="shared" si="50"/>
        <v>0</v>
      </c>
      <c r="S431">
        <f t="shared" si="51"/>
        <v>0</v>
      </c>
      <c r="T431">
        <f t="shared" si="52"/>
        <v>0</v>
      </c>
      <c r="U431">
        <f t="shared" si="53"/>
        <v>1</v>
      </c>
      <c r="V431">
        <f t="shared" si="54"/>
        <v>0</v>
      </c>
      <c r="W431">
        <f t="shared" si="55"/>
        <v>1</v>
      </c>
    </row>
    <row r="432" spans="1:23" x14ac:dyDescent="0.25">
      <c r="A432" s="1">
        <v>50</v>
      </c>
      <c r="B432" s="1">
        <v>2022</v>
      </c>
      <c r="C432">
        <v>-1.305504312734995</v>
      </c>
      <c r="D432">
        <v>0.86827626677239533</v>
      </c>
      <c r="E432">
        <v>0.90401570099854245</v>
      </c>
      <c r="F432">
        <v>0.70872521052326376</v>
      </c>
      <c r="G432">
        <v>0.61285860933110847</v>
      </c>
      <c r="H432">
        <v>0.64924753826992698</v>
      </c>
      <c r="I432">
        <v>0.44243971089952577</v>
      </c>
      <c r="J432">
        <v>0.8535018840870181</v>
      </c>
      <c r="K432">
        <v>1.130977484562024</v>
      </c>
      <c r="L432">
        <v>-0.83501885082324967</v>
      </c>
      <c r="M432">
        <v>3.2268541726774989</v>
      </c>
      <c r="N432">
        <v>3.1518800036120922</v>
      </c>
      <c r="O432">
        <v>8.0551577318196781</v>
      </c>
      <c r="P432">
        <f t="shared" si="48"/>
        <v>7.4974169065406659E-2</v>
      </c>
      <c r="Q432">
        <f t="shared" si="49"/>
        <v>1.370546004151751</v>
      </c>
      <c r="R432">
        <f t="shared" si="50"/>
        <v>0</v>
      </c>
      <c r="S432">
        <f t="shared" si="51"/>
        <v>0</v>
      </c>
      <c r="T432">
        <f t="shared" si="52"/>
        <v>0</v>
      </c>
      <c r="U432">
        <f t="shared" si="53"/>
        <v>1</v>
      </c>
      <c r="V432">
        <f t="shared" si="54"/>
        <v>0</v>
      </c>
      <c r="W432">
        <f t="shared" si="55"/>
        <v>0</v>
      </c>
    </row>
    <row r="433" spans="1:23" x14ac:dyDescent="0.25">
      <c r="A433" s="1">
        <v>50</v>
      </c>
      <c r="B433" s="1">
        <v>2023</v>
      </c>
      <c r="C433">
        <v>-1.2479133990084019</v>
      </c>
      <c r="D433">
        <v>0.70640885454313052</v>
      </c>
      <c r="E433">
        <v>0.86827626677239533</v>
      </c>
      <c r="F433">
        <v>0.90401570099854245</v>
      </c>
      <c r="G433">
        <v>0.36186147062603241</v>
      </c>
      <c r="H433">
        <v>0.61285860933110847</v>
      </c>
      <c r="I433">
        <v>0.64924753826992698</v>
      </c>
      <c r="J433">
        <v>1.413503350499935</v>
      </c>
      <c r="K433">
        <v>1.130977484562024</v>
      </c>
      <c r="L433">
        <v>-0.80935547800188667</v>
      </c>
      <c r="M433">
        <v>3.2792263326556959</v>
      </c>
      <c r="N433">
        <v>3.2268541726774989</v>
      </c>
      <c r="O433">
        <v>8.4658998970286863</v>
      </c>
      <c r="P433">
        <f t="shared" si="48"/>
        <v>5.2372159978196997E-2</v>
      </c>
      <c r="Q433">
        <f t="shared" si="49"/>
        <v>0.41074216520900819</v>
      </c>
      <c r="R433">
        <f t="shared" si="50"/>
        <v>0</v>
      </c>
      <c r="S433">
        <f t="shared" si="51"/>
        <v>0</v>
      </c>
      <c r="T433">
        <f t="shared" si="52"/>
        <v>0</v>
      </c>
      <c r="U433">
        <f t="shared" si="53"/>
        <v>1</v>
      </c>
      <c r="V433">
        <f t="shared" si="54"/>
        <v>0</v>
      </c>
      <c r="W433">
        <f t="shared" si="55"/>
        <v>0</v>
      </c>
    </row>
    <row r="434" spans="1:23" x14ac:dyDescent="0.25">
      <c r="A434" s="1">
        <v>51</v>
      </c>
      <c r="B434" s="1">
        <v>2006</v>
      </c>
      <c r="C434">
        <v>-2.05774652737274</v>
      </c>
      <c r="D434">
        <v>1.081805170351728</v>
      </c>
      <c r="E434">
        <v>1.042535642447705</v>
      </c>
      <c r="F434">
        <v>0.99047013004840656</v>
      </c>
      <c r="G434">
        <v>0.69314718055994529</v>
      </c>
      <c r="H434">
        <v>0.58478215588182025</v>
      </c>
      <c r="I434">
        <v>0.51801968434623125</v>
      </c>
      <c r="J434">
        <v>-16.11809565095832</v>
      </c>
      <c r="K434">
        <v>1.9730087517591539</v>
      </c>
      <c r="L434">
        <v>-1.798920155106793</v>
      </c>
      <c r="M434">
        <v>2.6724997707606679</v>
      </c>
      <c r="N434">
        <v>2.847671102973925</v>
      </c>
      <c r="O434">
        <v>-11.51292546497023</v>
      </c>
      <c r="P434">
        <f t="shared" si="48"/>
        <v>-0.17517133221325709</v>
      </c>
      <c r="Q434">
        <f t="shared" si="49"/>
        <v>0</v>
      </c>
      <c r="R434">
        <f t="shared" si="50"/>
        <v>0</v>
      </c>
      <c r="S434">
        <f t="shared" si="51"/>
        <v>0</v>
      </c>
      <c r="T434">
        <f t="shared" si="52"/>
        <v>0</v>
      </c>
      <c r="U434">
        <f t="shared" si="53"/>
        <v>1</v>
      </c>
      <c r="V434">
        <f t="shared" si="54"/>
        <v>0</v>
      </c>
      <c r="W434">
        <f t="shared" si="55"/>
        <v>0</v>
      </c>
    </row>
    <row r="435" spans="1:23" x14ac:dyDescent="0.25">
      <c r="A435" s="1">
        <v>51</v>
      </c>
      <c r="B435" s="1">
        <v>2007</v>
      </c>
      <c r="C435">
        <v>-2.1237769983382999</v>
      </c>
      <c r="D435">
        <v>1.021083086158872</v>
      </c>
      <c r="E435">
        <v>1.081805170351728</v>
      </c>
      <c r="F435">
        <v>1.042535642447705</v>
      </c>
      <c r="G435">
        <v>0.36845528247426368</v>
      </c>
      <c r="H435">
        <v>0.69314718055994529</v>
      </c>
      <c r="I435">
        <v>0.58478215588182025</v>
      </c>
      <c r="J435">
        <v>-16.11809565095832</v>
      </c>
      <c r="K435">
        <v>1.9730087517591539</v>
      </c>
      <c r="L435">
        <v>-1.6952029836220981</v>
      </c>
      <c r="M435">
        <v>2.8066650646061579</v>
      </c>
      <c r="N435">
        <v>2.6550236833934591</v>
      </c>
      <c r="O435">
        <v>-11.51292546497023</v>
      </c>
      <c r="P435">
        <f t="shared" si="48"/>
        <v>0.15164138121269888</v>
      </c>
      <c r="Q435">
        <f t="shared" si="49"/>
        <v>0</v>
      </c>
      <c r="R435">
        <f t="shared" si="50"/>
        <v>0</v>
      </c>
      <c r="S435">
        <f t="shared" si="51"/>
        <v>0</v>
      </c>
      <c r="T435">
        <f t="shared" si="52"/>
        <v>0</v>
      </c>
      <c r="U435">
        <f t="shared" si="53"/>
        <v>1</v>
      </c>
      <c r="V435">
        <f t="shared" si="54"/>
        <v>0</v>
      </c>
      <c r="W435">
        <f t="shared" si="55"/>
        <v>0</v>
      </c>
    </row>
    <row r="436" spans="1:23" x14ac:dyDescent="0.25">
      <c r="A436" s="1">
        <v>51</v>
      </c>
      <c r="B436" s="1">
        <v>2008</v>
      </c>
      <c r="C436">
        <v>-2.1175597176399039</v>
      </c>
      <c r="D436">
        <v>0.91063476701799762</v>
      </c>
      <c r="E436">
        <v>1.021083086158872</v>
      </c>
      <c r="F436">
        <v>1.081805170351728</v>
      </c>
      <c r="G436">
        <v>0.24966863025356481</v>
      </c>
      <c r="H436">
        <v>0.36845528247426368</v>
      </c>
      <c r="I436">
        <v>0.69314718055994529</v>
      </c>
      <c r="J436">
        <v>-16.11809565095832</v>
      </c>
      <c r="K436">
        <v>1.9730087517591539</v>
      </c>
      <c r="L436">
        <v>-1.5606998325896051</v>
      </c>
      <c r="M436">
        <v>2.962978052689655</v>
      </c>
      <c r="N436">
        <v>2.7894891524881991</v>
      </c>
      <c r="O436">
        <v>-11.51292546497023</v>
      </c>
      <c r="P436">
        <f t="shared" si="48"/>
        <v>0.17348890020145591</v>
      </c>
      <c r="Q436">
        <f t="shared" si="49"/>
        <v>0</v>
      </c>
      <c r="R436">
        <f t="shared" si="50"/>
        <v>0</v>
      </c>
      <c r="S436">
        <f t="shared" si="51"/>
        <v>0</v>
      </c>
      <c r="T436">
        <f t="shared" si="52"/>
        <v>0</v>
      </c>
      <c r="U436">
        <f t="shared" si="53"/>
        <v>1</v>
      </c>
      <c r="V436">
        <f t="shared" si="54"/>
        <v>0</v>
      </c>
      <c r="W436">
        <f t="shared" si="55"/>
        <v>0</v>
      </c>
    </row>
    <row r="437" spans="1:23" x14ac:dyDescent="0.25">
      <c r="A437" s="1">
        <v>51</v>
      </c>
      <c r="B437" s="1">
        <v>2009</v>
      </c>
      <c r="C437">
        <v>-2.1349810416516708</v>
      </c>
      <c r="D437">
        <v>0.85747447398162135</v>
      </c>
      <c r="E437">
        <v>0.91063476701799762</v>
      </c>
      <c r="F437">
        <v>1.021083086158872</v>
      </c>
      <c r="G437">
        <v>0.2214621385316716</v>
      </c>
      <c r="H437">
        <v>0.24966863025356481</v>
      </c>
      <c r="I437">
        <v>0.36845528247426368</v>
      </c>
      <c r="J437">
        <v>-8.0069314086622185</v>
      </c>
      <c r="K437">
        <v>1.9730087517591539</v>
      </c>
      <c r="L437">
        <v>-1.4506574410501361</v>
      </c>
      <c r="M437">
        <v>2.9461875816004648</v>
      </c>
      <c r="N437">
        <v>2.94822569572601</v>
      </c>
      <c r="O437">
        <v>-11.51292546497023</v>
      </c>
      <c r="P437">
        <f t="shared" si="48"/>
        <v>-2.0381141255452206E-3</v>
      </c>
      <c r="Q437">
        <f t="shared" si="49"/>
        <v>0</v>
      </c>
      <c r="R437">
        <f t="shared" si="50"/>
        <v>0</v>
      </c>
      <c r="S437">
        <f t="shared" si="51"/>
        <v>0</v>
      </c>
      <c r="T437">
        <f t="shared" si="52"/>
        <v>0</v>
      </c>
      <c r="U437">
        <f t="shared" si="53"/>
        <v>1</v>
      </c>
      <c r="V437">
        <f t="shared" si="54"/>
        <v>0</v>
      </c>
      <c r="W437">
        <f t="shared" si="55"/>
        <v>0</v>
      </c>
    </row>
    <row r="438" spans="1:23" x14ac:dyDescent="0.25">
      <c r="A438" s="1">
        <v>51</v>
      </c>
      <c r="B438" s="1">
        <v>2010</v>
      </c>
      <c r="C438">
        <v>-2.0433626100727298</v>
      </c>
      <c r="D438">
        <v>0.81828091131671099</v>
      </c>
      <c r="E438">
        <v>0.85747447398162135</v>
      </c>
      <c r="F438">
        <v>0.91063476701799762</v>
      </c>
      <c r="G438">
        <v>0.33590064472225528</v>
      </c>
      <c r="H438">
        <v>0.2214621385316716</v>
      </c>
      <c r="I438">
        <v>0.24966863025356481</v>
      </c>
      <c r="J438">
        <v>-7.3260754061403617</v>
      </c>
      <c r="K438">
        <v>1.9730087517591539</v>
      </c>
      <c r="L438">
        <v>-1.3486996414753709</v>
      </c>
      <c r="M438">
        <v>2.9245585501402531</v>
      </c>
      <c r="N438">
        <v>2.9338964035622919</v>
      </c>
      <c r="O438">
        <v>-11.51292546497023</v>
      </c>
      <c r="P438">
        <f t="shared" si="48"/>
        <v>-9.3378534220387444E-3</v>
      </c>
      <c r="Q438">
        <f t="shared" si="49"/>
        <v>0</v>
      </c>
      <c r="R438">
        <f t="shared" si="50"/>
        <v>0</v>
      </c>
      <c r="S438">
        <f t="shared" si="51"/>
        <v>0</v>
      </c>
      <c r="T438">
        <f t="shared" si="52"/>
        <v>0</v>
      </c>
      <c r="U438">
        <f t="shared" si="53"/>
        <v>1</v>
      </c>
      <c r="V438">
        <f t="shared" si="54"/>
        <v>0</v>
      </c>
      <c r="W438">
        <f t="shared" si="55"/>
        <v>0</v>
      </c>
    </row>
    <row r="439" spans="1:23" x14ac:dyDescent="0.25">
      <c r="A439" s="1">
        <v>51</v>
      </c>
      <c r="B439" s="1">
        <v>2011</v>
      </c>
      <c r="C439">
        <v>-1.840213729643446</v>
      </c>
      <c r="D439">
        <v>0.79768735983386929</v>
      </c>
      <c r="E439">
        <v>0.81828091131671099</v>
      </c>
      <c r="F439">
        <v>0.85747447398162135</v>
      </c>
      <c r="G439">
        <v>0.4093907261106367</v>
      </c>
      <c r="H439">
        <v>0.33590064472225528</v>
      </c>
      <c r="I439">
        <v>0.2214621385316716</v>
      </c>
      <c r="J439">
        <v>-5.6334692513688536</v>
      </c>
      <c r="K439">
        <v>1.9730087517591539</v>
      </c>
      <c r="L439">
        <v>-1.254492718073984</v>
      </c>
      <c r="M439">
        <v>3.0328194081271249</v>
      </c>
      <c r="N439">
        <v>2.91241661267324</v>
      </c>
      <c r="O439">
        <v>-11.51292546497023</v>
      </c>
      <c r="P439">
        <f t="shared" si="48"/>
        <v>0.12040279545388488</v>
      </c>
      <c r="Q439">
        <f t="shared" si="49"/>
        <v>0</v>
      </c>
      <c r="R439">
        <f t="shared" si="50"/>
        <v>0</v>
      </c>
      <c r="S439">
        <f t="shared" si="51"/>
        <v>0</v>
      </c>
      <c r="T439">
        <f t="shared" si="52"/>
        <v>0</v>
      </c>
      <c r="U439">
        <f t="shared" si="53"/>
        <v>1</v>
      </c>
      <c r="V439">
        <f t="shared" si="54"/>
        <v>0</v>
      </c>
      <c r="W439">
        <f t="shared" si="55"/>
        <v>0</v>
      </c>
    </row>
    <row r="440" spans="1:23" x14ac:dyDescent="0.25">
      <c r="A440" s="1">
        <v>51</v>
      </c>
      <c r="B440" s="1">
        <v>2012</v>
      </c>
      <c r="C440">
        <v>-1.6588784145306159</v>
      </c>
      <c r="D440">
        <v>0.76825465304675078</v>
      </c>
      <c r="E440">
        <v>0.79768735983386929</v>
      </c>
      <c r="F440">
        <v>0.81828091131671099</v>
      </c>
      <c r="G440">
        <v>0.36276635357504911</v>
      </c>
      <c r="H440">
        <v>0.4093907261106367</v>
      </c>
      <c r="I440">
        <v>0.33590064472225528</v>
      </c>
      <c r="J440">
        <v>-5.271503568333296</v>
      </c>
      <c r="K440">
        <v>1.9730087517591539</v>
      </c>
      <c r="L440">
        <v>-1.1799399526944709</v>
      </c>
      <c r="M440">
        <v>3.0851610781021268</v>
      </c>
      <c r="N440">
        <v>3.0200916417212711</v>
      </c>
      <c r="O440">
        <v>-11.51292546497023</v>
      </c>
      <c r="P440">
        <f t="shared" si="48"/>
        <v>6.5069436380855716E-2</v>
      </c>
      <c r="Q440">
        <f t="shared" si="49"/>
        <v>0</v>
      </c>
      <c r="R440">
        <f t="shared" si="50"/>
        <v>0</v>
      </c>
      <c r="S440">
        <f t="shared" si="51"/>
        <v>0</v>
      </c>
      <c r="T440">
        <f t="shared" si="52"/>
        <v>0</v>
      </c>
      <c r="U440">
        <f t="shared" si="53"/>
        <v>1</v>
      </c>
      <c r="V440">
        <f t="shared" si="54"/>
        <v>0</v>
      </c>
      <c r="W440">
        <f t="shared" si="55"/>
        <v>0</v>
      </c>
    </row>
    <row r="441" spans="1:23" x14ac:dyDescent="0.25">
      <c r="A441" s="1">
        <v>51</v>
      </c>
      <c r="B441" s="1">
        <v>2013</v>
      </c>
      <c r="C441">
        <v>-1.690374031574946</v>
      </c>
      <c r="D441">
        <v>0.72754860727727766</v>
      </c>
      <c r="E441">
        <v>0.76825465304675078</v>
      </c>
      <c r="F441">
        <v>0.79768735983386929</v>
      </c>
      <c r="G441">
        <v>0.30535007010518789</v>
      </c>
      <c r="H441">
        <v>0.36276635357504911</v>
      </c>
      <c r="I441">
        <v>0.4093907261106367</v>
      </c>
      <c r="J441">
        <v>-4.4017390743939897</v>
      </c>
      <c r="K441">
        <v>1.9730087517591539</v>
      </c>
      <c r="L441">
        <v>-1.1195437403122011</v>
      </c>
      <c r="M441">
        <v>3.1047763713222141</v>
      </c>
      <c r="N441">
        <v>3.0639526481515622</v>
      </c>
      <c r="O441">
        <v>-11.51292546497023</v>
      </c>
      <c r="P441">
        <f t="shared" si="48"/>
        <v>4.082372317065186E-2</v>
      </c>
      <c r="Q441">
        <f t="shared" si="49"/>
        <v>0</v>
      </c>
      <c r="R441">
        <f t="shared" si="50"/>
        <v>0</v>
      </c>
      <c r="S441">
        <f t="shared" si="51"/>
        <v>0</v>
      </c>
      <c r="T441">
        <f t="shared" si="52"/>
        <v>0</v>
      </c>
      <c r="U441">
        <f t="shared" si="53"/>
        <v>1</v>
      </c>
      <c r="V441">
        <f t="shared" si="54"/>
        <v>0</v>
      </c>
      <c r="W441">
        <f t="shared" si="55"/>
        <v>0</v>
      </c>
    </row>
    <row r="442" spans="1:23" x14ac:dyDescent="0.25">
      <c r="A442" s="1">
        <v>51</v>
      </c>
      <c r="B442" s="1">
        <v>2014</v>
      </c>
      <c r="C442">
        <v>-1.582605413124665</v>
      </c>
      <c r="D442">
        <v>0.69474590192364238</v>
      </c>
      <c r="E442">
        <v>0.72754860727727766</v>
      </c>
      <c r="F442">
        <v>0.76825465304675078</v>
      </c>
      <c r="G442">
        <v>0.29728580859447568</v>
      </c>
      <c r="H442">
        <v>0.30535007010518789</v>
      </c>
      <c r="I442">
        <v>0.36276635357504911</v>
      </c>
      <c r="J442">
        <v>-3.6840396748336701</v>
      </c>
      <c r="K442">
        <v>1.9730087517591539</v>
      </c>
      <c r="L442">
        <v>-1.0613115936954669</v>
      </c>
      <c r="M442">
        <v>3.142461528138865</v>
      </c>
      <c r="N442">
        <v>3.091588262339735</v>
      </c>
      <c r="O442">
        <v>-11.51292546497023</v>
      </c>
      <c r="P442">
        <f t="shared" si="48"/>
        <v>5.0873265799129985E-2</v>
      </c>
      <c r="Q442">
        <f t="shared" si="49"/>
        <v>0</v>
      </c>
      <c r="R442">
        <f t="shared" si="50"/>
        <v>0</v>
      </c>
      <c r="S442">
        <f t="shared" si="51"/>
        <v>0</v>
      </c>
      <c r="T442">
        <f t="shared" si="52"/>
        <v>0</v>
      </c>
      <c r="U442">
        <f t="shared" si="53"/>
        <v>1</v>
      </c>
      <c r="V442">
        <f t="shared" si="54"/>
        <v>0</v>
      </c>
      <c r="W442">
        <f t="shared" si="55"/>
        <v>0</v>
      </c>
    </row>
    <row r="443" spans="1:23" x14ac:dyDescent="0.25">
      <c r="A443" s="1">
        <v>51</v>
      </c>
      <c r="B443" s="1">
        <v>2015</v>
      </c>
      <c r="C443">
        <v>-1.7534303860936951</v>
      </c>
      <c r="D443">
        <v>0.67960590999327797</v>
      </c>
      <c r="E443">
        <v>0.69474590192364238</v>
      </c>
      <c r="F443">
        <v>0.72754860727727766</v>
      </c>
      <c r="G443">
        <v>0.20073432980108</v>
      </c>
      <c r="H443">
        <v>0.29728580859447568</v>
      </c>
      <c r="I443">
        <v>0.30535007010518789</v>
      </c>
      <c r="J443">
        <v>-3.2789795267156618</v>
      </c>
      <c r="K443">
        <v>1.9730087517591539</v>
      </c>
      <c r="L443">
        <v>-1.020982827946896</v>
      </c>
      <c r="M443">
        <v>3.1161413519454091</v>
      </c>
      <c r="N443">
        <v>3.1297864755568958</v>
      </c>
      <c r="O443">
        <v>-11.51292546497023</v>
      </c>
      <c r="P443">
        <f t="shared" si="48"/>
        <v>-1.3645123611486731E-2</v>
      </c>
      <c r="Q443">
        <f t="shared" si="49"/>
        <v>0</v>
      </c>
      <c r="R443">
        <f t="shared" si="50"/>
        <v>0</v>
      </c>
      <c r="S443">
        <f t="shared" si="51"/>
        <v>0</v>
      </c>
      <c r="T443">
        <f t="shared" si="52"/>
        <v>0</v>
      </c>
      <c r="U443">
        <f t="shared" si="53"/>
        <v>1</v>
      </c>
      <c r="V443">
        <f t="shared" si="54"/>
        <v>0</v>
      </c>
      <c r="W443">
        <f t="shared" si="55"/>
        <v>1</v>
      </c>
    </row>
    <row r="444" spans="1:23" x14ac:dyDescent="0.25">
      <c r="A444" s="1">
        <v>51</v>
      </c>
      <c r="B444" s="1">
        <v>2016</v>
      </c>
      <c r="C444">
        <v>-1.679206203083961</v>
      </c>
      <c r="D444">
        <v>0.71147813724466868</v>
      </c>
      <c r="E444">
        <v>0.67960590999327797</v>
      </c>
      <c r="F444">
        <v>0.69474590192364238</v>
      </c>
      <c r="G444">
        <v>0.34557355086755848</v>
      </c>
      <c r="H444">
        <v>0.20073432980108</v>
      </c>
      <c r="I444">
        <v>0.29728580859447568</v>
      </c>
      <c r="J444">
        <v>-2.8458570330107551</v>
      </c>
      <c r="K444">
        <v>1.9730087517591539</v>
      </c>
      <c r="L444">
        <v>-0.98968193431058293</v>
      </c>
      <c r="M444">
        <v>3.1686179571010782</v>
      </c>
      <c r="N444">
        <v>3.1039528289949501</v>
      </c>
      <c r="O444">
        <v>-11.51292546497023</v>
      </c>
      <c r="P444">
        <f t="shared" si="48"/>
        <v>6.4665128106128122E-2</v>
      </c>
      <c r="Q444">
        <f t="shared" si="49"/>
        <v>0</v>
      </c>
      <c r="R444">
        <f t="shared" si="50"/>
        <v>0</v>
      </c>
      <c r="S444">
        <f t="shared" si="51"/>
        <v>0</v>
      </c>
      <c r="T444">
        <f t="shared" si="52"/>
        <v>0</v>
      </c>
      <c r="U444">
        <f t="shared" si="53"/>
        <v>1</v>
      </c>
      <c r="V444">
        <f t="shared" si="54"/>
        <v>0</v>
      </c>
      <c r="W444">
        <f t="shared" si="55"/>
        <v>1</v>
      </c>
    </row>
    <row r="445" spans="1:23" x14ac:dyDescent="0.25">
      <c r="A445" s="1">
        <v>51</v>
      </c>
      <c r="B445" s="1">
        <v>2017</v>
      </c>
      <c r="C445">
        <v>-1.67921739515646</v>
      </c>
      <c r="D445">
        <v>0.70631016708622618</v>
      </c>
      <c r="E445">
        <v>0.71147813724466868</v>
      </c>
      <c r="F445">
        <v>0.67960590999327797</v>
      </c>
      <c r="G445">
        <v>0.27292370147623563</v>
      </c>
      <c r="H445">
        <v>0.34557355086755848</v>
      </c>
      <c r="I445">
        <v>0.20073432980108</v>
      </c>
      <c r="J445">
        <v>-2.2429678509241522</v>
      </c>
      <c r="K445">
        <v>1.9730087517591539</v>
      </c>
      <c r="L445">
        <v>-0.96161077735185829</v>
      </c>
      <c r="M445">
        <v>3.144485979086646</v>
      </c>
      <c r="N445">
        <v>3.156884721740048</v>
      </c>
      <c r="O445">
        <v>-11.51292546497023</v>
      </c>
      <c r="P445">
        <f t="shared" si="48"/>
        <v>-1.2398742653402017E-2</v>
      </c>
      <c r="Q445">
        <f t="shared" si="49"/>
        <v>0</v>
      </c>
      <c r="R445">
        <f t="shared" si="50"/>
        <v>0</v>
      </c>
      <c r="S445">
        <f t="shared" si="51"/>
        <v>0</v>
      </c>
      <c r="T445">
        <f t="shared" si="52"/>
        <v>0</v>
      </c>
      <c r="U445">
        <f t="shared" si="53"/>
        <v>1</v>
      </c>
      <c r="V445">
        <f t="shared" si="54"/>
        <v>0</v>
      </c>
      <c r="W445">
        <f t="shared" si="55"/>
        <v>1</v>
      </c>
    </row>
    <row r="446" spans="1:23" x14ac:dyDescent="0.25">
      <c r="A446" s="1">
        <v>51</v>
      </c>
      <c r="B446" s="1">
        <v>2018</v>
      </c>
      <c r="C446">
        <v>-1.8864132743384829</v>
      </c>
      <c r="D446">
        <v>0.83594797919161656</v>
      </c>
      <c r="E446">
        <v>0.70631016708622618</v>
      </c>
      <c r="F446">
        <v>0.71147813724466868</v>
      </c>
      <c r="G446">
        <v>0.33253592808540672</v>
      </c>
      <c r="H446">
        <v>0.27292370147623563</v>
      </c>
      <c r="I446">
        <v>0.34557355086755848</v>
      </c>
      <c r="J446">
        <v>-1.826642708966508</v>
      </c>
      <c r="K446">
        <v>1.9730087517591539</v>
      </c>
      <c r="L446">
        <v>-0.94169512122798971</v>
      </c>
      <c r="M446">
        <v>3.1520444807485388</v>
      </c>
      <c r="N446">
        <v>3.115764223772421</v>
      </c>
      <c r="O446">
        <v>3.2580965380214821</v>
      </c>
      <c r="P446">
        <f t="shared" si="48"/>
        <v>3.6280256976117808E-2</v>
      </c>
      <c r="Q446">
        <f t="shared" si="49"/>
        <v>14.771022002991712</v>
      </c>
      <c r="R446">
        <f t="shared" si="50"/>
        <v>0</v>
      </c>
      <c r="S446">
        <f t="shared" si="51"/>
        <v>0</v>
      </c>
      <c r="T446">
        <f t="shared" si="52"/>
        <v>0</v>
      </c>
      <c r="U446">
        <f t="shared" si="53"/>
        <v>1</v>
      </c>
      <c r="V446">
        <f t="shared" si="54"/>
        <v>0</v>
      </c>
      <c r="W446">
        <f t="shared" si="55"/>
        <v>1</v>
      </c>
    </row>
    <row r="447" spans="1:23" x14ac:dyDescent="0.25">
      <c r="A447" s="1">
        <v>51</v>
      </c>
      <c r="B447" s="1">
        <v>2019</v>
      </c>
      <c r="C447">
        <v>-1.9921047751330849</v>
      </c>
      <c r="D447">
        <v>0.79376145059253866</v>
      </c>
      <c r="E447">
        <v>0.83594797919161656</v>
      </c>
      <c r="F447">
        <v>0.70631016708622618</v>
      </c>
      <c r="G447">
        <v>0.24904518883686269</v>
      </c>
      <c r="H447">
        <v>0.33253592808540672</v>
      </c>
      <c r="I447">
        <v>0.27292370147623563</v>
      </c>
      <c r="J447">
        <v>-1.120801484052383</v>
      </c>
      <c r="K447">
        <v>1.9730087517591539</v>
      </c>
      <c r="L447">
        <v>-0.90391195547556569</v>
      </c>
      <c r="M447">
        <v>3.13188489075428</v>
      </c>
      <c r="N447">
        <v>3.1397817931288499</v>
      </c>
      <c r="O447">
        <v>5.393627546352362</v>
      </c>
      <c r="P447">
        <f t="shared" si="48"/>
        <v>-7.8969023745698586E-3</v>
      </c>
      <c r="Q447">
        <f t="shared" si="49"/>
        <v>2.1355310083308798</v>
      </c>
      <c r="R447">
        <f t="shared" si="50"/>
        <v>0</v>
      </c>
      <c r="S447">
        <f t="shared" si="51"/>
        <v>0</v>
      </c>
      <c r="T447">
        <f t="shared" si="52"/>
        <v>0</v>
      </c>
      <c r="U447">
        <f t="shared" si="53"/>
        <v>1</v>
      </c>
      <c r="V447">
        <f t="shared" si="54"/>
        <v>0</v>
      </c>
      <c r="W447">
        <f t="shared" si="55"/>
        <v>1</v>
      </c>
    </row>
    <row r="448" spans="1:23" x14ac:dyDescent="0.25">
      <c r="A448" s="1">
        <v>51</v>
      </c>
      <c r="B448" s="1">
        <v>2020</v>
      </c>
      <c r="C448">
        <v>-1.9497546726642769</v>
      </c>
      <c r="D448">
        <v>0.7133418878454646</v>
      </c>
      <c r="E448">
        <v>0.79376145059253866</v>
      </c>
      <c r="F448">
        <v>0.83594797919161656</v>
      </c>
      <c r="G448">
        <v>0.28930575356787852</v>
      </c>
      <c r="H448">
        <v>0.24904518883686269</v>
      </c>
      <c r="I448">
        <v>0.33253592808540672</v>
      </c>
      <c r="J448">
        <v>-0.33279799939185711</v>
      </c>
      <c r="K448">
        <v>1.9730087517591539</v>
      </c>
      <c r="L448">
        <v>-0.87596321331421045</v>
      </c>
      <c r="M448">
        <v>3.2859967765217868</v>
      </c>
      <c r="N448">
        <v>3.1199732194291552</v>
      </c>
      <c r="O448">
        <v>5.9914645471079817</v>
      </c>
      <c r="P448">
        <f t="shared" si="48"/>
        <v>0.16602355709263161</v>
      </c>
      <c r="Q448">
        <f t="shared" si="49"/>
        <v>0.59783700075561974</v>
      </c>
      <c r="R448">
        <f t="shared" si="50"/>
        <v>0</v>
      </c>
      <c r="S448">
        <f t="shared" si="51"/>
        <v>0</v>
      </c>
      <c r="T448">
        <f t="shared" si="52"/>
        <v>0</v>
      </c>
      <c r="U448">
        <f t="shared" si="53"/>
        <v>1</v>
      </c>
      <c r="V448">
        <f t="shared" si="54"/>
        <v>1</v>
      </c>
      <c r="W448">
        <f t="shared" si="55"/>
        <v>1</v>
      </c>
    </row>
    <row r="449" spans="1:23" x14ac:dyDescent="0.25">
      <c r="A449" s="1">
        <v>51</v>
      </c>
      <c r="B449" s="1">
        <v>2021</v>
      </c>
      <c r="C449">
        <v>-1.765906089621222</v>
      </c>
      <c r="D449">
        <v>0.90401570099854245</v>
      </c>
      <c r="E449">
        <v>0.7133418878454646</v>
      </c>
      <c r="F449">
        <v>0.79376145059253866</v>
      </c>
      <c r="G449">
        <v>0.57515162232223782</v>
      </c>
      <c r="H449">
        <v>0.28930575356787852</v>
      </c>
      <c r="I449">
        <v>0.24904518883686269</v>
      </c>
      <c r="J449">
        <v>0.35411113289401652</v>
      </c>
      <c r="K449">
        <v>1.9730087517591539</v>
      </c>
      <c r="L449">
        <v>-0.85090031149088408</v>
      </c>
      <c r="M449">
        <v>3.4190583322518591</v>
      </c>
      <c r="N449">
        <v>3.2744327466275061</v>
      </c>
      <c r="O449">
        <v>6.6846117276679271</v>
      </c>
      <c r="P449">
        <f t="shared" si="48"/>
        <v>0.14462558562435301</v>
      </c>
      <c r="Q449">
        <f t="shared" si="49"/>
        <v>0.6931471805599454</v>
      </c>
      <c r="R449">
        <f t="shared" si="50"/>
        <v>0</v>
      </c>
      <c r="S449">
        <f t="shared" si="51"/>
        <v>0</v>
      </c>
      <c r="T449">
        <f t="shared" si="52"/>
        <v>0</v>
      </c>
      <c r="U449">
        <f t="shared" si="53"/>
        <v>1</v>
      </c>
      <c r="V449">
        <f t="shared" si="54"/>
        <v>0</v>
      </c>
      <c r="W449">
        <f t="shared" si="55"/>
        <v>1</v>
      </c>
    </row>
    <row r="450" spans="1:23" x14ac:dyDescent="0.25">
      <c r="A450" s="1">
        <v>51</v>
      </c>
      <c r="B450" s="1">
        <v>2022</v>
      </c>
      <c r="C450">
        <v>-1.681463142928628</v>
      </c>
      <c r="D450">
        <v>0.89006995223107255</v>
      </c>
      <c r="E450">
        <v>0.90401570099854245</v>
      </c>
      <c r="F450">
        <v>0.7133418878454646</v>
      </c>
      <c r="G450">
        <v>0.5042842757225684</v>
      </c>
      <c r="H450">
        <v>0.57515162232223782</v>
      </c>
      <c r="I450">
        <v>0.28930575356787852</v>
      </c>
      <c r="J450">
        <v>0.82585925575775587</v>
      </c>
      <c r="K450">
        <v>1.9730087517591539</v>
      </c>
      <c r="L450">
        <v>-0.8181080957602257</v>
      </c>
      <c r="M450">
        <v>3.4274724365402758</v>
      </c>
      <c r="N450">
        <v>3.4190583322518591</v>
      </c>
      <c r="O450">
        <v>8.0551577318196781</v>
      </c>
      <c r="P450">
        <f t="shared" si="48"/>
        <v>8.4141042884167128E-3</v>
      </c>
      <c r="Q450">
        <f t="shared" si="49"/>
        <v>1.370546004151751</v>
      </c>
      <c r="R450">
        <f t="shared" si="50"/>
        <v>0</v>
      </c>
      <c r="S450">
        <f t="shared" si="51"/>
        <v>0</v>
      </c>
      <c r="T450">
        <f t="shared" si="52"/>
        <v>0</v>
      </c>
      <c r="U450">
        <f t="shared" si="53"/>
        <v>1</v>
      </c>
      <c r="V450">
        <f t="shared" si="54"/>
        <v>0</v>
      </c>
      <c r="W450">
        <f t="shared" si="55"/>
        <v>0</v>
      </c>
    </row>
    <row r="451" spans="1:23" x14ac:dyDescent="0.25">
      <c r="A451" s="1">
        <v>51</v>
      </c>
      <c r="B451" s="1">
        <v>2023</v>
      </c>
      <c r="C451">
        <v>-1.6568841041092961</v>
      </c>
      <c r="D451">
        <v>0.75292438459580613</v>
      </c>
      <c r="E451">
        <v>0.89006995223107255</v>
      </c>
      <c r="F451">
        <v>0.90401570099854245</v>
      </c>
      <c r="G451">
        <v>0.28073298336357422</v>
      </c>
      <c r="H451">
        <v>0.5042842757225684</v>
      </c>
      <c r="I451">
        <v>0.57515162232223782</v>
      </c>
      <c r="J451">
        <v>1.3493937625097989</v>
      </c>
      <c r="K451">
        <v>1.9730087517591539</v>
      </c>
      <c r="L451">
        <v>-0.78477121725476684</v>
      </c>
      <c r="M451">
        <v>3.443338371166075</v>
      </c>
      <c r="N451">
        <v>3.4274724365402758</v>
      </c>
      <c r="O451">
        <v>8.4658998970286863</v>
      </c>
      <c r="P451">
        <f t="shared" ref="P451:P487" si="56">M451-N451</f>
        <v>1.5865934625799216E-2</v>
      </c>
      <c r="Q451">
        <f t="shared" ref="Q451:Q487" si="57">IF(B451=2006,0,O451-O450)</f>
        <v>0.41074216520900819</v>
      </c>
      <c r="R451">
        <f t="shared" ref="R451:R487" si="58">IF(ROUNDDOWN($A451/10, 0)=1, 1, 0)</f>
        <v>0</v>
      </c>
      <c r="S451">
        <f t="shared" ref="S451:S487" si="59">IF(ROUNDDOWN($A451/10, 0)=2, 1, 0)</f>
        <v>0</v>
      </c>
      <c r="T451">
        <f t="shared" ref="T451:T487" si="60">IF(ROUNDDOWN($A451/10, 0)=3, 1, 0)</f>
        <v>0</v>
      </c>
      <c r="U451">
        <f t="shared" ref="U451:U487" si="61">IF(ROUNDDOWN($A451/10, 0)=5, 1, 0)</f>
        <v>1</v>
      </c>
      <c r="V451">
        <f t="shared" ref="V451:V487" si="62">IF($B451=2020, 1, 0)</f>
        <v>0</v>
      </c>
      <c r="W451">
        <f t="shared" ref="W451:W487" si="63">IF(AND($B451&gt;=2015,$B451&lt;=2021), 1, 0)</f>
        <v>0</v>
      </c>
    </row>
    <row r="452" spans="1:23" x14ac:dyDescent="0.25">
      <c r="A452" s="1">
        <v>52</v>
      </c>
      <c r="B452" s="1">
        <v>2006</v>
      </c>
      <c r="C452">
        <v>-1.862337595589032</v>
      </c>
      <c r="D452">
        <v>0.94778939893352609</v>
      </c>
      <c r="E452">
        <v>0.88533655655224996</v>
      </c>
      <c r="F452">
        <v>0.82342955082286751</v>
      </c>
      <c r="G452">
        <v>0.52472852893498212</v>
      </c>
      <c r="H452">
        <v>0.40246059908786569</v>
      </c>
      <c r="I452">
        <v>0.34861252984868768</v>
      </c>
      <c r="J452">
        <v>-16.11809565095832</v>
      </c>
      <c r="K452">
        <v>2.05817408255127</v>
      </c>
      <c r="L452">
        <v>-1.608091352549371</v>
      </c>
      <c r="M452">
        <v>2.6691657313985648</v>
      </c>
      <c r="N452">
        <v>2.604186425782943</v>
      </c>
      <c r="O452">
        <v>-11.51292546497023</v>
      </c>
      <c r="P452">
        <f t="shared" si="56"/>
        <v>6.4979305615621819E-2</v>
      </c>
      <c r="Q452">
        <f t="shared" si="57"/>
        <v>0</v>
      </c>
      <c r="R452">
        <f t="shared" si="58"/>
        <v>0</v>
      </c>
      <c r="S452">
        <f t="shared" si="59"/>
        <v>0</v>
      </c>
      <c r="T452">
        <f t="shared" si="60"/>
        <v>0</v>
      </c>
      <c r="U452">
        <f t="shared" si="61"/>
        <v>1</v>
      </c>
      <c r="V452">
        <f t="shared" si="62"/>
        <v>0</v>
      </c>
      <c r="W452">
        <f t="shared" si="63"/>
        <v>0</v>
      </c>
    </row>
    <row r="453" spans="1:23" x14ac:dyDescent="0.25">
      <c r="A453" s="1">
        <v>52</v>
      </c>
      <c r="B453" s="1">
        <v>2007</v>
      </c>
      <c r="C453">
        <v>-1.883076035962455</v>
      </c>
      <c r="D453">
        <v>0.88459364513090055</v>
      </c>
      <c r="E453">
        <v>0.94778939893352609</v>
      </c>
      <c r="F453">
        <v>0.88533655655224996</v>
      </c>
      <c r="G453">
        <v>0.33482802850872367</v>
      </c>
      <c r="H453">
        <v>0.52472852893498212</v>
      </c>
      <c r="I453">
        <v>0.40246059908786569</v>
      </c>
      <c r="J453">
        <v>-16.11809565095832</v>
      </c>
      <c r="K453">
        <v>2.05817408255127</v>
      </c>
      <c r="L453">
        <v>-1.5047876678710319</v>
      </c>
      <c r="M453">
        <v>2.7482821220994418</v>
      </c>
      <c r="N453">
        <v>2.6592476277490902</v>
      </c>
      <c r="O453">
        <v>-11.51292546497023</v>
      </c>
      <c r="P453">
        <f t="shared" si="56"/>
        <v>8.9034494350351601E-2</v>
      </c>
      <c r="Q453">
        <f t="shared" si="57"/>
        <v>0</v>
      </c>
      <c r="R453">
        <f t="shared" si="58"/>
        <v>0</v>
      </c>
      <c r="S453">
        <f t="shared" si="59"/>
        <v>0</v>
      </c>
      <c r="T453">
        <f t="shared" si="60"/>
        <v>0</v>
      </c>
      <c r="U453">
        <f t="shared" si="61"/>
        <v>1</v>
      </c>
      <c r="V453">
        <f t="shared" si="62"/>
        <v>0</v>
      </c>
      <c r="W453">
        <f t="shared" si="63"/>
        <v>0</v>
      </c>
    </row>
    <row r="454" spans="1:23" x14ac:dyDescent="0.25">
      <c r="A454" s="1">
        <v>52</v>
      </c>
      <c r="B454" s="1">
        <v>2008</v>
      </c>
      <c r="C454">
        <v>-1.846873097254206</v>
      </c>
      <c r="D454">
        <v>0.81933920579770469</v>
      </c>
      <c r="E454">
        <v>0.88459364513090055</v>
      </c>
      <c r="F454">
        <v>0.94778939893352609</v>
      </c>
      <c r="G454">
        <v>0.33732901234119472</v>
      </c>
      <c r="H454">
        <v>0.33482802850872367</v>
      </c>
      <c r="I454">
        <v>0.52472852893498212</v>
      </c>
      <c r="J454">
        <v>-16.11809565095832</v>
      </c>
      <c r="K454">
        <v>2.05817408255127</v>
      </c>
      <c r="L454">
        <v>-1.396098820537637</v>
      </c>
      <c r="M454">
        <v>2.7976701186191248</v>
      </c>
      <c r="N454">
        <v>2.7384614219624459</v>
      </c>
      <c r="O454">
        <v>-11.51292546497023</v>
      </c>
      <c r="P454">
        <f t="shared" si="56"/>
        <v>5.9208696656678939E-2</v>
      </c>
      <c r="Q454">
        <f t="shared" si="57"/>
        <v>0</v>
      </c>
      <c r="R454">
        <f t="shared" si="58"/>
        <v>0</v>
      </c>
      <c r="S454">
        <f t="shared" si="59"/>
        <v>0</v>
      </c>
      <c r="T454">
        <f t="shared" si="60"/>
        <v>0</v>
      </c>
      <c r="U454">
        <f t="shared" si="61"/>
        <v>1</v>
      </c>
      <c r="V454">
        <f t="shared" si="62"/>
        <v>0</v>
      </c>
      <c r="W454">
        <f t="shared" si="63"/>
        <v>0</v>
      </c>
    </row>
    <row r="455" spans="1:23" x14ac:dyDescent="0.25">
      <c r="A455" s="1">
        <v>52</v>
      </c>
      <c r="B455" s="1">
        <v>2009</v>
      </c>
      <c r="C455">
        <v>-1.8293809229926421</v>
      </c>
      <c r="D455">
        <v>0.80848277923984968</v>
      </c>
      <c r="E455">
        <v>0.81933920579770469</v>
      </c>
      <c r="F455">
        <v>0.88459364513090055</v>
      </c>
      <c r="G455">
        <v>0.30792577892882339</v>
      </c>
      <c r="H455">
        <v>0.33732901234119472</v>
      </c>
      <c r="I455">
        <v>0.33482802850872367</v>
      </c>
      <c r="J455">
        <v>-8.6871553512195536</v>
      </c>
      <c r="K455">
        <v>2.05817408255127</v>
      </c>
      <c r="L455">
        <v>-1.3112481563549381</v>
      </c>
      <c r="M455">
        <v>2.8326279323779491</v>
      </c>
      <c r="N455">
        <v>2.7838557858735991</v>
      </c>
      <c r="O455">
        <v>-11.51292546497023</v>
      </c>
      <c r="P455">
        <f t="shared" si="56"/>
        <v>4.8772146504350022E-2</v>
      </c>
      <c r="Q455">
        <f t="shared" si="57"/>
        <v>0</v>
      </c>
      <c r="R455">
        <f t="shared" si="58"/>
        <v>0</v>
      </c>
      <c r="S455">
        <f t="shared" si="59"/>
        <v>0</v>
      </c>
      <c r="T455">
        <f t="shared" si="60"/>
        <v>0</v>
      </c>
      <c r="U455">
        <f t="shared" si="61"/>
        <v>1</v>
      </c>
      <c r="V455">
        <f t="shared" si="62"/>
        <v>0</v>
      </c>
      <c r="W455">
        <f t="shared" si="63"/>
        <v>0</v>
      </c>
    </row>
    <row r="456" spans="1:23" x14ac:dyDescent="0.25">
      <c r="A456" s="1">
        <v>52</v>
      </c>
      <c r="B456" s="1">
        <v>2010</v>
      </c>
      <c r="C456">
        <v>-1.712140667188591</v>
      </c>
      <c r="D456">
        <v>0.73553594705173186</v>
      </c>
      <c r="E456">
        <v>0.80848277923984968</v>
      </c>
      <c r="F456">
        <v>0.81933920579770469</v>
      </c>
      <c r="G456">
        <v>0.26941626364488841</v>
      </c>
      <c r="H456">
        <v>0.30792577892882339</v>
      </c>
      <c r="I456">
        <v>0.33732901234119472</v>
      </c>
      <c r="J456">
        <v>-8.0069520634659508</v>
      </c>
      <c r="K456">
        <v>2.05817408255127</v>
      </c>
      <c r="L456">
        <v>-1.226555268770485</v>
      </c>
      <c r="M456">
        <v>2.8783340440319498</v>
      </c>
      <c r="N456">
        <v>2.8196840395713911</v>
      </c>
      <c r="O456">
        <v>-11.51292546497023</v>
      </c>
      <c r="P456">
        <f t="shared" si="56"/>
        <v>5.865000446055868E-2</v>
      </c>
      <c r="Q456">
        <f t="shared" si="57"/>
        <v>0</v>
      </c>
      <c r="R456">
        <f t="shared" si="58"/>
        <v>0</v>
      </c>
      <c r="S456">
        <f t="shared" si="59"/>
        <v>0</v>
      </c>
      <c r="T456">
        <f t="shared" si="60"/>
        <v>0</v>
      </c>
      <c r="U456">
        <f t="shared" si="61"/>
        <v>1</v>
      </c>
      <c r="V456">
        <f t="shared" si="62"/>
        <v>0</v>
      </c>
      <c r="W456">
        <f t="shared" si="63"/>
        <v>0</v>
      </c>
    </row>
    <row r="457" spans="1:23" x14ac:dyDescent="0.25">
      <c r="A457" s="1">
        <v>52</v>
      </c>
      <c r="B457" s="1">
        <v>2011</v>
      </c>
      <c r="C457">
        <v>-1.57674716233004</v>
      </c>
      <c r="D457">
        <v>0.78376454814355934</v>
      </c>
      <c r="E457">
        <v>0.73553594705173186</v>
      </c>
      <c r="F457">
        <v>0.80848277923984968</v>
      </c>
      <c r="G457">
        <v>0.41449091931547682</v>
      </c>
      <c r="H457">
        <v>0.26941626364488841</v>
      </c>
      <c r="I457">
        <v>0.30792577892882339</v>
      </c>
      <c r="J457">
        <v>-6.5156531538483913</v>
      </c>
      <c r="K457">
        <v>2.05817408255127</v>
      </c>
      <c r="L457">
        <v>-1.146732879284716</v>
      </c>
      <c r="M457">
        <v>2.913210704642244</v>
      </c>
      <c r="N457">
        <v>2.865555556873272</v>
      </c>
      <c r="O457">
        <v>-11.51292546497023</v>
      </c>
      <c r="P457">
        <f t="shared" si="56"/>
        <v>4.765514776897195E-2</v>
      </c>
      <c r="Q457">
        <f t="shared" si="57"/>
        <v>0</v>
      </c>
      <c r="R457">
        <f t="shared" si="58"/>
        <v>0</v>
      </c>
      <c r="S457">
        <f t="shared" si="59"/>
        <v>0</v>
      </c>
      <c r="T457">
        <f t="shared" si="60"/>
        <v>0</v>
      </c>
      <c r="U457">
        <f t="shared" si="61"/>
        <v>1</v>
      </c>
      <c r="V457">
        <f t="shared" si="62"/>
        <v>0</v>
      </c>
      <c r="W457">
        <f t="shared" si="63"/>
        <v>0</v>
      </c>
    </row>
    <row r="458" spans="1:23" x14ac:dyDescent="0.25">
      <c r="A458" s="1">
        <v>52</v>
      </c>
      <c r="B458" s="1">
        <v>2012</v>
      </c>
      <c r="C458">
        <v>-1.448318342264364</v>
      </c>
      <c r="D458">
        <v>0.69853265283628319</v>
      </c>
      <c r="E458">
        <v>0.78376454814355934</v>
      </c>
      <c r="F458">
        <v>0.73553594705173186</v>
      </c>
      <c r="G458">
        <v>0.32157612409933711</v>
      </c>
      <c r="H458">
        <v>0.41449091931547682</v>
      </c>
      <c r="I458">
        <v>0.26941626364488841</v>
      </c>
      <c r="J458">
        <v>-6.085962059124963</v>
      </c>
      <c r="K458">
        <v>2.05817408255127</v>
      </c>
      <c r="L458">
        <v>-1.0747697773179961</v>
      </c>
      <c r="M458">
        <v>2.9591251110415029</v>
      </c>
      <c r="N458">
        <v>2.9010690470866201</v>
      </c>
      <c r="O458">
        <v>-11.51292546497023</v>
      </c>
      <c r="P458">
        <f t="shared" si="56"/>
        <v>5.8056063954882831E-2</v>
      </c>
      <c r="Q458">
        <f t="shared" si="57"/>
        <v>0</v>
      </c>
      <c r="R458">
        <f t="shared" si="58"/>
        <v>0</v>
      </c>
      <c r="S458">
        <f t="shared" si="59"/>
        <v>0</v>
      </c>
      <c r="T458">
        <f t="shared" si="60"/>
        <v>0</v>
      </c>
      <c r="U458">
        <f t="shared" si="61"/>
        <v>1</v>
      </c>
      <c r="V458">
        <f t="shared" si="62"/>
        <v>0</v>
      </c>
      <c r="W458">
        <f t="shared" si="63"/>
        <v>0</v>
      </c>
    </row>
    <row r="459" spans="1:23" x14ac:dyDescent="0.25">
      <c r="A459" s="1">
        <v>52</v>
      </c>
      <c r="B459" s="1">
        <v>2013</v>
      </c>
      <c r="C459">
        <v>-1.4365780065249001</v>
      </c>
      <c r="D459">
        <v>0.68697819141441629</v>
      </c>
      <c r="E459">
        <v>0.69853265283628319</v>
      </c>
      <c r="F459">
        <v>0.78376454814355934</v>
      </c>
      <c r="G459">
        <v>0.29012907609483268</v>
      </c>
      <c r="H459">
        <v>0.32157612409933711</v>
      </c>
      <c r="I459">
        <v>0.41449091931547682</v>
      </c>
      <c r="J459">
        <v>-5.2728516066714688</v>
      </c>
      <c r="K459">
        <v>2.05817408255127</v>
      </c>
      <c r="L459">
        <v>-1.0479609113622159</v>
      </c>
      <c r="M459">
        <v>2.9289578402063898</v>
      </c>
      <c r="N459">
        <v>2.914785331643754</v>
      </c>
      <c r="O459">
        <v>-11.51292546497023</v>
      </c>
      <c r="P459">
        <f t="shared" si="56"/>
        <v>1.4172508562635855E-2</v>
      </c>
      <c r="Q459">
        <f t="shared" si="57"/>
        <v>0</v>
      </c>
      <c r="R459">
        <f t="shared" si="58"/>
        <v>0</v>
      </c>
      <c r="S459">
        <f t="shared" si="59"/>
        <v>0</v>
      </c>
      <c r="T459">
        <f t="shared" si="60"/>
        <v>0</v>
      </c>
      <c r="U459">
        <f t="shared" si="61"/>
        <v>1</v>
      </c>
      <c r="V459">
        <f t="shared" si="62"/>
        <v>0</v>
      </c>
      <c r="W459">
        <f t="shared" si="63"/>
        <v>0</v>
      </c>
    </row>
    <row r="460" spans="1:23" x14ac:dyDescent="0.25">
      <c r="A460" s="1">
        <v>52</v>
      </c>
      <c r="B460" s="1">
        <v>2014</v>
      </c>
      <c r="C460">
        <v>-1.3807401617391359</v>
      </c>
      <c r="D460">
        <v>0.69154589919297138</v>
      </c>
      <c r="E460">
        <v>0.68697819141441629</v>
      </c>
      <c r="F460">
        <v>0.69853265283628319</v>
      </c>
      <c r="G460">
        <v>0.32092340623158289</v>
      </c>
      <c r="H460">
        <v>0.29012907609483268</v>
      </c>
      <c r="I460">
        <v>0.32157612409933711</v>
      </c>
      <c r="J460">
        <v>-4.6087364347415463</v>
      </c>
      <c r="K460">
        <v>2.05817408255127</v>
      </c>
      <c r="L460">
        <v>-1.0035831305194249</v>
      </c>
      <c r="M460">
        <v>2.9264251535538919</v>
      </c>
      <c r="N460">
        <v>2.9151933037071571</v>
      </c>
      <c r="O460">
        <v>-11.51292546497023</v>
      </c>
      <c r="P460">
        <f t="shared" si="56"/>
        <v>1.1231849846734754E-2</v>
      </c>
      <c r="Q460">
        <f t="shared" si="57"/>
        <v>0</v>
      </c>
      <c r="R460">
        <f t="shared" si="58"/>
        <v>0</v>
      </c>
      <c r="S460">
        <f t="shared" si="59"/>
        <v>0</v>
      </c>
      <c r="T460">
        <f t="shared" si="60"/>
        <v>0</v>
      </c>
      <c r="U460">
        <f t="shared" si="61"/>
        <v>1</v>
      </c>
      <c r="V460">
        <f t="shared" si="62"/>
        <v>0</v>
      </c>
      <c r="W460">
        <f t="shared" si="63"/>
        <v>0</v>
      </c>
    </row>
    <row r="461" spans="1:23" x14ac:dyDescent="0.25">
      <c r="A461" s="1">
        <v>52</v>
      </c>
      <c r="B461" s="1">
        <v>2015</v>
      </c>
      <c r="C461">
        <v>-1.5035055965192929</v>
      </c>
      <c r="D461">
        <v>0.68546776921607577</v>
      </c>
      <c r="E461">
        <v>0.69154589919297138</v>
      </c>
      <c r="F461">
        <v>0.68697819141441629</v>
      </c>
      <c r="G461">
        <v>0.28728199243044122</v>
      </c>
      <c r="H461">
        <v>0.32092340623158289</v>
      </c>
      <c r="I461">
        <v>0.29012907609483268</v>
      </c>
      <c r="J461">
        <v>-4.2114744745869892</v>
      </c>
      <c r="K461">
        <v>2.05817408255127</v>
      </c>
      <c r="L461">
        <v>-0.97614255218666246</v>
      </c>
      <c r="M461">
        <v>2.8910732539968542</v>
      </c>
      <c r="N461">
        <v>2.9131069049335139</v>
      </c>
      <c r="O461">
        <v>-11.51292546497023</v>
      </c>
      <c r="P461">
        <f t="shared" si="56"/>
        <v>-2.2033650936659654E-2</v>
      </c>
      <c r="Q461">
        <f t="shared" si="57"/>
        <v>0</v>
      </c>
      <c r="R461">
        <f t="shared" si="58"/>
        <v>0</v>
      </c>
      <c r="S461">
        <f t="shared" si="59"/>
        <v>0</v>
      </c>
      <c r="T461">
        <f t="shared" si="60"/>
        <v>0</v>
      </c>
      <c r="U461">
        <f t="shared" si="61"/>
        <v>1</v>
      </c>
      <c r="V461">
        <f t="shared" si="62"/>
        <v>0</v>
      </c>
      <c r="W461">
        <f t="shared" si="63"/>
        <v>1</v>
      </c>
    </row>
    <row r="462" spans="1:23" x14ac:dyDescent="0.25">
      <c r="A462" s="1">
        <v>52</v>
      </c>
      <c r="B462" s="1">
        <v>2016</v>
      </c>
      <c r="C462">
        <v>-1.475509365994625</v>
      </c>
      <c r="D462">
        <v>0.7353921621536913</v>
      </c>
      <c r="E462">
        <v>0.68546776921607577</v>
      </c>
      <c r="F462">
        <v>0.69154589919297138</v>
      </c>
      <c r="G462">
        <v>0.41660285251862028</v>
      </c>
      <c r="H462">
        <v>0.28728199243044122</v>
      </c>
      <c r="I462">
        <v>0.32092340623158289</v>
      </c>
      <c r="J462">
        <v>-3.8747700240849192</v>
      </c>
      <c r="K462">
        <v>2.05817408255127</v>
      </c>
      <c r="L462">
        <v>-0.96055762781918241</v>
      </c>
      <c r="M462">
        <v>2.8460956172467662</v>
      </c>
      <c r="N462">
        <v>2.8782712500388001</v>
      </c>
      <c r="O462">
        <v>-11.51292546497023</v>
      </c>
      <c r="P462">
        <f t="shared" si="56"/>
        <v>-3.2175632792033948E-2</v>
      </c>
      <c r="Q462">
        <f t="shared" si="57"/>
        <v>0</v>
      </c>
      <c r="R462">
        <f t="shared" si="58"/>
        <v>0</v>
      </c>
      <c r="S462">
        <f t="shared" si="59"/>
        <v>0</v>
      </c>
      <c r="T462">
        <f t="shared" si="60"/>
        <v>0</v>
      </c>
      <c r="U462">
        <f t="shared" si="61"/>
        <v>1</v>
      </c>
      <c r="V462">
        <f t="shared" si="62"/>
        <v>0</v>
      </c>
      <c r="W462">
        <f t="shared" si="63"/>
        <v>1</v>
      </c>
    </row>
    <row r="463" spans="1:23" x14ac:dyDescent="0.25">
      <c r="A463" s="1">
        <v>52</v>
      </c>
      <c r="B463" s="1">
        <v>2017</v>
      </c>
      <c r="C463">
        <v>-1.4696235507545861</v>
      </c>
      <c r="D463">
        <v>0.73476885525076474</v>
      </c>
      <c r="E463">
        <v>0.7353921621536913</v>
      </c>
      <c r="F463">
        <v>0.68546776921607577</v>
      </c>
      <c r="G463">
        <v>0.39474114474518868</v>
      </c>
      <c r="H463">
        <v>0.41660285251862028</v>
      </c>
      <c r="I463">
        <v>0.28728199243044122</v>
      </c>
      <c r="J463">
        <v>-3.2418214175998878</v>
      </c>
      <c r="K463">
        <v>2.05817408255127</v>
      </c>
      <c r="L463">
        <v>-0.94435316692870053</v>
      </c>
      <c r="M463">
        <v>2.8522734979292972</v>
      </c>
      <c r="N463">
        <v>2.8337883308762648</v>
      </c>
      <c r="O463">
        <v>-11.51292546497023</v>
      </c>
      <c r="P463">
        <f t="shared" si="56"/>
        <v>1.8485167053032381E-2</v>
      </c>
      <c r="Q463">
        <f t="shared" si="57"/>
        <v>0</v>
      </c>
      <c r="R463">
        <f t="shared" si="58"/>
        <v>0</v>
      </c>
      <c r="S463">
        <f t="shared" si="59"/>
        <v>0</v>
      </c>
      <c r="T463">
        <f t="shared" si="60"/>
        <v>0</v>
      </c>
      <c r="U463">
        <f t="shared" si="61"/>
        <v>1</v>
      </c>
      <c r="V463">
        <f t="shared" si="62"/>
        <v>0</v>
      </c>
      <c r="W463">
        <f t="shared" si="63"/>
        <v>1</v>
      </c>
    </row>
    <row r="464" spans="1:23" x14ac:dyDescent="0.25">
      <c r="A464" s="1">
        <v>52</v>
      </c>
      <c r="B464" s="1">
        <v>2018</v>
      </c>
      <c r="C464">
        <v>-1.733218604785566</v>
      </c>
      <c r="D464">
        <v>0.86010126022277811</v>
      </c>
      <c r="E464">
        <v>0.73476885525076474</v>
      </c>
      <c r="F464">
        <v>0.7353921621536913</v>
      </c>
      <c r="G464">
        <v>0.41025362483996158</v>
      </c>
      <c r="H464">
        <v>0.39474114474518868</v>
      </c>
      <c r="I464">
        <v>0.41660285251862028</v>
      </c>
      <c r="J464">
        <v>-2.8710769693151481</v>
      </c>
      <c r="K464">
        <v>2.05817408255127</v>
      </c>
      <c r="L464">
        <v>-0.9332166258941994</v>
      </c>
      <c r="M464">
        <v>2.806794333389377</v>
      </c>
      <c r="N464">
        <v>2.831485932409795</v>
      </c>
      <c r="O464">
        <v>3.2580965380214821</v>
      </c>
      <c r="P464">
        <f t="shared" si="56"/>
        <v>-2.4691599020417954E-2</v>
      </c>
      <c r="Q464">
        <f t="shared" si="57"/>
        <v>14.771022002991712</v>
      </c>
      <c r="R464">
        <f t="shared" si="58"/>
        <v>0</v>
      </c>
      <c r="S464">
        <f t="shared" si="59"/>
        <v>0</v>
      </c>
      <c r="T464">
        <f t="shared" si="60"/>
        <v>0</v>
      </c>
      <c r="U464">
        <f t="shared" si="61"/>
        <v>1</v>
      </c>
      <c r="V464">
        <f t="shared" si="62"/>
        <v>0</v>
      </c>
      <c r="W464">
        <f t="shared" si="63"/>
        <v>1</v>
      </c>
    </row>
    <row r="465" spans="1:23" x14ac:dyDescent="0.25">
      <c r="A465" s="1">
        <v>52</v>
      </c>
      <c r="B465" s="1">
        <v>2019</v>
      </c>
      <c r="C465">
        <v>-1.816508491222407</v>
      </c>
      <c r="D465">
        <v>0.79818264339382605</v>
      </c>
      <c r="E465">
        <v>0.86010126022277811</v>
      </c>
      <c r="F465">
        <v>0.73476885525076474</v>
      </c>
      <c r="G465">
        <v>0.38158216764483233</v>
      </c>
      <c r="H465">
        <v>0.41025362483996158</v>
      </c>
      <c r="I465">
        <v>0.39474114474518868</v>
      </c>
      <c r="J465">
        <v>-2.137270842207049</v>
      </c>
      <c r="K465">
        <v>2.05817408255127</v>
      </c>
      <c r="L465">
        <v>-0.91537341618496637</v>
      </c>
      <c r="M465">
        <v>2.815750935788969</v>
      </c>
      <c r="N465">
        <v>2.792849145902681</v>
      </c>
      <c r="O465">
        <v>5.393627546352362</v>
      </c>
      <c r="P465">
        <f t="shared" si="56"/>
        <v>2.2901789886287993E-2</v>
      </c>
      <c r="Q465">
        <f t="shared" si="57"/>
        <v>2.1355310083308798</v>
      </c>
      <c r="R465">
        <f t="shared" si="58"/>
        <v>0</v>
      </c>
      <c r="S465">
        <f t="shared" si="59"/>
        <v>0</v>
      </c>
      <c r="T465">
        <f t="shared" si="60"/>
        <v>0</v>
      </c>
      <c r="U465">
        <f t="shared" si="61"/>
        <v>1</v>
      </c>
      <c r="V465">
        <f t="shared" si="62"/>
        <v>0</v>
      </c>
      <c r="W465">
        <f t="shared" si="63"/>
        <v>1</v>
      </c>
    </row>
    <row r="466" spans="1:23" x14ac:dyDescent="0.25">
      <c r="A466" s="1">
        <v>52</v>
      </c>
      <c r="B466" s="1">
        <v>2020</v>
      </c>
      <c r="C466">
        <v>-1.8383913807628991</v>
      </c>
      <c r="D466">
        <v>0.73385716880773211</v>
      </c>
      <c r="E466">
        <v>0.79818264339382605</v>
      </c>
      <c r="F466">
        <v>0.86010126022277811</v>
      </c>
      <c r="G466">
        <v>0.34741217665954732</v>
      </c>
      <c r="H466">
        <v>0.38158216764483233</v>
      </c>
      <c r="I466">
        <v>0.41025362483996158</v>
      </c>
      <c r="J466">
        <v>-1.5096513161972469</v>
      </c>
      <c r="K466">
        <v>2.05817408255127</v>
      </c>
      <c r="L466">
        <v>-0.89931511695172039</v>
      </c>
      <c r="M466">
        <v>2.811005991483424</v>
      </c>
      <c r="N466">
        <v>2.8022796431948782</v>
      </c>
      <c r="O466">
        <v>5.9914645471079817</v>
      </c>
      <c r="P466">
        <f t="shared" si="56"/>
        <v>8.7263482885457933E-3</v>
      </c>
      <c r="Q466">
        <f t="shared" si="57"/>
        <v>0.59783700075561974</v>
      </c>
      <c r="R466">
        <f t="shared" si="58"/>
        <v>0</v>
      </c>
      <c r="S466">
        <f t="shared" si="59"/>
        <v>0</v>
      </c>
      <c r="T466">
        <f t="shared" si="60"/>
        <v>0</v>
      </c>
      <c r="U466">
        <f t="shared" si="61"/>
        <v>1</v>
      </c>
      <c r="V466">
        <f t="shared" si="62"/>
        <v>1</v>
      </c>
      <c r="W466">
        <f t="shared" si="63"/>
        <v>1</v>
      </c>
    </row>
    <row r="467" spans="1:23" x14ac:dyDescent="0.25">
      <c r="A467" s="1">
        <v>52</v>
      </c>
      <c r="B467" s="1">
        <v>2021</v>
      </c>
      <c r="C467">
        <v>-1.7292290550868969</v>
      </c>
      <c r="D467">
        <v>0.95296975613264678</v>
      </c>
      <c r="E467">
        <v>0.73385716880773211</v>
      </c>
      <c r="F467">
        <v>0.79818264339382605</v>
      </c>
      <c r="G467">
        <v>0.63350332763243034</v>
      </c>
      <c r="H467">
        <v>0.34741217665954732</v>
      </c>
      <c r="I467">
        <v>0.38158216764483233</v>
      </c>
      <c r="J467">
        <v>-0.90821818127850906</v>
      </c>
      <c r="K467">
        <v>2.05817408255127</v>
      </c>
      <c r="L467">
        <v>-0.88316070483754894</v>
      </c>
      <c r="M467">
        <v>2.8601841126256451</v>
      </c>
      <c r="N467">
        <v>2.7980102552610839</v>
      </c>
      <c r="O467">
        <v>6.6846117276679271</v>
      </c>
      <c r="P467">
        <f t="shared" si="56"/>
        <v>6.2173857364561158E-2</v>
      </c>
      <c r="Q467">
        <f t="shared" si="57"/>
        <v>0.6931471805599454</v>
      </c>
      <c r="R467">
        <f t="shared" si="58"/>
        <v>0</v>
      </c>
      <c r="S467">
        <f t="shared" si="59"/>
        <v>0</v>
      </c>
      <c r="T467">
        <f t="shared" si="60"/>
        <v>0</v>
      </c>
      <c r="U467">
        <f t="shared" si="61"/>
        <v>1</v>
      </c>
      <c r="V467">
        <f t="shared" si="62"/>
        <v>0</v>
      </c>
      <c r="W467">
        <f t="shared" si="63"/>
        <v>1</v>
      </c>
    </row>
    <row r="468" spans="1:23" x14ac:dyDescent="0.25">
      <c r="A468" s="1">
        <v>52</v>
      </c>
      <c r="B468" s="1">
        <v>2022</v>
      </c>
      <c r="C468">
        <v>-1.6142570925529649</v>
      </c>
      <c r="D468">
        <v>0.91464938560202946</v>
      </c>
      <c r="E468">
        <v>0.95296975613264678</v>
      </c>
      <c r="F468">
        <v>0.73385716880773211</v>
      </c>
      <c r="G468">
        <v>0.55658262110371903</v>
      </c>
      <c r="H468">
        <v>0.63350332763243034</v>
      </c>
      <c r="I468">
        <v>0.34741217665954732</v>
      </c>
      <c r="J468">
        <v>-0.35997345569859929</v>
      </c>
      <c r="K468">
        <v>2.05817408255127</v>
      </c>
      <c r="L468">
        <v>-0.85553986918257652</v>
      </c>
      <c r="M468">
        <v>2.944830875983496</v>
      </c>
      <c r="N468">
        <v>2.8601841126256451</v>
      </c>
      <c r="O468">
        <v>8.0551577318196781</v>
      </c>
      <c r="P468">
        <f t="shared" si="56"/>
        <v>8.4646763357850929E-2</v>
      </c>
      <c r="Q468">
        <f t="shared" si="57"/>
        <v>1.370546004151751</v>
      </c>
      <c r="R468">
        <f t="shared" si="58"/>
        <v>0</v>
      </c>
      <c r="S468">
        <f t="shared" si="59"/>
        <v>0</v>
      </c>
      <c r="T468">
        <f t="shared" si="60"/>
        <v>0</v>
      </c>
      <c r="U468">
        <f t="shared" si="61"/>
        <v>1</v>
      </c>
      <c r="V468">
        <f t="shared" si="62"/>
        <v>0</v>
      </c>
      <c r="W468">
        <f t="shared" si="63"/>
        <v>0</v>
      </c>
    </row>
    <row r="469" spans="1:23" x14ac:dyDescent="0.25">
      <c r="A469" s="1">
        <v>52</v>
      </c>
      <c r="B469" s="1">
        <v>2023</v>
      </c>
      <c r="C469">
        <v>-1.481450227393704</v>
      </c>
      <c r="D469">
        <v>0.74193734472937733</v>
      </c>
      <c r="E469">
        <v>0.91464938560202946</v>
      </c>
      <c r="F469">
        <v>0.95296975613264678</v>
      </c>
      <c r="G469">
        <v>0.36186147062603241</v>
      </c>
      <c r="H469">
        <v>0.55658262110371903</v>
      </c>
      <c r="I469">
        <v>0.63350332763243034</v>
      </c>
      <c r="J469">
        <v>0.15275965553178639</v>
      </c>
      <c r="K469">
        <v>2.05817408255127</v>
      </c>
      <c r="L469">
        <v>-0.8245319525329371</v>
      </c>
      <c r="M469">
        <v>2.9499617173955852</v>
      </c>
      <c r="N469">
        <v>2.944830875983496</v>
      </c>
      <c r="O469">
        <v>8.4658998970286863</v>
      </c>
      <c r="P469">
        <f t="shared" si="56"/>
        <v>5.1308414120891932E-3</v>
      </c>
      <c r="Q469">
        <f t="shared" si="57"/>
        <v>0.41074216520900819</v>
      </c>
      <c r="R469">
        <f t="shared" si="58"/>
        <v>0</v>
      </c>
      <c r="S469">
        <f t="shared" si="59"/>
        <v>0</v>
      </c>
      <c r="T469">
        <f t="shared" si="60"/>
        <v>0</v>
      </c>
      <c r="U469">
        <f t="shared" si="61"/>
        <v>1</v>
      </c>
      <c r="V469">
        <f t="shared" si="62"/>
        <v>0</v>
      </c>
      <c r="W469">
        <f t="shared" si="63"/>
        <v>0</v>
      </c>
    </row>
    <row r="470" spans="1:23" x14ac:dyDescent="0.25">
      <c r="A470" s="1">
        <v>53</v>
      </c>
      <c r="B470" s="1">
        <v>2006</v>
      </c>
      <c r="C470">
        <v>-1.175193201003861</v>
      </c>
      <c r="D470">
        <v>0.95551144502743635</v>
      </c>
      <c r="E470">
        <v>0.87680118258767858</v>
      </c>
      <c r="F470">
        <v>0.82342955082286751</v>
      </c>
      <c r="G470">
        <v>0.64710324205853842</v>
      </c>
      <c r="H470">
        <v>0.53772068722863497</v>
      </c>
      <c r="I470">
        <v>0.47828177068996119</v>
      </c>
      <c r="J470">
        <v>-16.11809565095832</v>
      </c>
      <c r="K470">
        <v>0.607173681386733</v>
      </c>
      <c r="L470">
        <v>-1.1475238008918609</v>
      </c>
      <c r="M470">
        <v>3.8679742163097819</v>
      </c>
      <c r="N470">
        <v>3.822070990820412</v>
      </c>
      <c r="O470">
        <v>-11.51292546497023</v>
      </c>
      <c r="P470">
        <f t="shared" si="56"/>
        <v>4.590322548936987E-2</v>
      </c>
      <c r="Q470">
        <f t="shared" si="57"/>
        <v>0</v>
      </c>
      <c r="R470">
        <f t="shared" si="58"/>
        <v>0</v>
      </c>
      <c r="S470">
        <f t="shared" si="59"/>
        <v>0</v>
      </c>
      <c r="T470">
        <f t="shared" si="60"/>
        <v>0</v>
      </c>
      <c r="U470">
        <f t="shared" si="61"/>
        <v>1</v>
      </c>
      <c r="V470">
        <f t="shared" si="62"/>
        <v>0</v>
      </c>
      <c r="W470">
        <f t="shared" si="63"/>
        <v>0</v>
      </c>
    </row>
    <row r="471" spans="1:23" x14ac:dyDescent="0.25">
      <c r="A471" s="1">
        <v>53</v>
      </c>
      <c r="B471" s="1">
        <v>2007</v>
      </c>
      <c r="C471">
        <v>-1.21680722214853</v>
      </c>
      <c r="D471">
        <v>0.90028329372833826</v>
      </c>
      <c r="E471">
        <v>0.95551144502743635</v>
      </c>
      <c r="F471">
        <v>0.87680118258767858</v>
      </c>
      <c r="G471">
        <v>0.48106720160171512</v>
      </c>
      <c r="H471">
        <v>0.64710324205853842</v>
      </c>
      <c r="I471">
        <v>0.53772068722863497</v>
      </c>
      <c r="J471">
        <v>-16.11809565095832</v>
      </c>
      <c r="K471">
        <v>0.607173681386733</v>
      </c>
      <c r="L471">
        <v>-1.093394133190827</v>
      </c>
      <c r="M471">
        <v>3.8681262479319329</v>
      </c>
      <c r="N471">
        <v>3.832254131879917</v>
      </c>
      <c r="O471">
        <v>-11.51292546497023</v>
      </c>
      <c r="P471">
        <f t="shared" si="56"/>
        <v>3.5872116052015901E-2</v>
      </c>
      <c r="Q471">
        <f t="shared" si="57"/>
        <v>0</v>
      </c>
      <c r="R471">
        <f t="shared" si="58"/>
        <v>0</v>
      </c>
      <c r="S471">
        <f t="shared" si="59"/>
        <v>0</v>
      </c>
      <c r="T471">
        <f t="shared" si="60"/>
        <v>0</v>
      </c>
      <c r="U471">
        <f t="shared" si="61"/>
        <v>1</v>
      </c>
      <c r="V471">
        <f t="shared" si="62"/>
        <v>0</v>
      </c>
      <c r="W471">
        <f t="shared" si="63"/>
        <v>0</v>
      </c>
    </row>
    <row r="472" spans="1:23" x14ac:dyDescent="0.25">
      <c r="A472" s="1">
        <v>53</v>
      </c>
      <c r="B472" s="1">
        <v>2008</v>
      </c>
      <c r="C472">
        <v>-1.196257408663381</v>
      </c>
      <c r="D472">
        <v>0.83512405945549484</v>
      </c>
      <c r="E472">
        <v>0.90028329372833826</v>
      </c>
      <c r="F472">
        <v>0.95551144502743635</v>
      </c>
      <c r="G472">
        <v>0.50337795863083334</v>
      </c>
      <c r="H472">
        <v>0.48106720160171512</v>
      </c>
      <c r="I472">
        <v>0.64710324205853842</v>
      </c>
      <c r="J472">
        <v>-7.8466521556029942</v>
      </c>
      <c r="K472">
        <v>0.607173681386733</v>
      </c>
      <c r="L472">
        <v>-1.047699977848771</v>
      </c>
      <c r="M472">
        <v>3.9157603218814678</v>
      </c>
      <c r="N472">
        <v>3.833638596812631</v>
      </c>
      <c r="O472">
        <v>-11.51292546497023</v>
      </c>
      <c r="P472">
        <f t="shared" si="56"/>
        <v>8.2121725068836859E-2</v>
      </c>
      <c r="Q472">
        <f t="shared" si="57"/>
        <v>0</v>
      </c>
      <c r="R472">
        <f t="shared" si="58"/>
        <v>0</v>
      </c>
      <c r="S472">
        <f t="shared" si="59"/>
        <v>0</v>
      </c>
      <c r="T472">
        <f t="shared" si="60"/>
        <v>0</v>
      </c>
      <c r="U472">
        <f t="shared" si="61"/>
        <v>1</v>
      </c>
      <c r="V472">
        <f t="shared" si="62"/>
        <v>0</v>
      </c>
      <c r="W472">
        <f t="shared" si="63"/>
        <v>0</v>
      </c>
    </row>
    <row r="473" spans="1:23" x14ac:dyDescent="0.25">
      <c r="A473" s="1">
        <v>53</v>
      </c>
      <c r="B473" s="1">
        <v>2009</v>
      </c>
      <c r="C473">
        <v>-1.230396623290547</v>
      </c>
      <c r="D473">
        <v>0.84264419170585647</v>
      </c>
      <c r="E473">
        <v>0.83512405945549484</v>
      </c>
      <c r="F473">
        <v>0.90028329372833826</v>
      </c>
      <c r="G473">
        <v>0.46662292108625802</v>
      </c>
      <c r="H473">
        <v>0.50337795863083334</v>
      </c>
      <c r="I473">
        <v>0.48106720160171512</v>
      </c>
      <c r="J473">
        <v>-6.7672990122863412</v>
      </c>
      <c r="K473">
        <v>0.607173681386733</v>
      </c>
      <c r="L473">
        <v>-0.98570914692988709</v>
      </c>
      <c r="M473">
        <v>3.9456062305620181</v>
      </c>
      <c r="N473">
        <v>3.8965011765298359</v>
      </c>
      <c r="O473">
        <v>-11.51292546497023</v>
      </c>
      <c r="P473">
        <f t="shared" si="56"/>
        <v>4.9105054032182238E-2</v>
      </c>
      <c r="Q473">
        <f t="shared" si="57"/>
        <v>0</v>
      </c>
      <c r="R473">
        <f t="shared" si="58"/>
        <v>0</v>
      </c>
      <c r="S473">
        <f t="shared" si="59"/>
        <v>0</v>
      </c>
      <c r="T473">
        <f t="shared" si="60"/>
        <v>0</v>
      </c>
      <c r="U473">
        <f t="shared" si="61"/>
        <v>1</v>
      </c>
      <c r="V473">
        <f t="shared" si="62"/>
        <v>0</v>
      </c>
      <c r="W473">
        <f t="shared" si="63"/>
        <v>0</v>
      </c>
    </row>
    <row r="474" spans="1:23" x14ac:dyDescent="0.25">
      <c r="A474" s="1">
        <v>53</v>
      </c>
      <c r="B474" s="1">
        <v>2010</v>
      </c>
      <c r="C474">
        <v>-1.0645949508203121</v>
      </c>
      <c r="D474">
        <v>0.7963804352015974</v>
      </c>
      <c r="E474">
        <v>0.84264419170585647</v>
      </c>
      <c r="F474">
        <v>0.83512405945549484</v>
      </c>
      <c r="G474">
        <v>0.49755799676508627</v>
      </c>
      <c r="H474">
        <v>0.46662292108625802</v>
      </c>
      <c r="I474">
        <v>0.50337795863083334</v>
      </c>
      <c r="J474">
        <v>-6.0747489179862413</v>
      </c>
      <c r="K474">
        <v>0.607173681386733</v>
      </c>
      <c r="L474">
        <v>-0.91128095511495621</v>
      </c>
      <c r="M474">
        <v>4.012268502708225</v>
      </c>
      <c r="N474">
        <v>3.9450091443021318</v>
      </c>
      <c r="O474">
        <v>-11.51292546497023</v>
      </c>
      <c r="P474">
        <f t="shared" si="56"/>
        <v>6.7259358406093206E-2</v>
      </c>
      <c r="Q474">
        <f t="shared" si="57"/>
        <v>0</v>
      </c>
      <c r="R474">
        <f t="shared" si="58"/>
        <v>0</v>
      </c>
      <c r="S474">
        <f t="shared" si="59"/>
        <v>0</v>
      </c>
      <c r="T474">
        <f t="shared" si="60"/>
        <v>0</v>
      </c>
      <c r="U474">
        <f t="shared" si="61"/>
        <v>1</v>
      </c>
      <c r="V474">
        <f t="shared" si="62"/>
        <v>0</v>
      </c>
      <c r="W474">
        <f t="shared" si="63"/>
        <v>0</v>
      </c>
    </row>
    <row r="475" spans="1:23" x14ac:dyDescent="0.25">
      <c r="A475" s="1">
        <v>53</v>
      </c>
      <c r="B475" s="1">
        <v>2011</v>
      </c>
      <c r="C475">
        <v>-0.95733340863872451</v>
      </c>
      <c r="D475">
        <v>0.77670677365887608</v>
      </c>
      <c r="E475">
        <v>0.7963804352015974</v>
      </c>
      <c r="F475">
        <v>0.84264419170585647</v>
      </c>
      <c r="G475">
        <v>0.52490602797399499</v>
      </c>
      <c r="H475">
        <v>0.49755799676508627</v>
      </c>
      <c r="I475">
        <v>0.46662292108625802</v>
      </c>
      <c r="J475">
        <v>-4.4998089040464491</v>
      </c>
      <c r="K475">
        <v>0.607173681386733</v>
      </c>
      <c r="L475">
        <v>-0.85041971665346983</v>
      </c>
      <c r="M475">
        <v>4.0013842193416096</v>
      </c>
      <c r="N475">
        <v>4.0116721558895927</v>
      </c>
      <c r="O475">
        <v>-11.51292546497023</v>
      </c>
      <c r="P475">
        <f t="shared" si="56"/>
        <v>-1.0287936547983101E-2</v>
      </c>
      <c r="Q475">
        <f t="shared" si="57"/>
        <v>0</v>
      </c>
      <c r="R475">
        <f t="shared" si="58"/>
        <v>0</v>
      </c>
      <c r="S475">
        <f t="shared" si="59"/>
        <v>0</v>
      </c>
      <c r="T475">
        <f t="shared" si="60"/>
        <v>0</v>
      </c>
      <c r="U475">
        <f t="shared" si="61"/>
        <v>1</v>
      </c>
      <c r="V475">
        <f t="shared" si="62"/>
        <v>0</v>
      </c>
      <c r="W475">
        <f t="shared" si="63"/>
        <v>0</v>
      </c>
    </row>
    <row r="476" spans="1:23" x14ac:dyDescent="0.25">
      <c r="A476" s="1">
        <v>53</v>
      </c>
      <c r="B476" s="1">
        <v>2012</v>
      </c>
      <c r="C476">
        <v>-0.89789855142030683</v>
      </c>
      <c r="D476">
        <v>0.7234823803560182</v>
      </c>
      <c r="E476">
        <v>0.77670677365887608</v>
      </c>
      <c r="F476">
        <v>0.7963804352015974</v>
      </c>
      <c r="G476">
        <v>0.49506202858651249</v>
      </c>
      <c r="H476">
        <v>0.52490602797399499</v>
      </c>
      <c r="I476">
        <v>0.49755799676508627</v>
      </c>
      <c r="J476">
        <v>-4.1928813491084016</v>
      </c>
      <c r="K476">
        <v>0.607173681386733</v>
      </c>
      <c r="L476">
        <v>-0.80402902169534696</v>
      </c>
      <c r="M476">
        <v>3.970137688567176</v>
      </c>
      <c r="N476">
        <v>3.9867281501521989</v>
      </c>
      <c r="O476">
        <v>-11.51292546497023</v>
      </c>
      <c r="P476">
        <f t="shared" si="56"/>
        <v>-1.6590461585022975E-2</v>
      </c>
      <c r="Q476">
        <f t="shared" si="57"/>
        <v>0</v>
      </c>
      <c r="R476">
        <f t="shared" si="58"/>
        <v>0</v>
      </c>
      <c r="S476">
        <f t="shared" si="59"/>
        <v>0</v>
      </c>
      <c r="T476">
        <f t="shared" si="60"/>
        <v>0</v>
      </c>
      <c r="U476">
        <f t="shared" si="61"/>
        <v>1</v>
      </c>
      <c r="V476">
        <f t="shared" si="62"/>
        <v>0</v>
      </c>
      <c r="W476">
        <f t="shared" si="63"/>
        <v>0</v>
      </c>
    </row>
    <row r="477" spans="1:23" x14ac:dyDescent="0.25">
      <c r="A477" s="1">
        <v>53</v>
      </c>
      <c r="B477" s="1">
        <v>2013</v>
      </c>
      <c r="C477">
        <v>-0.90989681407840772</v>
      </c>
      <c r="D477">
        <v>0.71417454775202094</v>
      </c>
      <c r="E477">
        <v>0.7234823803560182</v>
      </c>
      <c r="F477">
        <v>0.77670677365887608</v>
      </c>
      <c r="G477">
        <v>0.44647908419877852</v>
      </c>
      <c r="H477">
        <v>0.49506202858651249</v>
      </c>
      <c r="I477">
        <v>0.52490602797399499</v>
      </c>
      <c r="J477">
        <v>-3.4450748383315428</v>
      </c>
      <c r="K477">
        <v>0.607173681386733</v>
      </c>
      <c r="L477">
        <v>-0.79969165230043016</v>
      </c>
      <c r="M477">
        <v>3.9152939114917999</v>
      </c>
      <c r="N477">
        <v>3.9181872837258269</v>
      </c>
      <c r="O477">
        <v>-11.51292546497023</v>
      </c>
      <c r="P477">
        <f t="shared" si="56"/>
        <v>-2.8933722340269696E-3</v>
      </c>
      <c r="Q477">
        <f t="shared" si="57"/>
        <v>0</v>
      </c>
      <c r="R477">
        <f t="shared" si="58"/>
        <v>0</v>
      </c>
      <c r="S477">
        <f t="shared" si="59"/>
        <v>0</v>
      </c>
      <c r="T477">
        <f t="shared" si="60"/>
        <v>0</v>
      </c>
      <c r="U477">
        <f t="shared" si="61"/>
        <v>1</v>
      </c>
      <c r="V477">
        <f t="shared" si="62"/>
        <v>0</v>
      </c>
      <c r="W477">
        <f t="shared" si="63"/>
        <v>0</v>
      </c>
    </row>
    <row r="478" spans="1:23" x14ac:dyDescent="0.25">
      <c r="A478" s="1">
        <v>53</v>
      </c>
      <c r="B478" s="1">
        <v>2014</v>
      </c>
      <c r="C478">
        <v>-0.8890735366326501</v>
      </c>
      <c r="D478">
        <v>0.69798545720019456</v>
      </c>
      <c r="E478">
        <v>0.71417454775202094</v>
      </c>
      <c r="F478">
        <v>0.7234823803560182</v>
      </c>
      <c r="G478">
        <v>0.46837730750115147</v>
      </c>
      <c r="H478">
        <v>0.44647908419877852</v>
      </c>
      <c r="I478">
        <v>0.49506202858651249</v>
      </c>
      <c r="J478">
        <v>-2.7685204019701639</v>
      </c>
      <c r="K478">
        <v>0.607173681386733</v>
      </c>
      <c r="L478">
        <v>-0.77890042899833789</v>
      </c>
      <c r="M478">
        <v>3.932998864519416</v>
      </c>
      <c r="N478">
        <v>3.893098911744564</v>
      </c>
      <c r="O478">
        <v>-11.51292546497023</v>
      </c>
      <c r="P478">
        <f t="shared" si="56"/>
        <v>3.9899952774852032E-2</v>
      </c>
      <c r="Q478">
        <f t="shared" si="57"/>
        <v>0</v>
      </c>
      <c r="R478">
        <f t="shared" si="58"/>
        <v>0</v>
      </c>
      <c r="S478">
        <f t="shared" si="59"/>
        <v>0</v>
      </c>
      <c r="T478">
        <f t="shared" si="60"/>
        <v>0</v>
      </c>
      <c r="U478">
        <f t="shared" si="61"/>
        <v>1</v>
      </c>
      <c r="V478">
        <f t="shared" si="62"/>
        <v>0</v>
      </c>
      <c r="W478">
        <f t="shared" si="63"/>
        <v>0</v>
      </c>
    </row>
    <row r="479" spans="1:23" x14ac:dyDescent="0.25">
      <c r="A479" s="1">
        <v>53</v>
      </c>
      <c r="B479" s="1">
        <v>2015</v>
      </c>
      <c r="C479">
        <v>-0.954460618699289</v>
      </c>
      <c r="D479">
        <v>0.72290013870929315</v>
      </c>
      <c r="E479">
        <v>0.69798545720019456</v>
      </c>
      <c r="F479">
        <v>0.71417454775202094</v>
      </c>
      <c r="G479">
        <v>0.47037855895080882</v>
      </c>
      <c r="H479">
        <v>0.46837730750115147</v>
      </c>
      <c r="I479">
        <v>0.44647908419877852</v>
      </c>
      <c r="J479">
        <v>-2.349945664353883</v>
      </c>
      <c r="K479">
        <v>0.607173681386733</v>
      </c>
      <c r="L479">
        <v>-0.76575915369728154</v>
      </c>
      <c r="M479">
        <v>3.9264922191542988</v>
      </c>
      <c r="N479">
        <v>3.911338294285815</v>
      </c>
      <c r="O479">
        <v>-11.51292546497023</v>
      </c>
      <c r="P479">
        <f t="shared" si="56"/>
        <v>1.515392486848377E-2</v>
      </c>
      <c r="Q479">
        <f t="shared" si="57"/>
        <v>0</v>
      </c>
      <c r="R479">
        <f t="shared" si="58"/>
        <v>0</v>
      </c>
      <c r="S479">
        <f t="shared" si="59"/>
        <v>0</v>
      </c>
      <c r="T479">
        <f t="shared" si="60"/>
        <v>0</v>
      </c>
      <c r="U479">
        <f t="shared" si="61"/>
        <v>1</v>
      </c>
      <c r="V479">
        <f t="shared" si="62"/>
        <v>0</v>
      </c>
      <c r="W479">
        <f t="shared" si="63"/>
        <v>1</v>
      </c>
    </row>
    <row r="480" spans="1:23" x14ac:dyDescent="0.25">
      <c r="A480" s="1">
        <v>53</v>
      </c>
      <c r="B480" s="1">
        <v>2016</v>
      </c>
      <c r="C480">
        <v>-0.90900988762450885</v>
      </c>
      <c r="D480">
        <v>0.70339449701149481</v>
      </c>
      <c r="E480">
        <v>0.72290013870929315</v>
      </c>
      <c r="F480">
        <v>0.69798545720019456</v>
      </c>
      <c r="G480">
        <v>0.54197539275820672</v>
      </c>
      <c r="H480">
        <v>0.47037855895080882</v>
      </c>
      <c r="I480">
        <v>0.46837730750115147</v>
      </c>
      <c r="J480">
        <v>-1.992390755046662</v>
      </c>
      <c r="K480">
        <v>0.607173681386733</v>
      </c>
      <c r="L480">
        <v>-0.76100094980120447</v>
      </c>
      <c r="M480">
        <v>3.9157916444440328</v>
      </c>
      <c r="N480">
        <v>3.905315082550425</v>
      </c>
      <c r="O480">
        <v>-11.51292546497023</v>
      </c>
      <c r="P480">
        <f t="shared" si="56"/>
        <v>1.0476561893607794E-2</v>
      </c>
      <c r="Q480">
        <f t="shared" si="57"/>
        <v>0</v>
      </c>
      <c r="R480">
        <f t="shared" si="58"/>
        <v>0</v>
      </c>
      <c r="S480">
        <f t="shared" si="59"/>
        <v>0</v>
      </c>
      <c r="T480">
        <f t="shared" si="60"/>
        <v>0</v>
      </c>
      <c r="U480">
        <f t="shared" si="61"/>
        <v>1</v>
      </c>
      <c r="V480">
        <f t="shared" si="62"/>
        <v>0</v>
      </c>
      <c r="W480">
        <f t="shared" si="63"/>
        <v>1</v>
      </c>
    </row>
    <row r="481" spans="1:23" x14ac:dyDescent="0.25">
      <c r="A481" s="1">
        <v>53</v>
      </c>
      <c r="B481" s="1">
        <v>2017</v>
      </c>
      <c r="C481">
        <v>-0.87571362001221353</v>
      </c>
      <c r="D481">
        <v>0.69044352898563044</v>
      </c>
      <c r="E481">
        <v>0.70339449701149481</v>
      </c>
      <c r="F481">
        <v>0.72290013870929315</v>
      </c>
      <c r="G481">
        <v>0.54731183233640068</v>
      </c>
      <c r="H481">
        <v>0.54197539275820672</v>
      </c>
      <c r="I481">
        <v>0.47037855895080882</v>
      </c>
      <c r="J481">
        <v>-1.3940375149281869</v>
      </c>
      <c r="K481">
        <v>0.607173681386733</v>
      </c>
      <c r="L481">
        <v>-0.75467591242718013</v>
      </c>
      <c r="M481">
        <v>3.8972926783296979</v>
      </c>
      <c r="N481">
        <v>3.8951056761562839</v>
      </c>
      <c r="O481">
        <v>-11.51292546497023</v>
      </c>
      <c r="P481">
        <f t="shared" si="56"/>
        <v>2.1870021734140543E-3</v>
      </c>
      <c r="Q481">
        <f t="shared" si="57"/>
        <v>0</v>
      </c>
      <c r="R481">
        <f t="shared" si="58"/>
        <v>0</v>
      </c>
      <c r="S481">
        <f t="shared" si="59"/>
        <v>0</v>
      </c>
      <c r="T481">
        <f t="shared" si="60"/>
        <v>0</v>
      </c>
      <c r="U481">
        <f t="shared" si="61"/>
        <v>1</v>
      </c>
      <c r="V481">
        <f t="shared" si="62"/>
        <v>0</v>
      </c>
      <c r="W481">
        <f t="shared" si="63"/>
        <v>1</v>
      </c>
    </row>
    <row r="482" spans="1:23" x14ac:dyDescent="0.25">
      <c r="A482" s="1">
        <v>53</v>
      </c>
      <c r="B482" s="1">
        <v>2018</v>
      </c>
      <c r="C482">
        <v>-1.003241420154549</v>
      </c>
      <c r="D482">
        <v>0.82478928961166054</v>
      </c>
      <c r="E482">
        <v>0.69044352898563044</v>
      </c>
      <c r="F482">
        <v>0.70339449701149481</v>
      </c>
      <c r="G482">
        <v>0.56149972649394564</v>
      </c>
      <c r="H482">
        <v>0.54731183233640068</v>
      </c>
      <c r="I482">
        <v>0.54197539275820672</v>
      </c>
      <c r="J482">
        <v>-0.9170315843726361</v>
      </c>
      <c r="K482">
        <v>0.607173681386733</v>
      </c>
      <c r="L482">
        <v>-0.70271883606492602</v>
      </c>
      <c r="M482">
        <v>3.9152906241954182</v>
      </c>
      <c r="N482">
        <v>3.918823080202424</v>
      </c>
      <c r="O482">
        <v>3.2580965380214821</v>
      </c>
      <c r="P482">
        <f t="shared" si="56"/>
        <v>-3.532456007005802E-3</v>
      </c>
      <c r="Q482">
        <f t="shared" si="57"/>
        <v>14.771022002991712</v>
      </c>
      <c r="R482">
        <f t="shared" si="58"/>
        <v>0</v>
      </c>
      <c r="S482">
        <f t="shared" si="59"/>
        <v>0</v>
      </c>
      <c r="T482">
        <f t="shared" si="60"/>
        <v>0</v>
      </c>
      <c r="U482">
        <f t="shared" si="61"/>
        <v>1</v>
      </c>
      <c r="V482">
        <f t="shared" si="62"/>
        <v>0</v>
      </c>
      <c r="W482">
        <f t="shared" si="63"/>
        <v>1</v>
      </c>
    </row>
    <row r="483" spans="1:23" x14ac:dyDescent="0.25">
      <c r="A483" s="1">
        <v>53</v>
      </c>
      <c r="B483" s="1">
        <v>2019</v>
      </c>
      <c r="C483">
        <v>-0.98758315675102371</v>
      </c>
      <c r="D483">
        <v>0.74597679420447738</v>
      </c>
      <c r="E483">
        <v>0.82478928961166054</v>
      </c>
      <c r="F483">
        <v>0.69044352898563044</v>
      </c>
      <c r="G483">
        <v>0.46524231214402512</v>
      </c>
      <c r="H483">
        <v>0.56149972649394564</v>
      </c>
      <c r="I483">
        <v>0.54731183233640068</v>
      </c>
      <c r="J483">
        <v>-0.17665588671159729</v>
      </c>
      <c r="K483">
        <v>0.607173681386733</v>
      </c>
      <c r="L483">
        <v>-0.6817684061643543</v>
      </c>
      <c r="M483">
        <v>3.9315422371031872</v>
      </c>
      <c r="N483">
        <v>3.9017461111590448</v>
      </c>
      <c r="O483">
        <v>5.393627546352362</v>
      </c>
      <c r="P483">
        <f t="shared" si="56"/>
        <v>2.9796125944142382E-2</v>
      </c>
      <c r="Q483">
        <f t="shared" si="57"/>
        <v>2.1355310083308798</v>
      </c>
      <c r="R483">
        <f t="shared" si="58"/>
        <v>0</v>
      </c>
      <c r="S483">
        <f t="shared" si="59"/>
        <v>0</v>
      </c>
      <c r="T483">
        <f t="shared" si="60"/>
        <v>0</v>
      </c>
      <c r="U483">
        <f t="shared" si="61"/>
        <v>1</v>
      </c>
      <c r="V483">
        <f t="shared" si="62"/>
        <v>0</v>
      </c>
      <c r="W483">
        <f t="shared" si="63"/>
        <v>1</v>
      </c>
    </row>
    <row r="484" spans="1:23" x14ac:dyDescent="0.25">
      <c r="A484" s="1">
        <v>53</v>
      </c>
      <c r="B484" s="1">
        <v>2020</v>
      </c>
      <c r="C484">
        <v>-1.1716802140604221</v>
      </c>
      <c r="D484">
        <v>0.68056839835308525</v>
      </c>
      <c r="E484">
        <v>0.74597679420447738</v>
      </c>
      <c r="F484">
        <v>0.82478928961166054</v>
      </c>
      <c r="G484">
        <v>0.42716136618992462</v>
      </c>
      <c r="H484">
        <v>0.46524231214402512</v>
      </c>
      <c r="I484">
        <v>0.56149972649394564</v>
      </c>
      <c r="J484">
        <v>0.35173698961437438</v>
      </c>
      <c r="K484">
        <v>0.607173681386733</v>
      </c>
      <c r="L484">
        <v>-0.67335289023666267</v>
      </c>
      <c r="M484">
        <v>3.8268909560079698</v>
      </c>
      <c r="N484">
        <v>3.9184025882825311</v>
      </c>
      <c r="O484">
        <v>5.9914645471079817</v>
      </c>
      <c r="P484">
        <f t="shared" si="56"/>
        <v>-9.1511632274561272E-2</v>
      </c>
      <c r="Q484">
        <f t="shared" si="57"/>
        <v>0.59783700075561974</v>
      </c>
      <c r="R484">
        <f t="shared" si="58"/>
        <v>0</v>
      </c>
      <c r="S484">
        <f t="shared" si="59"/>
        <v>0</v>
      </c>
      <c r="T484">
        <f t="shared" si="60"/>
        <v>0</v>
      </c>
      <c r="U484">
        <f t="shared" si="61"/>
        <v>1</v>
      </c>
      <c r="V484">
        <f t="shared" si="62"/>
        <v>1</v>
      </c>
      <c r="W484">
        <f t="shared" si="63"/>
        <v>1</v>
      </c>
    </row>
    <row r="485" spans="1:23" x14ac:dyDescent="0.25">
      <c r="A485" s="1">
        <v>53</v>
      </c>
      <c r="B485" s="1">
        <v>2021</v>
      </c>
      <c r="C485">
        <v>-1.144364340318764</v>
      </c>
      <c r="D485">
        <v>0.93969470965317126</v>
      </c>
      <c r="E485">
        <v>0.68056839835308525</v>
      </c>
      <c r="F485">
        <v>0.74597679420447738</v>
      </c>
      <c r="G485">
        <v>0.74900753005656717</v>
      </c>
      <c r="H485">
        <v>0.42716136618992462</v>
      </c>
      <c r="I485">
        <v>0.46524231214402512</v>
      </c>
      <c r="J485">
        <v>0.84506663866255494</v>
      </c>
      <c r="K485">
        <v>0.607173681386733</v>
      </c>
      <c r="L485">
        <v>-0.67031623496915371</v>
      </c>
      <c r="M485">
        <v>3.7678536220038539</v>
      </c>
      <c r="N485">
        <v>3.8141495312951261</v>
      </c>
      <c r="O485">
        <v>6.6846117276679271</v>
      </c>
      <c r="P485">
        <f t="shared" si="56"/>
        <v>-4.6295909291272253E-2</v>
      </c>
      <c r="Q485">
        <f t="shared" si="57"/>
        <v>0.6931471805599454</v>
      </c>
      <c r="R485">
        <f t="shared" si="58"/>
        <v>0</v>
      </c>
      <c r="S485">
        <f t="shared" si="59"/>
        <v>0</v>
      </c>
      <c r="T485">
        <f t="shared" si="60"/>
        <v>0</v>
      </c>
      <c r="U485">
        <f t="shared" si="61"/>
        <v>1</v>
      </c>
      <c r="V485">
        <f t="shared" si="62"/>
        <v>0</v>
      </c>
      <c r="W485">
        <f t="shared" si="63"/>
        <v>1</v>
      </c>
    </row>
    <row r="486" spans="1:23" x14ac:dyDescent="0.25">
      <c r="A486" s="1">
        <v>53</v>
      </c>
      <c r="B486" s="1">
        <v>2022</v>
      </c>
      <c r="C486">
        <v>-1.084968088625851</v>
      </c>
      <c r="D486">
        <v>0.92271008367633833</v>
      </c>
      <c r="E486">
        <v>0.93969470965317126</v>
      </c>
      <c r="F486">
        <v>0.68056839835308525</v>
      </c>
      <c r="G486">
        <v>0.70275091670264</v>
      </c>
      <c r="H486">
        <v>0.74900753005656717</v>
      </c>
      <c r="I486">
        <v>0.42716136618992462</v>
      </c>
      <c r="J486">
        <v>1.362395225504291</v>
      </c>
      <c r="K486">
        <v>0.60717368138673311</v>
      </c>
      <c r="L486">
        <v>-0.65767170501785543</v>
      </c>
      <c r="M486">
        <v>3.8217818308483569</v>
      </c>
      <c r="N486">
        <v>3.7678536220038539</v>
      </c>
      <c r="O486">
        <v>8.0551577318196781</v>
      </c>
      <c r="P486">
        <f t="shared" si="56"/>
        <v>5.3928208844503001E-2</v>
      </c>
      <c r="Q486">
        <f t="shared" si="57"/>
        <v>1.370546004151751</v>
      </c>
      <c r="R486">
        <f t="shared" si="58"/>
        <v>0</v>
      </c>
      <c r="S486">
        <f t="shared" si="59"/>
        <v>0</v>
      </c>
      <c r="T486">
        <f t="shared" si="60"/>
        <v>0</v>
      </c>
      <c r="U486">
        <f t="shared" si="61"/>
        <v>1</v>
      </c>
      <c r="V486">
        <f t="shared" si="62"/>
        <v>0</v>
      </c>
      <c r="W486">
        <f t="shared" si="63"/>
        <v>0</v>
      </c>
    </row>
    <row r="487" spans="1:23" x14ac:dyDescent="0.25">
      <c r="A487" s="1">
        <v>53</v>
      </c>
      <c r="B487" s="1">
        <v>2023</v>
      </c>
      <c r="C487">
        <v>-1.0745403104985669</v>
      </c>
      <c r="D487">
        <v>0.7437927652288373</v>
      </c>
      <c r="E487">
        <v>0.92271008367633833</v>
      </c>
      <c r="F487">
        <v>0.93969470965317126</v>
      </c>
      <c r="G487">
        <v>0.39366239598901293</v>
      </c>
      <c r="H487">
        <v>0.70275091670264</v>
      </c>
      <c r="I487">
        <v>0.74900753005656717</v>
      </c>
      <c r="J487">
        <v>1.926033881940227</v>
      </c>
      <c r="K487">
        <v>0.60717368138673311</v>
      </c>
      <c r="L487">
        <v>-0.63910198627306525</v>
      </c>
      <c r="M487">
        <v>3.877784690820953</v>
      </c>
      <c r="N487">
        <v>3.8217818308483569</v>
      </c>
      <c r="O487">
        <v>8.4658998970286863</v>
      </c>
      <c r="P487">
        <f t="shared" si="56"/>
        <v>5.6002859972596131E-2</v>
      </c>
      <c r="Q487">
        <f t="shared" si="57"/>
        <v>0.41074216520900819</v>
      </c>
      <c r="R487">
        <f t="shared" si="58"/>
        <v>0</v>
      </c>
      <c r="S487">
        <f t="shared" si="59"/>
        <v>0</v>
      </c>
      <c r="T487">
        <f t="shared" si="60"/>
        <v>0</v>
      </c>
      <c r="U487">
        <f t="shared" si="61"/>
        <v>1</v>
      </c>
      <c r="V487">
        <f t="shared" si="62"/>
        <v>0</v>
      </c>
      <c r="W487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Prolo</cp:lastModifiedBy>
  <dcterms:created xsi:type="dcterms:W3CDTF">2026-03-07T19:54:57Z</dcterms:created>
  <dcterms:modified xsi:type="dcterms:W3CDTF">2026-03-08T22:51:33Z</dcterms:modified>
</cp:coreProperties>
</file>